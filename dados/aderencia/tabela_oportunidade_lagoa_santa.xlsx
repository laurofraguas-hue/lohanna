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a Vitória Dumbá\Downloads\"/>
    </mc:Choice>
  </mc:AlternateContent>
  <xr:revisionPtr revIDLastSave="0" documentId="8_{41939C1F-D65F-44C6-BEA5-A52660894ADA}" xr6:coauthVersionLast="47" xr6:coauthVersionMax="47" xr10:uidLastSave="{00000000-0000-0000-0000-000000000000}"/>
  <bookViews>
    <workbookView xWindow="-108" yWindow="-108" windowWidth="23256" windowHeight="12456" xr2:uid="{B9680A83-B606-4F84-B7DE-DA77F49141DD}"/>
  </bookViews>
  <sheets>
    <sheet name="lagoa santa" sheetId="1" r:id="rId1"/>
  </sheets>
  <definedNames>
    <definedName name="_xlnm._FilterDatabase" localSheetId="0" hidden="1">'lagoa santa'!$A$1:$AZ$2255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255" i="1" l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<sst xmlns="http://schemas.openxmlformats.org/spreadsheetml/2006/main" count="47386" uniqueCount="1001">
  <si>
    <t>Município</t>
  </si>
  <si>
    <t>UF</t>
  </si>
  <si>
    <t>Ano</t>
  </si>
  <si>
    <t>Candidato</t>
  </si>
  <si>
    <t>Variável</t>
  </si>
  <si>
    <t>Classificação</t>
  </si>
  <si>
    <t>CEP</t>
  </si>
  <si>
    <t>CD_setor</t>
  </si>
  <si>
    <t>ID_POLIGONO</t>
  </si>
  <si>
    <t>CD_MUN</t>
  </si>
  <si>
    <t>Bairro</t>
  </si>
  <si>
    <t>Bairro_Censo</t>
  </si>
  <si>
    <t>Localidade_CNEFE</t>
  </si>
  <si>
    <t>Rua</t>
  </si>
  <si>
    <t>Numero_Endereco</t>
  </si>
  <si>
    <t>Latitude</t>
  </si>
  <si>
    <t>Longitude</t>
  </si>
  <si>
    <t>Google Maps</t>
  </si>
  <si>
    <t>Oportunidade</t>
  </si>
  <si>
    <t>Distancia_Oportunidade_Setor_m</t>
  </si>
  <si>
    <t>Quartil_Fundo</t>
  </si>
  <si>
    <t>Valor_Bruto</t>
  </si>
  <si>
    <t>Peso_Moradores</t>
  </si>
  <si>
    <t>Valor_Ajustado</t>
  </si>
  <si>
    <t>Votos_Candidato</t>
  </si>
  <si>
    <t>Distancia_Urna_Setor_m</t>
  </si>
  <si>
    <t>Q1_Votos_Base</t>
  </si>
  <si>
    <t>Q2_Votos_Base</t>
  </si>
  <si>
    <t>Q3_Votos_Base</t>
  </si>
  <si>
    <t>XG</t>
  </si>
  <si>
    <t>Total_Setores_Município</t>
  </si>
  <si>
    <t>Qtd_Ideal_Município</t>
  </si>
  <si>
    <t>Qtd_Subideal_Município</t>
  </si>
  <si>
    <t>Qtd_Base_Município</t>
  </si>
  <si>
    <t>Percentual_Ideal_Município</t>
  </si>
  <si>
    <t>Percentual_Subideal_Município</t>
  </si>
  <si>
    <t>Percentual_Base_Município</t>
  </si>
  <si>
    <t>Latitude_Setor</t>
  </si>
  <si>
    <t>Longitude_Setor</t>
  </si>
  <si>
    <t>Latitude_Poligono_Base</t>
  </si>
  <si>
    <t>Longitude_Poligono_Base</t>
  </si>
  <si>
    <t>Latitude_Endereco</t>
  </si>
  <si>
    <t>Longitude_Endereco</t>
  </si>
  <si>
    <t>Distancia_Endereco_Poligono_m</t>
  </si>
  <si>
    <t>Metodo_Correspondencia</t>
  </si>
  <si>
    <t>Nivel_Geocodificacao_CNEFE</t>
  </si>
  <si>
    <t>Codigo_Unico_Endereco_CNEFE</t>
  </si>
  <si>
    <t>CD_Setor_CNEFE</t>
  </si>
  <si>
    <t>CD_MUN_CNEFE</t>
  </si>
  <si>
    <t>Status_Endereco</t>
  </si>
  <si>
    <t>Fonte_Endereco</t>
  </si>
  <si>
    <t>ENDERECO_ENCONTRADO</t>
  </si>
  <si>
    <t>lagoa santa</t>
  </si>
  <si>
    <t>MG</t>
  </si>
  <si>
    <t>2022</t>
  </si>
  <si>
    <t>LOHANNA SOUZA FRANÇA MOREIRA DE OLIVEIRA</t>
  </si>
  <si>
    <t>Comportamento e Rotina - Predominância de Instagram, consumo visual, influenciadores</t>
  </si>
  <si>
    <t>Ideal</t>
  </si>
  <si>
    <t>33239-016</t>
  </si>
  <si>
    <t>313760105000128</t>
  </si>
  <si>
    <t>3137601</t>
  </si>
  <si>
    <t>RESIDENCIA LAGOA SANTA</t>
  </si>
  <si>
    <t>—</t>
  </si>
  <si>
    <t>RUA DA HARMONIA</t>
  </si>
  <si>
    <t>82</t>
  </si>
  <si>
    <t>ponto_cnefe_dentro_do_poligono</t>
  </si>
  <si>
    <t>88530188</t>
  </si>
  <si>
    <t>313760105000128P</t>
  </si>
  <si>
    <t>completo</t>
  </si>
  <si>
    <t>IBGE CNEFE 2022</t>
  </si>
  <si>
    <t>33239-080</t>
  </si>
  <si>
    <t>313760105000236</t>
  </si>
  <si>
    <t>LUNDCEA</t>
  </si>
  <si>
    <t>AVENIDA PORTUGAL</t>
  </si>
  <si>
    <t>262</t>
  </si>
  <si>
    <t>35350450</t>
  </si>
  <si>
    <t>313760105000236P</t>
  </si>
  <si>
    <t>33239-092</t>
  </si>
  <si>
    <t>313760105000237</t>
  </si>
  <si>
    <t>LUNDCEIA</t>
  </si>
  <si>
    <t>ALAMEDA BELGICA</t>
  </si>
  <si>
    <t>55</t>
  </si>
  <si>
    <t>198176566</t>
  </si>
  <si>
    <t>313760105000237P</t>
  </si>
  <si>
    <t>33230-420</t>
  </si>
  <si>
    <t>313760105000252</t>
  </si>
  <si>
    <t>PROMISSAO II</t>
  </si>
  <si>
    <t>RUA IVONE ALCICI</t>
  </si>
  <si>
    <t>110</t>
  </si>
  <si>
    <t>195022602</t>
  </si>
  <si>
    <t>313760105000252P</t>
  </si>
  <si>
    <t>33230-390</t>
  </si>
  <si>
    <t>313760105000253</t>
  </si>
  <si>
    <t>RUA ENGENHEIRO VICENTE DE FREITAS</t>
  </si>
  <si>
    <t>150</t>
  </si>
  <si>
    <t>195023200</t>
  </si>
  <si>
    <t>313760105000253P</t>
  </si>
  <si>
    <t>33230-380</t>
  </si>
  <si>
    <t>313760105000279</t>
  </si>
  <si>
    <t>PROMISSAO III</t>
  </si>
  <si>
    <t>RUA MARIA ROSA ALVES</t>
  </si>
  <si>
    <t>136</t>
  </si>
  <si>
    <t>35342085</t>
  </si>
  <si>
    <t>313760105000131P</t>
  </si>
  <si>
    <t>33230-353</t>
  </si>
  <si>
    <t>313760105000278</t>
  </si>
  <si>
    <t>RUA TEREZA ASCENDINA GONCALVES</t>
  </si>
  <si>
    <t>590</t>
  </si>
  <si>
    <t>35341983</t>
  </si>
  <si>
    <t>33239-888</t>
  </si>
  <si>
    <t>313760105000106</t>
  </si>
  <si>
    <t>VILA MILITAR</t>
  </si>
  <si>
    <t>RUA PRESIDENTE MEDICI</t>
  </si>
  <si>
    <t>100</t>
  </si>
  <si>
    <t>194472583</t>
  </si>
  <si>
    <t>313760105000106P</t>
  </si>
  <si>
    <t>33240-051</t>
  </si>
  <si>
    <t>313760105000265</t>
  </si>
  <si>
    <t>VILA ASAS</t>
  </si>
  <si>
    <t>AVENIDA SALGADO FILHO</t>
  </si>
  <si>
    <t>0</t>
  </si>
  <si>
    <t>194644441</t>
  </si>
  <si>
    <t>313760105000113P</t>
  </si>
  <si>
    <t>33239-138</t>
  </si>
  <si>
    <t>313760105000129</t>
  </si>
  <si>
    <t>AVENIDA ALVARO JOSE DOS SANTOS</t>
  </si>
  <si>
    <t>1510</t>
  </si>
  <si>
    <t>109309258</t>
  </si>
  <si>
    <t>313760105000129P</t>
  </si>
  <si>
    <t>33239-046</t>
  </si>
  <si>
    <t>313760105000177</t>
  </si>
  <si>
    <t>LUNDCEIA 2</t>
  </si>
  <si>
    <t>ALAMEDA RONDON</t>
  </si>
  <si>
    <t>218</t>
  </si>
  <si>
    <t>106249126</t>
  </si>
  <si>
    <t>313760105000177P</t>
  </si>
  <si>
    <t>313760105000178</t>
  </si>
  <si>
    <t>106249388</t>
  </si>
  <si>
    <t>313760105000178P</t>
  </si>
  <si>
    <t>33239-102</t>
  </si>
  <si>
    <t>313760105000179</t>
  </si>
  <si>
    <t>RUA K</t>
  </si>
  <si>
    <t>1151</t>
  </si>
  <si>
    <t>109304642</t>
  </si>
  <si>
    <t>313760105000179P</t>
  </si>
  <si>
    <t>33230-444</t>
  </si>
  <si>
    <t>313760105000180</t>
  </si>
  <si>
    <t>OVIDEO GUERRA</t>
  </si>
  <si>
    <t>RUA NOVE</t>
  </si>
  <si>
    <t>220378793</t>
  </si>
  <si>
    <t>313760105000180P</t>
  </si>
  <si>
    <t>33239-040</t>
  </si>
  <si>
    <t>313760105000217</t>
  </si>
  <si>
    <t>RUA CURVELO</t>
  </si>
  <si>
    <t>35341731</t>
  </si>
  <si>
    <t>313760105000217P</t>
  </si>
  <si>
    <t>33239-144</t>
  </si>
  <si>
    <t>313760105000218</t>
  </si>
  <si>
    <t>ALAMEDA ANTONIO BOTO</t>
  </si>
  <si>
    <t>45</t>
  </si>
  <si>
    <t>35341529</t>
  </si>
  <si>
    <t>313760105000218P</t>
  </si>
  <si>
    <t>33239-290</t>
  </si>
  <si>
    <t>313760105000204</t>
  </si>
  <si>
    <t>SANTOS DUMONT</t>
  </si>
  <si>
    <t>RUA SAO FRANCISCO</t>
  </si>
  <si>
    <t>94</t>
  </si>
  <si>
    <t>35349051</t>
  </si>
  <si>
    <t>313760105000204P</t>
  </si>
  <si>
    <t>33231-506</t>
  </si>
  <si>
    <t>313760105000274</t>
  </si>
  <si>
    <t>VISAO</t>
  </si>
  <si>
    <t>ALAMEDA DOS SALGUEIRO</t>
  </si>
  <si>
    <t>140</t>
  </si>
  <si>
    <t>101976920</t>
  </si>
  <si>
    <t>313760105000104P</t>
  </si>
  <si>
    <t>Subideal</t>
  </si>
  <si>
    <t>33236-044</t>
  </si>
  <si>
    <t>313760105000099</t>
  </si>
  <si>
    <t>RECANTO DA LAGOA</t>
  </si>
  <si>
    <t>RUA JOSE DE ABREU PRIMO</t>
  </si>
  <si>
    <t>214299688</t>
  </si>
  <si>
    <t>313760105000099P</t>
  </si>
  <si>
    <t>33230-306</t>
  </si>
  <si>
    <t>313760105000175</t>
  </si>
  <si>
    <t>CENTRO</t>
  </si>
  <si>
    <t>RUA AQUILES DE LISBOA</t>
  </si>
  <si>
    <t>135</t>
  </si>
  <si>
    <t>35340935</t>
  </si>
  <si>
    <t>313760105000175P</t>
  </si>
  <si>
    <t>33239-872</t>
  </si>
  <si>
    <t>313760105000167</t>
  </si>
  <si>
    <t>JARDIM IPE</t>
  </si>
  <si>
    <t>RUA DAS CAMELIAS</t>
  </si>
  <si>
    <t>125</t>
  </si>
  <si>
    <t>87918186</t>
  </si>
  <si>
    <t>313760105000167P</t>
  </si>
  <si>
    <t>33239-430</t>
  </si>
  <si>
    <t>313760105000027</t>
  </si>
  <si>
    <t>CONJUNTO OVIDIO GUERRA</t>
  </si>
  <si>
    <t>RUA PETROPOLIS</t>
  </si>
  <si>
    <t>315</t>
  </si>
  <si>
    <t>194640409</t>
  </si>
  <si>
    <t>313760105000027P</t>
  </si>
  <si>
    <t>33236-498</t>
  </si>
  <si>
    <t>313760105000102</t>
  </si>
  <si>
    <t>ALAMEDA DOS PEQUIZEIROS</t>
  </si>
  <si>
    <t>95</t>
  </si>
  <si>
    <t>214320134</t>
  </si>
  <si>
    <t>313760105000102P</t>
  </si>
  <si>
    <t>33239-656</t>
  </si>
  <si>
    <t>313760105000147</t>
  </si>
  <si>
    <t>VARZEA DO LOBO</t>
  </si>
  <si>
    <t>RUA INTERNA VEREDAS DOS PEQUIS</t>
  </si>
  <si>
    <t>155</t>
  </si>
  <si>
    <t>194335724</t>
  </si>
  <si>
    <t>313760105000147P</t>
  </si>
  <si>
    <t>33236-452</t>
  </si>
  <si>
    <t>313760105000202</t>
  </si>
  <si>
    <t>AERONAUTAS</t>
  </si>
  <si>
    <t>RUA CARLOS LINDEMBERG</t>
  </si>
  <si>
    <t>280</t>
  </si>
  <si>
    <t>195018967</t>
  </si>
  <si>
    <t>313760105000202P</t>
  </si>
  <si>
    <t>313760105000207</t>
  </si>
  <si>
    <t>102</t>
  </si>
  <si>
    <t>35349852</t>
  </si>
  <si>
    <t>313760105000207P</t>
  </si>
  <si>
    <t>33233-020</t>
  </si>
  <si>
    <t>313760105000208</t>
  </si>
  <si>
    <t>RUA SANTA LUZIA</t>
  </si>
  <si>
    <t>35349955</t>
  </si>
  <si>
    <t>313760105000208P</t>
  </si>
  <si>
    <t>33231-220</t>
  </si>
  <si>
    <t>313760105000232</t>
  </si>
  <si>
    <t>PROMISSAO</t>
  </si>
  <si>
    <t>RUA PLEIADES</t>
  </si>
  <si>
    <t>109735536</t>
  </si>
  <si>
    <t>313760105000232P</t>
  </si>
  <si>
    <t>33236-002</t>
  </si>
  <si>
    <t>313760105000020</t>
  </si>
  <si>
    <t>PRAIA ANGELICA III</t>
  </si>
  <si>
    <t>RUA CARLOS BICALHO DE GOULART</t>
  </si>
  <si>
    <t>795</t>
  </si>
  <si>
    <t>35215157</t>
  </si>
  <si>
    <t>313760105000020P</t>
  </si>
  <si>
    <t>33239-254</t>
  </si>
  <si>
    <t>313760105000109</t>
  </si>
  <si>
    <t>RUA BELARMINO DE OLIVEIRA</t>
  </si>
  <si>
    <t>32</t>
  </si>
  <si>
    <t>35215348</t>
  </si>
  <si>
    <t>313760105000109P</t>
  </si>
  <si>
    <t>33239-272</t>
  </si>
  <si>
    <t>313760105000110</t>
  </si>
  <si>
    <t>RUA SANTO ANTONIO</t>
  </si>
  <si>
    <t>51</t>
  </si>
  <si>
    <t>35337401</t>
  </si>
  <si>
    <t>313760105000110P</t>
  </si>
  <si>
    <t>33239-800</t>
  </si>
  <si>
    <t>313760105000120</t>
  </si>
  <si>
    <t>RUA JAIR GONCALVES BASTOS</t>
  </si>
  <si>
    <t>195</t>
  </si>
  <si>
    <t>35338757</t>
  </si>
  <si>
    <t>313760105000120P</t>
  </si>
  <si>
    <t>313760105000171</t>
  </si>
  <si>
    <t>112</t>
  </si>
  <si>
    <t>109304586</t>
  </si>
  <si>
    <t>313760105000171P</t>
  </si>
  <si>
    <t>33239-278</t>
  </si>
  <si>
    <t>313760105000203</t>
  </si>
  <si>
    <t>RUA SAO VICENTE</t>
  </si>
  <si>
    <t>35348936</t>
  </si>
  <si>
    <t>313760105000203P</t>
  </si>
  <si>
    <t>33236-512</t>
  </si>
  <si>
    <t>313760105000105</t>
  </si>
  <si>
    <t>ALAMEDA DAS CANDEIAS</t>
  </si>
  <si>
    <t>725</t>
  </si>
  <si>
    <t>101786715</t>
  </si>
  <si>
    <t>313760105000105P</t>
  </si>
  <si>
    <t>33236-514</t>
  </si>
  <si>
    <t>313760105000275</t>
  </si>
  <si>
    <t>ALAMEDA DOS COQUEIROS</t>
  </si>
  <si>
    <t>85</t>
  </si>
  <si>
    <t>35214525</t>
  </si>
  <si>
    <t>33233-054</t>
  </si>
  <si>
    <t>313760105000008</t>
  </si>
  <si>
    <t>VARZEA</t>
  </si>
  <si>
    <t>RUA NOSSA SENHORA APARECIDA</t>
  </si>
  <si>
    <t>230</t>
  </si>
  <si>
    <t>35210267</t>
  </si>
  <si>
    <t>313760105000008P</t>
  </si>
  <si>
    <t>33233-128</t>
  </si>
  <si>
    <t>313760105000077</t>
  </si>
  <si>
    <t>RUA MEXICO</t>
  </si>
  <si>
    <t>62</t>
  </si>
  <si>
    <t>35210284</t>
  </si>
  <si>
    <t>313760105000077P</t>
  </si>
  <si>
    <t>33239-820</t>
  </si>
  <si>
    <t>313760105000272</t>
  </si>
  <si>
    <t>VISTA ALEGRE</t>
  </si>
  <si>
    <t>RUA CECILIA MEIRELES</t>
  </si>
  <si>
    <t>96</t>
  </si>
  <si>
    <t>221459308</t>
  </si>
  <si>
    <t>313760105000117P</t>
  </si>
  <si>
    <t>33240-152</t>
  </si>
  <si>
    <t>313760105000273</t>
  </si>
  <si>
    <t>RUA GRACILIANO RAMOS</t>
  </si>
  <si>
    <t>470</t>
  </si>
  <si>
    <t>107385904</t>
  </si>
  <si>
    <t>33234-730</t>
  </si>
  <si>
    <t>313760115000024</t>
  </si>
  <si>
    <t>CAMPINHO</t>
  </si>
  <si>
    <t>RUA INTERNA TRES</t>
  </si>
  <si>
    <t>1133</t>
  </si>
  <si>
    <t>106088681</t>
  </si>
  <si>
    <t>313760115000024P</t>
  </si>
  <si>
    <t>313760115000025</t>
  </si>
  <si>
    <t>RUA INTERNA UM</t>
  </si>
  <si>
    <t>105937145</t>
  </si>
  <si>
    <t>313760115000025P</t>
  </si>
  <si>
    <t>313760115000026</t>
  </si>
  <si>
    <t>RUA INTERNA DOIS</t>
  </si>
  <si>
    <t>105938186</t>
  </si>
  <si>
    <t>313760115000026P</t>
  </si>
  <si>
    <t>33236-256</t>
  </si>
  <si>
    <t>313760105000013</t>
  </si>
  <si>
    <t>FRANCISCO PEREIRA</t>
  </si>
  <si>
    <t>RUA MARIA JOANA</t>
  </si>
  <si>
    <t>105</t>
  </si>
  <si>
    <t>35211914</t>
  </si>
  <si>
    <t>313760105000013P</t>
  </si>
  <si>
    <t>33239-350</t>
  </si>
  <si>
    <t>313760105000122</t>
  </si>
  <si>
    <t>BELA VISTA</t>
  </si>
  <si>
    <t>RUA DOUTOR HERALDO DIAS RIBEIRO</t>
  </si>
  <si>
    <t>145</t>
  </si>
  <si>
    <t>221722745</t>
  </si>
  <si>
    <t>313760105000122P</t>
  </si>
  <si>
    <t>33236-400</t>
  </si>
  <si>
    <t>313760105000213</t>
  </si>
  <si>
    <t>RUA COQUEIROS</t>
  </si>
  <si>
    <t>60</t>
  </si>
  <si>
    <t>98570209</t>
  </si>
  <si>
    <t>313760105000213P</t>
  </si>
  <si>
    <t>33236-712</t>
  </si>
  <si>
    <t>313760105000270</t>
  </si>
  <si>
    <t>AVENIDA JERUSALEM</t>
  </si>
  <si>
    <t>138</t>
  </si>
  <si>
    <t>215765336</t>
  </si>
  <si>
    <t>313760105000093P</t>
  </si>
  <si>
    <t>33230-751</t>
  </si>
  <si>
    <t>313760105000223</t>
  </si>
  <si>
    <t>PALMITAL</t>
  </si>
  <si>
    <t>AVENIDA BANDEIRANTE FELIPE RODRIGUES</t>
  </si>
  <si>
    <t>205</t>
  </si>
  <si>
    <t>100813431</t>
  </si>
  <si>
    <t>313760105000223P</t>
  </si>
  <si>
    <t>33234-166</t>
  </si>
  <si>
    <t>313760105000229</t>
  </si>
  <si>
    <t>JARDIM IMPERIAL</t>
  </si>
  <si>
    <t>RUA ONOFRE AURELIANA DA SILVA</t>
  </si>
  <si>
    <t>194807840</t>
  </si>
  <si>
    <t>313760105000229P</t>
  </si>
  <si>
    <t>313760105000266</t>
  </si>
  <si>
    <t>SOBRADINHO</t>
  </si>
  <si>
    <t>122</t>
  </si>
  <si>
    <t>194699034</t>
  </si>
  <si>
    <t>313760105000266P</t>
  </si>
  <si>
    <t>313760105000267</t>
  </si>
  <si>
    <t>198178442</t>
  </si>
  <si>
    <t>313760105000267P</t>
  </si>
  <si>
    <t>33234-540</t>
  </si>
  <si>
    <t>313760105000268</t>
  </si>
  <si>
    <t>535</t>
  </si>
  <si>
    <t>100813289</t>
  </si>
  <si>
    <t>313760105000222P</t>
  </si>
  <si>
    <t>33233-094</t>
  </si>
  <si>
    <t>313760105000269</t>
  </si>
  <si>
    <t>AVENIDA BANDEIRANTES FELIPE RODRIGUES</t>
  </si>
  <si>
    <t>300</t>
  </si>
  <si>
    <t>100851296</t>
  </si>
  <si>
    <t>313760105000269P</t>
  </si>
  <si>
    <t>33233-556</t>
  </si>
  <si>
    <t>313760105000003</t>
  </si>
  <si>
    <t>RUA LUCAS DE MATOS PINHO</t>
  </si>
  <si>
    <t>31</t>
  </si>
  <si>
    <t>35208889</t>
  </si>
  <si>
    <t>313760105000003P</t>
  </si>
  <si>
    <t>33230-082</t>
  </si>
  <si>
    <t>313760105000030</t>
  </si>
  <si>
    <t>RUA JOSEFINA VIANA</t>
  </si>
  <si>
    <t>113</t>
  </si>
  <si>
    <t>35340142</t>
  </si>
  <si>
    <t>313760105000030P</t>
  </si>
  <si>
    <t>33233-112</t>
  </si>
  <si>
    <t>313760105000005</t>
  </si>
  <si>
    <t>RUA JULIETA ALVES DA SILVA</t>
  </si>
  <si>
    <t>87917855</t>
  </si>
  <si>
    <t>313760105000005P</t>
  </si>
  <si>
    <t>33233-034</t>
  </si>
  <si>
    <t>313760105000007</t>
  </si>
  <si>
    <t>RUA MELO VIANA</t>
  </si>
  <si>
    <t>645</t>
  </si>
  <si>
    <t>222001971</t>
  </si>
  <si>
    <t>313760105000007P</t>
  </si>
  <si>
    <t>33233-008</t>
  </si>
  <si>
    <t>313760105000086</t>
  </si>
  <si>
    <t>RUA TEODORICO MARQUES</t>
  </si>
  <si>
    <t>65</t>
  </si>
  <si>
    <t>194471149</t>
  </si>
  <si>
    <t>313760105000086P</t>
  </si>
  <si>
    <t>33236-074</t>
  </si>
  <si>
    <t>313760105000248</t>
  </si>
  <si>
    <t>AVENIDA JOSE ABREU PRIMO</t>
  </si>
  <si>
    <t>165</t>
  </si>
  <si>
    <t>35212514</t>
  </si>
  <si>
    <t>313760105000248P</t>
  </si>
  <si>
    <t>33236-054</t>
  </si>
  <si>
    <t>313760105000015</t>
  </si>
  <si>
    <t>RUA SAO JOSE</t>
  </si>
  <si>
    <t>53</t>
  </si>
  <si>
    <t>35213148</t>
  </si>
  <si>
    <t>313760105000015P</t>
  </si>
  <si>
    <t>313760105000074</t>
  </si>
  <si>
    <t>115</t>
  </si>
  <si>
    <t>35209624</t>
  </si>
  <si>
    <t>313760105000074P</t>
  </si>
  <si>
    <t>33234-754</t>
  </si>
  <si>
    <t>313760115000027</t>
  </si>
  <si>
    <t>RUA MARIZA</t>
  </si>
  <si>
    <t>245</t>
  </si>
  <si>
    <t>35353075</t>
  </si>
  <si>
    <t>313760115000027P</t>
  </si>
  <si>
    <t>33239-304</t>
  </si>
  <si>
    <t>313760115000032</t>
  </si>
  <si>
    <t>RUA DAS VIOLETAS</t>
  </si>
  <si>
    <t>194672712</t>
  </si>
  <si>
    <t>313760115000032P</t>
  </si>
  <si>
    <t>33241-899</t>
  </si>
  <si>
    <t>313760105000235</t>
  </si>
  <si>
    <t>RUA RAIMUNDO GOMES DE REZENDE</t>
  </si>
  <si>
    <t>198175184</t>
  </si>
  <si>
    <t>313760105000235P</t>
  </si>
  <si>
    <t>33233-048</t>
  </si>
  <si>
    <t>313760105000011</t>
  </si>
  <si>
    <t>JOA</t>
  </si>
  <si>
    <t>RUA OURO PRETO</t>
  </si>
  <si>
    <t>1215</t>
  </si>
  <si>
    <t>35211345</t>
  </si>
  <si>
    <t>313760105000011P</t>
  </si>
  <si>
    <t>33233-222</t>
  </si>
  <si>
    <t>313760105000012</t>
  </si>
  <si>
    <t>NOSSA SENHORA DE LOURDES</t>
  </si>
  <si>
    <t>RUA SAO JUDAS TADEU</t>
  </si>
  <si>
    <t>164</t>
  </si>
  <si>
    <t>35211556</t>
  </si>
  <si>
    <t>313760105000012P</t>
  </si>
  <si>
    <t>33233-202</t>
  </si>
  <si>
    <t>313760105000083</t>
  </si>
  <si>
    <t>RUA OLIVEIRA LIMA</t>
  </si>
  <si>
    <t>194332801</t>
  </si>
  <si>
    <t>313760105000083P</t>
  </si>
  <si>
    <t>33236-776</t>
  </si>
  <si>
    <t>313760105000088</t>
  </si>
  <si>
    <t>LAGOA MANSOES</t>
  </si>
  <si>
    <t>RUA VL QUATORZE</t>
  </si>
  <si>
    <t>216603873</t>
  </si>
  <si>
    <t>313760105000088P</t>
  </si>
  <si>
    <t>33236-296</t>
  </si>
  <si>
    <t>313760105000090</t>
  </si>
  <si>
    <t>RUA ETILANDIA</t>
  </si>
  <si>
    <t>120</t>
  </si>
  <si>
    <t>224449784</t>
  </si>
  <si>
    <t>313760105000090P</t>
  </si>
  <si>
    <t>33236-308</t>
  </si>
  <si>
    <t>313760105000271</t>
  </si>
  <si>
    <t>RUA SILVIANOPOLIS</t>
  </si>
  <si>
    <t>25</t>
  </si>
  <si>
    <t>215765185</t>
  </si>
  <si>
    <t>33233-074</t>
  </si>
  <si>
    <t>313760105000072</t>
  </si>
  <si>
    <t>RUA INDEPENDENCIA</t>
  </si>
  <si>
    <t>87918001</t>
  </si>
  <si>
    <t>313760105000072P</t>
  </si>
  <si>
    <t>33230-850</t>
  </si>
  <si>
    <t>313760105000140</t>
  </si>
  <si>
    <t>VILA RICA</t>
  </si>
  <si>
    <t>RUA ISMAR FRANCISCO SANTOS</t>
  </si>
  <si>
    <t>256</t>
  </si>
  <si>
    <t>35345002</t>
  </si>
  <si>
    <t>313760105000140P</t>
  </si>
  <si>
    <t>313760105000187</t>
  </si>
  <si>
    <t>CONJUNTO VILA MARIA</t>
  </si>
  <si>
    <t>RUA RAIMUNDA ISOLINA DE BASTOS</t>
  </si>
  <si>
    <t>35345132</t>
  </si>
  <si>
    <t>313760105000187P</t>
  </si>
  <si>
    <t>313760105000228</t>
  </si>
  <si>
    <t>RUA SANTA CRUZ</t>
  </si>
  <si>
    <t>100813500</t>
  </si>
  <si>
    <t>313760105000228P</t>
  </si>
  <si>
    <t>33236-430</t>
  </si>
  <si>
    <t>313760105000199</t>
  </si>
  <si>
    <t>RUA ICARO</t>
  </si>
  <si>
    <t>151</t>
  </si>
  <si>
    <t>87918759</t>
  </si>
  <si>
    <t>313760105000199P</t>
  </si>
  <si>
    <t>33236-428</t>
  </si>
  <si>
    <t>313760105000214</t>
  </si>
  <si>
    <t>RUA AERONAUTAS</t>
  </si>
  <si>
    <t>336</t>
  </si>
  <si>
    <t>194479866</t>
  </si>
  <si>
    <t>313760105000214P</t>
  </si>
  <si>
    <t>Base</t>
  </si>
  <si>
    <t>33230-058</t>
  </si>
  <si>
    <t>313760105000169</t>
  </si>
  <si>
    <t>RUA ACADEMICO NILO FIGUEIREDO</t>
  </si>
  <si>
    <t>776</t>
  </si>
  <si>
    <t>35340728</t>
  </si>
  <si>
    <t>313760105000169P</t>
  </si>
  <si>
    <t>33239-132</t>
  </si>
  <si>
    <t>313760105000250</t>
  </si>
  <si>
    <t>ALAMEDA ANTONIO NOBRE</t>
  </si>
  <si>
    <t>215</t>
  </si>
  <si>
    <t>88530326</t>
  </si>
  <si>
    <t>313760105000250P</t>
  </si>
  <si>
    <t>33233-092</t>
  </si>
  <si>
    <t>313760105000002</t>
  </si>
  <si>
    <t>RUA SANTOS DUMONT</t>
  </si>
  <si>
    <t>35208594</t>
  </si>
  <si>
    <t>313760105000002P</t>
  </si>
  <si>
    <t>33230-139</t>
  </si>
  <si>
    <t>313760105000068</t>
  </si>
  <si>
    <t>RUA DUARTE DA FONSECA</t>
  </si>
  <si>
    <t>170</t>
  </si>
  <si>
    <t>35208425</t>
  </si>
  <si>
    <t>313760105000068P</t>
  </si>
  <si>
    <t>33230-064</t>
  </si>
  <si>
    <t>313760105000126</t>
  </si>
  <si>
    <t>RUA JOSE ALCIDES DE MATOS</t>
  </si>
  <si>
    <t>35340184</t>
  </si>
  <si>
    <t>313760105000126P</t>
  </si>
  <si>
    <t>33233-140</t>
  </si>
  <si>
    <t>313760105000075</t>
  </si>
  <si>
    <t>RUA SANTA CATARINA</t>
  </si>
  <si>
    <t>224624511</t>
  </si>
  <si>
    <t>313760105000075P</t>
  </si>
  <si>
    <t>33233-150</t>
  </si>
  <si>
    <t>313760105000076</t>
  </si>
  <si>
    <t>RUA ESPIRITO SANTO</t>
  </si>
  <si>
    <t>320</t>
  </si>
  <si>
    <t>35210151</t>
  </si>
  <si>
    <t>313760105000076P</t>
  </si>
  <si>
    <t>33233-174</t>
  </si>
  <si>
    <t>313760105000078</t>
  </si>
  <si>
    <t>RUA PARA</t>
  </si>
  <si>
    <t>194660504</t>
  </si>
  <si>
    <t>313760105000078P</t>
  </si>
  <si>
    <t>33233-162</t>
  </si>
  <si>
    <t>313760105000080</t>
  </si>
  <si>
    <t>RUA PARAIBA</t>
  </si>
  <si>
    <t>458</t>
  </si>
  <si>
    <t>35210682</t>
  </si>
  <si>
    <t>313760105000080P</t>
  </si>
  <si>
    <t>33233-154</t>
  </si>
  <si>
    <t>313760105000084</t>
  </si>
  <si>
    <t>RUA SERGIPE</t>
  </si>
  <si>
    <t>975</t>
  </si>
  <si>
    <t>194689771</t>
  </si>
  <si>
    <t>313760105000084P</t>
  </si>
  <si>
    <t>33233-148</t>
  </si>
  <si>
    <t>313760105000085</t>
  </si>
  <si>
    <t>RUA MATO GROSSO</t>
  </si>
  <si>
    <t>505</t>
  </si>
  <si>
    <t>220444741</t>
  </si>
  <si>
    <t>313760105000085P</t>
  </si>
  <si>
    <t>33233-158</t>
  </si>
  <si>
    <t>313760105000256</t>
  </si>
  <si>
    <t>RUA ALAGOAS</t>
  </si>
  <si>
    <t>35210630</t>
  </si>
  <si>
    <t>313760105000256P</t>
  </si>
  <si>
    <t>33236-118</t>
  </si>
  <si>
    <t>313760105000098</t>
  </si>
  <si>
    <t>RUA GERALDA DE OLIVEIRA LARA</t>
  </si>
  <si>
    <t>270</t>
  </si>
  <si>
    <t>35212705</t>
  </si>
  <si>
    <t>313760105000098P</t>
  </si>
  <si>
    <t>33233-030</t>
  </si>
  <si>
    <t>313760105000211</t>
  </si>
  <si>
    <t>RUA HELENA ANTIPOFF</t>
  </si>
  <si>
    <t>56</t>
  </si>
  <si>
    <t>195020391</t>
  </si>
  <si>
    <t>313760105000211P</t>
  </si>
  <si>
    <t>33233-312</t>
  </si>
  <si>
    <t>313760105000009</t>
  </si>
  <si>
    <t>RUA SEIS</t>
  </si>
  <si>
    <t>194639577</t>
  </si>
  <si>
    <t>313760105000009P</t>
  </si>
  <si>
    <t>33233-322</t>
  </si>
  <si>
    <t>313760105000238</t>
  </si>
  <si>
    <t>ALAMEDA SAPUCAIAS</t>
  </si>
  <si>
    <t>194696956</t>
  </si>
  <si>
    <t>313760105000238P</t>
  </si>
  <si>
    <t>33230-121</t>
  </si>
  <si>
    <t>313760105000069</t>
  </si>
  <si>
    <t>RUA BERNARDINO F SODRE</t>
  </si>
  <si>
    <t>35208402</t>
  </si>
  <si>
    <t>313760105000069P</t>
  </si>
  <si>
    <t>313760105000251</t>
  </si>
  <si>
    <t>485</t>
  </si>
  <si>
    <t>221522539</t>
  </si>
  <si>
    <t>313760105000251P</t>
  </si>
  <si>
    <t>33233-166</t>
  </si>
  <si>
    <t>313760105000257</t>
  </si>
  <si>
    <t>RUA CEARA</t>
  </si>
  <si>
    <t>35210661</t>
  </si>
  <si>
    <t>313760105000257P</t>
  </si>
  <si>
    <t>Comunidade e Cultura - Cultura local, tradição popular, pertencimento comunitário</t>
  </si>
  <si>
    <t>33239-322</t>
  </si>
  <si>
    <t>313760105000026</t>
  </si>
  <si>
    <t>RUA DA ASSEMBLEIA</t>
  </si>
  <si>
    <t>35338955</t>
  </si>
  <si>
    <t>313760105000026P</t>
  </si>
  <si>
    <t>33236-458</t>
  </si>
  <si>
    <t>313760105000170</t>
  </si>
  <si>
    <t>RUA LEONARDO DA VINCI</t>
  </si>
  <si>
    <t>35213740</t>
  </si>
  <si>
    <t>313760105000170P</t>
  </si>
  <si>
    <t>313760105000172</t>
  </si>
  <si>
    <t>FAZENDA SAO FRANCISCO DE ASSIS</t>
  </si>
  <si>
    <t>AVENIDA PRESIDENTE KENEDY</t>
  </si>
  <si>
    <t>198171086</t>
  </si>
  <si>
    <t>313760105000172P</t>
  </si>
  <si>
    <t>33239-264</t>
  </si>
  <si>
    <t>313760105000021</t>
  </si>
  <si>
    <t>54</t>
  </si>
  <si>
    <t>35215193</t>
  </si>
  <si>
    <t>313760105000021P</t>
  </si>
  <si>
    <t>33239-308</t>
  </si>
  <si>
    <t>313760105000022</t>
  </si>
  <si>
    <t>3025</t>
  </si>
  <si>
    <t>198351862</t>
  </si>
  <si>
    <t>313760105000022P</t>
  </si>
  <si>
    <t>33239-256</t>
  </si>
  <si>
    <t>313760105000165</t>
  </si>
  <si>
    <t>RUA SANTA ISABEL</t>
  </si>
  <si>
    <t>35214924</t>
  </si>
  <si>
    <t>313760105000165P</t>
  </si>
  <si>
    <t>33236-444</t>
  </si>
  <si>
    <t>313760105000198</t>
  </si>
  <si>
    <t>RUA AEROPORTO</t>
  </si>
  <si>
    <t>483</t>
  </si>
  <si>
    <t>195018328</t>
  </si>
  <si>
    <t>313760105000198P</t>
  </si>
  <si>
    <t>313760105000200</t>
  </si>
  <si>
    <t>RUA DOS AERONAUTAS</t>
  </si>
  <si>
    <t>67</t>
  </si>
  <si>
    <t>87918600</t>
  </si>
  <si>
    <t>313760105000200P</t>
  </si>
  <si>
    <t>33236-442</t>
  </si>
  <si>
    <t>313760105000201</t>
  </si>
  <si>
    <t>RUA MINISTRO SALGADO FILHO</t>
  </si>
  <si>
    <t>353</t>
  </si>
  <si>
    <t>217365932</t>
  </si>
  <si>
    <t>313760105000201P</t>
  </si>
  <si>
    <t>33230-001</t>
  </si>
  <si>
    <t>313760105000284</t>
  </si>
  <si>
    <t>FAZENDA PERDIGAO</t>
  </si>
  <si>
    <t>RUA FAZENDA PERDIGAO</t>
  </si>
  <si>
    <t>198352266</t>
  </si>
  <si>
    <t>313760105000049P</t>
  </si>
  <si>
    <t>33234-705</t>
  </si>
  <si>
    <t>313760115000020</t>
  </si>
  <si>
    <t>RESIDENCIAL ELDORADO</t>
  </si>
  <si>
    <t>AVENIDA JUQUITA GONCALVES</t>
  </si>
  <si>
    <t>35346687</t>
  </si>
  <si>
    <t>313760115000020P</t>
  </si>
  <si>
    <t>313760115000003</t>
  </si>
  <si>
    <t>AVENIDA SAO SEBASTIAO</t>
  </si>
  <si>
    <t>3000</t>
  </si>
  <si>
    <t>194341985</t>
  </si>
  <si>
    <t>313760115000003P</t>
  </si>
  <si>
    <t>33242-000</t>
  </si>
  <si>
    <t>313760115000008</t>
  </si>
  <si>
    <t>LAPINHA</t>
  </si>
  <si>
    <t>RUA DO CASCALHO</t>
  </si>
  <si>
    <t>35351753</t>
  </si>
  <si>
    <t>313760115000008P</t>
  </si>
  <si>
    <t>313760115000011</t>
  </si>
  <si>
    <t>RUA MANOEL NUNES DOS ANJOS</t>
  </si>
  <si>
    <t>35352277</t>
  </si>
  <si>
    <t>313760115000011P</t>
  </si>
  <si>
    <t>33234-360</t>
  </si>
  <si>
    <t>313760105000222</t>
  </si>
  <si>
    <t>RUA JOSEFINA GONCALVES SILVA</t>
  </si>
  <si>
    <t>275</t>
  </si>
  <si>
    <t>100813162</t>
  </si>
  <si>
    <t>33240-000</t>
  </si>
  <si>
    <t>313760105000112</t>
  </si>
  <si>
    <t>AVENIDA JOAO AZEREDO COUTINHO</t>
  </si>
  <si>
    <t>87918476</t>
  </si>
  <si>
    <t>313760105000112P</t>
  </si>
  <si>
    <t>313760115000033</t>
  </si>
  <si>
    <t>363</t>
  </si>
  <si>
    <t>195024923</t>
  </si>
  <si>
    <t>313760115000033P</t>
  </si>
  <si>
    <t>33239-774</t>
  </si>
  <si>
    <t>313760105000161</t>
  </si>
  <si>
    <t>RECANTO DO POETA</t>
  </si>
  <si>
    <t>RUA DAS LARANJEIRAS</t>
  </si>
  <si>
    <t>313</t>
  </si>
  <si>
    <t>35349598</t>
  </si>
  <si>
    <t>313760105000161P</t>
  </si>
  <si>
    <t>33239-860</t>
  </si>
  <si>
    <t>313760105000166</t>
  </si>
  <si>
    <t>RUA DOS EUCALIPTOS</t>
  </si>
  <si>
    <t>88</t>
  </si>
  <si>
    <t>87918351</t>
  </si>
  <si>
    <t>313760105000166P</t>
  </si>
  <si>
    <t>313760105000094</t>
  </si>
  <si>
    <t>VILLAGE DO GRAMADO</t>
  </si>
  <si>
    <t>RUA TRES</t>
  </si>
  <si>
    <t>190</t>
  </si>
  <si>
    <t>35212630</t>
  </si>
  <si>
    <t>313760105000094P</t>
  </si>
  <si>
    <t>313760105000101</t>
  </si>
  <si>
    <t>RUA IPE AMARELO</t>
  </si>
  <si>
    <t>99287636</t>
  </si>
  <si>
    <t>313760105000101P</t>
  </si>
  <si>
    <t>33230-180</t>
  </si>
  <si>
    <t>313760105000186</t>
  </si>
  <si>
    <t>VILA MARIA 3</t>
  </si>
  <si>
    <t>RUA PINTO ALVES</t>
  </si>
  <si>
    <t>3476</t>
  </si>
  <si>
    <t>35345267</t>
  </si>
  <si>
    <t>313760105000186P</t>
  </si>
  <si>
    <t>33234-430</t>
  </si>
  <si>
    <t>313760105000281</t>
  </si>
  <si>
    <t>ALAMEDA DAS CEREJEIRAS</t>
  </si>
  <si>
    <t>35</t>
  </si>
  <si>
    <t>195017383</t>
  </si>
  <si>
    <t>313760105000158P</t>
  </si>
  <si>
    <t>33233-252</t>
  </si>
  <si>
    <t>313760115000001</t>
  </si>
  <si>
    <t>RUA LAGOA SANTA</t>
  </si>
  <si>
    <t>1978</t>
  </si>
  <si>
    <t>194808403</t>
  </si>
  <si>
    <t>313760115000001P</t>
  </si>
  <si>
    <t>313760115000002</t>
  </si>
  <si>
    <t>402</t>
  </si>
  <si>
    <t>35352184</t>
  </si>
  <si>
    <t>313760115000002P</t>
  </si>
  <si>
    <t>Demografia por Sexo e Idade - Mulheres com 15–19 anos no setor</t>
  </si>
  <si>
    <t>313760105000096</t>
  </si>
  <si>
    <t>NOVO SANTOS DRUMOND</t>
  </si>
  <si>
    <t>RUA T</t>
  </si>
  <si>
    <t>15</t>
  </si>
  <si>
    <t>194690834</t>
  </si>
  <si>
    <t>313760105000096P</t>
  </si>
  <si>
    <t>33233-160</t>
  </si>
  <si>
    <t>313760105000010</t>
  </si>
  <si>
    <t>RUA PERNAMBUCO</t>
  </si>
  <si>
    <t>198350293</t>
  </si>
  <si>
    <t>313760105000010P</t>
  </si>
  <si>
    <t>33236-548</t>
  </si>
  <si>
    <t>313760105000103</t>
  </si>
  <si>
    <t>VILA DOS IPES</t>
  </si>
  <si>
    <t>RUA COLIBRI</t>
  </si>
  <si>
    <t>290</t>
  </si>
  <si>
    <t>226231492</t>
  </si>
  <si>
    <t>313760105000103P</t>
  </si>
  <si>
    <t>Demografia por Sexo e Idade - Mulheres com 20–24 anos no setor</t>
  </si>
  <si>
    <t>33234-693</t>
  </si>
  <si>
    <t>313760115000022</t>
  </si>
  <si>
    <t>RUA WILSON GONCALVES</t>
  </si>
  <si>
    <t>194810044</t>
  </si>
  <si>
    <t>313760115000022P</t>
  </si>
  <si>
    <t>Demografia por Sexo e Idade - Mulheres com 25–29 anos no setor</t>
  </si>
  <si>
    <t>33234-620</t>
  </si>
  <si>
    <t>313760115000021</t>
  </si>
  <si>
    <t>RUA CUSTODIO GONCALVES</t>
  </si>
  <si>
    <t>29</t>
  </si>
  <si>
    <t>109357177</t>
  </si>
  <si>
    <t>313760115000021P</t>
  </si>
  <si>
    <t>33236-330</t>
  </si>
  <si>
    <t>313760105000091</t>
  </si>
  <si>
    <t>ALAMEDA ARAUCARIA</t>
  </si>
  <si>
    <t>195012251</t>
  </si>
  <si>
    <t>313760105000091P</t>
  </si>
  <si>
    <t>Demografia por Sexo e Idade - Mulheres com 30–34 anos no setor</t>
  </si>
  <si>
    <t>33240-058</t>
  </si>
  <si>
    <t>313760105000285</t>
  </si>
  <si>
    <t>RUA INCONFIDENCIA</t>
  </si>
  <si>
    <t>2</t>
  </si>
  <si>
    <t>87918509</t>
  </si>
  <si>
    <t>313760105000111P</t>
  </si>
  <si>
    <t>Educação - Alta escolaridade, superior/pós, qualificação elevada</t>
  </si>
  <si>
    <t>33233-266</t>
  </si>
  <si>
    <t>313760105000081</t>
  </si>
  <si>
    <t>RUA CANDIDO AVELAR</t>
  </si>
  <si>
    <t>365</t>
  </si>
  <si>
    <t>216272262</t>
  </si>
  <si>
    <t>313760105000081P</t>
  </si>
  <si>
    <t>Educação - Escolaridade média, ensino médio completo, formação básica</t>
  </si>
  <si>
    <t>Educação - Presença de universitários, ensino superior, campus</t>
  </si>
  <si>
    <t>Educação - Pós-graduação, alta qualificação, capital intelectual</t>
  </si>
  <si>
    <t>33239-120</t>
  </si>
  <si>
    <t>313760105000036</t>
  </si>
  <si>
    <t>ALAMEDA DOS BOTANICOS</t>
  </si>
  <si>
    <t>302</t>
  </si>
  <si>
    <t>194686963</t>
  </si>
  <si>
    <t>313760105000036P</t>
  </si>
  <si>
    <t>33239-212</t>
  </si>
  <si>
    <t>313760105000029</t>
  </si>
  <si>
    <t>AVENIDA ACADEMICO NILO FIGUEIREDO</t>
  </si>
  <si>
    <t>1150</t>
  </si>
  <si>
    <t>35339837</t>
  </si>
  <si>
    <t>313760105000029P</t>
  </si>
  <si>
    <t>33239-780</t>
  </si>
  <si>
    <t>313760105000206</t>
  </si>
  <si>
    <t>ALAMEDA MAGNOLIAS</t>
  </si>
  <si>
    <t>179</t>
  </si>
  <si>
    <t>35349533</t>
  </si>
  <si>
    <t>313760105000206P</t>
  </si>
  <si>
    <t>33234-570</t>
  </si>
  <si>
    <t>313760105000016</t>
  </si>
  <si>
    <t>CONDOMINIO CHAMPAGNE</t>
  </si>
  <si>
    <t>RUA TRES CHAMPAGNE</t>
  </si>
  <si>
    <t>194802392</t>
  </si>
  <si>
    <t>313760105000016P</t>
  </si>
  <si>
    <t>Educação - Técnico e superior, formação profissional, diplomas</t>
  </si>
  <si>
    <t>Família e Cuidado - Alta demanda por creche e cuidado infantil</t>
  </si>
  <si>
    <t>Família e Cuidado - Lares chefiados por mulheres, cuidado, renda</t>
  </si>
  <si>
    <t>313760115000010</t>
  </si>
  <si>
    <t>RUA ARGENTINA</t>
  </si>
  <si>
    <t>496</t>
  </si>
  <si>
    <t>35352441</t>
  </si>
  <si>
    <t>313760115000010P</t>
  </si>
  <si>
    <t>Igualdade e Direitos - Aderência a pautas LGBT, tolerância e direitos</t>
  </si>
  <si>
    <t>33233-044</t>
  </si>
  <si>
    <t>313760105000245</t>
  </si>
  <si>
    <t>RUA CONDE DOLABELA PORTELA</t>
  </si>
  <si>
    <t>758</t>
  </si>
  <si>
    <t>35209248</t>
  </si>
  <si>
    <t>313760105000245P</t>
  </si>
  <si>
    <t>Igualdade e Direitos - Aderência a pautas de igualdade de gênero</t>
  </si>
  <si>
    <t>Igualdade e Direitos - Sensibilidade a antirracismo, inclusão, equidade racial</t>
  </si>
  <si>
    <t>33240-100</t>
  </si>
  <si>
    <t>313760105000114</t>
  </si>
  <si>
    <t>RODOVIA ENGENHEIRO JOAO CATALDO PINTO</t>
  </si>
  <si>
    <t>194805310</t>
  </si>
  <si>
    <t>313760105000114P</t>
  </si>
  <si>
    <t>Meio Ambiente e Qualidade Urbana - Pressão ambiental, arborização, lixo, qualidade urbana</t>
  </si>
  <si>
    <t>Saúde - Alta demanda por UBS e saúde básica</t>
  </si>
  <si>
    <t>Saúde - Atenção primária, UBS, consultas, cobertura básica</t>
  </si>
  <si>
    <t>33233-024</t>
  </si>
  <si>
    <t>313760105000212</t>
  </si>
  <si>
    <t>AVENIDA GETULIO VARGAS</t>
  </si>
  <si>
    <t>4840</t>
  </si>
  <si>
    <t>35209510</t>
  </si>
  <si>
    <t>313760105000212P</t>
  </si>
  <si>
    <t>Saúde - Diferenças de acesso, cobertura, resultados de saúde</t>
  </si>
  <si>
    <t>313760105000092</t>
  </si>
  <si>
    <t>RESIDENCIAL REAL MONT VILLE</t>
  </si>
  <si>
    <t>200</t>
  </si>
  <si>
    <t>194690038</t>
  </si>
  <si>
    <t>313760105000092P</t>
  </si>
  <si>
    <t>33230-446</t>
  </si>
  <si>
    <t>313760105000249</t>
  </si>
  <si>
    <t>AVENIDA DOIS</t>
  </si>
  <si>
    <t>66</t>
  </si>
  <si>
    <t>35212761</t>
  </si>
  <si>
    <t>313760105000249P</t>
  </si>
  <si>
    <t>33236-758</t>
  </si>
  <si>
    <t>313760105000087</t>
  </si>
  <si>
    <t>AVENIDA MANSOES</t>
  </si>
  <si>
    <t>35211667</t>
  </si>
  <si>
    <t>313760105000087P</t>
  </si>
  <si>
    <t>Saúde - Pré-natal, parto, pediatria, proteção infantil</t>
  </si>
  <si>
    <t>Saúde - Queixa de falta de médico, atendimento insuficiente</t>
  </si>
  <si>
    <t>33236-120</t>
  </si>
  <si>
    <t>313760105000097</t>
  </si>
  <si>
    <t>AVENIDA GERALDO DE ABREU PRIMO</t>
  </si>
  <si>
    <t>425</t>
  </si>
  <si>
    <t>35212845</t>
  </si>
  <si>
    <t>313760105000097P</t>
  </si>
  <si>
    <t>33236-004</t>
  </si>
  <si>
    <t>313760105000108</t>
  </si>
  <si>
    <t>PRAIA ANGELICA I</t>
  </si>
  <si>
    <t>RUA ACACIO C DOLABELLA</t>
  </si>
  <si>
    <t>235</t>
  </si>
  <si>
    <t>35215107</t>
  </si>
  <si>
    <t>313760105000108P</t>
  </si>
  <si>
    <t>33240-266</t>
  </si>
  <si>
    <t>313760105000024</t>
  </si>
  <si>
    <t>CONDOMINIO AMENDOEIRAS</t>
  </si>
  <si>
    <t>RUA F</t>
  </si>
  <si>
    <t>225</t>
  </si>
  <si>
    <t>214871958</t>
  </si>
  <si>
    <t>313760105000024P</t>
  </si>
  <si>
    <t>313760105000050</t>
  </si>
  <si>
    <t>CONDOMINIO METROPOLITAN BUSINESS CENTER</t>
  </si>
  <si>
    <t>RODOVIA MG 010 AEROPORTO CONFINS</t>
  </si>
  <si>
    <t>410</t>
  </si>
  <si>
    <t>198162889</t>
  </si>
  <si>
    <t>313760105000050P</t>
  </si>
  <si>
    <t>33240-322</t>
  </si>
  <si>
    <t>313760105000173</t>
  </si>
  <si>
    <t>CONDADOS DA LAGOA</t>
  </si>
  <si>
    <t>RUA CONDE GONCALVES</t>
  </si>
  <si>
    <t>194999053</t>
  </si>
  <si>
    <t>313760105000173P</t>
  </si>
  <si>
    <t>33240-036</t>
  </si>
  <si>
    <t>313760105000216</t>
  </si>
  <si>
    <t>ESTANCIA DAS AMENDOEIRAS</t>
  </si>
  <si>
    <t>RUA B</t>
  </si>
  <si>
    <t>35337913</t>
  </si>
  <si>
    <t>313760105000216P</t>
  </si>
  <si>
    <t>33240-362</t>
  </si>
  <si>
    <t>313760105000230</t>
  </si>
  <si>
    <t>RUA CONDE VAZ DE OLIVEIRA</t>
  </si>
  <si>
    <t>640</t>
  </si>
  <si>
    <t>198361773</t>
  </si>
  <si>
    <t>313760105000230P</t>
  </si>
  <si>
    <t>33240-354</t>
  </si>
  <si>
    <t>313760105000231</t>
  </si>
  <si>
    <t>RUA CONDE MARQUES NETO</t>
  </si>
  <si>
    <t>551</t>
  </si>
  <si>
    <t>198361610</t>
  </si>
  <si>
    <t>313760115000007</t>
  </si>
  <si>
    <t>RUA DO SUMIDOURO</t>
  </si>
  <si>
    <t>1254</t>
  </si>
  <si>
    <t>35353722</t>
  </si>
  <si>
    <t>313760115000007P</t>
  </si>
  <si>
    <t>313760115000023</t>
  </si>
  <si>
    <t>810</t>
  </si>
  <si>
    <t>109309353</t>
  </si>
  <si>
    <t>313760115000023P</t>
  </si>
  <si>
    <t>33232-000</t>
  </si>
  <si>
    <t>313760115000029</t>
  </si>
  <si>
    <t>RUA SEM DENOMINACAO</t>
  </si>
  <si>
    <t>198180656</t>
  </si>
  <si>
    <t>313760115000029P</t>
  </si>
  <si>
    <t>33233-238</t>
  </si>
  <si>
    <t>313760105000082</t>
  </si>
  <si>
    <t>RUA CIRO DE MATOS MARIANO</t>
  </si>
  <si>
    <t>90</t>
  </si>
  <si>
    <t>215709561</t>
  </si>
  <si>
    <t>313760105000082P</t>
  </si>
  <si>
    <t>313760115000006</t>
  </si>
  <si>
    <t>ESTRADA PARA GOIABAL</t>
  </si>
  <si>
    <t>250</t>
  </si>
  <si>
    <t>35353684</t>
  </si>
  <si>
    <t>313760115000006P</t>
  </si>
  <si>
    <t>33234-366</t>
  </si>
  <si>
    <t>313760105000152</t>
  </si>
  <si>
    <t>ALAMEDA DAS ROSEIRAS</t>
  </si>
  <si>
    <t>1253</t>
  </si>
  <si>
    <t>221909840</t>
  </si>
  <si>
    <t>313760105000152P</t>
  </si>
  <si>
    <t>33240-314</t>
  </si>
  <si>
    <t>313760105000058</t>
  </si>
  <si>
    <t>RUA CONDE CARVALHO SILVA</t>
  </si>
  <si>
    <t>44</t>
  </si>
  <si>
    <t>194687795</t>
  </si>
  <si>
    <t>313760105000058P</t>
  </si>
  <si>
    <t>33240-026</t>
  </si>
  <si>
    <t>313760105000118</t>
  </si>
  <si>
    <t>CONDADOS DO BOUGAINVILLE</t>
  </si>
  <si>
    <t>ALAMEDA DAS AZALEIAS</t>
  </si>
  <si>
    <t>295</t>
  </si>
  <si>
    <t>195014285</t>
  </si>
  <si>
    <t>313760105000118P</t>
  </si>
  <si>
    <t>33240-270</t>
  </si>
  <si>
    <t>313760105000215</t>
  </si>
  <si>
    <t>RUA D</t>
  </si>
  <si>
    <t>1090</t>
  </si>
  <si>
    <t>198359900</t>
  </si>
  <si>
    <t>313760105000215P</t>
  </si>
  <si>
    <t>33239-840</t>
  </si>
  <si>
    <t>313760105000205</t>
  </si>
  <si>
    <t>ALAMEDA CEDRO DO LIBANO</t>
  </si>
  <si>
    <t>76</t>
  </si>
  <si>
    <t>224252630</t>
  </si>
  <si>
    <t>313760105000205P</t>
  </si>
  <si>
    <t>313760105000144</t>
  </si>
  <si>
    <t>CONDOMINIO LAGOA SANTA PARK RESIDENCE</t>
  </si>
  <si>
    <t>RUA CINCO</t>
  </si>
  <si>
    <t>194998556</t>
  </si>
  <si>
    <t>313760105000144P</t>
  </si>
  <si>
    <t>33240-350</t>
  </si>
  <si>
    <t>313760105000174</t>
  </si>
  <si>
    <t>RUA CONDE BARCELOS</t>
  </si>
  <si>
    <t>900</t>
  </si>
  <si>
    <t>35346486</t>
  </si>
  <si>
    <t>313760105000174P</t>
  </si>
  <si>
    <t>33234-310</t>
  </si>
  <si>
    <t>313760105000224</t>
  </si>
  <si>
    <t>PALMITAL 3</t>
  </si>
  <si>
    <t>RUA PALMITAL</t>
  </si>
  <si>
    <t>100813274</t>
  </si>
  <si>
    <t>313760105000224P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</si>
</sst>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b/>
        <color rgb="FF9C5700"/>
      </font>
      <fill>
        <patternFill patternType="solid">
          <fgColor rgb="FFFCE4D6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99CC-C39B-452C-B61D-C17474FB0303}">
  <dimension ref="A1:AZ225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10" customWidth="1"/>
    <col min="4" max="5" width="40" customWidth="1"/>
    <col min="6" max="6" width="15" customWidth="1"/>
    <col min="7" max="7" width="11" customWidth="1"/>
    <col min="8" max="9" width="17" customWidth="1"/>
    <col min="10" max="10" width="10" customWidth="1"/>
    <col min="11" max="11" width="32" customWidth="1"/>
    <col min="12" max="12" width="14" customWidth="1"/>
    <col min="13" max="13" width="32" customWidth="1"/>
    <col min="14" max="14" width="39" customWidth="1"/>
    <col min="15" max="15" width="17" customWidth="1"/>
    <col min="16" max="17" width="12" customWidth="1"/>
    <col min="18" max="18" width="22" customWidth="1"/>
    <col min="19" max="19" width="14" customWidth="1"/>
    <col min="20" max="20" width="32" customWidth="1"/>
    <col min="21" max="21" width="15" customWidth="1"/>
    <col min="22" max="22" width="20" customWidth="1"/>
    <col min="23" max="23" width="16" customWidth="1"/>
    <col min="24" max="24" width="21" customWidth="1"/>
    <col min="25" max="25" width="17" customWidth="1"/>
    <col min="26" max="26" width="24" customWidth="1"/>
    <col min="27" max="29" width="15" customWidth="1"/>
    <col min="30" max="30" width="10" customWidth="1"/>
    <col min="31" max="31" width="25" customWidth="1"/>
    <col min="32" max="32" width="21" customWidth="1"/>
    <col min="33" max="33" width="24" customWidth="1"/>
    <col min="34" max="34" width="20" customWidth="1"/>
    <col min="35" max="35" width="28" customWidth="1"/>
    <col min="36" max="36" width="31" customWidth="1"/>
    <col min="37" max="37" width="27" customWidth="1"/>
    <col min="38" max="39" width="21" customWidth="1"/>
    <col min="40" max="40" width="24" customWidth="1"/>
    <col min="41" max="41" width="25" customWidth="1"/>
    <col min="42" max="42" width="19" customWidth="1"/>
    <col min="43" max="43" width="20" customWidth="1"/>
    <col min="44" max="44" width="31" customWidth="1"/>
    <col min="45" max="45" width="32" customWidth="1"/>
    <col min="46" max="46" width="28" customWidth="1"/>
    <col min="47" max="47" width="29" customWidth="1"/>
    <col min="48" max="48" width="18" customWidth="1"/>
    <col min="49" max="49" width="14" customWidth="1"/>
    <col min="50" max="51" width="17" customWidth="1"/>
    <col min="52" max="52" width="21" customWidth="1"/>
  </cols>
  <sheetData>
    <row r="1" spans="1:52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59</v>
      </c>
      <c r="J2" t="s">
        <v>60</v>
      </c>
      <c r="K2" t="s">
        <v>61</v>
      </c>
      <c r="L2" t="s">
        <v>62</v>
      </c>
      <c r="M2" t="s">
        <v>61</v>
      </c>
      <c r="N2" t="s">
        <v>63</v>
      </c>
      <c r="O2" t="s">
        <v>64</v>
      </c>
      <c r="P2">
        <v>-19.631502000000001</v>
      </c>
      <c r="Q2">
        <v>-43.910241999999997</v>
      </c>
      <c r="R2" s="2" t="str">
        <f>HYPERLINK("https://www.google.com/maps?q=-19.6315020,-43.9102420","Abrir no Google Maps")</f>
        <v>Abrir no Google Maps</v>
      </c>
      <c r="S2">
        <v>4</v>
      </c>
      <c r="T2">
        <v>789.20099406682743</v>
      </c>
      <c r="U2">
        <v>4</v>
      </c>
      <c r="V2">
        <v>0.2873314671418804</v>
      </c>
      <c r="W2">
        <v>1</v>
      </c>
      <c r="X2">
        <v>0.2873314671418804</v>
      </c>
      <c r="Y2">
        <v>10</v>
      </c>
      <c r="Z2">
        <v>691.44930074509864</v>
      </c>
      <c r="AA2">
        <v>2</v>
      </c>
      <c r="AB2">
        <v>3</v>
      </c>
      <c r="AC2">
        <v>7</v>
      </c>
      <c r="AD2">
        <v>26.01</v>
      </c>
      <c r="AE2">
        <v>253</v>
      </c>
      <c r="AF2">
        <v>18</v>
      </c>
      <c r="AG2">
        <v>58</v>
      </c>
      <c r="AH2">
        <v>32</v>
      </c>
      <c r="AI2">
        <v>7.11</v>
      </c>
      <c r="AJ2">
        <v>22.92</v>
      </c>
      <c r="AK2">
        <v>12.65</v>
      </c>
      <c r="AL2">
        <v>-19.631719749999949</v>
      </c>
      <c r="AM2">
        <v>-43.910102324517517</v>
      </c>
      <c r="AN2">
        <v>-19.631719749999949</v>
      </c>
      <c r="AO2">
        <v>-43.910102324517517</v>
      </c>
      <c r="AP2">
        <v>-19.631502000000001</v>
      </c>
      <c r="AQ2">
        <v>-43.910241999999997</v>
      </c>
      <c r="AR2">
        <v>28.320416429206599</v>
      </c>
      <c r="AS2" t="s">
        <v>65</v>
      </c>
      <c r="AT2">
        <v>1</v>
      </c>
      <c r="AU2" t="s">
        <v>66</v>
      </c>
      <c r="AV2" t="s">
        <v>67</v>
      </c>
      <c r="AW2" t="s">
        <v>60</v>
      </c>
      <c r="AX2" t="s">
        <v>68</v>
      </c>
      <c r="AY2" t="s">
        <v>69</v>
      </c>
      <c r="AZ2" t="b">
        <v>1</v>
      </c>
    </row>
    <row r="3" spans="1:52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70</v>
      </c>
      <c r="H3" t="s">
        <v>71</v>
      </c>
      <c r="I3" t="s">
        <v>71</v>
      </c>
      <c r="J3" t="s">
        <v>60</v>
      </c>
      <c r="K3" t="s">
        <v>72</v>
      </c>
      <c r="L3" t="s">
        <v>62</v>
      </c>
      <c r="M3" t="s">
        <v>72</v>
      </c>
      <c r="N3" t="s">
        <v>73</v>
      </c>
      <c r="O3" t="s">
        <v>74</v>
      </c>
      <c r="P3">
        <v>-19.632581999999999</v>
      </c>
      <c r="Q3">
        <v>-43.902416000000002</v>
      </c>
      <c r="R3" s="2" t="str">
        <f>HYPERLINK("https://www.google.com/maps?q=-19.6325820,-43.9024160","Abrir no Google Maps")</f>
        <v>Abrir no Google Maps</v>
      </c>
      <c r="S3">
        <v>4</v>
      </c>
      <c r="T3">
        <v>0</v>
      </c>
      <c r="U3">
        <v>4</v>
      </c>
      <c r="V3">
        <v>0.2882293565715599</v>
      </c>
      <c r="W3">
        <v>1</v>
      </c>
      <c r="X3">
        <v>0.2882293565715599</v>
      </c>
      <c r="Y3">
        <v>10</v>
      </c>
      <c r="Z3">
        <v>146.6968158874696</v>
      </c>
      <c r="AA3">
        <v>2</v>
      </c>
      <c r="AB3">
        <v>3</v>
      </c>
      <c r="AC3">
        <v>7</v>
      </c>
      <c r="AD3">
        <v>26.01</v>
      </c>
      <c r="AE3">
        <v>253</v>
      </c>
      <c r="AF3">
        <v>18</v>
      </c>
      <c r="AG3">
        <v>58</v>
      </c>
      <c r="AH3">
        <v>32</v>
      </c>
      <c r="AI3">
        <v>7.11</v>
      </c>
      <c r="AJ3">
        <v>22.92</v>
      </c>
      <c r="AK3">
        <v>12.65</v>
      </c>
      <c r="AL3">
        <v>-19.63271449999996</v>
      </c>
      <c r="AM3">
        <v>-43.902649897389402</v>
      </c>
      <c r="AN3">
        <v>-19.63271449999996</v>
      </c>
      <c r="AO3">
        <v>-43.902649897389402</v>
      </c>
      <c r="AP3">
        <v>-19.632581999999999</v>
      </c>
      <c r="AQ3">
        <v>-43.902416000000002</v>
      </c>
      <c r="AR3">
        <v>28.617753432996459</v>
      </c>
      <c r="AS3" t="s">
        <v>65</v>
      </c>
      <c r="AT3">
        <v>1</v>
      </c>
      <c r="AU3" t="s">
        <v>75</v>
      </c>
      <c r="AV3" t="s">
        <v>76</v>
      </c>
      <c r="AW3" t="s">
        <v>60</v>
      </c>
      <c r="AX3" t="s">
        <v>68</v>
      </c>
      <c r="AY3" t="s">
        <v>69</v>
      </c>
      <c r="AZ3" t="b">
        <v>1</v>
      </c>
    </row>
    <row r="4" spans="1:52" x14ac:dyDescent="0.3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77</v>
      </c>
      <c r="H4" t="s">
        <v>78</v>
      </c>
      <c r="I4" t="s">
        <v>78</v>
      </c>
      <c r="J4" t="s">
        <v>60</v>
      </c>
      <c r="K4" t="s">
        <v>79</v>
      </c>
      <c r="L4" t="s">
        <v>62</v>
      </c>
      <c r="M4" t="s">
        <v>79</v>
      </c>
      <c r="N4" t="s">
        <v>80</v>
      </c>
      <c r="O4" t="s">
        <v>81</v>
      </c>
      <c r="P4">
        <v>-19.632463999999999</v>
      </c>
      <c r="Q4">
        <v>-43.904927999999998</v>
      </c>
      <c r="R4" s="2" t="str">
        <f>HYPERLINK("https://www.google.com/maps?q=-19.6324640,-43.9049280","Abrir no Google Maps")</f>
        <v>Abrir no Google Maps</v>
      </c>
      <c r="S4">
        <v>4</v>
      </c>
      <c r="T4">
        <v>244.1735197453369</v>
      </c>
      <c r="U4">
        <v>4</v>
      </c>
      <c r="V4">
        <v>0.29900449681318569</v>
      </c>
      <c r="W4">
        <v>1</v>
      </c>
      <c r="X4">
        <v>0.29900449681318569</v>
      </c>
      <c r="Y4">
        <v>10</v>
      </c>
      <c r="Z4">
        <v>287.26068152447448</v>
      </c>
      <c r="AA4">
        <v>2</v>
      </c>
      <c r="AB4">
        <v>3</v>
      </c>
      <c r="AC4">
        <v>7</v>
      </c>
      <c r="AD4">
        <v>26.01</v>
      </c>
      <c r="AE4">
        <v>253</v>
      </c>
      <c r="AF4">
        <v>18</v>
      </c>
      <c r="AG4">
        <v>58</v>
      </c>
      <c r="AH4">
        <v>32</v>
      </c>
      <c r="AI4">
        <v>7.11</v>
      </c>
      <c r="AJ4">
        <v>22.92</v>
      </c>
      <c r="AK4">
        <v>12.65</v>
      </c>
      <c r="AL4">
        <v>-19.63247099999996</v>
      </c>
      <c r="AM4">
        <v>-43.904964174285787</v>
      </c>
      <c r="AN4">
        <v>-19.63247099999996</v>
      </c>
      <c r="AO4">
        <v>-43.904964174285787</v>
      </c>
      <c r="AP4">
        <v>-19.632463999999999</v>
      </c>
      <c r="AQ4">
        <v>-43.904927999999998</v>
      </c>
      <c r="AR4">
        <v>3.8720457500200469</v>
      </c>
      <c r="AS4" t="s">
        <v>65</v>
      </c>
      <c r="AT4">
        <v>1</v>
      </c>
      <c r="AU4" t="s">
        <v>82</v>
      </c>
      <c r="AV4" t="s">
        <v>83</v>
      </c>
      <c r="AW4" t="s">
        <v>60</v>
      </c>
      <c r="AX4" t="s">
        <v>68</v>
      </c>
      <c r="AY4" t="s">
        <v>69</v>
      </c>
      <c r="AZ4" t="b">
        <v>1</v>
      </c>
    </row>
    <row r="5" spans="1:52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84</v>
      </c>
      <c r="H5" t="s">
        <v>85</v>
      </c>
      <c r="I5" t="s">
        <v>85</v>
      </c>
      <c r="J5" t="s">
        <v>60</v>
      </c>
      <c r="K5" t="s">
        <v>86</v>
      </c>
      <c r="L5" t="s">
        <v>62</v>
      </c>
      <c r="M5" t="s">
        <v>86</v>
      </c>
      <c r="N5" t="s">
        <v>87</v>
      </c>
      <c r="O5" t="s">
        <v>88</v>
      </c>
      <c r="P5">
        <v>-19.629436999999999</v>
      </c>
      <c r="Q5">
        <v>-43.910398999999998</v>
      </c>
      <c r="R5" s="2" t="str">
        <f>HYPERLINK("https://www.google.com/maps?q=-19.6294370,-43.9103990","Abrir no Google Maps")</f>
        <v>Abrir no Google Maps</v>
      </c>
      <c r="S5">
        <v>4</v>
      </c>
      <c r="T5">
        <v>888.82060643108082</v>
      </c>
      <c r="U5">
        <v>4</v>
      </c>
      <c r="V5">
        <v>0.27592097943102067</v>
      </c>
      <c r="W5">
        <v>1</v>
      </c>
      <c r="X5">
        <v>0.27592097943102067</v>
      </c>
      <c r="Y5">
        <v>10</v>
      </c>
      <c r="Z5">
        <v>867.42797341651737</v>
      </c>
      <c r="AA5">
        <v>2</v>
      </c>
      <c r="AB5">
        <v>3</v>
      </c>
      <c r="AC5">
        <v>7</v>
      </c>
      <c r="AD5">
        <v>26.01</v>
      </c>
      <c r="AE5">
        <v>253</v>
      </c>
      <c r="AF5">
        <v>18</v>
      </c>
      <c r="AG5">
        <v>58</v>
      </c>
      <c r="AH5">
        <v>32</v>
      </c>
      <c r="AI5">
        <v>7.11</v>
      </c>
      <c r="AJ5">
        <v>22.92</v>
      </c>
      <c r="AK5">
        <v>12.65</v>
      </c>
      <c r="AL5">
        <v>-19.62934694999996</v>
      </c>
      <c r="AM5">
        <v>-43.910344699357317</v>
      </c>
      <c r="AN5">
        <v>-19.62934694999996</v>
      </c>
      <c r="AO5">
        <v>-43.910344699357331</v>
      </c>
      <c r="AP5">
        <v>-19.629436999999999</v>
      </c>
      <c r="AQ5">
        <v>-43.910398999999998</v>
      </c>
      <c r="AR5">
        <v>11.52837377953678</v>
      </c>
      <c r="AS5" t="s">
        <v>65</v>
      </c>
      <c r="AT5">
        <v>1</v>
      </c>
      <c r="AU5" t="s">
        <v>89</v>
      </c>
      <c r="AV5" t="s">
        <v>90</v>
      </c>
      <c r="AW5" t="s">
        <v>60</v>
      </c>
      <c r="AX5" t="s">
        <v>68</v>
      </c>
      <c r="AY5" t="s">
        <v>69</v>
      </c>
      <c r="AZ5" t="b">
        <v>1</v>
      </c>
    </row>
    <row r="6" spans="1:52" x14ac:dyDescent="0.3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91</v>
      </c>
      <c r="H6" t="s">
        <v>92</v>
      </c>
      <c r="I6" t="s">
        <v>92</v>
      </c>
      <c r="J6" t="s">
        <v>60</v>
      </c>
      <c r="K6" t="s">
        <v>86</v>
      </c>
      <c r="L6" t="s">
        <v>62</v>
      </c>
      <c r="M6" t="s">
        <v>86</v>
      </c>
      <c r="N6" t="s">
        <v>93</v>
      </c>
      <c r="O6" t="s">
        <v>94</v>
      </c>
      <c r="P6">
        <v>-19.630676999999999</v>
      </c>
      <c r="Q6">
        <v>-43.907255999999997</v>
      </c>
      <c r="R6" s="2" t="str">
        <f>HYPERLINK("https://www.google.com/maps?q=-19.6306770,-43.9072560","Abrir no Google Maps")</f>
        <v>Abrir no Google Maps</v>
      </c>
      <c r="S6">
        <v>4</v>
      </c>
      <c r="T6">
        <v>545.39374622597825</v>
      </c>
      <c r="U6">
        <v>4</v>
      </c>
      <c r="V6">
        <v>0.2738476709546287</v>
      </c>
      <c r="W6">
        <v>1</v>
      </c>
      <c r="X6">
        <v>0.2738476709546287</v>
      </c>
      <c r="Y6">
        <v>10</v>
      </c>
      <c r="Z6">
        <v>559.94033759457182</v>
      </c>
      <c r="AA6">
        <v>2</v>
      </c>
      <c r="AB6">
        <v>3</v>
      </c>
      <c r="AC6">
        <v>7</v>
      </c>
      <c r="AD6">
        <v>26.01</v>
      </c>
      <c r="AE6">
        <v>253</v>
      </c>
      <c r="AF6">
        <v>18</v>
      </c>
      <c r="AG6">
        <v>58</v>
      </c>
      <c r="AH6">
        <v>32</v>
      </c>
      <c r="AI6">
        <v>7.11</v>
      </c>
      <c r="AJ6">
        <v>22.92</v>
      </c>
      <c r="AK6">
        <v>12.65</v>
      </c>
      <c r="AL6">
        <v>-19.630448649999941</v>
      </c>
      <c r="AM6">
        <v>-43.907268502495313</v>
      </c>
      <c r="AN6">
        <v>-19.630448649999941</v>
      </c>
      <c r="AO6">
        <v>-43.907268502495313</v>
      </c>
      <c r="AP6">
        <v>-19.630676999999999</v>
      </c>
      <c r="AQ6">
        <v>-43.907255999999997</v>
      </c>
      <c r="AR6">
        <v>25.453700276562468</v>
      </c>
      <c r="AS6" t="s">
        <v>65</v>
      </c>
      <c r="AT6">
        <v>1</v>
      </c>
      <c r="AU6" t="s">
        <v>95</v>
      </c>
      <c r="AV6" t="s">
        <v>96</v>
      </c>
      <c r="AW6" t="s">
        <v>60</v>
      </c>
      <c r="AX6" t="s">
        <v>68</v>
      </c>
      <c r="AY6" t="s">
        <v>69</v>
      </c>
      <c r="AZ6" t="b">
        <v>1</v>
      </c>
    </row>
    <row r="7" spans="1:52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97</v>
      </c>
      <c r="H7" t="s">
        <v>98</v>
      </c>
      <c r="I7" t="s">
        <v>98</v>
      </c>
      <c r="J7" t="s">
        <v>60</v>
      </c>
      <c r="K7" t="s">
        <v>99</v>
      </c>
      <c r="L7" t="s">
        <v>62</v>
      </c>
      <c r="M7" t="s">
        <v>99</v>
      </c>
      <c r="N7" t="s">
        <v>100</v>
      </c>
      <c r="O7" t="s">
        <v>101</v>
      </c>
      <c r="P7">
        <v>-19.629822000000001</v>
      </c>
      <c r="Q7">
        <v>-43.905341</v>
      </c>
      <c r="R7" s="2" t="str">
        <f>HYPERLINK("https://www.google.com/maps?q=-19.6298220,-43.9053410","Abrir no Google Maps")</f>
        <v>Abrir no Google Maps</v>
      </c>
      <c r="S7">
        <v>4</v>
      </c>
      <c r="T7">
        <v>441.30597341744129</v>
      </c>
      <c r="U7">
        <v>4</v>
      </c>
      <c r="V7">
        <v>0.2838805588789593</v>
      </c>
      <c r="W7">
        <v>1</v>
      </c>
      <c r="X7">
        <v>0.2838805588789593</v>
      </c>
      <c r="Y7">
        <v>10</v>
      </c>
      <c r="Z7">
        <v>513.56493751010987</v>
      </c>
      <c r="AA7">
        <v>2</v>
      </c>
      <c r="AB7">
        <v>3</v>
      </c>
      <c r="AC7">
        <v>7</v>
      </c>
      <c r="AD7">
        <v>26.01</v>
      </c>
      <c r="AE7">
        <v>253</v>
      </c>
      <c r="AF7">
        <v>18</v>
      </c>
      <c r="AG7">
        <v>58</v>
      </c>
      <c r="AH7">
        <v>32</v>
      </c>
      <c r="AI7">
        <v>7.11</v>
      </c>
      <c r="AJ7">
        <v>22.92</v>
      </c>
      <c r="AK7">
        <v>12.65</v>
      </c>
      <c r="AL7">
        <v>-19.629671599999941</v>
      </c>
      <c r="AM7">
        <v>-43.905369597920988</v>
      </c>
      <c r="AN7">
        <v>-19.629671599999931</v>
      </c>
      <c r="AO7">
        <v>-43.905369597920988</v>
      </c>
      <c r="AP7">
        <v>-19.629822000000001</v>
      </c>
      <c r="AQ7">
        <v>-43.905341</v>
      </c>
      <c r="AR7">
        <v>17.008917699186132</v>
      </c>
      <c r="AS7" t="s">
        <v>65</v>
      </c>
      <c r="AT7">
        <v>1</v>
      </c>
      <c r="AU7" t="s">
        <v>102</v>
      </c>
      <c r="AV7" t="s">
        <v>103</v>
      </c>
      <c r="AW7" t="s">
        <v>60</v>
      </c>
      <c r="AX7" t="s">
        <v>68</v>
      </c>
      <c r="AY7" t="s">
        <v>69</v>
      </c>
      <c r="AZ7" t="b">
        <v>1</v>
      </c>
    </row>
    <row r="8" spans="1:52" x14ac:dyDescent="0.3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104</v>
      </c>
      <c r="H8" t="s">
        <v>105</v>
      </c>
      <c r="I8" t="s">
        <v>105</v>
      </c>
      <c r="J8" t="s">
        <v>60</v>
      </c>
      <c r="K8" t="s">
        <v>99</v>
      </c>
      <c r="L8" t="s">
        <v>62</v>
      </c>
      <c r="M8" t="s">
        <v>99</v>
      </c>
      <c r="N8" t="s">
        <v>106</v>
      </c>
      <c r="O8" t="s">
        <v>107</v>
      </c>
      <c r="P8">
        <v>-19.627993</v>
      </c>
      <c r="Q8">
        <v>-43.904820000000001</v>
      </c>
      <c r="R8" s="2" t="str">
        <f>HYPERLINK("https://www.google.com/maps?q=-19.6279930,-43.9048200","Abrir no Google Maps")</f>
        <v>Abrir no Google Maps</v>
      </c>
      <c r="S8">
        <v>4</v>
      </c>
      <c r="T8">
        <v>573.16526621674666</v>
      </c>
      <c r="U8">
        <v>4</v>
      </c>
      <c r="V8">
        <v>0.30587574243861981</v>
      </c>
      <c r="W8">
        <v>1</v>
      </c>
      <c r="X8">
        <v>0.30587574243861981</v>
      </c>
      <c r="Y8">
        <v>7</v>
      </c>
      <c r="Z8">
        <v>659.04372306144853</v>
      </c>
      <c r="AA8">
        <v>2</v>
      </c>
      <c r="AB8">
        <v>3</v>
      </c>
      <c r="AC8">
        <v>7</v>
      </c>
      <c r="AD8">
        <v>26.01</v>
      </c>
      <c r="AE8">
        <v>253</v>
      </c>
      <c r="AF8">
        <v>18</v>
      </c>
      <c r="AG8">
        <v>58</v>
      </c>
      <c r="AH8">
        <v>32</v>
      </c>
      <c r="AI8">
        <v>7.11</v>
      </c>
      <c r="AJ8">
        <v>22.92</v>
      </c>
      <c r="AK8">
        <v>12.65</v>
      </c>
      <c r="AL8">
        <v>-19.627956249999951</v>
      </c>
      <c r="AM8">
        <v>-43.904807634206207</v>
      </c>
      <c r="AN8">
        <v>-19.627956249999951</v>
      </c>
      <c r="AO8">
        <v>-43.904807634206207</v>
      </c>
      <c r="AP8">
        <v>-19.627993</v>
      </c>
      <c r="AQ8">
        <v>-43.904820000000001</v>
      </c>
      <c r="AR8">
        <v>4.291557430205998</v>
      </c>
      <c r="AS8" t="s">
        <v>65</v>
      </c>
      <c r="AT8">
        <v>1</v>
      </c>
      <c r="AU8" t="s">
        <v>108</v>
      </c>
      <c r="AV8" t="s">
        <v>103</v>
      </c>
      <c r="AW8" t="s">
        <v>60</v>
      </c>
      <c r="AX8" t="s">
        <v>68</v>
      </c>
      <c r="AY8" t="s">
        <v>69</v>
      </c>
      <c r="AZ8" t="b">
        <v>1</v>
      </c>
    </row>
    <row r="9" spans="1:52" x14ac:dyDescent="0.3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109</v>
      </c>
      <c r="H9" t="s">
        <v>110</v>
      </c>
      <c r="I9" t="s">
        <v>110</v>
      </c>
      <c r="J9" t="s">
        <v>60</v>
      </c>
      <c r="K9" t="s">
        <v>111</v>
      </c>
      <c r="L9" t="s">
        <v>62</v>
      </c>
      <c r="M9" t="s">
        <v>111</v>
      </c>
      <c r="N9" t="s">
        <v>112</v>
      </c>
      <c r="O9" t="s">
        <v>113</v>
      </c>
      <c r="P9">
        <v>-19.654686000000002</v>
      </c>
      <c r="Q9">
        <v>-43.907240000000002</v>
      </c>
      <c r="R9" s="2" t="str">
        <f>HYPERLINK("https://www.google.com/maps?q=-19.6546860,-43.9072400","Abrir no Google Maps")</f>
        <v>Abrir no Google Maps</v>
      </c>
      <c r="S9">
        <v>4</v>
      </c>
      <c r="T9">
        <v>824.24450564548704</v>
      </c>
      <c r="U9">
        <v>4</v>
      </c>
      <c r="V9">
        <v>0.3200208820357307</v>
      </c>
      <c r="W9">
        <v>1</v>
      </c>
      <c r="X9">
        <v>0.3200208820357307</v>
      </c>
      <c r="Y9">
        <v>4</v>
      </c>
      <c r="Z9">
        <v>524.70106879290392</v>
      </c>
      <c r="AA9">
        <v>2</v>
      </c>
      <c r="AB9">
        <v>3</v>
      </c>
      <c r="AC9">
        <v>7</v>
      </c>
      <c r="AD9">
        <v>26.01</v>
      </c>
      <c r="AE9">
        <v>253</v>
      </c>
      <c r="AF9">
        <v>18</v>
      </c>
      <c r="AG9">
        <v>58</v>
      </c>
      <c r="AH9">
        <v>32</v>
      </c>
      <c r="AI9">
        <v>7.11</v>
      </c>
      <c r="AJ9">
        <v>22.92</v>
      </c>
      <c r="AK9">
        <v>12.65</v>
      </c>
      <c r="AL9">
        <v>-19.65511684999996</v>
      </c>
      <c r="AM9">
        <v>-43.905662999837993</v>
      </c>
      <c r="AN9">
        <v>-19.65511684999996</v>
      </c>
      <c r="AO9">
        <v>-43.905662999837993</v>
      </c>
      <c r="AP9">
        <v>-19.654686000000002</v>
      </c>
      <c r="AQ9">
        <v>-43.907240000000002</v>
      </c>
      <c r="AR9">
        <v>172.13969981835351</v>
      </c>
      <c r="AS9" t="s">
        <v>65</v>
      </c>
      <c r="AT9">
        <v>1</v>
      </c>
      <c r="AU9" t="s">
        <v>114</v>
      </c>
      <c r="AV9" t="s">
        <v>115</v>
      </c>
      <c r="AW9" t="s">
        <v>60</v>
      </c>
      <c r="AX9" t="s">
        <v>68</v>
      </c>
      <c r="AY9" t="s">
        <v>69</v>
      </c>
      <c r="AZ9" t="b">
        <v>1</v>
      </c>
    </row>
    <row r="10" spans="1:52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116</v>
      </c>
      <c r="H10" t="s">
        <v>117</v>
      </c>
      <c r="I10" t="s">
        <v>117</v>
      </c>
      <c r="J10" t="s">
        <v>60</v>
      </c>
      <c r="K10" t="s">
        <v>118</v>
      </c>
      <c r="L10" t="s">
        <v>62</v>
      </c>
      <c r="M10" t="s">
        <v>118</v>
      </c>
      <c r="N10" t="s">
        <v>119</v>
      </c>
      <c r="O10" t="s">
        <v>120</v>
      </c>
      <c r="P10">
        <v>-19.663869999999999</v>
      </c>
      <c r="Q10">
        <v>-43.904916999999998</v>
      </c>
      <c r="R10" s="2" t="str">
        <f>HYPERLINK("https://www.google.com/maps?q=-19.6638700,-43.9049170","Abrir no Google Maps")</f>
        <v>Abrir no Google Maps</v>
      </c>
      <c r="S10">
        <v>4</v>
      </c>
      <c r="T10">
        <v>0</v>
      </c>
      <c r="U10">
        <v>4</v>
      </c>
      <c r="V10">
        <v>0.3376185673800608</v>
      </c>
      <c r="W10">
        <v>1</v>
      </c>
      <c r="X10">
        <v>0.3376185673800608</v>
      </c>
      <c r="Y10">
        <v>4</v>
      </c>
      <c r="Z10">
        <v>1169.476938179705</v>
      </c>
      <c r="AA10">
        <v>2</v>
      </c>
      <c r="AB10">
        <v>3</v>
      </c>
      <c r="AC10">
        <v>7</v>
      </c>
      <c r="AD10">
        <v>26.01</v>
      </c>
      <c r="AE10">
        <v>253</v>
      </c>
      <c r="AF10">
        <v>18</v>
      </c>
      <c r="AG10">
        <v>58</v>
      </c>
      <c r="AH10">
        <v>32</v>
      </c>
      <c r="AI10">
        <v>7.11</v>
      </c>
      <c r="AJ10">
        <v>22.92</v>
      </c>
      <c r="AK10">
        <v>12.65</v>
      </c>
      <c r="AL10">
        <v>-19.657063599999962</v>
      </c>
      <c r="AM10">
        <v>-43.898074976464507</v>
      </c>
      <c r="AN10">
        <v>-19.657063599999962</v>
      </c>
      <c r="AO10">
        <v>-43.898074976464507</v>
      </c>
      <c r="AP10">
        <v>-19.663869999999999</v>
      </c>
      <c r="AQ10">
        <v>-43.904916999999998</v>
      </c>
      <c r="AR10">
        <v>1043.3426220355029</v>
      </c>
      <c r="AS10" t="s">
        <v>65</v>
      </c>
      <c r="AT10">
        <v>1</v>
      </c>
      <c r="AU10" t="s">
        <v>121</v>
      </c>
      <c r="AV10" t="s">
        <v>122</v>
      </c>
      <c r="AW10" t="s">
        <v>60</v>
      </c>
      <c r="AX10" t="s">
        <v>68</v>
      </c>
      <c r="AY10" t="s">
        <v>69</v>
      </c>
      <c r="AZ10" t="b">
        <v>1</v>
      </c>
    </row>
    <row r="11" spans="1:52" x14ac:dyDescent="0.3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123</v>
      </c>
      <c r="H11" t="s">
        <v>124</v>
      </c>
      <c r="I11" t="s">
        <v>124</v>
      </c>
      <c r="J11" t="s">
        <v>60</v>
      </c>
      <c r="K11" t="s">
        <v>72</v>
      </c>
      <c r="L11" t="s">
        <v>62</v>
      </c>
      <c r="M11" t="s">
        <v>72</v>
      </c>
      <c r="N11" t="s">
        <v>125</v>
      </c>
      <c r="O11" t="s">
        <v>126</v>
      </c>
      <c r="P11">
        <v>-19.634015000000002</v>
      </c>
      <c r="Q11">
        <v>-43.918776000000001</v>
      </c>
      <c r="R11" s="2" t="str">
        <f>HYPERLINK("https://www.google.com/maps?q=-19.6340150,-43.9187760","Abrir no Google Maps")</f>
        <v>Abrir no Google Maps</v>
      </c>
      <c r="S11">
        <v>4</v>
      </c>
      <c r="T11">
        <v>525.62818365919122</v>
      </c>
      <c r="U11">
        <v>4</v>
      </c>
      <c r="V11">
        <v>0.3166907667980674</v>
      </c>
      <c r="W11">
        <v>1</v>
      </c>
      <c r="X11">
        <v>0.3166907667980674</v>
      </c>
      <c r="Y11">
        <v>3</v>
      </c>
      <c r="Z11">
        <v>474.91441433808131</v>
      </c>
      <c r="AA11">
        <v>2</v>
      </c>
      <c r="AB11">
        <v>3</v>
      </c>
      <c r="AC11">
        <v>7</v>
      </c>
      <c r="AD11">
        <v>26.01</v>
      </c>
      <c r="AE11">
        <v>253</v>
      </c>
      <c r="AF11">
        <v>18</v>
      </c>
      <c r="AG11">
        <v>58</v>
      </c>
      <c r="AH11">
        <v>32</v>
      </c>
      <c r="AI11">
        <v>7.11</v>
      </c>
      <c r="AJ11">
        <v>22.92</v>
      </c>
      <c r="AK11">
        <v>12.65</v>
      </c>
      <c r="AL11">
        <v>-19.63405809999994</v>
      </c>
      <c r="AM11">
        <v>-43.919666391328043</v>
      </c>
      <c r="AN11">
        <v>-19.63405809999994</v>
      </c>
      <c r="AO11">
        <v>-43.919666391328029</v>
      </c>
      <c r="AP11">
        <v>-19.634015000000002</v>
      </c>
      <c r="AQ11">
        <v>-43.918776000000001</v>
      </c>
      <c r="AR11">
        <v>93.478621134470259</v>
      </c>
      <c r="AS11" t="s">
        <v>65</v>
      </c>
      <c r="AT11">
        <v>1</v>
      </c>
      <c r="AU11" t="s">
        <v>127</v>
      </c>
      <c r="AV11" t="s">
        <v>128</v>
      </c>
      <c r="AW11" t="s">
        <v>60</v>
      </c>
      <c r="AX11" t="s">
        <v>68</v>
      </c>
      <c r="AY11" t="s">
        <v>69</v>
      </c>
      <c r="AZ11" t="b">
        <v>1</v>
      </c>
    </row>
    <row r="12" spans="1:52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129</v>
      </c>
      <c r="H12" t="s">
        <v>130</v>
      </c>
      <c r="I12" t="s">
        <v>130</v>
      </c>
      <c r="J12" t="s">
        <v>60</v>
      </c>
      <c r="K12" t="s">
        <v>131</v>
      </c>
      <c r="L12" t="s">
        <v>62</v>
      </c>
      <c r="M12" t="s">
        <v>131</v>
      </c>
      <c r="N12" t="s">
        <v>132</v>
      </c>
      <c r="O12" t="s">
        <v>133</v>
      </c>
      <c r="P12">
        <v>-19.632088</v>
      </c>
      <c r="Q12">
        <v>-43.916114999999998</v>
      </c>
      <c r="R12" s="2" t="str">
        <f>HYPERLINK("https://www.google.com/maps?q=-19.6320880,-43.9161150","Abrir no Google Maps")</f>
        <v>Abrir no Google Maps</v>
      </c>
      <c r="S12">
        <v>4</v>
      </c>
      <c r="T12">
        <v>566.5346232632869</v>
      </c>
      <c r="U12">
        <v>4</v>
      </c>
      <c r="V12">
        <v>0.33415854280163432</v>
      </c>
      <c r="W12">
        <v>1</v>
      </c>
      <c r="X12">
        <v>0.33415854280163432</v>
      </c>
      <c r="Y12">
        <v>3</v>
      </c>
      <c r="Z12">
        <v>488.06597434012792</v>
      </c>
      <c r="AA12">
        <v>2</v>
      </c>
      <c r="AB12">
        <v>3</v>
      </c>
      <c r="AC12">
        <v>7</v>
      </c>
      <c r="AD12">
        <v>26.01</v>
      </c>
      <c r="AE12">
        <v>253</v>
      </c>
      <c r="AF12">
        <v>18</v>
      </c>
      <c r="AG12">
        <v>58</v>
      </c>
      <c r="AH12">
        <v>32</v>
      </c>
      <c r="AI12">
        <v>7.11</v>
      </c>
      <c r="AJ12">
        <v>22.92</v>
      </c>
      <c r="AK12">
        <v>12.65</v>
      </c>
      <c r="AL12">
        <v>-19.632034449999939</v>
      </c>
      <c r="AM12">
        <v>-43.916174776913351</v>
      </c>
      <c r="AN12">
        <v>-19.632034449999939</v>
      </c>
      <c r="AO12">
        <v>-43.916174776913351</v>
      </c>
      <c r="AP12">
        <v>-19.632088</v>
      </c>
      <c r="AQ12">
        <v>-43.916114999999998</v>
      </c>
      <c r="AR12">
        <v>8.6497324882263911</v>
      </c>
      <c r="AS12" t="s">
        <v>65</v>
      </c>
      <c r="AT12">
        <v>1</v>
      </c>
      <c r="AU12" t="s">
        <v>134</v>
      </c>
      <c r="AV12" t="s">
        <v>135</v>
      </c>
      <c r="AW12" t="s">
        <v>60</v>
      </c>
      <c r="AX12" t="s">
        <v>68</v>
      </c>
      <c r="AY12" t="s">
        <v>69</v>
      </c>
      <c r="AZ12" t="b">
        <v>1</v>
      </c>
    </row>
    <row r="13" spans="1:52" x14ac:dyDescent="0.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129</v>
      </c>
      <c r="H13" t="s">
        <v>136</v>
      </c>
      <c r="I13" t="s">
        <v>136</v>
      </c>
      <c r="J13" t="s">
        <v>60</v>
      </c>
      <c r="K13" t="s">
        <v>131</v>
      </c>
      <c r="L13" t="s">
        <v>62</v>
      </c>
      <c r="M13" t="s">
        <v>131</v>
      </c>
      <c r="N13" t="s">
        <v>132</v>
      </c>
      <c r="O13" t="s">
        <v>133</v>
      </c>
      <c r="P13">
        <v>-19.632290999999999</v>
      </c>
      <c r="Q13">
        <v>-43.916542999999997</v>
      </c>
      <c r="R13" s="2" t="str">
        <f>HYPERLINK("https://www.google.com/maps?q=-19.6322910,-43.9165430","Abrir no Google Maps")</f>
        <v>Abrir no Google Maps</v>
      </c>
      <c r="S13">
        <v>4</v>
      </c>
      <c r="T13">
        <v>556.95255545673058</v>
      </c>
      <c r="U13">
        <v>4</v>
      </c>
      <c r="V13">
        <v>0.32165227706735899</v>
      </c>
      <c r="W13">
        <v>1</v>
      </c>
      <c r="X13">
        <v>0.32165227706735899</v>
      </c>
      <c r="Y13">
        <v>3</v>
      </c>
      <c r="Z13">
        <v>479.66756878400719</v>
      </c>
      <c r="AA13">
        <v>2</v>
      </c>
      <c r="AB13">
        <v>3</v>
      </c>
      <c r="AC13">
        <v>7</v>
      </c>
      <c r="AD13">
        <v>26.01</v>
      </c>
      <c r="AE13">
        <v>253</v>
      </c>
      <c r="AF13">
        <v>18</v>
      </c>
      <c r="AG13">
        <v>58</v>
      </c>
      <c r="AH13">
        <v>32</v>
      </c>
      <c r="AI13">
        <v>7.11</v>
      </c>
      <c r="AJ13">
        <v>22.92</v>
      </c>
      <c r="AK13">
        <v>12.65</v>
      </c>
      <c r="AL13">
        <v>-19.63215424999996</v>
      </c>
      <c r="AM13">
        <v>-43.916542189528307</v>
      </c>
      <c r="AN13">
        <v>-19.63215424999996</v>
      </c>
      <c r="AO13">
        <v>-43.916542189528307</v>
      </c>
      <c r="AP13">
        <v>-19.632290999999999</v>
      </c>
      <c r="AQ13">
        <v>-43.916542999999997</v>
      </c>
      <c r="AR13">
        <v>15.22324717984722</v>
      </c>
      <c r="AS13" t="s">
        <v>65</v>
      </c>
      <c r="AT13">
        <v>1</v>
      </c>
      <c r="AU13" t="s">
        <v>137</v>
      </c>
      <c r="AV13" t="s">
        <v>138</v>
      </c>
      <c r="AW13" t="s">
        <v>60</v>
      </c>
      <c r="AX13" t="s">
        <v>68</v>
      </c>
      <c r="AY13" t="s">
        <v>69</v>
      </c>
      <c r="AZ13" t="b">
        <v>1</v>
      </c>
    </row>
    <row r="14" spans="1:52" x14ac:dyDescent="0.3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 t="s">
        <v>139</v>
      </c>
      <c r="H14" t="s">
        <v>140</v>
      </c>
      <c r="I14" t="s">
        <v>140</v>
      </c>
      <c r="J14" t="s">
        <v>60</v>
      </c>
      <c r="K14" t="s">
        <v>79</v>
      </c>
      <c r="L14" t="s">
        <v>62</v>
      </c>
      <c r="M14" t="s">
        <v>79</v>
      </c>
      <c r="N14" t="s">
        <v>141</v>
      </c>
      <c r="O14" t="s">
        <v>142</v>
      </c>
      <c r="P14">
        <v>-19.628888</v>
      </c>
      <c r="Q14">
        <v>-43.912554</v>
      </c>
      <c r="R14" s="2" t="str">
        <f>HYPERLINK("https://www.google.com/maps?q=-19.6288880,-43.9125540","Abrir no Google Maps")</f>
        <v>Abrir no Google Maps</v>
      </c>
      <c r="S14">
        <v>4</v>
      </c>
      <c r="T14">
        <v>1013.629555558835</v>
      </c>
      <c r="U14">
        <v>4</v>
      </c>
      <c r="V14">
        <v>0.37033300324384238</v>
      </c>
      <c r="W14">
        <v>0.85</v>
      </c>
      <c r="X14">
        <v>0.31478305275726598</v>
      </c>
      <c r="Y14">
        <v>3</v>
      </c>
      <c r="Z14">
        <v>950.42126394515765</v>
      </c>
      <c r="AA14">
        <v>2</v>
      </c>
      <c r="AB14">
        <v>3</v>
      </c>
      <c r="AC14">
        <v>7</v>
      </c>
      <c r="AD14">
        <v>26.01</v>
      </c>
      <c r="AE14">
        <v>253</v>
      </c>
      <c r="AF14">
        <v>18</v>
      </c>
      <c r="AG14">
        <v>58</v>
      </c>
      <c r="AH14">
        <v>32</v>
      </c>
      <c r="AI14">
        <v>7.11</v>
      </c>
      <c r="AJ14">
        <v>22.92</v>
      </c>
      <c r="AK14">
        <v>12.65</v>
      </c>
      <c r="AL14">
        <v>-19.628472899999959</v>
      </c>
      <c r="AM14">
        <v>-43.912746118821246</v>
      </c>
      <c r="AN14">
        <v>-19.628472899999959</v>
      </c>
      <c r="AO14">
        <v>-43.912746118821246</v>
      </c>
      <c r="AP14">
        <v>-19.628888</v>
      </c>
      <c r="AQ14">
        <v>-43.912554</v>
      </c>
      <c r="AR14">
        <v>50.408750888077009</v>
      </c>
      <c r="AS14" t="s">
        <v>65</v>
      </c>
      <c r="AT14">
        <v>1</v>
      </c>
      <c r="AU14" t="s">
        <v>143</v>
      </c>
      <c r="AV14" t="s">
        <v>144</v>
      </c>
      <c r="AW14" t="s">
        <v>60</v>
      </c>
      <c r="AX14" t="s">
        <v>68</v>
      </c>
      <c r="AY14" t="s">
        <v>69</v>
      </c>
      <c r="AZ14" t="b">
        <v>1</v>
      </c>
    </row>
    <row r="15" spans="1:52" x14ac:dyDescent="0.3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145</v>
      </c>
      <c r="H15" t="s">
        <v>146</v>
      </c>
      <c r="I15" t="s">
        <v>146</v>
      </c>
      <c r="J15" t="s">
        <v>60</v>
      </c>
      <c r="K15" t="s">
        <v>147</v>
      </c>
      <c r="L15" t="s">
        <v>62</v>
      </c>
      <c r="M15" t="s">
        <v>147</v>
      </c>
      <c r="N15" t="s">
        <v>148</v>
      </c>
      <c r="O15" t="s">
        <v>81</v>
      </c>
      <c r="P15">
        <v>-19.629356999999999</v>
      </c>
      <c r="Q15">
        <v>-43.916857</v>
      </c>
      <c r="R15" s="2" t="str">
        <f>HYPERLINK("https://www.google.com/maps?q=-19.6293570,-43.9168570","Abrir no Google Maps")</f>
        <v>Abrir no Google Maps</v>
      </c>
      <c r="S15">
        <v>4</v>
      </c>
      <c r="T15">
        <v>834.49898564045827</v>
      </c>
      <c r="U15">
        <v>4</v>
      </c>
      <c r="V15">
        <v>0.277171586338258</v>
      </c>
      <c r="W15">
        <v>1</v>
      </c>
      <c r="X15">
        <v>0.277171586338258</v>
      </c>
      <c r="Y15">
        <v>3</v>
      </c>
      <c r="Z15">
        <v>774.2841152512085</v>
      </c>
      <c r="AA15">
        <v>2</v>
      </c>
      <c r="AB15">
        <v>3</v>
      </c>
      <c r="AC15">
        <v>7</v>
      </c>
      <c r="AD15">
        <v>26.01</v>
      </c>
      <c r="AE15">
        <v>253</v>
      </c>
      <c r="AF15">
        <v>18</v>
      </c>
      <c r="AG15">
        <v>58</v>
      </c>
      <c r="AH15">
        <v>32</v>
      </c>
      <c r="AI15">
        <v>7.11</v>
      </c>
      <c r="AJ15">
        <v>22.92</v>
      </c>
      <c r="AK15">
        <v>12.65</v>
      </c>
      <c r="AL15">
        <v>-19.62962324999998</v>
      </c>
      <c r="AM15">
        <v>-43.916419823634037</v>
      </c>
      <c r="AN15">
        <v>-19.62962324999998</v>
      </c>
      <c r="AO15">
        <v>-43.916419823634051</v>
      </c>
      <c r="AP15">
        <v>-19.629356999999999</v>
      </c>
      <c r="AQ15">
        <v>-43.916857</v>
      </c>
      <c r="AR15">
        <v>54.585757388798442</v>
      </c>
      <c r="AS15" t="s">
        <v>65</v>
      </c>
      <c r="AT15">
        <v>1</v>
      </c>
      <c r="AU15" t="s">
        <v>149</v>
      </c>
      <c r="AV15" t="s">
        <v>150</v>
      </c>
      <c r="AW15" t="s">
        <v>60</v>
      </c>
      <c r="AX15" t="s">
        <v>68</v>
      </c>
      <c r="AY15" t="s">
        <v>69</v>
      </c>
      <c r="AZ15" t="b">
        <v>1</v>
      </c>
    </row>
    <row r="16" spans="1:52" x14ac:dyDescent="0.3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s">
        <v>151</v>
      </c>
      <c r="H16" t="s">
        <v>152</v>
      </c>
      <c r="I16" t="s">
        <v>152</v>
      </c>
      <c r="J16" t="s">
        <v>60</v>
      </c>
      <c r="K16" t="s">
        <v>72</v>
      </c>
      <c r="L16" t="s">
        <v>62</v>
      </c>
      <c r="M16" t="s">
        <v>72</v>
      </c>
      <c r="N16" t="s">
        <v>153</v>
      </c>
      <c r="O16" t="s">
        <v>81</v>
      </c>
      <c r="P16">
        <v>-19.635065999999998</v>
      </c>
      <c r="Q16">
        <v>-43.916640000000001</v>
      </c>
      <c r="R16" s="2" t="str">
        <f>HYPERLINK("https://www.google.com/maps?q=-19.6350660,-43.9166400","Abrir no Google Maps")</f>
        <v>Abrir no Google Maps</v>
      </c>
      <c r="S16">
        <v>4</v>
      </c>
      <c r="T16">
        <v>245.09875796292749</v>
      </c>
      <c r="U16">
        <v>4</v>
      </c>
      <c r="V16">
        <v>0.28063166885319379</v>
      </c>
      <c r="W16">
        <v>1</v>
      </c>
      <c r="X16">
        <v>0.28063166885319379</v>
      </c>
      <c r="Y16">
        <v>3</v>
      </c>
      <c r="Z16">
        <v>207.74356419317499</v>
      </c>
      <c r="AA16">
        <v>2</v>
      </c>
      <c r="AB16">
        <v>3</v>
      </c>
      <c r="AC16">
        <v>7</v>
      </c>
      <c r="AD16">
        <v>26.01</v>
      </c>
      <c r="AE16">
        <v>253</v>
      </c>
      <c r="AF16">
        <v>18</v>
      </c>
      <c r="AG16">
        <v>58</v>
      </c>
      <c r="AH16">
        <v>32</v>
      </c>
      <c r="AI16">
        <v>7.11</v>
      </c>
      <c r="AJ16">
        <v>22.92</v>
      </c>
      <c r="AK16">
        <v>12.65</v>
      </c>
      <c r="AL16">
        <v>-19.63505579999995</v>
      </c>
      <c r="AM16">
        <v>-43.916633303072622</v>
      </c>
      <c r="AN16">
        <v>-19.63505579999995</v>
      </c>
      <c r="AO16">
        <v>-43.916633303072622</v>
      </c>
      <c r="AP16">
        <v>-19.635065999999998</v>
      </c>
      <c r="AQ16">
        <v>-43.916640000000001</v>
      </c>
      <c r="AR16">
        <v>1.335026849412978</v>
      </c>
      <c r="AS16" t="s">
        <v>65</v>
      </c>
      <c r="AT16">
        <v>1</v>
      </c>
      <c r="AU16" t="s">
        <v>154</v>
      </c>
      <c r="AV16" t="s">
        <v>155</v>
      </c>
      <c r="AW16" t="s">
        <v>60</v>
      </c>
      <c r="AX16" t="s">
        <v>68</v>
      </c>
      <c r="AY16" t="s">
        <v>69</v>
      </c>
      <c r="AZ16" t="b">
        <v>1</v>
      </c>
    </row>
    <row r="17" spans="1:52" x14ac:dyDescent="0.3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t="s">
        <v>156</v>
      </c>
      <c r="H17" t="s">
        <v>157</v>
      </c>
      <c r="I17" t="s">
        <v>157</v>
      </c>
      <c r="J17" t="s">
        <v>60</v>
      </c>
      <c r="K17" t="s">
        <v>79</v>
      </c>
      <c r="L17" t="s">
        <v>62</v>
      </c>
      <c r="M17" t="s">
        <v>79</v>
      </c>
      <c r="N17" t="s">
        <v>158</v>
      </c>
      <c r="O17" t="s">
        <v>159</v>
      </c>
      <c r="P17">
        <v>-19.634687</v>
      </c>
      <c r="Q17">
        <v>-43.912925999999999</v>
      </c>
      <c r="R17" s="2" t="str">
        <f>HYPERLINK("https://www.google.com/maps?q=-19.6346870,-43.9129260","Abrir no Google Maps")</f>
        <v>Abrir no Google Maps</v>
      </c>
      <c r="S17">
        <v>4</v>
      </c>
      <c r="T17">
        <v>363.69725005634331</v>
      </c>
      <c r="U17">
        <v>4</v>
      </c>
      <c r="V17">
        <v>0.2782857257803773</v>
      </c>
      <c r="W17">
        <v>1</v>
      </c>
      <c r="X17">
        <v>0.2782857257803773</v>
      </c>
      <c r="Y17">
        <v>3</v>
      </c>
      <c r="Z17">
        <v>343.04088334900467</v>
      </c>
      <c r="AA17">
        <v>2</v>
      </c>
      <c r="AB17">
        <v>3</v>
      </c>
      <c r="AC17">
        <v>7</v>
      </c>
      <c r="AD17">
        <v>26.01</v>
      </c>
      <c r="AE17">
        <v>253</v>
      </c>
      <c r="AF17">
        <v>18</v>
      </c>
      <c r="AG17">
        <v>58</v>
      </c>
      <c r="AH17">
        <v>32</v>
      </c>
      <c r="AI17">
        <v>7.11</v>
      </c>
      <c r="AJ17">
        <v>22.92</v>
      </c>
      <c r="AK17">
        <v>12.65</v>
      </c>
      <c r="AL17">
        <v>-19.635145849999962</v>
      </c>
      <c r="AM17">
        <v>-43.913103387269381</v>
      </c>
      <c r="AN17">
        <v>-19.635145849999962</v>
      </c>
      <c r="AO17">
        <v>-43.913103387269381</v>
      </c>
      <c r="AP17">
        <v>-19.634687</v>
      </c>
      <c r="AQ17">
        <v>-43.912925999999999</v>
      </c>
      <c r="AR17">
        <v>54.359794849827942</v>
      </c>
      <c r="AS17" t="s">
        <v>65</v>
      </c>
      <c r="AT17">
        <v>1</v>
      </c>
      <c r="AU17" t="s">
        <v>160</v>
      </c>
      <c r="AV17" t="s">
        <v>161</v>
      </c>
      <c r="AW17" t="s">
        <v>60</v>
      </c>
      <c r="AX17" t="s">
        <v>68</v>
      </c>
      <c r="AY17" t="s">
        <v>69</v>
      </c>
      <c r="AZ17" t="b">
        <v>1</v>
      </c>
    </row>
    <row r="18" spans="1:52" x14ac:dyDescent="0.3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57</v>
      </c>
      <c r="G18" t="s">
        <v>162</v>
      </c>
      <c r="H18" t="s">
        <v>163</v>
      </c>
      <c r="I18" t="s">
        <v>163</v>
      </c>
      <c r="J18" t="s">
        <v>60</v>
      </c>
      <c r="K18" t="s">
        <v>164</v>
      </c>
      <c r="L18" t="s">
        <v>62</v>
      </c>
      <c r="M18" t="s">
        <v>164</v>
      </c>
      <c r="N18" t="s">
        <v>165</v>
      </c>
      <c r="O18" t="s">
        <v>166</v>
      </c>
      <c r="P18">
        <v>-19.650033000000001</v>
      </c>
      <c r="Q18">
        <v>-43.904634000000001</v>
      </c>
      <c r="R18" s="2" t="str">
        <f>HYPERLINK("https://www.google.com/maps?q=-19.6500330,-43.9046340","Abrir no Google Maps")</f>
        <v>Abrir no Google Maps</v>
      </c>
      <c r="S18">
        <v>4</v>
      </c>
      <c r="T18">
        <v>343.61469317865811</v>
      </c>
      <c r="U18">
        <v>4</v>
      </c>
      <c r="V18">
        <v>0.27641308104572287</v>
      </c>
      <c r="W18">
        <v>1</v>
      </c>
      <c r="X18">
        <v>0.27641308104572287</v>
      </c>
      <c r="Y18">
        <v>1</v>
      </c>
      <c r="Z18">
        <v>351.81960241626399</v>
      </c>
      <c r="AA18">
        <v>2</v>
      </c>
      <c r="AB18">
        <v>3</v>
      </c>
      <c r="AC18">
        <v>7</v>
      </c>
      <c r="AD18">
        <v>26.01</v>
      </c>
      <c r="AE18">
        <v>253</v>
      </c>
      <c r="AF18">
        <v>18</v>
      </c>
      <c r="AG18">
        <v>58</v>
      </c>
      <c r="AH18">
        <v>32</v>
      </c>
      <c r="AI18">
        <v>7.11</v>
      </c>
      <c r="AJ18">
        <v>22.92</v>
      </c>
      <c r="AK18">
        <v>12.65</v>
      </c>
      <c r="AL18">
        <v>-19.650065899999959</v>
      </c>
      <c r="AM18">
        <v>-43.904619920569793</v>
      </c>
      <c r="AN18">
        <v>-19.650065899999959</v>
      </c>
      <c r="AO18">
        <v>-43.904619920569793</v>
      </c>
      <c r="AP18">
        <v>-19.650033000000001</v>
      </c>
      <c r="AQ18">
        <v>-43.904634000000001</v>
      </c>
      <c r="AR18">
        <v>3.9486827164921792</v>
      </c>
      <c r="AS18" t="s">
        <v>65</v>
      </c>
      <c r="AT18">
        <v>1</v>
      </c>
      <c r="AU18" t="s">
        <v>167</v>
      </c>
      <c r="AV18" t="s">
        <v>168</v>
      </c>
      <c r="AW18" t="s">
        <v>60</v>
      </c>
      <c r="AX18" t="s">
        <v>68</v>
      </c>
      <c r="AY18" t="s">
        <v>69</v>
      </c>
      <c r="AZ18" t="b">
        <v>1</v>
      </c>
    </row>
    <row r="19" spans="1:52" x14ac:dyDescent="0.3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57</v>
      </c>
      <c r="G19" t="s">
        <v>169</v>
      </c>
      <c r="H19" t="s">
        <v>170</v>
      </c>
      <c r="I19" t="s">
        <v>170</v>
      </c>
      <c r="J19" t="s">
        <v>60</v>
      </c>
      <c r="K19" t="s">
        <v>171</v>
      </c>
      <c r="L19" t="s">
        <v>62</v>
      </c>
      <c r="M19" t="s">
        <v>171</v>
      </c>
      <c r="N19" t="s">
        <v>172</v>
      </c>
      <c r="O19" t="s">
        <v>173</v>
      </c>
      <c r="P19">
        <v>-19.676233</v>
      </c>
      <c r="Q19">
        <v>-43.88861</v>
      </c>
      <c r="R19" s="2" t="str">
        <f>HYPERLINK("https://www.google.com/maps?q=-19.6762330,-43.8886100","Abrir no Google Maps")</f>
        <v>Abrir no Google Maps</v>
      </c>
      <c r="S19">
        <v>4</v>
      </c>
      <c r="T19">
        <v>209.5772620412292</v>
      </c>
      <c r="U19">
        <v>4</v>
      </c>
      <c r="V19">
        <v>0.28629035565611077</v>
      </c>
      <c r="W19">
        <v>1</v>
      </c>
      <c r="X19">
        <v>0.28629035565611077</v>
      </c>
      <c r="Y19">
        <v>0</v>
      </c>
      <c r="Z19">
        <v>194.26571923644971</v>
      </c>
      <c r="AA19">
        <v>2</v>
      </c>
      <c r="AB19">
        <v>3</v>
      </c>
      <c r="AC19">
        <v>7</v>
      </c>
      <c r="AD19">
        <v>26.01</v>
      </c>
      <c r="AE19">
        <v>253</v>
      </c>
      <c r="AF19">
        <v>18</v>
      </c>
      <c r="AG19">
        <v>58</v>
      </c>
      <c r="AH19">
        <v>32</v>
      </c>
      <c r="AI19">
        <v>7.11</v>
      </c>
      <c r="AJ19">
        <v>22.92</v>
      </c>
      <c r="AK19">
        <v>12.65</v>
      </c>
      <c r="AL19">
        <v>-19.676097449999961</v>
      </c>
      <c r="AM19">
        <v>-43.888455613153738</v>
      </c>
      <c r="AN19">
        <v>-19.676097449999961</v>
      </c>
      <c r="AO19">
        <v>-43.888455613153738</v>
      </c>
      <c r="AP19">
        <v>-19.676233</v>
      </c>
      <c r="AQ19">
        <v>-43.88861</v>
      </c>
      <c r="AR19">
        <v>22.126352434234079</v>
      </c>
      <c r="AS19" t="s">
        <v>65</v>
      </c>
      <c r="AT19">
        <v>1</v>
      </c>
      <c r="AU19" t="s">
        <v>174</v>
      </c>
      <c r="AV19" t="s">
        <v>175</v>
      </c>
      <c r="AW19" t="s">
        <v>60</v>
      </c>
      <c r="AX19" t="s">
        <v>68</v>
      </c>
      <c r="AY19" t="s">
        <v>69</v>
      </c>
      <c r="AZ19" t="b">
        <v>1</v>
      </c>
    </row>
    <row r="20" spans="1:52" x14ac:dyDescent="0.3">
      <c r="A20" t="s">
        <v>52</v>
      </c>
      <c r="B20" t="s">
        <v>53</v>
      </c>
      <c r="C20" t="s">
        <v>54</v>
      </c>
      <c r="D20" t="s">
        <v>55</v>
      </c>
      <c r="E20" t="s">
        <v>56</v>
      </c>
      <c r="F20" t="s">
        <v>176</v>
      </c>
      <c r="G20" t="s">
        <v>177</v>
      </c>
      <c r="H20" t="s">
        <v>178</v>
      </c>
      <c r="I20" t="s">
        <v>178</v>
      </c>
      <c r="J20" t="s">
        <v>60</v>
      </c>
      <c r="K20" t="s">
        <v>179</v>
      </c>
      <c r="L20" t="s">
        <v>62</v>
      </c>
      <c r="M20" t="s">
        <v>179</v>
      </c>
      <c r="N20" t="s">
        <v>180</v>
      </c>
      <c r="O20" t="s">
        <v>120</v>
      </c>
      <c r="P20">
        <v>-19.651526</v>
      </c>
      <c r="Q20">
        <v>-43.891382999999998</v>
      </c>
      <c r="R20" s="2" t="str">
        <f>HYPERLINK("https://www.google.com/maps?q=-19.6515260,-43.8913830","Abrir no Google Maps")</f>
        <v>Abrir no Google Maps</v>
      </c>
      <c r="S20">
        <v>4</v>
      </c>
      <c r="T20">
        <v>925.67779296789433</v>
      </c>
      <c r="U20">
        <v>3</v>
      </c>
      <c r="V20">
        <v>0.26695019709618378</v>
      </c>
      <c r="W20">
        <v>1</v>
      </c>
      <c r="X20">
        <v>0.26695019709618378</v>
      </c>
      <c r="Y20">
        <v>7</v>
      </c>
      <c r="Z20">
        <v>1193.102297436121</v>
      </c>
      <c r="AA20">
        <v>2</v>
      </c>
      <c r="AB20">
        <v>3</v>
      </c>
      <c r="AC20">
        <v>7</v>
      </c>
      <c r="AD20">
        <v>26.01</v>
      </c>
      <c r="AE20">
        <v>253</v>
      </c>
      <c r="AF20">
        <v>18</v>
      </c>
      <c r="AG20">
        <v>58</v>
      </c>
      <c r="AH20">
        <v>32</v>
      </c>
      <c r="AI20">
        <v>7.11</v>
      </c>
      <c r="AJ20">
        <v>22.92</v>
      </c>
      <c r="AK20">
        <v>12.65</v>
      </c>
      <c r="AL20">
        <v>-19.651590199999958</v>
      </c>
      <c r="AM20">
        <v>-43.891399191449963</v>
      </c>
      <c r="AN20">
        <v>-19.651590199999958</v>
      </c>
      <c r="AO20">
        <v>-43.891399191449963</v>
      </c>
      <c r="AP20">
        <v>-19.651526</v>
      </c>
      <c r="AQ20">
        <v>-43.891382999999998</v>
      </c>
      <c r="AR20">
        <v>7.3455622550785931</v>
      </c>
      <c r="AS20" t="s">
        <v>65</v>
      </c>
      <c r="AT20">
        <v>1</v>
      </c>
      <c r="AU20" t="s">
        <v>181</v>
      </c>
      <c r="AV20" t="s">
        <v>182</v>
      </c>
      <c r="AW20" t="s">
        <v>60</v>
      </c>
      <c r="AX20" t="s">
        <v>68</v>
      </c>
      <c r="AY20" t="s">
        <v>69</v>
      </c>
      <c r="AZ20" t="b">
        <v>1</v>
      </c>
    </row>
    <row r="21" spans="1:52" x14ac:dyDescent="0.3">
      <c r="A21" t="s">
        <v>52</v>
      </c>
      <c r="B21" t="s">
        <v>53</v>
      </c>
      <c r="C21" t="s">
        <v>54</v>
      </c>
      <c r="D21" t="s">
        <v>55</v>
      </c>
      <c r="E21" t="s">
        <v>56</v>
      </c>
      <c r="F21" t="s">
        <v>176</v>
      </c>
      <c r="G21" t="s">
        <v>183</v>
      </c>
      <c r="H21" t="s">
        <v>184</v>
      </c>
      <c r="I21" t="s">
        <v>184</v>
      </c>
      <c r="J21" t="s">
        <v>60</v>
      </c>
      <c r="K21" t="s">
        <v>185</v>
      </c>
      <c r="L21" t="s">
        <v>62</v>
      </c>
      <c r="M21" t="s">
        <v>185</v>
      </c>
      <c r="N21" t="s">
        <v>186</v>
      </c>
      <c r="O21" t="s">
        <v>187</v>
      </c>
      <c r="P21">
        <v>-19.628589000000002</v>
      </c>
      <c r="Q21">
        <v>-43.900232000000003</v>
      </c>
      <c r="R21" s="2" t="str">
        <f>HYPERLINK("https://www.google.com/maps?q=-19.6285890,-43.9002320","Abrir no Google Maps")</f>
        <v>Abrir no Google Maps</v>
      </c>
      <c r="S21">
        <v>4</v>
      </c>
      <c r="T21">
        <v>479.31588622283061</v>
      </c>
      <c r="U21">
        <v>3</v>
      </c>
      <c r="V21">
        <v>0.31060905939524552</v>
      </c>
      <c r="W21">
        <v>0.85</v>
      </c>
      <c r="X21">
        <v>0.26401770048595868</v>
      </c>
      <c r="Y21">
        <v>6</v>
      </c>
      <c r="Z21">
        <v>383.34726345998263</v>
      </c>
      <c r="AA21">
        <v>2</v>
      </c>
      <c r="AB21">
        <v>3</v>
      </c>
      <c r="AC21">
        <v>7</v>
      </c>
      <c r="AD21">
        <v>26.01</v>
      </c>
      <c r="AE21">
        <v>253</v>
      </c>
      <c r="AF21">
        <v>18</v>
      </c>
      <c r="AG21">
        <v>58</v>
      </c>
      <c r="AH21">
        <v>32</v>
      </c>
      <c r="AI21">
        <v>7.11</v>
      </c>
      <c r="AJ21">
        <v>22.92</v>
      </c>
      <c r="AK21">
        <v>12.65</v>
      </c>
      <c r="AL21">
        <v>-19.628813749999949</v>
      </c>
      <c r="AM21">
        <v>-43.90066394563523</v>
      </c>
      <c r="AN21">
        <v>-19.628813749999949</v>
      </c>
      <c r="AO21">
        <v>-43.90066394563523</v>
      </c>
      <c r="AP21">
        <v>-19.628589000000002</v>
      </c>
      <c r="AQ21">
        <v>-43.900232000000003</v>
      </c>
      <c r="AR21">
        <v>51.741071441894853</v>
      </c>
      <c r="AS21" t="s">
        <v>65</v>
      </c>
      <c r="AT21">
        <v>1</v>
      </c>
      <c r="AU21" t="s">
        <v>188</v>
      </c>
      <c r="AV21" t="s">
        <v>189</v>
      </c>
      <c r="AW21" t="s">
        <v>60</v>
      </c>
      <c r="AX21" t="s">
        <v>68</v>
      </c>
      <c r="AY21" t="s">
        <v>69</v>
      </c>
      <c r="AZ21" t="b">
        <v>1</v>
      </c>
    </row>
    <row r="22" spans="1:52" x14ac:dyDescent="0.3">
      <c r="A22" t="s">
        <v>52</v>
      </c>
      <c r="B22" t="s">
        <v>53</v>
      </c>
      <c r="C22" t="s">
        <v>54</v>
      </c>
      <c r="D22" t="s">
        <v>55</v>
      </c>
      <c r="E22" t="s">
        <v>56</v>
      </c>
      <c r="F22" t="s">
        <v>176</v>
      </c>
      <c r="G22" t="s">
        <v>190</v>
      </c>
      <c r="H22" t="s">
        <v>191</v>
      </c>
      <c r="I22" t="s">
        <v>191</v>
      </c>
      <c r="J22" t="s">
        <v>60</v>
      </c>
      <c r="K22" t="s">
        <v>192</v>
      </c>
      <c r="L22" t="s">
        <v>62</v>
      </c>
      <c r="M22" t="s">
        <v>192</v>
      </c>
      <c r="N22" t="s">
        <v>193</v>
      </c>
      <c r="O22" t="s">
        <v>194</v>
      </c>
      <c r="P22">
        <v>-19.654112000000001</v>
      </c>
      <c r="Q22">
        <v>-43.910761999999998</v>
      </c>
      <c r="R22" s="2" t="str">
        <f>HYPERLINK("https://www.google.com/maps?q=-19.6541120,-43.9107620","Abrir no Google Maps")</f>
        <v>Abrir no Google Maps</v>
      </c>
      <c r="S22">
        <v>4</v>
      </c>
      <c r="T22">
        <v>1080.0524626304521</v>
      </c>
      <c r="U22">
        <v>3</v>
      </c>
      <c r="V22">
        <v>0.26717488240193321</v>
      </c>
      <c r="W22">
        <v>1</v>
      </c>
      <c r="X22">
        <v>0.26717488240193321</v>
      </c>
      <c r="Y22">
        <v>4</v>
      </c>
      <c r="Z22">
        <v>666.99022879086885</v>
      </c>
      <c r="AA22">
        <v>2</v>
      </c>
      <c r="AB22">
        <v>3</v>
      </c>
      <c r="AC22">
        <v>7</v>
      </c>
      <c r="AD22">
        <v>26.01</v>
      </c>
      <c r="AE22">
        <v>253</v>
      </c>
      <c r="AF22">
        <v>18</v>
      </c>
      <c r="AG22">
        <v>58</v>
      </c>
      <c r="AH22">
        <v>32</v>
      </c>
      <c r="AI22">
        <v>7.11</v>
      </c>
      <c r="AJ22">
        <v>22.92</v>
      </c>
      <c r="AK22">
        <v>12.65</v>
      </c>
      <c r="AL22">
        <v>-19.653869149999959</v>
      </c>
      <c r="AM22">
        <v>-43.911142816432779</v>
      </c>
      <c r="AN22">
        <v>-19.653869149999959</v>
      </c>
      <c r="AO22">
        <v>-43.911142816432779</v>
      </c>
      <c r="AP22">
        <v>-19.654112000000001</v>
      </c>
      <c r="AQ22">
        <v>-43.910761999999998</v>
      </c>
      <c r="AR22">
        <v>48.214810864237499</v>
      </c>
      <c r="AS22" t="s">
        <v>65</v>
      </c>
      <c r="AT22">
        <v>1</v>
      </c>
      <c r="AU22" t="s">
        <v>195</v>
      </c>
      <c r="AV22" t="s">
        <v>196</v>
      </c>
      <c r="AW22" t="s">
        <v>60</v>
      </c>
      <c r="AX22" t="s">
        <v>68</v>
      </c>
      <c r="AY22" t="s">
        <v>69</v>
      </c>
      <c r="AZ22" t="b">
        <v>1</v>
      </c>
    </row>
    <row r="23" spans="1:52" x14ac:dyDescent="0.3">
      <c r="A23" t="s">
        <v>52</v>
      </c>
      <c r="B23" t="s">
        <v>53</v>
      </c>
      <c r="C23" t="s">
        <v>54</v>
      </c>
      <c r="D23" t="s">
        <v>55</v>
      </c>
      <c r="E23" t="s">
        <v>56</v>
      </c>
      <c r="F23" t="s">
        <v>176</v>
      </c>
      <c r="G23" t="s">
        <v>197</v>
      </c>
      <c r="H23" t="s">
        <v>198</v>
      </c>
      <c r="I23" t="s">
        <v>198</v>
      </c>
      <c r="J23" t="s">
        <v>60</v>
      </c>
      <c r="K23" t="s">
        <v>199</v>
      </c>
      <c r="L23" t="s">
        <v>62</v>
      </c>
      <c r="M23" t="s">
        <v>199</v>
      </c>
      <c r="N23" t="s">
        <v>200</v>
      </c>
      <c r="O23" t="s">
        <v>201</v>
      </c>
      <c r="P23">
        <v>-19.639250000000001</v>
      </c>
      <c r="Q23">
        <v>-43.916449999999998</v>
      </c>
      <c r="R23" s="2" t="str">
        <f>HYPERLINK("https://www.google.com/maps?q=-19.6392500,-43.9164500","Abrir no Google Maps")</f>
        <v>Abrir no Google Maps</v>
      </c>
      <c r="S23">
        <v>4</v>
      </c>
      <c r="T23">
        <v>249.46350881074861</v>
      </c>
      <c r="U23">
        <v>3</v>
      </c>
      <c r="V23">
        <v>0.26276610025130331</v>
      </c>
      <c r="W23">
        <v>1</v>
      </c>
      <c r="X23">
        <v>0.26276610025130331</v>
      </c>
      <c r="Y23">
        <v>3</v>
      </c>
      <c r="Z23">
        <v>267.54148787490578</v>
      </c>
      <c r="AA23">
        <v>2</v>
      </c>
      <c r="AB23">
        <v>3</v>
      </c>
      <c r="AC23">
        <v>7</v>
      </c>
      <c r="AD23">
        <v>26.01</v>
      </c>
      <c r="AE23">
        <v>253</v>
      </c>
      <c r="AF23">
        <v>18</v>
      </c>
      <c r="AG23">
        <v>58</v>
      </c>
      <c r="AH23">
        <v>32</v>
      </c>
      <c r="AI23">
        <v>7.11</v>
      </c>
      <c r="AJ23">
        <v>22.92</v>
      </c>
      <c r="AK23">
        <v>12.65</v>
      </c>
      <c r="AL23">
        <v>-19.639331149999951</v>
      </c>
      <c r="AM23">
        <v>-43.916434187886892</v>
      </c>
      <c r="AN23">
        <v>-19.639331149999951</v>
      </c>
      <c r="AO23">
        <v>-43.916434187886892</v>
      </c>
      <c r="AP23">
        <v>-19.639250000000001</v>
      </c>
      <c r="AQ23">
        <v>-43.916449999999998</v>
      </c>
      <c r="AR23">
        <v>9.1844750188843953</v>
      </c>
      <c r="AS23" t="s">
        <v>65</v>
      </c>
      <c r="AT23">
        <v>1</v>
      </c>
      <c r="AU23" t="s">
        <v>202</v>
      </c>
      <c r="AV23" t="s">
        <v>203</v>
      </c>
      <c r="AW23" t="s">
        <v>60</v>
      </c>
      <c r="AX23" t="s">
        <v>68</v>
      </c>
      <c r="AY23" t="s">
        <v>69</v>
      </c>
      <c r="AZ23" t="b">
        <v>1</v>
      </c>
    </row>
    <row r="24" spans="1:52" x14ac:dyDescent="0.3">
      <c r="A24" t="s">
        <v>52</v>
      </c>
      <c r="B24" t="s">
        <v>53</v>
      </c>
      <c r="C24" t="s">
        <v>54</v>
      </c>
      <c r="D24" t="s">
        <v>55</v>
      </c>
      <c r="E24" t="s">
        <v>56</v>
      </c>
      <c r="F24" t="s">
        <v>176</v>
      </c>
      <c r="G24" t="s">
        <v>204</v>
      </c>
      <c r="H24" t="s">
        <v>205</v>
      </c>
      <c r="I24" t="s">
        <v>205</v>
      </c>
      <c r="J24" t="s">
        <v>60</v>
      </c>
      <c r="K24" t="s">
        <v>171</v>
      </c>
      <c r="L24" t="s">
        <v>62</v>
      </c>
      <c r="M24" t="s">
        <v>171</v>
      </c>
      <c r="N24" t="s">
        <v>206</v>
      </c>
      <c r="O24" t="s">
        <v>207</v>
      </c>
      <c r="P24">
        <v>-19.674109000000001</v>
      </c>
      <c r="Q24">
        <v>-43.890711000000003</v>
      </c>
      <c r="R24" s="2" t="str">
        <f>HYPERLINK("https://www.google.com/maps?q=-19.6741090,-43.8907110","Abrir no Google Maps")</f>
        <v>Abrir no Google Maps</v>
      </c>
      <c r="S24">
        <v>4</v>
      </c>
      <c r="T24">
        <v>396.53059443764772</v>
      </c>
      <c r="U24">
        <v>3</v>
      </c>
      <c r="V24">
        <v>0.273162780088817</v>
      </c>
      <c r="W24">
        <v>1</v>
      </c>
      <c r="X24">
        <v>0.273162780088817</v>
      </c>
      <c r="Y24">
        <v>3</v>
      </c>
      <c r="Z24">
        <v>499.22520255557538</v>
      </c>
      <c r="AA24">
        <v>2</v>
      </c>
      <c r="AB24">
        <v>3</v>
      </c>
      <c r="AC24">
        <v>7</v>
      </c>
      <c r="AD24">
        <v>26.01</v>
      </c>
      <c r="AE24">
        <v>253</v>
      </c>
      <c r="AF24">
        <v>18</v>
      </c>
      <c r="AG24">
        <v>58</v>
      </c>
      <c r="AH24">
        <v>32</v>
      </c>
      <c r="AI24">
        <v>7.11</v>
      </c>
      <c r="AJ24">
        <v>22.92</v>
      </c>
      <c r="AK24">
        <v>12.65</v>
      </c>
      <c r="AL24">
        <v>-19.67362479999997</v>
      </c>
      <c r="AM24">
        <v>-43.89068378253377</v>
      </c>
      <c r="AN24">
        <v>-19.67362479999997</v>
      </c>
      <c r="AO24">
        <v>-43.89068378253377</v>
      </c>
      <c r="AP24">
        <v>-19.674109000000001</v>
      </c>
      <c r="AQ24">
        <v>-43.890711000000003</v>
      </c>
      <c r="AR24">
        <v>53.976595260276227</v>
      </c>
      <c r="AS24" t="s">
        <v>65</v>
      </c>
      <c r="AT24">
        <v>1</v>
      </c>
      <c r="AU24" t="s">
        <v>208</v>
      </c>
      <c r="AV24" t="s">
        <v>209</v>
      </c>
      <c r="AW24" t="s">
        <v>60</v>
      </c>
      <c r="AX24" t="s">
        <v>68</v>
      </c>
      <c r="AY24" t="s">
        <v>69</v>
      </c>
      <c r="AZ24" t="b">
        <v>1</v>
      </c>
    </row>
    <row r="25" spans="1:52" x14ac:dyDescent="0.3">
      <c r="A25" t="s">
        <v>52</v>
      </c>
      <c r="B25" t="s">
        <v>53</v>
      </c>
      <c r="C25" t="s">
        <v>54</v>
      </c>
      <c r="D25" t="s">
        <v>55</v>
      </c>
      <c r="E25" t="s">
        <v>56</v>
      </c>
      <c r="F25" t="s">
        <v>176</v>
      </c>
      <c r="G25" t="s">
        <v>210</v>
      </c>
      <c r="H25" t="s">
        <v>211</v>
      </c>
      <c r="I25" t="s">
        <v>211</v>
      </c>
      <c r="J25" t="s">
        <v>60</v>
      </c>
      <c r="K25" t="s">
        <v>212</v>
      </c>
      <c r="L25" t="s">
        <v>62</v>
      </c>
      <c r="M25" t="s">
        <v>212</v>
      </c>
      <c r="N25" t="s">
        <v>213</v>
      </c>
      <c r="O25" t="s">
        <v>214</v>
      </c>
      <c r="P25">
        <v>-19.632814</v>
      </c>
      <c r="Q25">
        <v>-43.930782000000001</v>
      </c>
      <c r="R25" s="2" t="str">
        <f>HYPERLINK("https://www.google.com/maps?q=-19.6328140,-43.9307820","Abrir no Google Maps")</f>
        <v>Abrir no Google Maps</v>
      </c>
      <c r="S25">
        <v>4</v>
      </c>
      <c r="T25">
        <v>1643.2659380538339</v>
      </c>
      <c r="U25">
        <v>3</v>
      </c>
      <c r="V25">
        <v>0.2595837559592758</v>
      </c>
      <c r="W25">
        <v>1</v>
      </c>
      <c r="X25">
        <v>0.2595837559592758</v>
      </c>
      <c r="Y25">
        <v>3</v>
      </c>
      <c r="Z25">
        <v>1661.7410651481421</v>
      </c>
      <c r="AA25">
        <v>2</v>
      </c>
      <c r="AB25">
        <v>3</v>
      </c>
      <c r="AC25">
        <v>7</v>
      </c>
      <c r="AD25">
        <v>26.01</v>
      </c>
      <c r="AE25">
        <v>253</v>
      </c>
      <c r="AF25">
        <v>18</v>
      </c>
      <c r="AG25">
        <v>58</v>
      </c>
      <c r="AH25">
        <v>32</v>
      </c>
      <c r="AI25">
        <v>7.11</v>
      </c>
      <c r="AJ25">
        <v>22.92</v>
      </c>
      <c r="AK25">
        <v>12.65</v>
      </c>
      <c r="AL25">
        <v>-19.633145799999941</v>
      </c>
      <c r="AM25">
        <v>-43.930948481999309</v>
      </c>
      <c r="AN25">
        <v>-19.633145799999941</v>
      </c>
      <c r="AO25">
        <v>-43.930948481999309</v>
      </c>
      <c r="AP25">
        <v>-19.632814</v>
      </c>
      <c r="AQ25">
        <v>-43.930782000000001</v>
      </c>
      <c r="AR25">
        <v>40.852848555758172</v>
      </c>
      <c r="AS25" t="s">
        <v>65</v>
      </c>
      <c r="AT25">
        <v>1</v>
      </c>
      <c r="AU25" t="s">
        <v>215</v>
      </c>
      <c r="AV25" t="s">
        <v>216</v>
      </c>
      <c r="AW25" t="s">
        <v>60</v>
      </c>
      <c r="AX25" t="s">
        <v>68</v>
      </c>
      <c r="AY25" t="s">
        <v>69</v>
      </c>
      <c r="AZ25" t="b">
        <v>1</v>
      </c>
    </row>
    <row r="26" spans="1:52" x14ac:dyDescent="0.3">
      <c r="A26" t="s">
        <v>52</v>
      </c>
      <c r="B26" t="s">
        <v>53</v>
      </c>
      <c r="C26" t="s">
        <v>54</v>
      </c>
      <c r="D26" t="s">
        <v>55</v>
      </c>
      <c r="E26" t="s">
        <v>56</v>
      </c>
      <c r="F26" t="s">
        <v>176</v>
      </c>
      <c r="G26" t="s">
        <v>217</v>
      </c>
      <c r="H26" t="s">
        <v>218</v>
      </c>
      <c r="I26" t="s">
        <v>218</v>
      </c>
      <c r="J26" t="s">
        <v>60</v>
      </c>
      <c r="K26" t="s">
        <v>219</v>
      </c>
      <c r="L26" t="s">
        <v>62</v>
      </c>
      <c r="M26" t="s">
        <v>219</v>
      </c>
      <c r="N26" t="s">
        <v>220</v>
      </c>
      <c r="O26" t="s">
        <v>221</v>
      </c>
      <c r="P26">
        <v>-19.668924000000001</v>
      </c>
      <c r="Q26">
        <v>-43.888824</v>
      </c>
      <c r="R26" s="2" t="str">
        <f>HYPERLINK("https://www.google.com/maps?q=-19.6689240,-43.8888240","Abrir no Google Maps")</f>
        <v>Abrir no Google Maps</v>
      </c>
      <c r="S26">
        <v>4</v>
      </c>
      <c r="T26">
        <v>911.82770913869297</v>
      </c>
      <c r="U26">
        <v>3</v>
      </c>
      <c r="V26">
        <v>0.2608429960811785</v>
      </c>
      <c r="W26">
        <v>1</v>
      </c>
      <c r="X26">
        <v>0.2608429960811785</v>
      </c>
      <c r="Y26">
        <v>3</v>
      </c>
      <c r="Z26">
        <v>306.43809582423751</v>
      </c>
      <c r="AA26">
        <v>2</v>
      </c>
      <c r="AB26">
        <v>3</v>
      </c>
      <c r="AC26">
        <v>7</v>
      </c>
      <c r="AD26">
        <v>26.01</v>
      </c>
      <c r="AE26">
        <v>253</v>
      </c>
      <c r="AF26">
        <v>18</v>
      </c>
      <c r="AG26">
        <v>58</v>
      </c>
      <c r="AH26">
        <v>32</v>
      </c>
      <c r="AI26">
        <v>7.11</v>
      </c>
      <c r="AJ26">
        <v>22.92</v>
      </c>
      <c r="AK26">
        <v>12.65</v>
      </c>
      <c r="AL26">
        <v>-19.669015399999981</v>
      </c>
      <c r="AM26">
        <v>-43.88883436988452</v>
      </c>
      <c r="AN26">
        <v>-19.669015399999971</v>
      </c>
      <c r="AO26">
        <v>-43.88883436988452</v>
      </c>
      <c r="AP26">
        <v>-19.668924000000001</v>
      </c>
      <c r="AQ26">
        <v>-43.888824</v>
      </c>
      <c r="AR26">
        <v>10.23254983885769</v>
      </c>
      <c r="AS26" t="s">
        <v>65</v>
      </c>
      <c r="AT26">
        <v>1</v>
      </c>
      <c r="AU26" t="s">
        <v>222</v>
      </c>
      <c r="AV26" t="s">
        <v>223</v>
      </c>
      <c r="AW26" t="s">
        <v>60</v>
      </c>
      <c r="AX26" t="s">
        <v>68</v>
      </c>
      <c r="AY26" t="s">
        <v>69</v>
      </c>
      <c r="AZ26" t="b">
        <v>1</v>
      </c>
    </row>
    <row r="27" spans="1:52" x14ac:dyDescent="0.3">
      <c r="A27" t="s">
        <v>52</v>
      </c>
      <c r="B27" t="s">
        <v>53</v>
      </c>
      <c r="C27" t="s">
        <v>54</v>
      </c>
      <c r="D27" t="s">
        <v>55</v>
      </c>
      <c r="E27" t="s">
        <v>56</v>
      </c>
      <c r="F27" t="s">
        <v>176</v>
      </c>
      <c r="G27" t="s">
        <v>197</v>
      </c>
      <c r="H27" t="s">
        <v>224</v>
      </c>
      <c r="I27" t="s">
        <v>224</v>
      </c>
      <c r="J27" t="s">
        <v>60</v>
      </c>
      <c r="K27" t="s">
        <v>199</v>
      </c>
      <c r="L27" t="s">
        <v>62</v>
      </c>
      <c r="M27" t="s">
        <v>199</v>
      </c>
      <c r="N27" t="s">
        <v>200</v>
      </c>
      <c r="O27" t="s">
        <v>225</v>
      </c>
      <c r="P27">
        <v>-19.637217</v>
      </c>
      <c r="Q27">
        <v>-43.916117</v>
      </c>
      <c r="R27" s="2" t="str">
        <f>HYPERLINK("https://www.google.com/maps?q=-19.6372170,-43.9161170","Abrir no Google Maps")</f>
        <v>Abrir no Google Maps</v>
      </c>
      <c r="S27">
        <v>4</v>
      </c>
      <c r="T27">
        <v>0</v>
      </c>
      <c r="U27">
        <v>3</v>
      </c>
      <c r="V27">
        <v>0.26837588397064338</v>
      </c>
      <c r="W27">
        <v>1</v>
      </c>
      <c r="X27">
        <v>0.26837588397064338</v>
      </c>
      <c r="Y27">
        <v>3</v>
      </c>
      <c r="Z27">
        <v>94.289538231800577</v>
      </c>
      <c r="AA27">
        <v>2</v>
      </c>
      <c r="AB27">
        <v>3</v>
      </c>
      <c r="AC27">
        <v>7</v>
      </c>
      <c r="AD27">
        <v>26.01</v>
      </c>
      <c r="AE27">
        <v>253</v>
      </c>
      <c r="AF27">
        <v>18</v>
      </c>
      <c r="AG27">
        <v>58</v>
      </c>
      <c r="AH27">
        <v>32</v>
      </c>
      <c r="AI27">
        <v>7.11</v>
      </c>
      <c r="AJ27">
        <v>22.92</v>
      </c>
      <c r="AK27">
        <v>12.65</v>
      </c>
      <c r="AL27">
        <v>-19.63714454999996</v>
      </c>
      <c r="AM27">
        <v>-43.915856532303224</v>
      </c>
      <c r="AN27">
        <v>-19.63714454999996</v>
      </c>
      <c r="AO27">
        <v>-43.915856532303224</v>
      </c>
      <c r="AP27">
        <v>-19.637217</v>
      </c>
      <c r="AQ27">
        <v>-43.916117</v>
      </c>
      <c r="AR27">
        <v>28.47493692061667</v>
      </c>
      <c r="AS27" t="s">
        <v>65</v>
      </c>
      <c r="AT27">
        <v>1</v>
      </c>
      <c r="AU27" t="s">
        <v>226</v>
      </c>
      <c r="AV27" t="s">
        <v>227</v>
      </c>
      <c r="AW27" t="s">
        <v>60</v>
      </c>
      <c r="AX27" t="s">
        <v>68</v>
      </c>
      <c r="AY27" t="s">
        <v>69</v>
      </c>
      <c r="AZ27" t="b">
        <v>1</v>
      </c>
    </row>
    <row r="28" spans="1:52" x14ac:dyDescent="0.3">
      <c r="A28" t="s">
        <v>52</v>
      </c>
      <c r="B28" t="s">
        <v>53</v>
      </c>
      <c r="C28" t="s">
        <v>54</v>
      </c>
      <c r="D28" t="s">
        <v>55</v>
      </c>
      <c r="E28" t="s">
        <v>56</v>
      </c>
      <c r="F28" t="s">
        <v>176</v>
      </c>
      <c r="G28" t="s">
        <v>228</v>
      </c>
      <c r="H28" t="s">
        <v>229</v>
      </c>
      <c r="I28" t="s">
        <v>229</v>
      </c>
      <c r="J28" t="s">
        <v>60</v>
      </c>
      <c r="K28" t="s">
        <v>199</v>
      </c>
      <c r="L28" t="s">
        <v>62</v>
      </c>
      <c r="M28" t="s">
        <v>199</v>
      </c>
      <c r="N28" t="s">
        <v>230</v>
      </c>
      <c r="O28" t="s">
        <v>88</v>
      </c>
      <c r="P28">
        <v>-19.637703999999999</v>
      </c>
      <c r="Q28">
        <v>-43.913817999999999</v>
      </c>
      <c r="R28" s="2" t="str">
        <f>HYPERLINK("https://www.google.com/maps?q=-19.6377040,-43.9138180","Abrir no Google Maps")</f>
        <v>Abrir no Google Maps</v>
      </c>
      <c r="S28">
        <v>4</v>
      </c>
      <c r="T28">
        <v>216.67225021659709</v>
      </c>
      <c r="U28">
        <v>3</v>
      </c>
      <c r="V28">
        <v>0.26246596865030991</v>
      </c>
      <c r="W28">
        <v>1</v>
      </c>
      <c r="X28">
        <v>0.26246596865030991</v>
      </c>
      <c r="Y28">
        <v>3</v>
      </c>
      <c r="Z28">
        <v>250.25912407368671</v>
      </c>
      <c r="AA28">
        <v>2</v>
      </c>
      <c r="AB28">
        <v>3</v>
      </c>
      <c r="AC28">
        <v>7</v>
      </c>
      <c r="AD28">
        <v>26.01</v>
      </c>
      <c r="AE28">
        <v>253</v>
      </c>
      <c r="AF28">
        <v>18</v>
      </c>
      <c r="AG28">
        <v>58</v>
      </c>
      <c r="AH28">
        <v>32</v>
      </c>
      <c r="AI28">
        <v>7.11</v>
      </c>
      <c r="AJ28">
        <v>22.92</v>
      </c>
      <c r="AK28">
        <v>12.65</v>
      </c>
      <c r="AL28">
        <v>-19.637548049999939</v>
      </c>
      <c r="AM28">
        <v>-43.91383458447649</v>
      </c>
      <c r="AN28">
        <v>-19.637548049999939</v>
      </c>
      <c r="AO28">
        <v>-43.91383458447649</v>
      </c>
      <c r="AP28">
        <v>-19.637703999999999</v>
      </c>
      <c r="AQ28">
        <v>-43.913817999999999</v>
      </c>
      <c r="AR28">
        <v>17.44721566371809</v>
      </c>
      <c r="AS28" t="s">
        <v>65</v>
      </c>
      <c r="AT28">
        <v>1</v>
      </c>
      <c r="AU28" t="s">
        <v>231</v>
      </c>
      <c r="AV28" t="s">
        <v>232</v>
      </c>
      <c r="AW28" t="s">
        <v>60</v>
      </c>
      <c r="AX28" t="s">
        <v>68</v>
      </c>
      <c r="AY28" t="s">
        <v>69</v>
      </c>
      <c r="AZ28" t="b">
        <v>1</v>
      </c>
    </row>
    <row r="29" spans="1:52" x14ac:dyDescent="0.3">
      <c r="A29" t="s">
        <v>52</v>
      </c>
      <c r="B29" t="s">
        <v>53</v>
      </c>
      <c r="C29" t="s">
        <v>54</v>
      </c>
      <c r="D29" t="s">
        <v>55</v>
      </c>
      <c r="E29" t="s">
        <v>56</v>
      </c>
      <c r="F29" t="s">
        <v>176</v>
      </c>
      <c r="G29" t="s">
        <v>233</v>
      </c>
      <c r="H29" t="s">
        <v>234</v>
      </c>
      <c r="I29" t="s">
        <v>234</v>
      </c>
      <c r="J29" t="s">
        <v>60</v>
      </c>
      <c r="K29" t="s">
        <v>235</v>
      </c>
      <c r="L29" t="s">
        <v>62</v>
      </c>
      <c r="M29" t="s">
        <v>235</v>
      </c>
      <c r="N29" t="s">
        <v>236</v>
      </c>
      <c r="O29" t="s">
        <v>120</v>
      </c>
      <c r="P29">
        <v>-19.621310000000001</v>
      </c>
      <c r="Q29">
        <v>-43.919790999999996</v>
      </c>
      <c r="R29" s="2" t="str">
        <f>HYPERLINK("https://www.google.com/maps?q=-19.6213100,-43.9197910","Abrir no Google Maps")</f>
        <v>Abrir no Google Maps</v>
      </c>
      <c r="S29">
        <v>4</v>
      </c>
      <c r="T29">
        <v>1927.7454867197271</v>
      </c>
      <c r="U29">
        <v>3</v>
      </c>
      <c r="V29">
        <v>0.26935441505904262</v>
      </c>
      <c r="W29">
        <v>1</v>
      </c>
      <c r="X29">
        <v>0.26935441505904262</v>
      </c>
      <c r="Y29">
        <v>3</v>
      </c>
      <c r="Z29">
        <v>1860.010741524231</v>
      </c>
      <c r="AA29">
        <v>2</v>
      </c>
      <c r="AB29">
        <v>3</v>
      </c>
      <c r="AC29">
        <v>7</v>
      </c>
      <c r="AD29">
        <v>26.01</v>
      </c>
      <c r="AE29">
        <v>253</v>
      </c>
      <c r="AF29">
        <v>18</v>
      </c>
      <c r="AG29">
        <v>58</v>
      </c>
      <c r="AH29">
        <v>32</v>
      </c>
      <c r="AI29">
        <v>7.11</v>
      </c>
      <c r="AJ29">
        <v>22.92</v>
      </c>
      <c r="AK29">
        <v>12.65</v>
      </c>
      <c r="AL29">
        <v>-19.620273649999941</v>
      </c>
      <c r="AM29">
        <v>-43.920429283389112</v>
      </c>
      <c r="AN29">
        <v>-19.620273649999941</v>
      </c>
      <c r="AO29">
        <v>-43.920429283389112</v>
      </c>
      <c r="AP29">
        <v>-19.621310000000001</v>
      </c>
      <c r="AQ29">
        <v>-43.919790999999996</v>
      </c>
      <c r="AR29">
        <v>133.3747125733897</v>
      </c>
      <c r="AS29" t="s">
        <v>65</v>
      </c>
      <c r="AT29">
        <v>1</v>
      </c>
      <c r="AU29" t="s">
        <v>237</v>
      </c>
      <c r="AV29" t="s">
        <v>238</v>
      </c>
      <c r="AW29" t="s">
        <v>60</v>
      </c>
      <c r="AX29" t="s">
        <v>68</v>
      </c>
      <c r="AY29" t="s">
        <v>69</v>
      </c>
      <c r="AZ29" t="b">
        <v>1</v>
      </c>
    </row>
    <row r="30" spans="1:52" x14ac:dyDescent="0.3">
      <c r="A30" t="s">
        <v>52</v>
      </c>
      <c r="B30" t="s">
        <v>53</v>
      </c>
      <c r="C30" t="s">
        <v>54</v>
      </c>
      <c r="D30" t="s">
        <v>55</v>
      </c>
      <c r="E30" t="s">
        <v>56</v>
      </c>
      <c r="F30" t="s">
        <v>176</v>
      </c>
      <c r="G30" t="s">
        <v>239</v>
      </c>
      <c r="H30" t="s">
        <v>240</v>
      </c>
      <c r="I30" t="s">
        <v>240</v>
      </c>
      <c r="J30" t="s">
        <v>60</v>
      </c>
      <c r="K30" t="s">
        <v>241</v>
      </c>
      <c r="L30" t="s">
        <v>62</v>
      </c>
      <c r="M30" t="s">
        <v>241</v>
      </c>
      <c r="N30" t="s">
        <v>242</v>
      </c>
      <c r="O30" t="s">
        <v>243</v>
      </c>
      <c r="P30">
        <v>-19.64987</v>
      </c>
      <c r="Q30">
        <v>-43.901328999999997</v>
      </c>
      <c r="R30" s="2" t="str">
        <f>HYPERLINK("https://www.google.com/maps?q=-19.6498700,-43.9013290","Abrir no Google Maps")</f>
        <v>Abrir no Google Maps</v>
      </c>
      <c r="S30">
        <v>4</v>
      </c>
      <c r="T30">
        <v>379.88574886534309</v>
      </c>
      <c r="U30">
        <v>3</v>
      </c>
      <c r="V30">
        <v>0.26839002456537447</v>
      </c>
      <c r="W30">
        <v>1</v>
      </c>
      <c r="X30">
        <v>0.26839002456537447</v>
      </c>
      <c r="Y30">
        <v>1</v>
      </c>
      <c r="Z30">
        <v>442.33649591135162</v>
      </c>
      <c r="AA30">
        <v>2</v>
      </c>
      <c r="AB30">
        <v>3</v>
      </c>
      <c r="AC30">
        <v>7</v>
      </c>
      <c r="AD30">
        <v>26.01</v>
      </c>
      <c r="AE30">
        <v>253</v>
      </c>
      <c r="AF30">
        <v>18</v>
      </c>
      <c r="AG30">
        <v>58</v>
      </c>
      <c r="AH30">
        <v>32</v>
      </c>
      <c r="AI30">
        <v>7.11</v>
      </c>
      <c r="AJ30">
        <v>22.92</v>
      </c>
      <c r="AK30">
        <v>12.65</v>
      </c>
      <c r="AL30">
        <v>-19.64971674999995</v>
      </c>
      <c r="AM30">
        <v>-43.901441574655102</v>
      </c>
      <c r="AN30">
        <v>-19.64971674999995</v>
      </c>
      <c r="AO30">
        <v>-43.901441574655102</v>
      </c>
      <c r="AP30">
        <v>-19.64987</v>
      </c>
      <c r="AQ30">
        <v>-43.901328999999997</v>
      </c>
      <c r="AR30">
        <v>20.744262514610401</v>
      </c>
      <c r="AS30" t="s">
        <v>65</v>
      </c>
      <c r="AT30">
        <v>1</v>
      </c>
      <c r="AU30" t="s">
        <v>244</v>
      </c>
      <c r="AV30" t="s">
        <v>245</v>
      </c>
      <c r="AW30" t="s">
        <v>60</v>
      </c>
      <c r="AX30" t="s">
        <v>68</v>
      </c>
      <c r="AY30" t="s">
        <v>69</v>
      </c>
      <c r="AZ30" t="b">
        <v>1</v>
      </c>
    </row>
    <row r="31" spans="1:52" x14ac:dyDescent="0.3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176</v>
      </c>
      <c r="G31" t="s">
        <v>246</v>
      </c>
      <c r="H31" t="s">
        <v>247</v>
      </c>
      <c r="I31" t="s">
        <v>247</v>
      </c>
      <c r="J31" t="s">
        <v>60</v>
      </c>
      <c r="K31" t="s">
        <v>164</v>
      </c>
      <c r="L31" t="s">
        <v>62</v>
      </c>
      <c r="M31" t="s">
        <v>164</v>
      </c>
      <c r="N31" t="s">
        <v>248</v>
      </c>
      <c r="O31" t="s">
        <v>249</v>
      </c>
      <c r="P31">
        <v>-19.6448</v>
      </c>
      <c r="Q31">
        <v>-43.901600999999999</v>
      </c>
      <c r="R31" s="2" t="str">
        <f>HYPERLINK("https://www.google.com/maps?q=-19.6448000,-43.9016010","Abrir no Google Maps")</f>
        <v>Abrir no Google Maps</v>
      </c>
      <c r="S31">
        <v>4</v>
      </c>
      <c r="T31">
        <v>317.869447308274</v>
      </c>
      <c r="U31">
        <v>3</v>
      </c>
      <c r="V31">
        <v>0.2620965561600429</v>
      </c>
      <c r="W31">
        <v>1</v>
      </c>
      <c r="X31">
        <v>0.2620965561600429</v>
      </c>
      <c r="Y31">
        <v>1</v>
      </c>
      <c r="Z31">
        <v>349.42631749673592</v>
      </c>
      <c r="AA31">
        <v>2</v>
      </c>
      <c r="AB31">
        <v>3</v>
      </c>
      <c r="AC31">
        <v>7</v>
      </c>
      <c r="AD31">
        <v>26.01</v>
      </c>
      <c r="AE31">
        <v>253</v>
      </c>
      <c r="AF31">
        <v>18</v>
      </c>
      <c r="AG31">
        <v>58</v>
      </c>
      <c r="AH31">
        <v>32</v>
      </c>
      <c r="AI31">
        <v>7.11</v>
      </c>
      <c r="AJ31">
        <v>22.92</v>
      </c>
      <c r="AK31">
        <v>12.65</v>
      </c>
      <c r="AL31">
        <v>-19.644877249999951</v>
      </c>
      <c r="AM31">
        <v>-43.901796079893373</v>
      </c>
      <c r="AN31">
        <v>-19.644877249999951</v>
      </c>
      <c r="AO31">
        <v>-43.901796079893373</v>
      </c>
      <c r="AP31">
        <v>-19.6448</v>
      </c>
      <c r="AQ31">
        <v>-43.901600999999999</v>
      </c>
      <c r="AR31">
        <v>22.186635956426102</v>
      </c>
      <c r="AS31" t="s">
        <v>65</v>
      </c>
      <c r="AT31">
        <v>1</v>
      </c>
      <c r="AU31" t="s">
        <v>250</v>
      </c>
      <c r="AV31" t="s">
        <v>251</v>
      </c>
      <c r="AW31" t="s">
        <v>60</v>
      </c>
      <c r="AX31" t="s">
        <v>68</v>
      </c>
      <c r="AY31" t="s">
        <v>69</v>
      </c>
      <c r="AZ31" t="b">
        <v>1</v>
      </c>
    </row>
    <row r="32" spans="1:52" x14ac:dyDescent="0.3">
      <c r="A32" t="s">
        <v>52</v>
      </c>
      <c r="B32" t="s">
        <v>53</v>
      </c>
      <c r="C32" t="s">
        <v>54</v>
      </c>
      <c r="D32" t="s">
        <v>55</v>
      </c>
      <c r="E32" t="s">
        <v>56</v>
      </c>
      <c r="F32" t="s">
        <v>176</v>
      </c>
      <c r="G32" t="s">
        <v>252</v>
      </c>
      <c r="H32" t="s">
        <v>253</v>
      </c>
      <c r="I32" t="s">
        <v>253</v>
      </c>
      <c r="J32" t="s">
        <v>60</v>
      </c>
      <c r="K32" t="s">
        <v>164</v>
      </c>
      <c r="L32" t="s">
        <v>62</v>
      </c>
      <c r="M32" t="s">
        <v>164</v>
      </c>
      <c r="N32" t="s">
        <v>254</v>
      </c>
      <c r="O32" t="s">
        <v>255</v>
      </c>
      <c r="P32">
        <v>-19.652244</v>
      </c>
      <c r="Q32">
        <v>-43.906869</v>
      </c>
      <c r="R32" s="2" t="str">
        <f>HYPERLINK("https://www.google.com/maps?q=-19.6522440,-43.9068690","Abrir no Google Maps")</f>
        <v>Abrir no Google Maps</v>
      </c>
      <c r="S32">
        <v>4</v>
      </c>
      <c r="T32">
        <v>659.98887289357856</v>
      </c>
      <c r="U32">
        <v>3</v>
      </c>
      <c r="V32">
        <v>0.2643253167874231</v>
      </c>
      <c r="W32">
        <v>1</v>
      </c>
      <c r="X32">
        <v>0.2643253167874231</v>
      </c>
      <c r="Y32">
        <v>1</v>
      </c>
      <c r="Z32">
        <v>607.69009953455907</v>
      </c>
      <c r="AA32">
        <v>2</v>
      </c>
      <c r="AB32">
        <v>3</v>
      </c>
      <c r="AC32">
        <v>7</v>
      </c>
      <c r="AD32">
        <v>26.01</v>
      </c>
      <c r="AE32">
        <v>253</v>
      </c>
      <c r="AF32">
        <v>18</v>
      </c>
      <c r="AG32">
        <v>58</v>
      </c>
      <c r="AH32">
        <v>32</v>
      </c>
      <c r="AI32">
        <v>7.11</v>
      </c>
      <c r="AJ32">
        <v>22.92</v>
      </c>
      <c r="AK32">
        <v>12.65</v>
      </c>
      <c r="AL32">
        <v>-19.65225609999996</v>
      </c>
      <c r="AM32">
        <v>-43.906862663911163</v>
      </c>
      <c r="AN32">
        <v>-19.65225609999996</v>
      </c>
      <c r="AO32">
        <v>-43.906862663911149</v>
      </c>
      <c r="AP32">
        <v>-19.652244</v>
      </c>
      <c r="AQ32">
        <v>-43.906869</v>
      </c>
      <c r="AR32">
        <v>1.501852076897872</v>
      </c>
      <c r="AS32" t="s">
        <v>65</v>
      </c>
      <c r="AT32">
        <v>1</v>
      </c>
      <c r="AU32" t="s">
        <v>256</v>
      </c>
      <c r="AV32" t="s">
        <v>257</v>
      </c>
      <c r="AW32" t="s">
        <v>60</v>
      </c>
      <c r="AX32" t="s">
        <v>68</v>
      </c>
      <c r="AY32" t="s">
        <v>69</v>
      </c>
      <c r="AZ32" t="b">
        <v>1</v>
      </c>
    </row>
    <row r="33" spans="1:52" x14ac:dyDescent="0.3">
      <c r="A33" t="s">
        <v>52</v>
      </c>
      <c r="B33" t="s">
        <v>53</v>
      </c>
      <c r="C33" t="s">
        <v>54</v>
      </c>
      <c r="D33" t="s">
        <v>55</v>
      </c>
      <c r="E33" t="s">
        <v>56</v>
      </c>
      <c r="F33" t="s">
        <v>176</v>
      </c>
      <c r="G33" t="s">
        <v>258</v>
      </c>
      <c r="H33" t="s">
        <v>259</v>
      </c>
      <c r="I33" t="s">
        <v>259</v>
      </c>
      <c r="J33" t="s">
        <v>60</v>
      </c>
      <c r="K33" t="s">
        <v>192</v>
      </c>
      <c r="L33" t="s">
        <v>62</v>
      </c>
      <c r="M33" t="s">
        <v>192</v>
      </c>
      <c r="N33" t="s">
        <v>260</v>
      </c>
      <c r="O33" t="s">
        <v>261</v>
      </c>
      <c r="P33">
        <v>-19.651322</v>
      </c>
      <c r="Q33">
        <v>-43.909526999999997</v>
      </c>
      <c r="R33" s="2" t="str">
        <f>HYPERLINK("https://www.google.com/maps?q=-19.6513220,-43.9095270","Abrir no Google Maps")</f>
        <v>Abrir no Google Maps</v>
      </c>
      <c r="S33">
        <v>4</v>
      </c>
      <c r="T33">
        <v>818.75599819160288</v>
      </c>
      <c r="U33">
        <v>3</v>
      </c>
      <c r="V33">
        <v>0.26000206124382602</v>
      </c>
      <c r="W33">
        <v>1</v>
      </c>
      <c r="X33">
        <v>0.26000206124382602</v>
      </c>
      <c r="Y33">
        <v>1</v>
      </c>
      <c r="Z33">
        <v>730.53961508554767</v>
      </c>
      <c r="AA33">
        <v>2</v>
      </c>
      <c r="AB33">
        <v>3</v>
      </c>
      <c r="AC33">
        <v>7</v>
      </c>
      <c r="AD33">
        <v>26.01</v>
      </c>
      <c r="AE33">
        <v>253</v>
      </c>
      <c r="AF33">
        <v>18</v>
      </c>
      <c r="AG33">
        <v>58</v>
      </c>
      <c r="AH33">
        <v>32</v>
      </c>
      <c r="AI33">
        <v>7.11</v>
      </c>
      <c r="AJ33">
        <v>22.92</v>
      </c>
      <c r="AK33">
        <v>12.65</v>
      </c>
      <c r="AL33">
        <v>-19.65143184999997</v>
      </c>
      <c r="AM33">
        <v>-43.910059983056307</v>
      </c>
      <c r="AN33">
        <v>-19.65143184999997</v>
      </c>
      <c r="AO33">
        <v>-43.910059983056307</v>
      </c>
      <c r="AP33">
        <v>-19.651322</v>
      </c>
      <c r="AQ33">
        <v>-43.909526999999997</v>
      </c>
      <c r="AR33">
        <v>57.198416395481701</v>
      </c>
      <c r="AS33" t="s">
        <v>65</v>
      </c>
      <c r="AT33">
        <v>1</v>
      </c>
      <c r="AU33" t="s">
        <v>262</v>
      </c>
      <c r="AV33" t="s">
        <v>263</v>
      </c>
      <c r="AW33" t="s">
        <v>60</v>
      </c>
      <c r="AX33" t="s">
        <v>68</v>
      </c>
      <c r="AY33" t="s">
        <v>69</v>
      </c>
      <c r="AZ33" t="b">
        <v>1</v>
      </c>
    </row>
    <row r="34" spans="1:52" x14ac:dyDescent="0.3">
      <c r="A34" t="s">
        <v>52</v>
      </c>
      <c r="B34" t="s">
        <v>53</v>
      </c>
      <c r="C34" t="s">
        <v>54</v>
      </c>
      <c r="D34" t="s">
        <v>55</v>
      </c>
      <c r="E34" t="s">
        <v>56</v>
      </c>
      <c r="F34" t="s">
        <v>176</v>
      </c>
      <c r="G34" t="s">
        <v>217</v>
      </c>
      <c r="H34" t="s">
        <v>264</v>
      </c>
      <c r="I34" t="s">
        <v>264</v>
      </c>
      <c r="J34" t="s">
        <v>60</v>
      </c>
      <c r="K34" t="s">
        <v>219</v>
      </c>
      <c r="L34" t="s">
        <v>62</v>
      </c>
      <c r="M34" t="s">
        <v>219</v>
      </c>
      <c r="N34" t="s">
        <v>220</v>
      </c>
      <c r="O34" t="s">
        <v>265</v>
      </c>
      <c r="P34">
        <v>-19.668958</v>
      </c>
      <c r="Q34">
        <v>-43.890619999999998</v>
      </c>
      <c r="R34" s="2" t="str">
        <f>HYPERLINK("https://www.google.com/maps?q=-19.6689580,-43.8906200","Abrir no Google Maps")</f>
        <v>Abrir no Google Maps</v>
      </c>
      <c r="S34">
        <v>4</v>
      </c>
      <c r="T34">
        <v>893.53138484322108</v>
      </c>
      <c r="U34">
        <v>3</v>
      </c>
      <c r="V34">
        <v>0.26600741903460079</v>
      </c>
      <c r="W34">
        <v>1</v>
      </c>
      <c r="X34">
        <v>0.26600741903460079</v>
      </c>
      <c r="Y34">
        <v>1</v>
      </c>
      <c r="Z34">
        <v>336.68220024294959</v>
      </c>
      <c r="AA34">
        <v>2</v>
      </c>
      <c r="AB34">
        <v>3</v>
      </c>
      <c r="AC34">
        <v>7</v>
      </c>
      <c r="AD34">
        <v>26.01</v>
      </c>
      <c r="AE34">
        <v>253</v>
      </c>
      <c r="AF34">
        <v>18</v>
      </c>
      <c r="AG34">
        <v>58</v>
      </c>
      <c r="AH34">
        <v>32</v>
      </c>
      <c r="AI34">
        <v>7.11</v>
      </c>
      <c r="AJ34">
        <v>22.92</v>
      </c>
      <c r="AK34">
        <v>12.65</v>
      </c>
      <c r="AL34">
        <v>-19.669114549999961</v>
      </c>
      <c r="AM34">
        <v>-43.890740893526242</v>
      </c>
      <c r="AN34">
        <v>-19.669114549999961</v>
      </c>
      <c r="AO34">
        <v>-43.890740893526242</v>
      </c>
      <c r="AP34">
        <v>-19.668958</v>
      </c>
      <c r="AQ34">
        <v>-43.890619999999998</v>
      </c>
      <c r="AR34">
        <v>21.54764375256557</v>
      </c>
      <c r="AS34" t="s">
        <v>65</v>
      </c>
      <c r="AT34">
        <v>1</v>
      </c>
      <c r="AU34" t="s">
        <v>266</v>
      </c>
      <c r="AV34" t="s">
        <v>267</v>
      </c>
      <c r="AW34" t="s">
        <v>60</v>
      </c>
      <c r="AX34" t="s">
        <v>68</v>
      </c>
      <c r="AY34" t="s">
        <v>69</v>
      </c>
      <c r="AZ34" t="b">
        <v>1</v>
      </c>
    </row>
    <row r="35" spans="1:52" x14ac:dyDescent="0.3">
      <c r="A35" t="s">
        <v>52</v>
      </c>
      <c r="B35" t="s">
        <v>53</v>
      </c>
      <c r="C35" t="s">
        <v>54</v>
      </c>
      <c r="D35" t="s">
        <v>55</v>
      </c>
      <c r="E35" t="s">
        <v>56</v>
      </c>
      <c r="F35" t="s">
        <v>176</v>
      </c>
      <c r="G35" t="s">
        <v>268</v>
      </c>
      <c r="H35" t="s">
        <v>269</v>
      </c>
      <c r="I35" t="s">
        <v>269</v>
      </c>
      <c r="J35" t="s">
        <v>60</v>
      </c>
      <c r="K35" t="s">
        <v>164</v>
      </c>
      <c r="L35" t="s">
        <v>62</v>
      </c>
      <c r="M35" t="s">
        <v>164</v>
      </c>
      <c r="N35" t="s">
        <v>270</v>
      </c>
      <c r="O35" t="s">
        <v>113</v>
      </c>
      <c r="P35">
        <v>-19.648771</v>
      </c>
      <c r="Q35">
        <v>-43.903640000000003</v>
      </c>
      <c r="R35" s="2" t="str">
        <f>HYPERLINK("https://www.google.com/maps?q=-19.6487710,-43.9036400","Abrir no Google Maps")</f>
        <v>Abrir no Google Maps</v>
      </c>
      <c r="S35">
        <v>4</v>
      </c>
      <c r="T35">
        <v>206.63717887005251</v>
      </c>
      <c r="U35">
        <v>3</v>
      </c>
      <c r="V35">
        <v>0.2717957855722043</v>
      </c>
      <c r="W35">
        <v>1</v>
      </c>
      <c r="X35">
        <v>0.2717957855722043</v>
      </c>
      <c r="Y35">
        <v>1</v>
      </c>
      <c r="Z35">
        <v>200.80459056276209</v>
      </c>
      <c r="AA35">
        <v>2</v>
      </c>
      <c r="AB35">
        <v>3</v>
      </c>
      <c r="AC35">
        <v>7</v>
      </c>
      <c r="AD35">
        <v>26.01</v>
      </c>
      <c r="AE35">
        <v>253</v>
      </c>
      <c r="AF35">
        <v>18</v>
      </c>
      <c r="AG35">
        <v>58</v>
      </c>
      <c r="AH35">
        <v>32</v>
      </c>
      <c r="AI35">
        <v>7.11</v>
      </c>
      <c r="AJ35">
        <v>22.92</v>
      </c>
      <c r="AK35">
        <v>12.65</v>
      </c>
      <c r="AL35">
        <v>-19.648938299999969</v>
      </c>
      <c r="AM35">
        <v>-43.903687287450857</v>
      </c>
      <c r="AN35">
        <v>-19.648938299999969</v>
      </c>
      <c r="AO35">
        <v>-43.903687287450857</v>
      </c>
      <c r="AP35">
        <v>-19.648771</v>
      </c>
      <c r="AQ35">
        <v>-43.903640000000003</v>
      </c>
      <c r="AR35">
        <v>19.272369946853829</v>
      </c>
      <c r="AS35" t="s">
        <v>65</v>
      </c>
      <c r="AT35">
        <v>1</v>
      </c>
      <c r="AU35" t="s">
        <v>271</v>
      </c>
      <c r="AV35" t="s">
        <v>272</v>
      </c>
      <c r="AW35" t="s">
        <v>60</v>
      </c>
      <c r="AX35" t="s">
        <v>68</v>
      </c>
      <c r="AY35" t="s">
        <v>69</v>
      </c>
      <c r="AZ35" t="b">
        <v>1</v>
      </c>
    </row>
    <row r="36" spans="1:52" x14ac:dyDescent="0.3">
      <c r="A36" t="s">
        <v>52</v>
      </c>
      <c r="B36" t="s">
        <v>53</v>
      </c>
      <c r="C36" t="s">
        <v>54</v>
      </c>
      <c r="D36" t="s">
        <v>55</v>
      </c>
      <c r="E36" t="s">
        <v>56</v>
      </c>
      <c r="F36" t="s">
        <v>176</v>
      </c>
      <c r="G36" t="s">
        <v>273</v>
      </c>
      <c r="H36" t="s">
        <v>274</v>
      </c>
      <c r="I36" t="s">
        <v>274</v>
      </c>
      <c r="J36" t="s">
        <v>60</v>
      </c>
      <c r="K36" t="s">
        <v>171</v>
      </c>
      <c r="L36" t="s">
        <v>62</v>
      </c>
      <c r="M36" t="s">
        <v>171</v>
      </c>
      <c r="N36" t="s">
        <v>275</v>
      </c>
      <c r="O36" t="s">
        <v>276</v>
      </c>
      <c r="P36">
        <v>-19.679956000000001</v>
      </c>
      <c r="Q36">
        <v>-43.888520999999997</v>
      </c>
      <c r="R36" s="2" t="str">
        <f>HYPERLINK("https://www.google.com/maps?q=-19.6799560,-43.8885210","Abrir no Google Maps")</f>
        <v>Abrir no Google Maps</v>
      </c>
      <c r="S36">
        <v>4</v>
      </c>
      <c r="T36">
        <v>346.2974251077423</v>
      </c>
      <c r="U36">
        <v>3</v>
      </c>
      <c r="V36">
        <v>0.27337272751020592</v>
      </c>
      <c r="W36">
        <v>1</v>
      </c>
      <c r="X36">
        <v>0.27337272751020592</v>
      </c>
      <c r="Y36">
        <v>0</v>
      </c>
      <c r="Z36">
        <v>223.68420981797229</v>
      </c>
      <c r="AA36">
        <v>2</v>
      </c>
      <c r="AB36">
        <v>3</v>
      </c>
      <c r="AC36">
        <v>7</v>
      </c>
      <c r="AD36">
        <v>26.01</v>
      </c>
      <c r="AE36">
        <v>253</v>
      </c>
      <c r="AF36">
        <v>18</v>
      </c>
      <c r="AG36">
        <v>58</v>
      </c>
      <c r="AH36">
        <v>32</v>
      </c>
      <c r="AI36">
        <v>7.11</v>
      </c>
      <c r="AJ36">
        <v>22.92</v>
      </c>
      <c r="AK36">
        <v>12.65</v>
      </c>
      <c r="AL36">
        <v>-19.67989189999998</v>
      </c>
      <c r="AM36">
        <v>-43.888485157753777</v>
      </c>
      <c r="AN36">
        <v>-19.67989189999998</v>
      </c>
      <c r="AO36">
        <v>-43.888485157753777</v>
      </c>
      <c r="AP36">
        <v>-19.679956000000001</v>
      </c>
      <c r="AQ36">
        <v>-43.888520999999997</v>
      </c>
      <c r="AR36">
        <v>8.0641961934087583</v>
      </c>
      <c r="AS36" t="s">
        <v>65</v>
      </c>
      <c r="AT36">
        <v>1</v>
      </c>
      <c r="AU36" t="s">
        <v>277</v>
      </c>
      <c r="AV36" t="s">
        <v>278</v>
      </c>
      <c r="AW36" t="s">
        <v>60</v>
      </c>
      <c r="AX36" t="s">
        <v>68</v>
      </c>
      <c r="AY36" t="s">
        <v>69</v>
      </c>
      <c r="AZ36" t="b">
        <v>1</v>
      </c>
    </row>
    <row r="37" spans="1:52" x14ac:dyDescent="0.3">
      <c r="A37" t="s">
        <v>52</v>
      </c>
      <c r="B37" t="s">
        <v>53</v>
      </c>
      <c r="C37" t="s">
        <v>54</v>
      </c>
      <c r="D37" t="s">
        <v>55</v>
      </c>
      <c r="E37" t="s">
        <v>56</v>
      </c>
      <c r="F37" t="s">
        <v>176</v>
      </c>
      <c r="G37" t="s">
        <v>279</v>
      </c>
      <c r="H37" t="s">
        <v>280</v>
      </c>
      <c r="I37" t="s">
        <v>280</v>
      </c>
      <c r="J37" t="s">
        <v>60</v>
      </c>
      <c r="K37" t="s">
        <v>171</v>
      </c>
      <c r="L37" t="s">
        <v>62</v>
      </c>
      <c r="M37" t="s">
        <v>171</v>
      </c>
      <c r="N37" t="s">
        <v>281</v>
      </c>
      <c r="O37" t="s">
        <v>282</v>
      </c>
      <c r="P37">
        <v>-19.677088000000001</v>
      </c>
      <c r="Q37">
        <v>-43.890014000000001</v>
      </c>
      <c r="R37" s="2" t="str">
        <f>HYPERLINK("https://www.google.com/maps?q=-19.6770880,-43.8900140","Abrir no Google Maps")</f>
        <v>Abrir no Google Maps</v>
      </c>
      <c r="S37">
        <v>4</v>
      </c>
      <c r="T37">
        <v>0</v>
      </c>
      <c r="U37">
        <v>3</v>
      </c>
      <c r="V37">
        <v>0.26964933728372098</v>
      </c>
      <c r="W37">
        <v>1</v>
      </c>
      <c r="X37">
        <v>0.26964933728372098</v>
      </c>
      <c r="Y37">
        <v>0</v>
      </c>
      <c r="Z37">
        <v>151.75635194559609</v>
      </c>
      <c r="AA37">
        <v>2</v>
      </c>
      <c r="AB37">
        <v>3</v>
      </c>
      <c r="AC37">
        <v>7</v>
      </c>
      <c r="AD37">
        <v>26.01</v>
      </c>
      <c r="AE37">
        <v>253</v>
      </c>
      <c r="AF37">
        <v>18</v>
      </c>
      <c r="AG37">
        <v>58</v>
      </c>
      <c r="AH37">
        <v>32</v>
      </c>
      <c r="AI37">
        <v>7.11</v>
      </c>
      <c r="AJ37">
        <v>22.92</v>
      </c>
      <c r="AK37">
        <v>12.65</v>
      </c>
      <c r="AL37">
        <v>-19.677165649999949</v>
      </c>
      <c r="AM37">
        <v>-43.890106299611283</v>
      </c>
      <c r="AN37">
        <v>-19.677165649999949</v>
      </c>
      <c r="AO37">
        <v>-43.890106299611283</v>
      </c>
      <c r="AP37">
        <v>-19.677088000000001</v>
      </c>
      <c r="AQ37">
        <v>-43.890014000000001</v>
      </c>
      <c r="AR37">
        <v>12.973833126778279</v>
      </c>
      <c r="AS37" t="s">
        <v>65</v>
      </c>
      <c r="AT37">
        <v>1</v>
      </c>
      <c r="AU37" t="s">
        <v>283</v>
      </c>
      <c r="AV37" t="s">
        <v>175</v>
      </c>
      <c r="AW37" t="s">
        <v>60</v>
      </c>
      <c r="AX37" t="s">
        <v>68</v>
      </c>
      <c r="AY37" t="s">
        <v>69</v>
      </c>
      <c r="AZ37" t="b">
        <v>1</v>
      </c>
    </row>
    <row r="38" spans="1:52" x14ac:dyDescent="0.3">
      <c r="A38" t="s">
        <v>52</v>
      </c>
      <c r="B38" t="s">
        <v>53</v>
      </c>
      <c r="C38" t="s">
        <v>54</v>
      </c>
      <c r="D38" t="s">
        <v>55</v>
      </c>
      <c r="E38" t="s">
        <v>56</v>
      </c>
      <c r="F38" t="s">
        <v>176</v>
      </c>
      <c r="G38" t="s">
        <v>284</v>
      </c>
      <c r="H38" t="s">
        <v>285</v>
      </c>
      <c r="I38" t="s">
        <v>285</v>
      </c>
      <c r="J38" t="s">
        <v>60</v>
      </c>
      <c r="K38" t="s">
        <v>286</v>
      </c>
      <c r="L38" t="s">
        <v>62</v>
      </c>
      <c r="M38" t="s">
        <v>286</v>
      </c>
      <c r="N38" t="s">
        <v>287</v>
      </c>
      <c r="O38" t="s">
        <v>288</v>
      </c>
      <c r="P38">
        <v>-19.639790000000001</v>
      </c>
      <c r="Q38">
        <v>-43.882798999999999</v>
      </c>
      <c r="R38" s="2" t="str">
        <f>HYPERLINK("https://www.google.com/maps?q=-19.6397900,-43.8827990","Abrir no Google Maps")</f>
        <v>Abrir no Google Maps</v>
      </c>
      <c r="S38">
        <v>3</v>
      </c>
      <c r="T38">
        <v>242.7052058134478</v>
      </c>
      <c r="U38">
        <v>4</v>
      </c>
      <c r="V38">
        <v>0.2795947088084873</v>
      </c>
      <c r="W38">
        <v>1</v>
      </c>
      <c r="X38">
        <v>0.2795947088084873</v>
      </c>
      <c r="Y38">
        <v>10</v>
      </c>
      <c r="Z38">
        <v>187.2088809462339</v>
      </c>
      <c r="AA38">
        <v>2</v>
      </c>
      <c r="AB38">
        <v>3</v>
      </c>
      <c r="AC38">
        <v>7</v>
      </c>
      <c r="AD38">
        <v>26.01</v>
      </c>
      <c r="AE38">
        <v>253</v>
      </c>
      <c r="AF38">
        <v>18</v>
      </c>
      <c r="AG38">
        <v>58</v>
      </c>
      <c r="AH38">
        <v>32</v>
      </c>
      <c r="AI38">
        <v>7.11</v>
      </c>
      <c r="AJ38">
        <v>22.92</v>
      </c>
      <c r="AK38">
        <v>12.65</v>
      </c>
      <c r="AL38">
        <v>-19.639855599999951</v>
      </c>
      <c r="AM38">
        <v>-43.882909745178452</v>
      </c>
      <c r="AN38">
        <v>-19.639855599999951</v>
      </c>
      <c r="AO38">
        <v>-43.882909745178452</v>
      </c>
      <c r="AP38">
        <v>-19.639790000000001</v>
      </c>
      <c r="AQ38">
        <v>-43.882798999999999</v>
      </c>
      <c r="AR38">
        <v>13.716486068571211</v>
      </c>
      <c r="AS38" t="s">
        <v>65</v>
      </c>
      <c r="AT38">
        <v>1</v>
      </c>
      <c r="AU38" t="s">
        <v>289</v>
      </c>
      <c r="AV38" t="s">
        <v>290</v>
      </c>
      <c r="AW38" t="s">
        <v>60</v>
      </c>
      <c r="AX38" t="s">
        <v>68</v>
      </c>
      <c r="AY38" t="s">
        <v>69</v>
      </c>
      <c r="AZ38" t="b">
        <v>1</v>
      </c>
    </row>
    <row r="39" spans="1:52" x14ac:dyDescent="0.3">
      <c r="A39" t="s">
        <v>52</v>
      </c>
      <c r="B39" t="s">
        <v>53</v>
      </c>
      <c r="C39" t="s">
        <v>54</v>
      </c>
      <c r="D39" t="s">
        <v>55</v>
      </c>
      <c r="E39" t="s">
        <v>56</v>
      </c>
      <c r="F39" t="s">
        <v>176</v>
      </c>
      <c r="G39" t="s">
        <v>291</v>
      </c>
      <c r="H39" t="s">
        <v>292</v>
      </c>
      <c r="I39" t="s">
        <v>292</v>
      </c>
      <c r="J39" t="s">
        <v>60</v>
      </c>
      <c r="K39" t="s">
        <v>286</v>
      </c>
      <c r="L39" t="s">
        <v>62</v>
      </c>
      <c r="M39" t="s">
        <v>286</v>
      </c>
      <c r="N39" t="s">
        <v>293</v>
      </c>
      <c r="O39" t="s">
        <v>294</v>
      </c>
      <c r="P39">
        <v>-19.640333999999999</v>
      </c>
      <c r="Q39">
        <v>-43.880004999999997</v>
      </c>
      <c r="R39" s="2" t="str">
        <f>HYPERLINK("https://www.google.com/maps?q=-19.6403340,-43.8800050","Abrir no Google Maps")</f>
        <v>Abrir no Google Maps</v>
      </c>
      <c r="S39">
        <v>3</v>
      </c>
      <c r="T39">
        <v>276.80943817309782</v>
      </c>
      <c r="U39">
        <v>4</v>
      </c>
      <c r="V39">
        <v>0.29308458175045582</v>
      </c>
      <c r="W39">
        <v>1</v>
      </c>
      <c r="X39">
        <v>0.29308458175045582</v>
      </c>
      <c r="Y39">
        <v>10</v>
      </c>
      <c r="Z39">
        <v>361.98332038983392</v>
      </c>
      <c r="AA39">
        <v>2</v>
      </c>
      <c r="AB39">
        <v>3</v>
      </c>
      <c r="AC39">
        <v>7</v>
      </c>
      <c r="AD39">
        <v>26.01</v>
      </c>
      <c r="AE39">
        <v>253</v>
      </c>
      <c r="AF39">
        <v>18</v>
      </c>
      <c r="AG39">
        <v>58</v>
      </c>
      <c r="AH39">
        <v>32</v>
      </c>
      <c r="AI39">
        <v>7.11</v>
      </c>
      <c r="AJ39">
        <v>22.92</v>
      </c>
      <c r="AK39">
        <v>12.65</v>
      </c>
      <c r="AL39">
        <v>-19.640260249999951</v>
      </c>
      <c r="AM39">
        <v>-43.880090474326408</v>
      </c>
      <c r="AN39">
        <v>-19.640260249999951</v>
      </c>
      <c r="AO39">
        <v>-43.880090474326408</v>
      </c>
      <c r="AP39">
        <v>-19.640333999999999</v>
      </c>
      <c r="AQ39">
        <v>-43.880004999999997</v>
      </c>
      <c r="AR39">
        <v>12.153556195359609</v>
      </c>
      <c r="AS39" t="s">
        <v>65</v>
      </c>
      <c r="AT39">
        <v>1</v>
      </c>
      <c r="AU39" t="s">
        <v>295</v>
      </c>
      <c r="AV39" t="s">
        <v>296</v>
      </c>
      <c r="AW39" t="s">
        <v>60</v>
      </c>
      <c r="AX39" t="s">
        <v>68</v>
      </c>
      <c r="AY39" t="s">
        <v>69</v>
      </c>
      <c r="AZ39" t="b">
        <v>1</v>
      </c>
    </row>
    <row r="40" spans="1:52" x14ac:dyDescent="0.3">
      <c r="A40" t="s">
        <v>52</v>
      </c>
      <c r="B40" t="s">
        <v>53</v>
      </c>
      <c r="C40" t="s">
        <v>54</v>
      </c>
      <c r="D40" t="s">
        <v>55</v>
      </c>
      <c r="E40" t="s">
        <v>56</v>
      </c>
      <c r="F40" t="s">
        <v>176</v>
      </c>
      <c r="G40" t="s">
        <v>297</v>
      </c>
      <c r="H40" t="s">
        <v>298</v>
      </c>
      <c r="I40" t="s">
        <v>298</v>
      </c>
      <c r="J40" t="s">
        <v>60</v>
      </c>
      <c r="K40" t="s">
        <v>299</v>
      </c>
      <c r="L40" t="s">
        <v>62</v>
      </c>
      <c r="M40" t="s">
        <v>299</v>
      </c>
      <c r="N40" t="s">
        <v>300</v>
      </c>
      <c r="O40" t="s">
        <v>301</v>
      </c>
      <c r="P40">
        <v>-19.679597000000001</v>
      </c>
      <c r="Q40">
        <v>-43.912095000000001</v>
      </c>
      <c r="R40" s="2" t="str">
        <f>HYPERLINK("https://www.google.com/maps?q=-19.6795970,-43.9120950","Abrir no Google Maps")</f>
        <v>Abrir no Google Maps</v>
      </c>
      <c r="S40">
        <v>3</v>
      </c>
      <c r="T40">
        <v>1581.3368267219889</v>
      </c>
      <c r="U40">
        <v>4</v>
      </c>
      <c r="V40">
        <v>0.27830440900356768</v>
      </c>
      <c r="W40">
        <v>1</v>
      </c>
      <c r="X40">
        <v>0.27830440900356768</v>
      </c>
      <c r="Y40">
        <v>5</v>
      </c>
      <c r="Z40">
        <v>2051.2590436749392</v>
      </c>
      <c r="AA40">
        <v>2</v>
      </c>
      <c r="AB40">
        <v>3</v>
      </c>
      <c r="AC40">
        <v>7</v>
      </c>
      <c r="AD40">
        <v>26.01</v>
      </c>
      <c r="AE40">
        <v>253</v>
      </c>
      <c r="AF40">
        <v>18</v>
      </c>
      <c r="AG40">
        <v>58</v>
      </c>
      <c r="AH40">
        <v>32</v>
      </c>
      <c r="AI40">
        <v>7.11</v>
      </c>
      <c r="AJ40">
        <v>22.92</v>
      </c>
      <c r="AK40">
        <v>12.65</v>
      </c>
      <c r="AL40">
        <v>-19.679572799999931</v>
      </c>
      <c r="AM40">
        <v>-43.912071775440793</v>
      </c>
      <c r="AN40">
        <v>-19.679572799999931</v>
      </c>
      <c r="AO40">
        <v>-43.912071775440793</v>
      </c>
      <c r="AP40">
        <v>-19.679597000000001</v>
      </c>
      <c r="AQ40">
        <v>-43.912095000000001</v>
      </c>
      <c r="AR40">
        <v>3.6308936744190978</v>
      </c>
      <c r="AS40" t="s">
        <v>65</v>
      </c>
      <c r="AT40">
        <v>1</v>
      </c>
      <c r="AU40" t="s">
        <v>302</v>
      </c>
      <c r="AV40" t="s">
        <v>303</v>
      </c>
      <c r="AW40" t="s">
        <v>60</v>
      </c>
      <c r="AX40" t="s">
        <v>68</v>
      </c>
      <c r="AY40" t="s">
        <v>69</v>
      </c>
      <c r="AZ40" t="b">
        <v>1</v>
      </c>
    </row>
    <row r="41" spans="1:52" x14ac:dyDescent="0.3">
      <c r="A41" t="s">
        <v>52</v>
      </c>
      <c r="B41" t="s">
        <v>53</v>
      </c>
      <c r="C41" t="s">
        <v>54</v>
      </c>
      <c r="D41" t="s">
        <v>55</v>
      </c>
      <c r="E41" t="s">
        <v>56</v>
      </c>
      <c r="F41" t="s">
        <v>176</v>
      </c>
      <c r="G41" t="s">
        <v>304</v>
      </c>
      <c r="H41" t="s">
        <v>305</v>
      </c>
      <c r="I41" t="s">
        <v>305</v>
      </c>
      <c r="J41" t="s">
        <v>60</v>
      </c>
      <c r="K41" t="s">
        <v>299</v>
      </c>
      <c r="L41" t="s">
        <v>62</v>
      </c>
      <c r="M41" t="s">
        <v>299</v>
      </c>
      <c r="N41" t="s">
        <v>306</v>
      </c>
      <c r="O41" t="s">
        <v>307</v>
      </c>
      <c r="P41">
        <v>-19.681051</v>
      </c>
      <c r="Q41">
        <v>-43.914375</v>
      </c>
      <c r="R41" s="2" t="str">
        <f>HYPERLINK("https://www.google.com/maps?q=-19.6810510,-43.9143750","Abrir no Google Maps")</f>
        <v>Abrir no Google Maps</v>
      </c>
      <c r="S41">
        <v>3</v>
      </c>
      <c r="T41">
        <v>1793.507056919605</v>
      </c>
      <c r="U41">
        <v>4</v>
      </c>
      <c r="V41">
        <v>0.27654821321733991</v>
      </c>
      <c r="W41">
        <v>1</v>
      </c>
      <c r="X41">
        <v>0.27654821321733991</v>
      </c>
      <c r="Y41">
        <v>5</v>
      </c>
      <c r="Z41">
        <v>2183.7125920783069</v>
      </c>
      <c r="AA41">
        <v>2</v>
      </c>
      <c r="AB41">
        <v>3</v>
      </c>
      <c r="AC41">
        <v>7</v>
      </c>
      <c r="AD41">
        <v>26.01</v>
      </c>
      <c r="AE41">
        <v>253</v>
      </c>
      <c r="AF41">
        <v>18</v>
      </c>
      <c r="AG41">
        <v>58</v>
      </c>
      <c r="AH41">
        <v>32</v>
      </c>
      <c r="AI41">
        <v>7.11</v>
      </c>
      <c r="AJ41">
        <v>22.92</v>
      </c>
      <c r="AK41">
        <v>12.65</v>
      </c>
      <c r="AL41">
        <v>-19.680967149999962</v>
      </c>
      <c r="AM41">
        <v>-43.914383884426663</v>
      </c>
      <c r="AN41">
        <v>-19.680967149999962</v>
      </c>
      <c r="AO41">
        <v>-43.914383884426663</v>
      </c>
      <c r="AP41">
        <v>-19.681051</v>
      </c>
      <c r="AQ41">
        <v>-43.914375</v>
      </c>
      <c r="AR41">
        <v>9.3805201894968722</v>
      </c>
      <c r="AS41" t="s">
        <v>65</v>
      </c>
      <c r="AT41">
        <v>1</v>
      </c>
      <c r="AU41" t="s">
        <v>308</v>
      </c>
      <c r="AV41" t="s">
        <v>303</v>
      </c>
      <c r="AW41" t="s">
        <v>60</v>
      </c>
      <c r="AX41" t="s">
        <v>68</v>
      </c>
      <c r="AY41" t="s">
        <v>69</v>
      </c>
      <c r="AZ41" t="b">
        <v>1</v>
      </c>
    </row>
    <row r="42" spans="1:52" x14ac:dyDescent="0.3">
      <c r="A42" t="s">
        <v>52</v>
      </c>
      <c r="B42" t="s">
        <v>53</v>
      </c>
      <c r="C42" t="s">
        <v>54</v>
      </c>
      <c r="D42" t="s">
        <v>55</v>
      </c>
      <c r="E42" t="s">
        <v>56</v>
      </c>
      <c r="F42" t="s">
        <v>176</v>
      </c>
      <c r="G42" t="s">
        <v>309</v>
      </c>
      <c r="H42" t="s">
        <v>310</v>
      </c>
      <c r="I42" t="s">
        <v>310</v>
      </c>
      <c r="J42" t="s">
        <v>60</v>
      </c>
      <c r="K42" t="s">
        <v>311</v>
      </c>
      <c r="L42" t="s">
        <v>62</v>
      </c>
      <c r="M42" t="s">
        <v>311</v>
      </c>
      <c r="N42" t="s">
        <v>312</v>
      </c>
      <c r="O42" t="s">
        <v>313</v>
      </c>
      <c r="P42">
        <v>-19.576996999999999</v>
      </c>
      <c r="Q42">
        <v>-43.919024999999998</v>
      </c>
      <c r="R42" s="2" t="str">
        <f>HYPERLINK("https://www.google.com/maps?q=-19.5769970,-43.9190250","Abrir no Google Maps")</f>
        <v>Abrir no Google Maps</v>
      </c>
      <c r="S42">
        <v>3</v>
      </c>
      <c r="T42">
        <v>316.64266747869789</v>
      </c>
      <c r="U42">
        <v>4</v>
      </c>
      <c r="V42">
        <v>0.3821251572605357</v>
      </c>
      <c r="W42">
        <v>0.85</v>
      </c>
      <c r="X42">
        <v>0.32480638367145531</v>
      </c>
      <c r="Y42">
        <v>5</v>
      </c>
      <c r="Z42">
        <v>411.74435151529269</v>
      </c>
      <c r="AA42">
        <v>2</v>
      </c>
      <c r="AB42">
        <v>3</v>
      </c>
      <c r="AC42">
        <v>7</v>
      </c>
      <c r="AD42">
        <v>26.01</v>
      </c>
      <c r="AE42">
        <v>253</v>
      </c>
      <c r="AF42">
        <v>18</v>
      </c>
      <c r="AG42">
        <v>58</v>
      </c>
      <c r="AH42">
        <v>32</v>
      </c>
      <c r="AI42">
        <v>7.11</v>
      </c>
      <c r="AJ42">
        <v>22.92</v>
      </c>
      <c r="AK42">
        <v>12.65</v>
      </c>
      <c r="AL42">
        <v>-19.576964999999941</v>
      </c>
      <c r="AM42">
        <v>-43.919068241233632</v>
      </c>
      <c r="AN42">
        <v>-19.576964999999941</v>
      </c>
      <c r="AO42">
        <v>-43.919068241233632</v>
      </c>
      <c r="AP42">
        <v>-19.576996999999999</v>
      </c>
      <c r="AQ42">
        <v>-43.919024999999998</v>
      </c>
      <c r="AR42">
        <v>5.7670575161946216</v>
      </c>
      <c r="AS42" t="s">
        <v>65</v>
      </c>
      <c r="AT42">
        <v>1</v>
      </c>
      <c r="AU42" t="s">
        <v>314</v>
      </c>
      <c r="AV42" t="s">
        <v>315</v>
      </c>
      <c r="AW42" t="s">
        <v>60</v>
      </c>
      <c r="AX42" t="s">
        <v>68</v>
      </c>
      <c r="AY42" t="s">
        <v>69</v>
      </c>
      <c r="AZ42" t="b">
        <v>1</v>
      </c>
    </row>
    <row r="43" spans="1:52" x14ac:dyDescent="0.3">
      <c r="A43" t="s">
        <v>52</v>
      </c>
      <c r="B43" t="s">
        <v>53</v>
      </c>
      <c r="C43" t="s">
        <v>54</v>
      </c>
      <c r="D43" t="s">
        <v>55</v>
      </c>
      <c r="E43" t="s">
        <v>56</v>
      </c>
      <c r="F43" t="s">
        <v>176</v>
      </c>
      <c r="G43" t="s">
        <v>309</v>
      </c>
      <c r="H43" t="s">
        <v>316</v>
      </c>
      <c r="I43" t="s">
        <v>316</v>
      </c>
      <c r="J43" t="s">
        <v>60</v>
      </c>
      <c r="K43" t="s">
        <v>311</v>
      </c>
      <c r="L43" t="s">
        <v>62</v>
      </c>
      <c r="M43" t="s">
        <v>311</v>
      </c>
      <c r="N43" t="s">
        <v>317</v>
      </c>
      <c r="O43" t="s">
        <v>313</v>
      </c>
      <c r="P43">
        <v>-19.580131999999999</v>
      </c>
      <c r="Q43">
        <v>-43.918303000000002</v>
      </c>
      <c r="R43" s="2" t="str">
        <f>HYPERLINK("https://www.google.com/maps?q=-19.5801320,-43.9183030","Abrir no Google Maps")</f>
        <v>Abrir no Google Maps</v>
      </c>
      <c r="S43">
        <v>3</v>
      </c>
      <c r="T43">
        <v>665.05989403461285</v>
      </c>
      <c r="U43">
        <v>4</v>
      </c>
      <c r="V43">
        <v>0.38165892679999769</v>
      </c>
      <c r="W43">
        <v>1</v>
      </c>
      <c r="X43">
        <v>0.38165892679999769</v>
      </c>
      <c r="Y43">
        <v>5</v>
      </c>
      <c r="Z43">
        <v>743.64474333505098</v>
      </c>
      <c r="AA43">
        <v>2</v>
      </c>
      <c r="AB43">
        <v>3</v>
      </c>
      <c r="AC43">
        <v>7</v>
      </c>
      <c r="AD43">
        <v>26.01</v>
      </c>
      <c r="AE43">
        <v>253</v>
      </c>
      <c r="AF43">
        <v>18</v>
      </c>
      <c r="AG43">
        <v>58</v>
      </c>
      <c r="AH43">
        <v>32</v>
      </c>
      <c r="AI43">
        <v>7.11</v>
      </c>
      <c r="AJ43">
        <v>22.92</v>
      </c>
      <c r="AK43">
        <v>12.65</v>
      </c>
      <c r="AL43">
        <v>-19.58010349999995</v>
      </c>
      <c r="AM43">
        <v>-43.918363319288602</v>
      </c>
      <c r="AN43">
        <v>-19.58010349999995</v>
      </c>
      <c r="AO43">
        <v>-43.918363319288602</v>
      </c>
      <c r="AP43">
        <v>-19.580131999999999</v>
      </c>
      <c r="AQ43">
        <v>-43.918303000000002</v>
      </c>
      <c r="AR43">
        <v>7.0773977790944862</v>
      </c>
      <c r="AS43" t="s">
        <v>65</v>
      </c>
      <c r="AT43">
        <v>1</v>
      </c>
      <c r="AU43" t="s">
        <v>318</v>
      </c>
      <c r="AV43" t="s">
        <v>319</v>
      </c>
      <c r="AW43" t="s">
        <v>60</v>
      </c>
      <c r="AX43" t="s">
        <v>68</v>
      </c>
      <c r="AY43" t="s">
        <v>69</v>
      </c>
      <c r="AZ43" t="b">
        <v>1</v>
      </c>
    </row>
    <row r="44" spans="1:52" x14ac:dyDescent="0.3">
      <c r="A44" t="s">
        <v>52</v>
      </c>
      <c r="B44" t="s">
        <v>53</v>
      </c>
      <c r="C44" t="s">
        <v>54</v>
      </c>
      <c r="D44" t="s">
        <v>55</v>
      </c>
      <c r="E44" t="s">
        <v>56</v>
      </c>
      <c r="F44" t="s">
        <v>176</v>
      </c>
      <c r="G44" t="s">
        <v>309</v>
      </c>
      <c r="H44" t="s">
        <v>320</v>
      </c>
      <c r="I44" t="s">
        <v>320</v>
      </c>
      <c r="J44" t="s">
        <v>60</v>
      </c>
      <c r="K44" t="s">
        <v>311</v>
      </c>
      <c r="L44" t="s">
        <v>62</v>
      </c>
      <c r="M44" t="s">
        <v>311</v>
      </c>
      <c r="N44" t="s">
        <v>321</v>
      </c>
      <c r="O44" t="s">
        <v>313</v>
      </c>
      <c r="P44">
        <v>-19.578469999999999</v>
      </c>
      <c r="Q44">
        <v>-43.918922000000002</v>
      </c>
      <c r="R44" s="2" t="str">
        <f>HYPERLINK("https://www.google.com/maps?q=-19.5784700,-43.9189220","Abrir no Google Maps")</f>
        <v>Abrir no Google Maps</v>
      </c>
      <c r="S44">
        <v>3</v>
      </c>
      <c r="T44">
        <v>474.92456146278471</v>
      </c>
      <c r="U44">
        <v>4</v>
      </c>
      <c r="V44">
        <v>0.36837421072796173</v>
      </c>
      <c r="W44">
        <v>0.85</v>
      </c>
      <c r="X44">
        <v>0.31311807911876738</v>
      </c>
      <c r="Y44">
        <v>5</v>
      </c>
      <c r="Z44">
        <v>562.61594151292854</v>
      </c>
      <c r="AA44">
        <v>2</v>
      </c>
      <c r="AB44">
        <v>3</v>
      </c>
      <c r="AC44">
        <v>7</v>
      </c>
      <c r="AD44">
        <v>26.01</v>
      </c>
      <c r="AE44">
        <v>253</v>
      </c>
      <c r="AF44">
        <v>18</v>
      </c>
      <c r="AG44">
        <v>58</v>
      </c>
      <c r="AH44">
        <v>32</v>
      </c>
      <c r="AI44">
        <v>7.11</v>
      </c>
      <c r="AJ44">
        <v>22.92</v>
      </c>
      <c r="AK44">
        <v>12.65</v>
      </c>
      <c r="AL44">
        <v>-19.578483899999959</v>
      </c>
      <c r="AM44">
        <v>-43.918967993509547</v>
      </c>
      <c r="AN44">
        <v>-19.578483899999959</v>
      </c>
      <c r="AO44">
        <v>-43.918967993509547</v>
      </c>
      <c r="AP44">
        <v>-19.578469999999999</v>
      </c>
      <c r="AQ44">
        <v>-43.918922000000002</v>
      </c>
      <c r="AR44">
        <v>5.0660669465561501</v>
      </c>
      <c r="AS44" t="s">
        <v>65</v>
      </c>
      <c r="AT44">
        <v>1</v>
      </c>
      <c r="AU44" t="s">
        <v>322</v>
      </c>
      <c r="AV44" t="s">
        <v>323</v>
      </c>
      <c r="AW44" t="s">
        <v>60</v>
      </c>
      <c r="AX44" t="s">
        <v>68</v>
      </c>
      <c r="AY44" t="s">
        <v>69</v>
      </c>
      <c r="AZ44" t="b">
        <v>1</v>
      </c>
    </row>
    <row r="45" spans="1:52" x14ac:dyDescent="0.3">
      <c r="A45" t="s">
        <v>52</v>
      </c>
      <c r="B45" t="s">
        <v>53</v>
      </c>
      <c r="C45" t="s">
        <v>54</v>
      </c>
      <c r="D45" t="s">
        <v>55</v>
      </c>
      <c r="E45" t="s">
        <v>56</v>
      </c>
      <c r="F45" t="s">
        <v>176</v>
      </c>
      <c r="G45" t="s">
        <v>324</v>
      </c>
      <c r="H45" t="s">
        <v>325</v>
      </c>
      <c r="I45" t="s">
        <v>325</v>
      </c>
      <c r="J45" t="s">
        <v>60</v>
      </c>
      <c r="K45" t="s">
        <v>326</v>
      </c>
      <c r="L45" t="s">
        <v>62</v>
      </c>
      <c r="M45" t="s">
        <v>326</v>
      </c>
      <c r="N45" t="s">
        <v>327</v>
      </c>
      <c r="O45" t="s">
        <v>328</v>
      </c>
      <c r="P45">
        <v>-19.654454000000001</v>
      </c>
      <c r="Q45">
        <v>-43.874654</v>
      </c>
      <c r="R45" s="2" t="str">
        <f>HYPERLINK("https://www.google.com/maps?q=-19.6544540,-43.8746540","Abrir no Google Maps")</f>
        <v>Abrir no Google Maps</v>
      </c>
      <c r="S45">
        <v>3</v>
      </c>
      <c r="T45">
        <v>461.71515786258828</v>
      </c>
      <c r="U45">
        <v>4</v>
      </c>
      <c r="V45">
        <v>0.27481891384906898</v>
      </c>
      <c r="W45">
        <v>1</v>
      </c>
      <c r="X45">
        <v>0.27481891384906898</v>
      </c>
      <c r="Y45">
        <v>3</v>
      </c>
      <c r="Z45">
        <v>321.42492762576637</v>
      </c>
      <c r="AA45">
        <v>2</v>
      </c>
      <c r="AB45">
        <v>3</v>
      </c>
      <c r="AC45">
        <v>7</v>
      </c>
      <c r="AD45">
        <v>26.01</v>
      </c>
      <c r="AE45">
        <v>253</v>
      </c>
      <c r="AF45">
        <v>18</v>
      </c>
      <c r="AG45">
        <v>58</v>
      </c>
      <c r="AH45">
        <v>32</v>
      </c>
      <c r="AI45">
        <v>7.11</v>
      </c>
      <c r="AJ45">
        <v>22.92</v>
      </c>
      <c r="AK45">
        <v>12.65</v>
      </c>
      <c r="AL45">
        <v>-19.654399599999941</v>
      </c>
      <c r="AM45">
        <v>-43.87457008070222</v>
      </c>
      <c r="AN45">
        <v>-19.654399599999941</v>
      </c>
      <c r="AO45">
        <v>-43.87457008070222</v>
      </c>
      <c r="AP45">
        <v>-19.654454000000001</v>
      </c>
      <c r="AQ45">
        <v>-43.874654</v>
      </c>
      <c r="AR45">
        <v>10.68040226290562</v>
      </c>
      <c r="AS45" t="s">
        <v>65</v>
      </c>
      <c r="AT45">
        <v>1</v>
      </c>
      <c r="AU45" t="s">
        <v>329</v>
      </c>
      <c r="AV45" t="s">
        <v>330</v>
      </c>
      <c r="AW45" t="s">
        <v>60</v>
      </c>
      <c r="AX45" t="s">
        <v>68</v>
      </c>
      <c r="AY45" t="s">
        <v>69</v>
      </c>
      <c r="AZ45" t="b">
        <v>1</v>
      </c>
    </row>
    <row r="46" spans="1:52" x14ac:dyDescent="0.3">
      <c r="A46" t="s">
        <v>52</v>
      </c>
      <c r="B46" t="s">
        <v>53</v>
      </c>
      <c r="C46" t="s">
        <v>54</v>
      </c>
      <c r="D46" t="s">
        <v>55</v>
      </c>
      <c r="E46" t="s">
        <v>56</v>
      </c>
      <c r="F46" t="s">
        <v>176</v>
      </c>
      <c r="G46" t="s">
        <v>331</v>
      </c>
      <c r="H46" t="s">
        <v>332</v>
      </c>
      <c r="I46" t="s">
        <v>332</v>
      </c>
      <c r="J46" t="s">
        <v>60</v>
      </c>
      <c r="K46" t="s">
        <v>333</v>
      </c>
      <c r="L46" t="s">
        <v>62</v>
      </c>
      <c r="M46" t="s">
        <v>333</v>
      </c>
      <c r="N46" t="s">
        <v>334</v>
      </c>
      <c r="O46" t="s">
        <v>335</v>
      </c>
      <c r="P46">
        <v>-19.638455</v>
      </c>
      <c r="Q46">
        <v>-43.911239000000002</v>
      </c>
      <c r="R46" s="2" t="str">
        <f>HYPERLINK("https://www.google.com/maps?q=-19.6384550,-43.9112390","Abrir no Google Maps")</f>
        <v>Abrir no Google Maps</v>
      </c>
      <c r="S46">
        <v>3</v>
      </c>
      <c r="T46">
        <v>488.53051432983438</v>
      </c>
      <c r="U46">
        <v>4</v>
      </c>
      <c r="V46">
        <v>0.28191209454796412</v>
      </c>
      <c r="W46">
        <v>1</v>
      </c>
      <c r="X46">
        <v>0.28191209454796412</v>
      </c>
      <c r="Y46">
        <v>3</v>
      </c>
      <c r="Z46">
        <v>503.17412324010428</v>
      </c>
      <c r="AA46">
        <v>2</v>
      </c>
      <c r="AB46">
        <v>3</v>
      </c>
      <c r="AC46">
        <v>7</v>
      </c>
      <c r="AD46">
        <v>26.01</v>
      </c>
      <c r="AE46">
        <v>253</v>
      </c>
      <c r="AF46">
        <v>18</v>
      </c>
      <c r="AG46">
        <v>58</v>
      </c>
      <c r="AH46">
        <v>32</v>
      </c>
      <c r="AI46">
        <v>7.11</v>
      </c>
      <c r="AJ46">
        <v>22.92</v>
      </c>
      <c r="AK46">
        <v>12.65</v>
      </c>
      <c r="AL46">
        <v>-19.63853704999994</v>
      </c>
      <c r="AM46">
        <v>-43.911098254478723</v>
      </c>
      <c r="AN46">
        <v>-19.63853704999994</v>
      </c>
      <c r="AO46">
        <v>-43.911098254478723</v>
      </c>
      <c r="AP46">
        <v>-19.638455</v>
      </c>
      <c r="AQ46">
        <v>-43.911239000000002</v>
      </c>
      <c r="AR46">
        <v>17.354491692685801</v>
      </c>
      <c r="AS46" t="s">
        <v>65</v>
      </c>
      <c r="AT46">
        <v>1</v>
      </c>
      <c r="AU46" t="s">
        <v>336</v>
      </c>
      <c r="AV46" t="s">
        <v>337</v>
      </c>
      <c r="AW46" t="s">
        <v>60</v>
      </c>
      <c r="AX46" t="s">
        <v>68</v>
      </c>
      <c r="AY46" t="s">
        <v>69</v>
      </c>
      <c r="AZ46" t="b">
        <v>1</v>
      </c>
    </row>
    <row r="47" spans="1:52" x14ac:dyDescent="0.3">
      <c r="A47" t="s">
        <v>52</v>
      </c>
      <c r="B47" t="s">
        <v>53</v>
      </c>
      <c r="C47" t="s">
        <v>54</v>
      </c>
      <c r="D47" t="s">
        <v>55</v>
      </c>
      <c r="E47" t="s">
        <v>56</v>
      </c>
      <c r="F47" t="s">
        <v>176</v>
      </c>
      <c r="G47" t="s">
        <v>338</v>
      </c>
      <c r="H47" t="s">
        <v>339</v>
      </c>
      <c r="I47" t="s">
        <v>339</v>
      </c>
      <c r="J47" t="s">
        <v>60</v>
      </c>
      <c r="K47" t="s">
        <v>219</v>
      </c>
      <c r="L47" t="s">
        <v>62</v>
      </c>
      <c r="M47" t="s">
        <v>219</v>
      </c>
      <c r="N47" t="s">
        <v>340</v>
      </c>
      <c r="O47" t="s">
        <v>341</v>
      </c>
      <c r="P47">
        <v>-19.666964</v>
      </c>
      <c r="Q47">
        <v>-43.884436999999998</v>
      </c>
      <c r="R47" s="2" t="str">
        <f>HYPERLINK("https://www.google.com/maps?q=-19.6669640,-43.8844370","Abrir no Google Maps")</f>
        <v>Abrir no Google Maps</v>
      </c>
      <c r="S47">
        <v>3</v>
      </c>
      <c r="T47">
        <v>957.0047152726122</v>
      </c>
      <c r="U47">
        <v>4</v>
      </c>
      <c r="V47">
        <v>0.27452419159206781</v>
      </c>
      <c r="W47">
        <v>1</v>
      </c>
      <c r="X47">
        <v>0.27452419159206781</v>
      </c>
      <c r="Y47">
        <v>3</v>
      </c>
      <c r="Z47">
        <v>558.02655966087093</v>
      </c>
      <c r="AA47">
        <v>2</v>
      </c>
      <c r="AB47">
        <v>3</v>
      </c>
      <c r="AC47">
        <v>7</v>
      </c>
      <c r="AD47">
        <v>26.01</v>
      </c>
      <c r="AE47">
        <v>253</v>
      </c>
      <c r="AF47">
        <v>18</v>
      </c>
      <c r="AG47">
        <v>58</v>
      </c>
      <c r="AH47">
        <v>32</v>
      </c>
      <c r="AI47">
        <v>7.11</v>
      </c>
      <c r="AJ47">
        <v>22.92</v>
      </c>
      <c r="AK47">
        <v>12.65</v>
      </c>
      <c r="AL47">
        <v>-19.66693374999997</v>
      </c>
      <c r="AM47">
        <v>-43.884551162820181</v>
      </c>
      <c r="AN47">
        <v>-19.66693374999997</v>
      </c>
      <c r="AO47">
        <v>-43.884551162820181</v>
      </c>
      <c r="AP47">
        <v>-19.666964</v>
      </c>
      <c r="AQ47">
        <v>-43.884436999999998</v>
      </c>
      <c r="AR47">
        <v>12.43199920714442</v>
      </c>
      <c r="AS47" t="s">
        <v>65</v>
      </c>
      <c r="AT47">
        <v>1</v>
      </c>
      <c r="AU47" t="s">
        <v>342</v>
      </c>
      <c r="AV47" t="s">
        <v>343</v>
      </c>
      <c r="AW47" t="s">
        <v>60</v>
      </c>
      <c r="AX47" t="s">
        <v>68</v>
      </c>
      <c r="AY47" t="s">
        <v>69</v>
      </c>
      <c r="AZ47" t="b">
        <v>1</v>
      </c>
    </row>
    <row r="48" spans="1:52" x14ac:dyDescent="0.3">
      <c r="A48" t="s">
        <v>52</v>
      </c>
      <c r="B48" t="s">
        <v>53</v>
      </c>
      <c r="C48" t="s">
        <v>54</v>
      </c>
      <c r="D48" t="s">
        <v>55</v>
      </c>
      <c r="E48" t="s">
        <v>56</v>
      </c>
      <c r="F48" t="s">
        <v>176</v>
      </c>
      <c r="G48" t="s">
        <v>344</v>
      </c>
      <c r="H48" t="s">
        <v>345</v>
      </c>
      <c r="I48" t="s">
        <v>345</v>
      </c>
      <c r="J48" t="s">
        <v>60</v>
      </c>
      <c r="K48" t="s">
        <v>326</v>
      </c>
      <c r="L48" t="s">
        <v>62</v>
      </c>
      <c r="M48" t="s">
        <v>326</v>
      </c>
      <c r="N48" t="s">
        <v>346</v>
      </c>
      <c r="O48" t="s">
        <v>347</v>
      </c>
      <c r="P48">
        <v>-19.659784999999999</v>
      </c>
      <c r="Q48">
        <v>-43.868257999999997</v>
      </c>
      <c r="R48" s="2" t="str">
        <f>HYPERLINK("https://www.google.com/maps?q=-19.6597850,-43.8682580","Abrir no Google Maps")</f>
        <v>Abrir no Google Maps</v>
      </c>
      <c r="S48">
        <v>3</v>
      </c>
      <c r="T48">
        <v>887.40196140413514</v>
      </c>
      <c r="U48">
        <v>4</v>
      </c>
      <c r="V48">
        <v>0.28619531092726669</v>
      </c>
      <c r="W48">
        <v>1</v>
      </c>
      <c r="X48">
        <v>0.28619531092726669</v>
      </c>
      <c r="Y48">
        <v>3</v>
      </c>
      <c r="Z48">
        <v>951.67106090939239</v>
      </c>
      <c r="AA48">
        <v>2</v>
      </c>
      <c r="AB48">
        <v>3</v>
      </c>
      <c r="AC48">
        <v>7</v>
      </c>
      <c r="AD48">
        <v>26.01</v>
      </c>
      <c r="AE48">
        <v>253</v>
      </c>
      <c r="AF48">
        <v>18</v>
      </c>
      <c r="AG48">
        <v>58</v>
      </c>
      <c r="AH48">
        <v>32</v>
      </c>
      <c r="AI48">
        <v>7.11</v>
      </c>
      <c r="AJ48">
        <v>22.92</v>
      </c>
      <c r="AK48">
        <v>12.65</v>
      </c>
      <c r="AL48">
        <v>-19.659938849999971</v>
      </c>
      <c r="AM48">
        <v>-43.868426732971933</v>
      </c>
      <c r="AN48">
        <v>-19.659938849999971</v>
      </c>
      <c r="AO48">
        <v>-43.868426732971933</v>
      </c>
      <c r="AP48">
        <v>-19.659784999999999</v>
      </c>
      <c r="AQ48">
        <v>-43.868257999999997</v>
      </c>
      <c r="AR48">
        <v>24.621113441172451</v>
      </c>
      <c r="AS48" t="s">
        <v>65</v>
      </c>
      <c r="AT48">
        <v>1</v>
      </c>
      <c r="AU48" t="s">
        <v>348</v>
      </c>
      <c r="AV48" t="s">
        <v>349</v>
      </c>
      <c r="AW48" t="s">
        <v>60</v>
      </c>
      <c r="AX48" t="s">
        <v>68</v>
      </c>
      <c r="AY48" t="s">
        <v>69</v>
      </c>
      <c r="AZ48" t="b">
        <v>1</v>
      </c>
    </row>
    <row r="49" spans="1:52" x14ac:dyDescent="0.3">
      <c r="A49" t="s">
        <v>52</v>
      </c>
      <c r="B49" t="s">
        <v>53</v>
      </c>
      <c r="C49" t="s">
        <v>54</v>
      </c>
      <c r="D49" t="s">
        <v>55</v>
      </c>
      <c r="E49" t="s">
        <v>56</v>
      </c>
      <c r="F49" t="s">
        <v>176</v>
      </c>
      <c r="G49" t="s">
        <v>350</v>
      </c>
      <c r="H49" t="s">
        <v>351</v>
      </c>
      <c r="I49" t="s">
        <v>351</v>
      </c>
      <c r="J49" t="s">
        <v>60</v>
      </c>
      <c r="K49" t="s">
        <v>352</v>
      </c>
      <c r="L49" t="s">
        <v>62</v>
      </c>
      <c r="M49" t="s">
        <v>352</v>
      </c>
      <c r="N49" t="s">
        <v>353</v>
      </c>
      <c r="O49" t="s">
        <v>354</v>
      </c>
      <c r="P49">
        <v>-19.595734</v>
      </c>
      <c r="Q49">
        <v>-43.900387000000002</v>
      </c>
      <c r="R49" s="2" t="str">
        <f>HYPERLINK("https://www.google.com/maps?q=-19.5957340,-43.9003870","Abrir no Google Maps")</f>
        <v>Abrir no Google Maps</v>
      </c>
      <c r="S49">
        <v>3</v>
      </c>
      <c r="T49">
        <v>600.67809066127609</v>
      </c>
      <c r="U49">
        <v>4</v>
      </c>
      <c r="V49">
        <v>0.3519924051163178</v>
      </c>
      <c r="W49">
        <v>1</v>
      </c>
      <c r="X49">
        <v>0.3519924051163178</v>
      </c>
      <c r="Y49">
        <v>2</v>
      </c>
      <c r="Z49">
        <v>676.06682548988681</v>
      </c>
      <c r="AA49">
        <v>2</v>
      </c>
      <c r="AB49">
        <v>3</v>
      </c>
      <c r="AC49">
        <v>7</v>
      </c>
      <c r="AD49">
        <v>26.01</v>
      </c>
      <c r="AE49">
        <v>253</v>
      </c>
      <c r="AF49">
        <v>18</v>
      </c>
      <c r="AG49">
        <v>58</v>
      </c>
      <c r="AH49">
        <v>32</v>
      </c>
      <c r="AI49">
        <v>7.11</v>
      </c>
      <c r="AJ49">
        <v>22.92</v>
      </c>
      <c r="AK49">
        <v>12.65</v>
      </c>
      <c r="AL49">
        <v>-19.595574149999951</v>
      </c>
      <c r="AM49">
        <v>-43.900265035317688</v>
      </c>
      <c r="AN49">
        <v>-19.595574149999951</v>
      </c>
      <c r="AO49">
        <v>-43.900265035317688</v>
      </c>
      <c r="AP49">
        <v>-19.595734</v>
      </c>
      <c r="AQ49">
        <v>-43.900387000000002</v>
      </c>
      <c r="AR49">
        <v>21.91456243504582</v>
      </c>
      <c r="AS49" t="s">
        <v>65</v>
      </c>
      <c r="AT49">
        <v>1</v>
      </c>
      <c r="AU49" t="s">
        <v>355</v>
      </c>
      <c r="AV49" t="s">
        <v>356</v>
      </c>
      <c r="AW49" t="s">
        <v>60</v>
      </c>
      <c r="AX49" t="s">
        <v>68</v>
      </c>
      <c r="AY49" t="s">
        <v>69</v>
      </c>
      <c r="AZ49" t="b">
        <v>1</v>
      </c>
    </row>
    <row r="50" spans="1:52" x14ac:dyDescent="0.3">
      <c r="A50" t="s">
        <v>52</v>
      </c>
      <c r="B50" t="s">
        <v>53</v>
      </c>
      <c r="C50" t="s">
        <v>54</v>
      </c>
      <c r="D50" t="s">
        <v>55</v>
      </c>
      <c r="E50" t="s">
        <v>56</v>
      </c>
      <c r="F50" t="s">
        <v>176</v>
      </c>
      <c r="G50" t="s">
        <v>357</v>
      </c>
      <c r="H50" t="s">
        <v>358</v>
      </c>
      <c r="I50" t="s">
        <v>358</v>
      </c>
      <c r="J50" t="s">
        <v>60</v>
      </c>
      <c r="K50" t="s">
        <v>359</v>
      </c>
      <c r="L50" t="s">
        <v>62</v>
      </c>
      <c r="M50" t="s">
        <v>359</v>
      </c>
      <c r="N50" t="s">
        <v>360</v>
      </c>
      <c r="O50" t="s">
        <v>201</v>
      </c>
      <c r="P50">
        <v>-19.601168000000001</v>
      </c>
      <c r="Q50">
        <v>-43.896143000000002</v>
      </c>
      <c r="R50" s="2" t="str">
        <f>HYPERLINK("https://www.google.com/maps?q=-19.6011680,-43.8961430","Abrir no Google Maps")</f>
        <v>Abrir no Google Maps</v>
      </c>
      <c r="S50">
        <v>3</v>
      </c>
      <c r="T50">
        <v>886.80074895427902</v>
      </c>
      <c r="U50">
        <v>4</v>
      </c>
      <c r="V50">
        <v>0.29520822535077068</v>
      </c>
      <c r="W50">
        <v>1</v>
      </c>
      <c r="X50">
        <v>0.29520822535077068</v>
      </c>
      <c r="Y50">
        <v>2</v>
      </c>
      <c r="Z50">
        <v>807.27931110193254</v>
      </c>
      <c r="AA50">
        <v>2</v>
      </c>
      <c r="AB50">
        <v>3</v>
      </c>
      <c r="AC50">
        <v>7</v>
      </c>
      <c r="AD50">
        <v>26.01</v>
      </c>
      <c r="AE50">
        <v>253</v>
      </c>
      <c r="AF50">
        <v>18</v>
      </c>
      <c r="AG50">
        <v>58</v>
      </c>
      <c r="AH50">
        <v>32</v>
      </c>
      <c r="AI50">
        <v>7.11</v>
      </c>
      <c r="AJ50">
        <v>22.92</v>
      </c>
      <c r="AK50">
        <v>12.65</v>
      </c>
      <c r="AL50">
        <v>-19.60112959999995</v>
      </c>
      <c r="AM50">
        <v>-43.896049426747439</v>
      </c>
      <c r="AN50">
        <v>-19.60112959999995</v>
      </c>
      <c r="AO50">
        <v>-43.896049426747439</v>
      </c>
      <c r="AP50">
        <v>-19.601168000000001</v>
      </c>
      <c r="AQ50">
        <v>-43.896143000000002</v>
      </c>
      <c r="AR50">
        <v>10.703588298793671</v>
      </c>
      <c r="AS50" t="s">
        <v>65</v>
      </c>
      <c r="AT50">
        <v>1</v>
      </c>
      <c r="AU50" t="s">
        <v>361</v>
      </c>
      <c r="AV50" t="s">
        <v>362</v>
      </c>
      <c r="AW50" t="s">
        <v>60</v>
      </c>
      <c r="AX50" t="s">
        <v>68</v>
      </c>
      <c r="AY50" t="s">
        <v>69</v>
      </c>
      <c r="AZ50" t="b">
        <v>1</v>
      </c>
    </row>
    <row r="51" spans="1:52" x14ac:dyDescent="0.3">
      <c r="A51" t="s">
        <v>52</v>
      </c>
      <c r="B51" t="s">
        <v>53</v>
      </c>
      <c r="C51" t="s">
        <v>54</v>
      </c>
      <c r="D51" t="s">
        <v>55</v>
      </c>
      <c r="E51" t="s">
        <v>56</v>
      </c>
      <c r="F51" t="s">
        <v>176</v>
      </c>
      <c r="G51" t="s">
        <v>350</v>
      </c>
      <c r="H51" t="s">
        <v>363</v>
      </c>
      <c r="I51" t="s">
        <v>363</v>
      </c>
      <c r="J51" t="s">
        <v>60</v>
      </c>
      <c r="K51" t="s">
        <v>364</v>
      </c>
      <c r="L51" t="s">
        <v>62</v>
      </c>
      <c r="M51" t="s">
        <v>364</v>
      </c>
      <c r="N51" t="s">
        <v>353</v>
      </c>
      <c r="O51" t="s">
        <v>365</v>
      </c>
      <c r="P51">
        <v>-19.594657000000002</v>
      </c>
      <c r="Q51">
        <v>-43.901567</v>
      </c>
      <c r="R51" s="2" t="str">
        <f>HYPERLINK("https://www.google.com/maps?q=-19.5946570,-43.9015670","Abrir no Google Maps")</f>
        <v>Abrir no Google Maps</v>
      </c>
      <c r="S51">
        <v>3</v>
      </c>
      <c r="T51">
        <v>592.43040989358553</v>
      </c>
      <c r="U51">
        <v>4</v>
      </c>
      <c r="V51">
        <v>0.35601745390627332</v>
      </c>
      <c r="W51">
        <v>1</v>
      </c>
      <c r="X51">
        <v>0.35601745390627332</v>
      </c>
      <c r="Y51">
        <v>2</v>
      </c>
      <c r="Z51">
        <v>597.4493869225131</v>
      </c>
      <c r="AA51">
        <v>2</v>
      </c>
      <c r="AB51">
        <v>3</v>
      </c>
      <c r="AC51">
        <v>7</v>
      </c>
      <c r="AD51">
        <v>26.01</v>
      </c>
      <c r="AE51">
        <v>253</v>
      </c>
      <c r="AF51">
        <v>18</v>
      </c>
      <c r="AG51">
        <v>58</v>
      </c>
      <c r="AH51">
        <v>32</v>
      </c>
      <c r="AI51">
        <v>7.11</v>
      </c>
      <c r="AJ51">
        <v>22.92</v>
      </c>
      <c r="AK51">
        <v>12.65</v>
      </c>
      <c r="AL51">
        <v>-19.59470494999994</v>
      </c>
      <c r="AM51">
        <v>-43.901629434678291</v>
      </c>
      <c r="AN51">
        <v>-19.59470494999994</v>
      </c>
      <c r="AO51">
        <v>-43.901629434678291</v>
      </c>
      <c r="AP51">
        <v>-19.594657000000002</v>
      </c>
      <c r="AQ51">
        <v>-43.901567</v>
      </c>
      <c r="AR51">
        <v>8.4477696105165858</v>
      </c>
      <c r="AS51" t="s">
        <v>65</v>
      </c>
      <c r="AT51">
        <v>1</v>
      </c>
      <c r="AU51" t="s">
        <v>366</v>
      </c>
      <c r="AV51" t="s">
        <v>367</v>
      </c>
      <c r="AW51" t="s">
        <v>60</v>
      </c>
      <c r="AX51" t="s">
        <v>68</v>
      </c>
      <c r="AY51" t="s">
        <v>69</v>
      </c>
      <c r="AZ51" t="b">
        <v>1</v>
      </c>
    </row>
    <row r="52" spans="1:52" x14ac:dyDescent="0.3">
      <c r="A52" t="s">
        <v>52</v>
      </c>
      <c r="B52" t="s">
        <v>53</v>
      </c>
      <c r="C52" t="s">
        <v>54</v>
      </c>
      <c r="D52" t="s">
        <v>55</v>
      </c>
      <c r="E52" t="s">
        <v>56</v>
      </c>
      <c r="F52" t="s">
        <v>176</v>
      </c>
      <c r="G52" t="s">
        <v>350</v>
      </c>
      <c r="H52" t="s">
        <v>368</v>
      </c>
      <c r="I52" t="s">
        <v>368</v>
      </c>
      <c r="J52" t="s">
        <v>60</v>
      </c>
      <c r="K52" t="s">
        <v>364</v>
      </c>
      <c r="L52" t="s">
        <v>62</v>
      </c>
      <c r="M52" t="s">
        <v>364</v>
      </c>
      <c r="N52" t="s">
        <v>353</v>
      </c>
      <c r="O52" t="s">
        <v>365</v>
      </c>
      <c r="P52">
        <v>-19.593221</v>
      </c>
      <c r="Q52">
        <v>-43.901839000000002</v>
      </c>
      <c r="R52" s="2" t="str">
        <f>HYPERLINK("https://www.google.com/maps?q=-19.5932210,-43.9018390","Abrir no Google Maps")</f>
        <v>Abrir no Google Maps</v>
      </c>
      <c r="S52">
        <v>3</v>
      </c>
      <c r="T52">
        <v>741.77482535005606</v>
      </c>
      <c r="U52">
        <v>4</v>
      </c>
      <c r="V52">
        <v>0.34933802914759249</v>
      </c>
      <c r="W52">
        <v>0.85</v>
      </c>
      <c r="X52">
        <v>0.29693732477545359</v>
      </c>
      <c r="Y52">
        <v>2</v>
      </c>
      <c r="Z52">
        <v>790.59331647558088</v>
      </c>
      <c r="AA52">
        <v>2</v>
      </c>
      <c r="AB52">
        <v>3</v>
      </c>
      <c r="AC52">
        <v>7</v>
      </c>
      <c r="AD52">
        <v>26.01</v>
      </c>
      <c r="AE52">
        <v>253</v>
      </c>
      <c r="AF52">
        <v>18</v>
      </c>
      <c r="AG52">
        <v>58</v>
      </c>
      <c r="AH52">
        <v>32</v>
      </c>
      <c r="AI52">
        <v>7.11</v>
      </c>
      <c r="AJ52">
        <v>22.92</v>
      </c>
      <c r="AK52">
        <v>12.65</v>
      </c>
      <c r="AL52">
        <v>-19.593187449999959</v>
      </c>
      <c r="AM52">
        <v>-43.901700308057322</v>
      </c>
      <c r="AN52">
        <v>-19.593187449999959</v>
      </c>
      <c r="AO52">
        <v>-43.901700308057322</v>
      </c>
      <c r="AP52">
        <v>-19.593221</v>
      </c>
      <c r="AQ52">
        <v>-43.901839000000002</v>
      </c>
      <c r="AR52">
        <v>15.017055708279431</v>
      </c>
      <c r="AS52" t="s">
        <v>65</v>
      </c>
      <c r="AT52">
        <v>1</v>
      </c>
      <c r="AU52" t="s">
        <v>369</v>
      </c>
      <c r="AV52" t="s">
        <v>370</v>
      </c>
      <c r="AW52" t="s">
        <v>60</v>
      </c>
      <c r="AX52" t="s">
        <v>68</v>
      </c>
      <c r="AY52" t="s">
        <v>69</v>
      </c>
      <c r="AZ52" t="b">
        <v>1</v>
      </c>
    </row>
    <row r="53" spans="1:52" x14ac:dyDescent="0.3">
      <c r="A53" t="s">
        <v>52</v>
      </c>
      <c r="B53" t="s">
        <v>53</v>
      </c>
      <c r="C53" t="s">
        <v>54</v>
      </c>
      <c r="D53" t="s">
        <v>55</v>
      </c>
      <c r="E53" t="s">
        <v>56</v>
      </c>
      <c r="F53" t="s">
        <v>176</v>
      </c>
      <c r="G53" t="s">
        <v>371</v>
      </c>
      <c r="H53" t="s">
        <v>372</v>
      </c>
      <c r="I53" t="s">
        <v>372</v>
      </c>
      <c r="J53" t="s">
        <v>60</v>
      </c>
      <c r="K53" t="s">
        <v>352</v>
      </c>
      <c r="L53" t="s">
        <v>62</v>
      </c>
      <c r="M53" t="s">
        <v>352</v>
      </c>
      <c r="N53" t="s">
        <v>353</v>
      </c>
      <c r="O53" t="s">
        <v>373</v>
      </c>
      <c r="P53">
        <v>-19.596541999999999</v>
      </c>
      <c r="Q53">
        <v>-43.900803000000003</v>
      </c>
      <c r="R53" s="2" t="str">
        <f>HYPERLINK("https://www.google.com/maps?q=-19.5965420,-43.9008030","Abrir no Google Maps")</f>
        <v>Abrir no Google Maps</v>
      </c>
      <c r="S53">
        <v>3</v>
      </c>
      <c r="T53">
        <v>401.18305899095373</v>
      </c>
      <c r="U53">
        <v>4</v>
      </c>
      <c r="V53">
        <v>0.36015435641517429</v>
      </c>
      <c r="W53">
        <v>1</v>
      </c>
      <c r="X53">
        <v>0.36015435641517429</v>
      </c>
      <c r="Y53">
        <v>2</v>
      </c>
      <c r="Z53">
        <v>484.51228510119228</v>
      </c>
      <c r="AA53">
        <v>2</v>
      </c>
      <c r="AB53">
        <v>3</v>
      </c>
      <c r="AC53">
        <v>7</v>
      </c>
      <c r="AD53">
        <v>26.01</v>
      </c>
      <c r="AE53">
        <v>253</v>
      </c>
      <c r="AF53">
        <v>18</v>
      </c>
      <c r="AG53">
        <v>58</v>
      </c>
      <c r="AH53">
        <v>32</v>
      </c>
      <c r="AI53">
        <v>7.11</v>
      </c>
      <c r="AJ53">
        <v>22.92</v>
      </c>
      <c r="AK53">
        <v>12.65</v>
      </c>
      <c r="AL53">
        <v>-19.596464449999932</v>
      </c>
      <c r="AM53">
        <v>-43.902090320142641</v>
      </c>
      <c r="AN53">
        <v>-19.596464449999932</v>
      </c>
      <c r="AO53">
        <v>-43.902090320142641</v>
      </c>
      <c r="AP53">
        <v>-19.596541999999999</v>
      </c>
      <c r="AQ53">
        <v>-43.900803000000003</v>
      </c>
      <c r="AR53">
        <v>135.27975170069479</v>
      </c>
      <c r="AS53" t="s">
        <v>65</v>
      </c>
      <c r="AT53">
        <v>1</v>
      </c>
      <c r="AU53" t="s">
        <v>374</v>
      </c>
      <c r="AV53" t="s">
        <v>375</v>
      </c>
      <c r="AW53" t="s">
        <v>60</v>
      </c>
      <c r="AX53" t="s">
        <v>68</v>
      </c>
      <c r="AY53" t="s">
        <v>69</v>
      </c>
      <c r="AZ53" t="b">
        <v>1</v>
      </c>
    </row>
    <row r="54" spans="1:52" x14ac:dyDescent="0.3">
      <c r="A54" t="s">
        <v>52</v>
      </c>
      <c r="B54" t="s">
        <v>53</v>
      </c>
      <c r="C54" t="s">
        <v>54</v>
      </c>
      <c r="D54" t="s">
        <v>55</v>
      </c>
      <c r="E54" t="s">
        <v>56</v>
      </c>
      <c r="F54" t="s">
        <v>176</v>
      </c>
      <c r="G54" t="s">
        <v>376</v>
      </c>
      <c r="H54" t="s">
        <v>377</v>
      </c>
      <c r="I54" t="s">
        <v>377</v>
      </c>
      <c r="J54" t="s">
        <v>60</v>
      </c>
      <c r="K54" t="s">
        <v>352</v>
      </c>
      <c r="L54" t="s">
        <v>62</v>
      </c>
      <c r="M54" t="s">
        <v>352</v>
      </c>
      <c r="N54" t="s">
        <v>378</v>
      </c>
      <c r="O54" t="s">
        <v>379</v>
      </c>
      <c r="P54">
        <v>-19.596966999999999</v>
      </c>
      <c r="Q54">
        <v>-43.90155</v>
      </c>
      <c r="R54" s="2" t="str">
        <f>HYPERLINK("https://www.google.com/maps?q=-19.5969670,-43.9015500","Abrir no Google Maps")</f>
        <v>Abrir no Google Maps</v>
      </c>
      <c r="S54">
        <v>3</v>
      </c>
      <c r="T54">
        <v>366.5160120865408</v>
      </c>
      <c r="U54">
        <v>4</v>
      </c>
      <c r="V54">
        <v>0.31964067068359447</v>
      </c>
      <c r="W54">
        <v>1</v>
      </c>
      <c r="X54">
        <v>0.31964067068359447</v>
      </c>
      <c r="Y54">
        <v>2</v>
      </c>
      <c r="Z54">
        <v>437.88042928493138</v>
      </c>
      <c r="AA54">
        <v>2</v>
      </c>
      <c r="AB54">
        <v>3</v>
      </c>
      <c r="AC54">
        <v>7</v>
      </c>
      <c r="AD54">
        <v>26.01</v>
      </c>
      <c r="AE54">
        <v>253</v>
      </c>
      <c r="AF54">
        <v>18</v>
      </c>
      <c r="AG54">
        <v>58</v>
      </c>
      <c r="AH54">
        <v>32</v>
      </c>
      <c r="AI54">
        <v>7.11</v>
      </c>
      <c r="AJ54">
        <v>22.92</v>
      </c>
      <c r="AK54">
        <v>12.65</v>
      </c>
      <c r="AL54">
        <v>-19.597188549999942</v>
      </c>
      <c r="AM54">
        <v>-43.901724335633787</v>
      </c>
      <c r="AN54">
        <v>-19.597188549999942</v>
      </c>
      <c r="AO54">
        <v>-43.901724335633787</v>
      </c>
      <c r="AP54">
        <v>-19.596966999999999</v>
      </c>
      <c r="AQ54">
        <v>-43.90155</v>
      </c>
      <c r="AR54">
        <v>30.700556875456439</v>
      </c>
      <c r="AS54" t="s">
        <v>65</v>
      </c>
      <c r="AT54">
        <v>1</v>
      </c>
      <c r="AU54" t="s">
        <v>380</v>
      </c>
      <c r="AV54" t="s">
        <v>381</v>
      </c>
      <c r="AW54" t="s">
        <v>60</v>
      </c>
      <c r="AX54" t="s">
        <v>68</v>
      </c>
      <c r="AY54" t="s">
        <v>69</v>
      </c>
      <c r="AZ54" t="b">
        <v>1</v>
      </c>
    </row>
    <row r="55" spans="1:52" x14ac:dyDescent="0.3">
      <c r="A55" t="s">
        <v>52</v>
      </c>
      <c r="B55" t="s">
        <v>53</v>
      </c>
      <c r="C55" t="s">
        <v>54</v>
      </c>
      <c r="D55" t="s">
        <v>55</v>
      </c>
      <c r="E55" t="s">
        <v>56</v>
      </c>
      <c r="F55" t="s">
        <v>176</v>
      </c>
      <c r="G55" t="s">
        <v>382</v>
      </c>
      <c r="H55" t="s">
        <v>383</v>
      </c>
      <c r="I55" t="s">
        <v>383</v>
      </c>
      <c r="J55" t="s">
        <v>60</v>
      </c>
      <c r="K55" t="s">
        <v>185</v>
      </c>
      <c r="L55" t="s">
        <v>62</v>
      </c>
      <c r="M55" t="s">
        <v>185</v>
      </c>
      <c r="N55" t="s">
        <v>384</v>
      </c>
      <c r="O55" t="s">
        <v>385</v>
      </c>
      <c r="P55">
        <v>-19.623774000000001</v>
      </c>
      <c r="Q55">
        <v>-43.886352000000002</v>
      </c>
      <c r="R55" s="2" t="str">
        <f>HYPERLINK("https://www.google.com/maps?q=-19.6237740,-43.8863520","Abrir no Google Maps")</f>
        <v>Abrir no Google Maps</v>
      </c>
      <c r="S55">
        <v>3</v>
      </c>
      <c r="T55">
        <v>818.17252856383368</v>
      </c>
      <c r="U55">
        <v>4</v>
      </c>
      <c r="V55">
        <v>0.29223781906548341</v>
      </c>
      <c r="W55">
        <v>1</v>
      </c>
      <c r="X55">
        <v>0.29223781906548341</v>
      </c>
      <c r="Y55">
        <v>0</v>
      </c>
      <c r="Z55">
        <v>327.32213182525902</v>
      </c>
      <c r="AA55">
        <v>2</v>
      </c>
      <c r="AB55">
        <v>3</v>
      </c>
      <c r="AC55">
        <v>7</v>
      </c>
      <c r="AD55">
        <v>26.01</v>
      </c>
      <c r="AE55">
        <v>253</v>
      </c>
      <c r="AF55">
        <v>18</v>
      </c>
      <c r="AG55">
        <v>58</v>
      </c>
      <c r="AH55">
        <v>32</v>
      </c>
      <c r="AI55">
        <v>7.11</v>
      </c>
      <c r="AJ55">
        <v>22.92</v>
      </c>
      <c r="AK55">
        <v>12.65</v>
      </c>
      <c r="AL55">
        <v>-19.623056299999941</v>
      </c>
      <c r="AM55">
        <v>-43.886837120297002</v>
      </c>
      <c r="AN55">
        <v>-19.623056299999941</v>
      </c>
      <c r="AO55">
        <v>-43.886837120297002</v>
      </c>
      <c r="AP55">
        <v>-19.623774000000001</v>
      </c>
      <c r="AQ55">
        <v>-43.886352000000002</v>
      </c>
      <c r="AR55">
        <v>94.713149059175393</v>
      </c>
      <c r="AS55" t="s">
        <v>65</v>
      </c>
      <c r="AT55">
        <v>1</v>
      </c>
      <c r="AU55" t="s">
        <v>386</v>
      </c>
      <c r="AV55" t="s">
        <v>387</v>
      </c>
      <c r="AW55" t="s">
        <v>60</v>
      </c>
      <c r="AX55" t="s">
        <v>68</v>
      </c>
      <c r="AY55" t="s">
        <v>69</v>
      </c>
      <c r="AZ55" t="b">
        <v>1</v>
      </c>
    </row>
    <row r="56" spans="1:52" x14ac:dyDescent="0.3">
      <c r="A56" t="s">
        <v>52</v>
      </c>
      <c r="B56" t="s">
        <v>53</v>
      </c>
      <c r="C56" t="s">
        <v>54</v>
      </c>
      <c r="D56" t="s">
        <v>55</v>
      </c>
      <c r="E56" t="s">
        <v>56</v>
      </c>
      <c r="F56" t="s">
        <v>176</v>
      </c>
      <c r="G56" t="s">
        <v>388</v>
      </c>
      <c r="H56" t="s">
        <v>389</v>
      </c>
      <c r="I56" t="s">
        <v>389</v>
      </c>
      <c r="J56" t="s">
        <v>60</v>
      </c>
      <c r="K56" t="s">
        <v>185</v>
      </c>
      <c r="L56" t="s">
        <v>62</v>
      </c>
      <c r="M56" t="s">
        <v>185</v>
      </c>
      <c r="N56" t="s">
        <v>390</v>
      </c>
      <c r="O56" t="s">
        <v>391</v>
      </c>
      <c r="P56">
        <v>-19.628802</v>
      </c>
      <c r="Q56">
        <v>-43.891649000000001</v>
      </c>
      <c r="R56" s="2" t="str">
        <f>HYPERLINK("https://www.google.com/maps?q=-19.6288020,-43.8916490","Abrir no Google Maps")</f>
        <v>Abrir no Google Maps</v>
      </c>
      <c r="S56">
        <v>3</v>
      </c>
      <c r="T56">
        <v>0</v>
      </c>
      <c r="U56">
        <v>3</v>
      </c>
      <c r="V56">
        <v>0.31430441063320319</v>
      </c>
      <c r="W56">
        <v>0.85</v>
      </c>
      <c r="X56">
        <v>0.26715874903822268</v>
      </c>
      <c r="Y56">
        <v>18</v>
      </c>
      <c r="Z56">
        <v>117.5064585283839</v>
      </c>
      <c r="AA56">
        <v>2</v>
      </c>
      <c r="AB56">
        <v>3</v>
      </c>
      <c r="AC56">
        <v>7</v>
      </c>
      <c r="AD56">
        <v>26.01</v>
      </c>
      <c r="AE56">
        <v>253</v>
      </c>
      <c r="AF56">
        <v>18</v>
      </c>
      <c r="AG56">
        <v>58</v>
      </c>
      <c r="AH56">
        <v>32</v>
      </c>
      <c r="AI56">
        <v>7.11</v>
      </c>
      <c r="AJ56">
        <v>22.92</v>
      </c>
      <c r="AK56">
        <v>12.65</v>
      </c>
      <c r="AL56">
        <v>-19.628865499999961</v>
      </c>
      <c r="AM56">
        <v>-43.891662391334172</v>
      </c>
      <c r="AN56">
        <v>-19.628865499999961</v>
      </c>
      <c r="AO56">
        <v>-43.891662391334172</v>
      </c>
      <c r="AP56">
        <v>-19.628802</v>
      </c>
      <c r="AQ56">
        <v>-43.891649000000001</v>
      </c>
      <c r="AR56">
        <v>7.2069201904448459</v>
      </c>
      <c r="AS56" t="s">
        <v>65</v>
      </c>
      <c r="AT56">
        <v>1</v>
      </c>
      <c r="AU56" t="s">
        <v>392</v>
      </c>
      <c r="AV56" t="s">
        <v>393</v>
      </c>
      <c r="AW56" t="s">
        <v>60</v>
      </c>
      <c r="AX56" t="s">
        <v>68</v>
      </c>
      <c r="AY56" t="s">
        <v>69</v>
      </c>
      <c r="AZ56" t="b">
        <v>1</v>
      </c>
    </row>
    <row r="57" spans="1:52" x14ac:dyDescent="0.3">
      <c r="A57" t="s">
        <v>52</v>
      </c>
      <c r="B57" t="s">
        <v>53</v>
      </c>
      <c r="C57" t="s">
        <v>54</v>
      </c>
      <c r="D57" t="s">
        <v>55</v>
      </c>
      <c r="E57" t="s">
        <v>56</v>
      </c>
      <c r="F57" t="s">
        <v>176</v>
      </c>
      <c r="G57" t="s">
        <v>394</v>
      </c>
      <c r="H57" t="s">
        <v>395</v>
      </c>
      <c r="I57" t="s">
        <v>395</v>
      </c>
      <c r="J57" t="s">
        <v>60</v>
      </c>
      <c r="K57" t="s">
        <v>286</v>
      </c>
      <c r="L57" t="s">
        <v>62</v>
      </c>
      <c r="M57" t="s">
        <v>286</v>
      </c>
      <c r="N57" t="s">
        <v>396</v>
      </c>
      <c r="O57" t="s">
        <v>88</v>
      </c>
      <c r="P57">
        <v>-19.636932999999999</v>
      </c>
      <c r="Q57">
        <v>-43.882691999999999</v>
      </c>
      <c r="R57" s="2" t="str">
        <f>HYPERLINK("https://www.google.com/maps?q=-19.6369330,-43.8826920","Abrir no Google Maps")</f>
        <v>Abrir no Google Maps</v>
      </c>
      <c r="S57">
        <v>3</v>
      </c>
      <c r="T57">
        <v>523.52675813688109</v>
      </c>
      <c r="U57">
        <v>3</v>
      </c>
      <c r="V57">
        <v>0.26824366844182829</v>
      </c>
      <c r="W57">
        <v>1</v>
      </c>
      <c r="X57">
        <v>0.26824366844182829</v>
      </c>
      <c r="Y57">
        <v>10</v>
      </c>
      <c r="Z57">
        <v>372.58135532659509</v>
      </c>
      <c r="AA57">
        <v>2</v>
      </c>
      <c r="AB57">
        <v>3</v>
      </c>
      <c r="AC57">
        <v>7</v>
      </c>
      <c r="AD57">
        <v>26.01</v>
      </c>
      <c r="AE57">
        <v>253</v>
      </c>
      <c r="AF57">
        <v>18</v>
      </c>
      <c r="AG57">
        <v>58</v>
      </c>
      <c r="AH57">
        <v>32</v>
      </c>
      <c r="AI57">
        <v>7.11</v>
      </c>
      <c r="AJ57">
        <v>22.92</v>
      </c>
      <c r="AK57">
        <v>12.65</v>
      </c>
      <c r="AL57">
        <v>-19.637159949999951</v>
      </c>
      <c r="AM57">
        <v>-43.882643289441461</v>
      </c>
      <c r="AN57">
        <v>-19.637159949999951</v>
      </c>
      <c r="AO57">
        <v>-43.882643289441461</v>
      </c>
      <c r="AP57">
        <v>-19.636932999999999</v>
      </c>
      <c r="AQ57">
        <v>-43.882691999999999</v>
      </c>
      <c r="AR57">
        <v>25.775099947452478</v>
      </c>
      <c r="AS57" t="s">
        <v>65</v>
      </c>
      <c r="AT57">
        <v>1</v>
      </c>
      <c r="AU57" t="s">
        <v>397</v>
      </c>
      <c r="AV57" t="s">
        <v>398</v>
      </c>
      <c r="AW57" t="s">
        <v>60</v>
      </c>
      <c r="AX57" t="s">
        <v>68</v>
      </c>
      <c r="AY57" t="s">
        <v>69</v>
      </c>
      <c r="AZ57" t="b">
        <v>1</v>
      </c>
    </row>
    <row r="58" spans="1:52" x14ac:dyDescent="0.3">
      <c r="A58" t="s">
        <v>52</v>
      </c>
      <c r="B58" t="s">
        <v>53</v>
      </c>
      <c r="C58" t="s">
        <v>54</v>
      </c>
      <c r="D58" t="s">
        <v>55</v>
      </c>
      <c r="E58" t="s">
        <v>56</v>
      </c>
      <c r="F58" t="s">
        <v>176</v>
      </c>
      <c r="G58" t="s">
        <v>399</v>
      </c>
      <c r="H58" t="s">
        <v>400</v>
      </c>
      <c r="I58" t="s">
        <v>400</v>
      </c>
      <c r="J58" t="s">
        <v>60</v>
      </c>
      <c r="K58" t="s">
        <v>286</v>
      </c>
      <c r="L58" t="s">
        <v>62</v>
      </c>
      <c r="M58" t="s">
        <v>286</v>
      </c>
      <c r="N58" t="s">
        <v>401</v>
      </c>
      <c r="O58" t="s">
        <v>402</v>
      </c>
      <c r="P58">
        <v>-19.639906</v>
      </c>
      <c r="Q58">
        <v>-43.886059000000003</v>
      </c>
      <c r="R58" s="2" t="str">
        <f>HYPERLINK("https://www.google.com/maps?q=-19.6399060,-43.8860590","Abrir no Google Maps")</f>
        <v>Abrir no Google Maps</v>
      </c>
      <c r="S58">
        <v>3</v>
      </c>
      <c r="T58">
        <v>256.0748811302048</v>
      </c>
      <c r="U58">
        <v>3</v>
      </c>
      <c r="V58">
        <v>0.25931286934347408</v>
      </c>
      <c r="W58">
        <v>1</v>
      </c>
      <c r="X58">
        <v>0.25931286934347408</v>
      </c>
      <c r="Y58">
        <v>10</v>
      </c>
      <c r="Z58">
        <v>205.06236700857289</v>
      </c>
      <c r="AA58">
        <v>2</v>
      </c>
      <c r="AB58">
        <v>3</v>
      </c>
      <c r="AC58">
        <v>7</v>
      </c>
      <c r="AD58">
        <v>26.01</v>
      </c>
      <c r="AE58">
        <v>253</v>
      </c>
      <c r="AF58">
        <v>18</v>
      </c>
      <c r="AG58">
        <v>58</v>
      </c>
      <c r="AH58">
        <v>32</v>
      </c>
      <c r="AI58">
        <v>7.11</v>
      </c>
      <c r="AJ58">
        <v>22.92</v>
      </c>
      <c r="AK58">
        <v>12.65</v>
      </c>
      <c r="AL58">
        <v>-19.639789499999949</v>
      </c>
      <c r="AM58">
        <v>-43.885737855031408</v>
      </c>
      <c r="AN58">
        <v>-19.639789499999949</v>
      </c>
      <c r="AO58">
        <v>-43.885737855031408</v>
      </c>
      <c r="AP58">
        <v>-19.639906</v>
      </c>
      <c r="AQ58">
        <v>-43.886059000000003</v>
      </c>
      <c r="AR58">
        <v>36.081349702130403</v>
      </c>
      <c r="AS58" t="s">
        <v>65</v>
      </c>
      <c r="AT58">
        <v>1</v>
      </c>
      <c r="AU58" t="s">
        <v>403</v>
      </c>
      <c r="AV58" t="s">
        <v>404</v>
      </c>
      <c r="AW58" t="s">
        <v>60</v>
      </c>
      <c r="AX58" t="s">
        <v>68</v>
      </c>
      <c r="AY58" t="s">
        <v>69</v>
      </c>
      <c r="AZ58" t="b">
        <v>1</v>
      </c>
    </row>
    <row r="59" spans="1:52" x14ac:dyDescent="0.3">
      <c r="A59" t="s">
        <v>52</v>
      </c>
      <c r="B59" t="s">
        <v>53</v>
      </c>
      <c r="C59" t="s">
        <v>54</v>
      </c>
      <c r="D59" t="s">
        <v>55</v>
      </c>
      <c r="E59" t="s">
        <v>56</v>
      </c>
      <c r="F59" t="s">
        <v>176</v>
      </c>
      <c r="G59" t="s">
        <v>405</v>
      </c>
      <c r="H59" t="s">
        <v>406</v>
      </c>
      <c r="I59" t="s">
        <v>406</v>
      </c>
      <c r="J59" t="s">
        <v>60</v>
      </c>
      <c r="K59" t="s">
        <v>286</v>
      </c>
      <c r="L59" t="s">
        <v>62</v>
      </c>
      <c r="M59" t="s">
        <v>286</v>
      </c>
      <c r="N59" t="s">
        <v>407</v>
      </c>
      <c r="O59" t="s">
        <v>408</v>
      </c>
      <c r="P59">
        <v>-19.646345</v>
      </c>
      <c r="Q59">
        <v>-43.882294999999999</v>
      </c>
      <c r="R59" s="2" t="str">
        <f>HYPERLINK("https://www.google.com/maps?q=-19.6463450,-43.8822950","Abrir no Google Maps")</f>
        <v>Abrir no Google Maps</v>
      </c>
      <c r="S59">
        <v>3</v>
      </c>
      <c r="T59">
        <v>450.3180538635894</v>
      </c>
      <c r="U59">
        <v>3</v>
      </c>
      <c r="V59">
        <v>0.27305804735552192</v>
      </c>
      <c r="W59">
        <v>1</v>
      </c>
      <c r="X59">
        <v>0.27305804735552192</v>
      </c>
      <c r="Y59">
        <v>10</v>
      </c>
      <c r="Z59">
        <v>349.23341775902583</v>
      </c>
      <c r="AA59">
        <v>2</v>
      </c>
      <c r="AB59">
        <v>3</v>
      </c>
      <c r="AC59">
        <v>7</v>
      </c>
      <c r="AD59">
        <v>26.01</v>
      </c>
      <c r="AE59">
        <v>253</v>
      </c>
      <c r="AF59">
        <v>18</v>
      </c>
      <c r="AG59">
        <v>58</v>
      </c>
      <c r="AH59">
        <v>32</v>
      </c>
      <c r="AI59">
        <v>7.11</v>
      </c>
      <c r="AJ59">
        <v>22.92</v>
      </c>
      <c r="AK59">
        <v>12.65</v>
      </c>
      <c r="AL59">
        <v>-19.646391649999941</v>
      </c>
      <c r="AM59">
        <v>-43.882007396993302</v>
      </c>
      <c r="AN59">
        <v>-19.646391649999941</v>
      </c>
      <c r="AO59">
        <v>-43.882007396993302</v>
      </c>
      <c r="AP59">
        <v>-19.646345</v>
      </c>
      <c r="AQ59">
        <v>-43.882294999999999</v>
      </c>
      <c r="AR59">
        <v>30.596105513395301</v>
      </c>
      <c r="AS59" t="s">
        <v>65</v>
      </c>
      <c r="AT59">
        <v>1</v>
      </c>
      <c r="AU59" t="s">
        <v>409</v>
      </c>
      <c r="AV59" t="s">
        <v>410</v>
      </c>
      <c r="AW59" t="s">
        <v>60</v>
      </c>
      <c r="AX59" t="s">
        <v>68</v>
      </c>
      <c r="AY59" t="s">
        <v>69</v>
      </c>
      <c r="AZ59" t="b">
        <v>1</v>
      </c>
    </row>
    <row r="60" spans="1:52" x14ac:dyDescent="0.3">
      <c r="A60" t="s">
        <v>52</v>
      </c>
      <c r="B60" t="s">
        <v>53</v>
      </c>
      <c r="C60" t="s">
        <v>54</v>
      </c>
      <c r="D60" t="s">
        <v>55</v>
      </c>
      <c r="E60" t="s">
        <v>56</v>
      </c>
      <c r="F60" t="s">
        <v>176</v>
      </c>
      <c r="G60" t="s">
        <v>411</v>
      </c>
      <c r="H60" t="s">
        <v>412</v>
      </c>
      <c r="I60" t="s">
        <v>412</v>
      </c>
      <c r="J60" t="s">
        <v>60</v>
      </c>
      <c r="K60" t="s">
        <v>179</v>
      </c>
      <c r="L60" t="s">
        <v>62</v>
      </c>
      <c r="M60" t="s">
        <v>179</v>
      </c>
      <c r="N60" t="s">
        <v>413</v>
      </c>
      <c r="O60" t="s">
        <v>414</v>
      </c>
      <c r="P60">
        <v>-19.650079000000002</v>
      </c>
      <c r="Q60">
        <v>-43.884253999999999</v>
      </c>
      <c r="R60" s="2" t="str">
        <f>HYPERLINK("https://www.google.com/maps?q=-19.6500790,-43.8842540","Abrir no Google Maps")</f>
        <v>Abrir no Google Maps</v>
      </c>
      <c r="S60">
        <v>3</v>
      </c>
      <c r="T60">
        <v>797.21430129715498</v>
      </c>
      <c r="U60">
        <v>3</v>
      </c>
      <c r="V60">
        <v>0.26822119106059072</v>
      </c>
      <c r="W60">
        <v>1</v>
      </c>
      <c r="X60">
        <v>0.26822119106059072</v>
      </c>
      <c r="Y60">
        <v>10</v>
      </c>
      <c r="Z60">
        <v>774.04145012702554</v>
      </c>
      <c r="AA60">
        <v>2</v>
      </c>
      <c r="AB60">
        <v>3</v>
      </c>
      <c r="AC60">
        <v>7</v>
      </c>
      <c r="AD60">
        <v>26.01</v>
      </c>
      <c r="AE60">
        <v>253</v>
      </c>
      <c r="AF60">
        <v>18</v>
      </c>
      <c r="AG60">
        <v>58</v>
      </c>
      <c r="AH60">
        <v>32</v>
      </c>
      <c r="AI60">
        <v>7.11</v>
      </c>
      <c r="AJ60">
        <v>22.92</v>
      </c>
      <c r="AK60">
        <v>12.65</v>
      </c>
      <c r="AL60">
        <v>-19.649199399999961</v>
      </c>
      <c r="AM60">
        <v>-43.883888390043637</v>
      </c>
      <c r="AN60">
        <v>-19.649199399999961</v>
      </c>
      <c r="AO60">
        <v>-43.883888390043637</v>
      </c>
      <c r="AP60">
        <v>-19.650079000000002</v>
      </c>
      <c r="AQ60">
        <v>-43.884253999999999</v>
      </c>
      <c r="AR60">
        <v>105.1518915696123</v>
      </c>
      <c r="AS60" t="s">
        <v>65</v>
      </c>
      <c r="AT60">
        <v>1</v>
      </c>
      <c r="AU60" t="s">
        <v>415</v>
      </c>
      <c r="AV60" t="s">
        <v>416</v>
      </c>
      <c r="AW60" t="s">
        <v>60</v>
      </c>
      <c r="AX60" t="s">
        <v>68</v>
      </c>
      <c r="AY60" t="s">
        <v>69</v>
      </c>
      <c r="AZ60" t="b">
        <v>1</v>
      </c>
    </row>
    <row r="61" spans="1:52" x14ac:dyDescent="0.3">
      <c r="A61" t="s">
        <v>52</v>
      </c>
      <c r="B61" t="s">
        <v>53</v>
      </c>
      <c r="C61" t="s">
        <v>54</v>
      </c>
      <c r="D61" t="s">
        <v>55</v>
      </c>
      <c r="E61" t="s">
        <v>56</v>
      </c>
      <c r="F61" t="s">
        <v>176</v>
      </c>
      <c r="G61" t="s">
        <v>417</v>
      </c>
      <c r="H61" t="s">
        <v>418</v>
      </c>
      <c r="I61" t="s">
        <v>418</v>
      </c>
      <c r="J61" t="s">
        <v>60</v>
      </c>
      <c r="K61" t="s">
        <v>179</v>
      </c>
      <c r="L61" t="s">
        <v>62</v>
      </c>
      <c r="M61" t="s">
        <v>179</v>
      </c>
      <c r="N61" t="s">
        <v>419</v>
      </c>
      <c r="O61" t="s">
        <v>420</v>
      </c>
      <c r="P61">
        <v>-19.646516999999999</v>
      </c>
      <c r="Q61">
        <v>-43.889716</v>
      </c>
      <c r="R61" s="2" t="str">
        <f>HYPERLINK("https://www.google.com/maps?q=-19.6465170,-43.8897160","Abrir no Google Maps")</f>
        <v>Abrir no Google Maps</v>
      </c>
      <c r="S61">
        <v>3</v>
      </c>
      <c r="T61">
        <v>796.8355517653099</v>
      </c>
      <c r="U61">
        <v>3</v>
      </c>
      <c r="V61">
        <v>0.26528007297367318</v>
      </c>
      <c r="W61">
        <v>1</v>
      </c>
      <c r="X61">
        <v>0.26528007297367318</v>
      </c>
      <c r="Y61">
        <v>7</v>
      </c>
      <c r="Z61">
        <v>749.72812632947034</v>
      </c>
      <c r="AA61">
        <v>2</v>
      </c>
      <c r="AB61">
        <v>3</v>
      </c>
      <c r="AC61">
        <v>7</v>
      </c>
      <c r="AD61">
        <v>26.01</v>
      </c>
      <c r="AE61">
        <v>253</v>
      </c>
      <c r="AF61">
        <v>18</v>
      </c>
      <c r="AG61">
        <v>58</v>
      </c>
      <c r="AH61">
        <v>32</v>
      </c>
      <c r="AI61">
        <v>7.11</v>
      </c>
      <c r="AJ61">
        <v>22.92</v>
      </c>
      <c r="AK61">
        <v>12.65</v>
      </c>
      <c r="AL61">
        <v>-19.646452649999961</v>
      </c>
      <c r="AM61">
        <v>-43.88991036523079</v>
      </c>
      <c r="AN61">
        <v>-19.646452649999961</v>
      </c>
      <c r="AO61">
        <v>-43.88991036523079</v>
      </c>
      <c r="AP61">
        <v>-19.646516999999999</v>
      </c>
      <c r="AQ61">
        <v>-43.889716</v>
      </c>
      <c r="AR61">
        <v>21.599617922669939</v>
      </c>
      <c r="AS61" t="s">
        <v>65</v>
      </c>
      <c r="AT61">
        <v>1</v>
      </c>
      <c r="AU61" t="s">
        <v>421</v>
      </c>
      <c r="AV61" t="s">
        <v>422</v>
      </c>
      <c r="AW61" t="s">
        <v>60</v>
      </c>
      <c r="AX61" t="s">
        <v>68</v>
      </c>
      <c r="AY61" t="s">
        <v>69</v>
      </c>
      <c r="AZ61" t="b">
        <v>1</v>
      </c>
    </row>
    <row r="62" spans="1:52" x14ac:dyDescent="0.3">
      <c r="A62" t="s">
        <v>52</v>
      </c>
      <c r="B62" t="s">
        <v>53</v>
      </c>
      <c r="C62" t="s">
        <v>54</v>
      </c>
      <c r="D62" t="s">
        <v>55</v>
      </c>
      <c r="E62" t="s">
        <v>56</v>
      </c>
      <c r="F62" t="s">
        <v>176</v>
      </c>
      <c r="G62" t="s">
        <v>228</v>
      </c>
      <c r="H62" t="s">
        <v>423</v>
      </c>
      <c r="I62" t="s">
        <v>423</v>
      </c>
      <c r="J62" t="s">
        <v>60</v>
      </c>
      <c r="K62" t="s">
        <v>286</v>
      </c>
      <c r="L62" t="s">
        <v>62</v>
      </c>
      <c r="M62" t="s">
        <v>286</v>
      </c>
      <c r="N62" t="s">
        <v>230</v>
      </c>
      <c r="O62" t="s">
        <v>424</v>
      </c>
      <c r="P62">
        <v>-19.641656999999999</v>
      </c>
      <c r="Q62">
        <v>-43.884228999999998</v>
      </c>
      <c r="R62" s="2" t="str">
        <f>HYPERLINK("https://www.google.com/maps?q=-19.6416570,-43.8842290","Abrir no Google Maps")</f>
        <v>Abrir no Google Maps</v>
      </c>
      <c r="S62">
        <v>3</v>
      </c>
      <c r="T62">
        <v>0</v>
      </c>
      <c r="U62">
        <v>3</v>
      </c>
      <c r="V62">
        <v>0.26637043485819811</v>
      </c>
      <c r="W62">
        <v>1</v>
      </c>
      <c r="X62">
        <v>0.26637043485819811</v>
      </c>
      <c r="Y62">
        <v>7</v>
      </c>
      <c r="Z62">
        <v>67.727401070752876</v>
      </c>
      <c r="AA62">
        <v>2</v>
      </c>
      <c r="AB62">
        <v>3</v>
      </c>
      <c r="AC62">
        <v>7</v>
      </c>
      <c r="AD62">
        <v>26.01</v>
      </c>
      <c r="AE62">
        <v>253</v>
      </c>
      <c r="AF62">
        <v>18</v>
      </c>
      <c r="AG62">
        <v>58</v>
      </c>
      <c r="AH62">
        <v>32</v>
      </c>
      <c r="AI62">
        <v>7.11</v>
      </c>
      <c r="AJ62">
        <v>22.92</v>
      </c>
      <c r="AK62">
        <v>12.65</v>
      </c>
      <c r="AL62">
        <v>-19.641634199999942</v>
      </c>
      <c r="AM62">
        <v>-43.884263743972831</v>
      </c>
      <c r="AN62">
        <v>-19.641634199999942</v>
      </c>
      <c r="AO62">
        <v>-43.884263743972831</v>
      </c>
      <c r="AP62">
        <v>-19.641656999999999</v>
      </c>
      <c r="AQ62">
        <v>-43.884228999999998</v>
      </c>
      <c r="AR62">
        <v>4.4396888961435659</v>
      </c>
      <c r="AS62" t="s">
        <v>65</v>
      </c>
      <c r="AT62">
        <v>1</v>
      </c>
      <c r="AU62" t="s">
        <v>425</v>
      </c>
      <c r="AV62" t="s">
        <v>426</v>
      </c>
      <c r="AW62" t="s">
        <v>60</v>
      </c>
      <c r="AX62" t="s">
        <v>68</v>
      </c>
      <c r="AY62" t="s">
        <v>69</v>
      </c>
      <c r="AZ62" t="b">
        <v>1</v>
      </c>
    </row>
    <row r="63" spans="1:52" x14ac:dyDescent="0.3">
      <c r="A63" t="s">
        <v>52</v>
      </c>
      <c r="B63" t="s">
        <v>53</v>
      </c>
      <c r="C63" t="s">
        <v>54</v>
      </c>
      <c r="D63" t="s">
        <v>55</v>
      </c>
      <c r="E63" t="s">
        <v>56</v>
      </c>
      <c r="F63" t="s">
        <v>176</v>
      </c>
      <c r="G63" t="s">
        <v>427</v>
      </c>
      <c r="H63" t="s">
        <v>428</v>
      </c>
      <c r="I63" t="s">
        <v>428</v>
      </c>
      <c r="J63" t="s">
        <v>60</v>
      </c>
      <c r="K63" t="s">
        <v>311</v>
      </c>
      <c r="L63" t="s">
        <v>62</v>
      </c>
      <c r="M63" t="s">
        <v>311</v>
      </c>
      <c r="N63" t="s">
        <v>429</v>
      </c>
      <c r="O63" t="s">
        <v>430</v>
      </c>
      <c r="P63">
        <v>-19.574636999999999</v>
      </c>
      <c r="Q63">
        <v>-43.919919999999998</v>
      </c>
      <c r="R63" s="2" t="str">
        <f>HYPERLINK("https://www.google.com/maps?q=-19.5746370,-43.9199200","Abrir no Google Maps")</f>
        <v>Abrir no Google Maps</v>
      </c>
      <c r="S63">
        <v>3</v>
      </c>
      <c r="T63">
        <v>0</v>
      </c>
      <c r="U63">
        <v>3</v>
      </c>
      <c r="V63">
        <v>0.27043558957040992</v>
      </c>
      <c r="W63">
        <v>1</v>
      </c>
      <c r="X63">
        <v>0.27043558957040992</v>
      </c>
      <c r="Y63">
        <v>5</v>
      </c>
      <c r="Z63">
        <v>161.2304444692663</v>
      </c>
      <c r="AA63">
        <v>2</v>
      </c>
      <c r="AB63">
        <v>3</v>
      </c>
      <c r="AC63">
        <v>7</v>
      </c>
      <c r="AD63">
        <v>26.01</v>
      </c>
      <c r="AE63">
        <v>253</v>
      </c>
      <c r="AF63">
        <v>18</v>
      </c>
      <c r="AG63">
        <v>58</v>
      </c>
      <c r="AH63">
        <v>32</v>
      </c>
      <c r="AI63">
        <v>7.11</v>
      </c>
      <c r="AJ63">
        <v>22.92</v>
      </c>
      <c r="AK63">
        <v>12.65</v>
      </c>
      <c r="AL63">
        <v>-19.57444484999996</v>
      </c>
      <c r="AM63">
        <v>-43.920497272225433</v>
      </c>
      <c r="AN63">
        <v>-19.57444484999996</v>
      </c>
      <c r="AO63">
        <v>-43.920497272225433</v>
      </c>
      <c r="AP63">
        <v>-19.574636999999999</v>
      </c>
      <c r="AQ63">
        <v>-43.919919999999998</v>
      </c>
      <c r="AR63">
        <v>64.215298992893679</v>
      </c>
      <c r="AS63" t="s">
        <v>65</v>
      </c>
      <c r="AT63">
        <v>1</v>
      </c>
      <c r="AU63" t="s">
        <v>431</v>
      </c>
      <c r="AV63" t="s">
        <v>432</v>
      </c>
      <c r="AW63" t="s">
        <v>60</v>
      </c>
      <c r="AX63" t="s">
        <v>68</v>
      </c>
      <c r="AY63" t="s">
        <v>69</v>
      </c>
      <c r="AZ63" t="b">
        <v>1</v>
      </c>
    </row>
    <row r="64" spans="1:52" x14ac:dyDescent="0.3">
      <c r="A64" t="s">
        <v>52</v>
      </c>
      <c r="B64" t="s">
        <v>53</v>
      </c>
      <c r="C64" t="s">
        <v>54</v>
      </c>
      <c r="D64" t="s">
        <v>55</v>
      </c>
      <c r="E64" t="s">
        <v>56</v>
      </c>
      <c r="F64" t="s">
        <v>176</v>
      </c>
      <c r="G64" t="s">
        <v>433</v>
      </c>
      <c r="H64" t="s">
        <v>434</v>
      </c>
      <c r="I64" t="s">
        <v>434</v>
      </c>
      <c r="J64" t="s">
        <v>60</v>
      </c>
      <c r="K64" t="s">
        <v>311</v>
      </c>
      <c r="L64" t="s">
        <v>62</v>
      </c>
      <c r="M64" t="s">
        <v>311</v>
      </c>
      <c r="N64" t="s">
        <v>435</v>
      </c>
      <c r="O64" t="s">
        <v>120</v>
      </c>
      <c r="P64">
        <v>-19.563834</v>
      </c>
      <c r="Q64">
        <v>-43.917617</v>
      </c>
      <c r="R64" s="2" t="str">
        <f>HYPERLINK("https://www.google.com/maps?q=-19.5638340,-43.9176170","Abrir no Google Maps")</f>
        <v>Abrir no Google Maps</v>
      </c>
      <c r="S64">
        <v>3</v>
      </c>
      <c r="T64">
        <v>1208.4380275937069</v>
      </c>
      <c r="U64">
        <v>3</v>
      </c>
      <c r="V64">
        <v>0.2576143286264635</v>
      </c>
      <c r="W64">
        <v>1</v>
      </c>
      <c r="X64">
        <v>0.2576143286264635</v>
      </c>
      <c r="Y64">
        <v>5</v>
      </c>
      <c r="Z64">
        <v>1239.357315084522</v>
      </c>
      <c r="AA64">
        <v>2</v>
      </c>
      <c r="AB64">
        <v>3</v>
      </c>
      <c r="AC64">
        <v>7</v>
      </c>
      <c r="AD64">
        <v>26.01</v>
      </c>
      <c r="AE64">
        <v>253</v>
      </c>
      <c r="AF64">
        <v>18</v>
      </c>
      <c r="AG64">
        <v>58</v>
      </c>
      <c r="AH64">
        <v>32</v>
      </c>
      <c r="AI64">
        <v>7.11</v>
      </c>
      <c r="AJ64">
        <v>22.92</v>
      </c>
      <c r="AK64">
        <v>12.65</v>
      </c>
      <c r="AL64">
        <v>-19.563932349999959</v>
      </c>
      <c r="AM64">
        <v>-43.917383104532327</v>
      </c>
      <c r="AN64">
        <v>-19.563932349999959</v>
      </c>
      <c r="AO64">
        <v>-43.917383104532327</v>
      </c>
      <c r="AP64">
        <v>-19.563834</v>
      </c>
      <c r="AQ64">
        <v>-43.917617</v>
      </c>
      <c r="AR64">
        <v>26.86608405010627</v>
      </c>
      <c r="AS64" t="s">
        <v>65</v>
      </c>
      <c r="AT64">
        <v>1</v>
      </c>
      <c r="AU64" t="s">
        <v>436</v>
      </c>
      <c r="AV64" t="s">
        <v>437</v>
      </c>
      <c r="AW64" t="s">
        <v>60</v>
      </c>
      <c r="AX64" t="s">
        <v>68</v>
      </c>
      <c r="AY64" t="s">
        <v>69</v>
      </c>
      <c r="AZ64" t="b">
        <v>1</v>
      </c>
    </row>
    <row r="65" spans="1:52" x14ac:dyDescent="0.3">
      <c r="A65" t="s">
        <v>52</v>
      </c>
      <c r="B65" t="s">
        <v>53</v>
      </c>
      <c r="C65" t="s">
        <v>54</v>
      </c>
      <c r="D65" t="s">
        <v>55</v>
      </c>
      <c r="E65" t="s">
        <v>56</v>
      </c>
      <c r="F65" t="s">
        <v>176</v>
      </c>
      <c r="G65" t="s">
        <v>438</v>
      </c>
      <c r="H65" t="s">
        <v>439</v>
      </c>
      <c r="I65" t="s">
        <v>439</v>
      </c>
      <c r="J65" t="s">
        <v>60</v>
      </c>
      <c r="K65" t="s">
        <v>199</v>
      </c>
      <c r="L65" t="s">
        <v>62</v>
      </c>
      <c r="M65" t="s">
        <v>199</v>
      </c>
      <c r="N65" t="s">
        <v>440</v>
      </c>
      <c r="O65" t="s">
        <v>120</v>
      </c>
      <c r="P65">
        <v>-19.642907000000001</v>
      </c>
      <c r="Q65">
        <v>-43.912584000000003</v>
      </c>
      <c r="R65" s="2" t="str">
        <f>HYPERLINK("https://www.google.com/maps?q=-19.6429070,-43.9125840","Abrir no Google Maps")</f>
        <v>Abrir no Google Maps</v>
      </c>
      <c r="S65">
        <v>3</v>
      </c>
      <c r="T65">
        <v>0</v>
      </c>
      <c r="U65">
        <v>3</v>
      </c>
      <c r="V65">
        <v>0.2683460740730354</v>
      </c>
      <c r="W65">
        <v>1</v>
      </c>
      <c r="X65">
        <v>0.2683460740730354</v>
      </c>
      <c r="Y65">
        <v>4</v>
      </c>
      <c r="Z65">
        <v>617.66392653629225</v>
      </c>
      <c r="AA65">
        <v>2</v>
      </c>
      <c r="AB65">
        <v>3</v>
      </c>
      <c r="AC65">
        <v>7</v>
      </c>
      <c r="AD65">
        <v>26.01</v>
      </c>
      <c r="AE65">
        <v>253</v>
      </c>
      <c r="AF65">
        <v>18</v>
      </c>
      <c r="AG65">
        <v>58</v>
      </c>
      <c r="AH65">
        <v>32</v>
      </c>
      <c r="AI65">
        <v>7.11</v>
      </c>
      <c r="AJ65">
        <v>22.92</v>
      </c>
      <c r="AK65">
        <v>12.65</v>
      </c>
      <c r="AL65">
        <v>-19.64265969999996</v>
      </c>
      <c r="AM65">
        <v>-43.912763285666202</v>
      </c>
      <c r="AN65">
        <v>-19.64265969999996</v>
      </c>
      <c r="AO65">
        <v>-43.912763285666202</v>
      </c>
      <c r="AP65">
        <v>-19.642907000000001</v>
      </c>
      <c r="AQ65">
        <v>-43.912584000000003</v>
      </c>
      <c r="AR65">
        <v>33.334435483196202</v>
      </c>
      <c r="AS65" t="s">
        <v>65</v>
      </c>
      <c r="AT65">
        <v>1</v>
      </c>
      <c r="AU65" t="s">
        <v>441</v>
      </c>
      <c r="AV65" t="s">
        <v>442</v>
      </c>
      <c r="AW65" t="s">
        <v>60</v>
      </c>
      <c r="AX65" t="s">
        <v>68</v>
      </c>
      <c r="AY65" t="s">
        <v>69</v>
      </c>
      <c r="AZ65" t="b">
        <v>1</v>
      </c>
    </row>
    <row r="66" spans="1:52" x14ac:dyDescent="0.3">
      <c r="A66" t="s">
        <v>52</v>
      </c>
      <c r="B66" t="s">
        <v>53</v>
      </c>
      <c r="C66" t="s">
        <v>54</v>
      </c>
      <c r="D66" t="s">
        <v>55</v>
      </c>
      <c r="E66" t="s">
        <v>56</v>
      </c>
      <c r="F66" t="s">
        <v>176</v>
      </c>
      <c r="G66" t="s">
        <v>443</v>
      </c>
      <c r="H66" t="s">
        <v>444</v>
      </c>
      <c r="I66" t="s">
        <v>444</v>
      </c>
      <c r="J66" t="s">
        <v>60</v>
      </c>
      <c r="K66" t="s">
        <v>445</v>
      </c>
      <c r="L66" t="s">
        <v>62</v>
      </c>
      <c r="M66" t="s">
        <v>445</v>
      </c>
      <c r="N66" t="s">
        <v>446</v>
      </c>
      <c r="O66" t="s">
        <v>447</v>
      </c>
      <c r="P66">
        <v>-19.650062999999999</v>
      </c>
      <c r="Q66">
        <v>-43.878337000000002</v>
      </c>
      <c r="R66" s="2" t="str">
        <f>HYPERLINK("https://www.google.com/maps?q=-19.6500630,-43.8783370","Abrir no Google Maps")</f>
        <v>Abrir no Google Maps</v>
      </c>
      <c r="S66">
        <v>3</v>
      </c>
      <c r="T66">
        <v>839.11860749856135</v>
      </c>
      <c r="U66">
        <v>3</v>
      </c>
      <c r="V66">
        <v>0.2649643805594159</v>
      </c>
      <c r="W66">
        <v>1</v>
      </c>
      <c r="X66">
        <v>0.2649643805594159</v>
      </c>
      <c r="Y66">
        <v>3</v>
      </c>
      <c r="Z66">
        <v>698.86168887476526</v>
      </c>
      <c r="AA66">
        <v>2</v>
      </c>
      <c r="AB66">
        <v>3</v>
      </c>
      <c r="AC66">
        <v>7</v>
      </c>
      <c r="AD66">
        <v>26.01</v>
      </c>
      <c r="AE66">
        <v>253</v>
      </c>
      <c r="AF66">
        <v>18</v>
      </c>
      <c r="AG66">
        <v>58</v>
      </c>
      <c r="AH66">
        <v>32</v>
      </c>
      <c r="AI66">
        <v>7.11</v>
      </c>
      <c r="AJ66">
        <v>22.92</v>
      </c>
      <c r="AK66">
        <v>12.65</v>
      </c>
      <c r="AL66">
        <v>-19.650555399999941</v>
      </c>
      <c r="AM66">
        <v>-43.878603008553611</v>
      </c>
      <c r="AN66">
        <v>-19.650555399999941</v>
      </c>
      <c r="AO66">
        <v>-43.878603008553611</v>
      </c>
      <c r="AP66">
        <v>-19.650062999999999</v>
      </c>
      <c r="AQ66">
        <v>-43.878337000000002</v>
      </c>
      <c r="AR66">
        <v>61.500273251918507</v>
      </c>
      <c r="AS66" t="s">
        <v>65</v>
      </c>
      <c r="AT66">
        <v>1</v>
      </c>
      <c r="AU66" t="s">
        <v>448</v>
      </c>
      <c r="AV66" t="s">
        <v>449</v>
      </c>
      <c r="AW66" t="s">
        <v>60</v>
      </c>
      <c r="AX66" t="s">
        <v>68</v>
      </c>
      <c r="AY66" t="s">
        <v>69</v>
      </c>
      <c r="AZ66" t="b">
        <v>1</v>
      </c>
    </row>
    <row r="67" spans="1:52" x14ac:dyDescent="0.3">
      <c r="A67" t="s">
        <v>52</v>
      </c>
      <c r="B67" t="s">
        <v>53</v>
      </c>
      <c r="C67" t="s">
        <v>54</v>
      </c>
      <c r="D67" t="s">
        <v>55</v>
      </c>
      <c r="E67" t="s">
        <v>56</v>
      </c>
      <c r="F67" t="s">
        <v>176</v>
      </c>
      <c r="G67" t="s">
        <v>450</v>
      </c>
      <c r="H67" t="s">
        <v>451</v>
      </c>
      <c r="I67" t="s">
        <v>451</v>
      </c>
      <c r="J67" t="s">
        <v>60</v>
      </c>
      <c r="K67" t="s">
        <v>452</v>
      </c>
      <c r="L67" t="s">
        <v>62</v>
      </c>
      <c r="M67" t="s">
        <v>452</v>
      </c>
      <c r="N67" t="s">
        <v>453</v>
      </c>
      <c r="O67" t="s">
        <v>454</v>
      </c>
      <c r="P67">
        <v>-19.649691000000001</v>
      </c>
      <c r="Q67">
        <v>-43.873970999999997</v>
      </c>
      <c r="R67" s="2" t="str">
        <f>HYPERLINK("https://www.google.com/maps?q=-19.6496910,-43.8739710","Abrir no Google Maps")</f>
        <v>Abrir no Google Maps</v>
      </c>
      <c r="S67">
        <v>3</v>
      </c>
      <c r="T67">
        <v>433.54329587849469</v>
      </c>
      <c r="U67">
        <v>3</v>
      </c>
      <c r="V67">
        <v>0.26258408541321149</v>
      </c>
      <c r="W67">
        <v>1</v>
      </c>
      <c r="X67">
        <v>0.26258408541321149</v>
      </c>
      <c r="Y67">
        <v>3</v>
      </c>
      <c r="Z67">
        <v>298.71042308886041</v>
      </c>
      <c r="AA67">
        <v>2</v>
      </c>
      <c r="AB67">
        <v>3</v>
      </c>
      <c r="AC67">
        <v>7</v>
      </c>
      <c r="AD67">
        <v>26.01</v>
      </c>
      <c r="AE67">
        <v>253</v>
      </c>
      <c r="AF67">
        <v>18</v>
      </c>
      <c r="AG67">
        <v>58</v>
      </c>
      <c r="AH67">
        <v>32</v>
      </c>
      <c r="AI67">
        <v>7.11</v>
      </c>
      <c r="AJ67">
        <v>22.92</v>
      </c>
      <c r="AK67">
        <v>12.65</v>
      </c>
      <c r="AL67">
        <v>-19.64973869999994</v>
      </c>
      <c r="AM67">
        <v>-43.873980587601103</v>
      </c>
      <c r="AN67">
        <v>-19.64973869999994</v>
      </c>
      <c r="AO67">
        <v>-43.873980587601103</v>
      </c>
      <c r="AP67">
        <v>-19.649691000000001</v>
      </c>
      <c r="AQ67">
        <v>-43.873970999999997</v>
      </c>
      <c r="AR67">
        <v>5.4042596125531333</v>
      </c>
      <c r="AS67" t="s">
        <v>65</v>
      </c>
      <c r="AT67">
        <v>1</v>
      </c>
      <c r="AU67" t="s">
        <v>455</v>
      </c>
      <c r="AV67" t="s">
        <v>456</v>
      </c>
      <c r="AW67" t="s">
        <v>60</v>
      </c>
      <c r="AX67" t="s">
        <v>68</v>
      </c>
      <c r="AY67" t="s">
        <v>69</v>
      </c>
      <c r="AZ67" t="b">
        <v>1</v>
      </c>
    </row>
    <row r="68" spans="1:52" x14ac:dyDescent="0.3">
      <c r="A68" t="s">
        <v>52</v>
      </c>
      <c r="B68" t="s">
        <v>53</v>
      </c>
      <c r="C68" t="s">
        <v>54</v>
      </c>
      <c r="D68" t="s">
        <v>55</v>
      </c>
      <c r="E68" t="s">
        <v>56</v>
      </c>
      <c r="F68" t="s">
        <v>176</v>
      </c>
      <c r="G68" t="s">
        <v>457</v>
      </c>
      <c r="H68" t="s">
        <v>458</v>
      </c>
      <c r="I68" t="s">
        <v>458</v>
      </c>
      <c r="J68" t="s">
        <v>60</v>
      </c>
      <c r="K68" t="s">
        <v>286</v>
      </c>
      <c r="L68" t="s">
        <v>62</v>
      </c>
      <c r="M68" t="s">
        <v>286</v>
      </c>
      <c r="N68" t="s">
        <v>459</v>
      </c>
      <c r="O68" t="s">
        <v>408</v>
      </c>
      <c r="P68">
        <v>-19.648675000000001</v>
      </c>
      <c r="Q68">
        <v>-43.876176999999998</v>
      </c>
      <c r="R68" s="2" t="str">
        <f>HYPERLINK("https://www.google.com/maps?q=-19.6486750,-43.8761770","Abrir no Google Maps")</f>
        <v>Abrir no Google Maps</v>
      </c>
      <c r="S68">
        <v>3</v>
      </c>
      <c r="T68">
        <v>696.15049931004592</v>
      </c>
      <c r="U68">
        <v>3</v>
      </c>
      <c r="V68">
        <v>0.27256384928049537</v>
      </c>
      <c r="W68">
        <v>1</v>
      </c>
      <c r="X68">
        <v>0.27256384928049537</v>
      </c>
      <c r="Y68">
        <v>3</v>
      </c>
      <c r="Z68">
        <v>617.40976221624703</v>
      </c>
      <c r="AA68">
        <v>2</v>
      </c>
      <c r="AB68">
        <v>3</v>
      </c>
      <c r="AC68">
        <v>7</v>
      </c>
      <c r="AD68">
        <v>26.01</v>
      </c>
      <c r="AE68">
        <v>253</v>
      </c>
      <c r="AF68">
        <v>18</v>
      </c>
      <c r="AG68">
        <v>58</v>
      </c>
      <c r="AH68">
        <v>32</v>
      </c>
      <c r="AI68">
        <v>7.11</v>
      </c>
      <c r="AJ68">
        <v>22.92</v>
      </c>
      <c r="AK68">
        <v>12.65</v>
      </c>
      <c r="AL68">
        <v>-19.648626649999951</v>
      </c>
      <c r="AM68">
        <v>-43.876233357879343</v>
      </c>
      <c r="AN68">
        <v>-19.648626649999951</v>
      </c>
      <c r="AO68">
        <v>-43.876233357879343</v>
      </c>
      <c r="AP68">
        <v>-19.648675000000001</v>
      </c>
      <c r="AQ68">
        <v>-43.876176999999998</v>
      </c>
      <c r="AR68">
        <v>7.9924470956447653</v>
      </c>
      <c r="AS68" t="s">
        <v>65</v>
      </c>
      <c r="AT68">
        <v>1</v>
      </c>
      <c r="AU68" t="s">
        <v>460</v>
      </c>
      <c r="AV68" t="s">
        <v>461</v>
      </c>
      <c r="AW68" t="s">
        <v>60</v>
      </c>
      <c r="AX68" t="s">
        <v>68</v>
      </c>
      <c r="AY68" t="s">
        <v>69</v>
      </c>
      <c r="AZ68" t="b">
        <v>1</v>
      </c>
    </row>
    <row r="69" spans="1:52" x14ac:dyDescent="0.3">
      <c r="A69" t="s">
        <v>52</v>
      </c>
      <c r="B69" t="s">
        <v>53</v>
      </c>
      <c r="C69" t="s">
        <v>54</v>
      </c>
      <c r="D69" t="s">
        <v>55</v>
      </c>
      <c r="E69" t="s">
        <v>56</v>
      </c>
      <c r="F69" t="s">
        <v>176</v>
      </c>
      <c r="G69" t="s">
        <v>462</v>
      </c>
      <c r="H69" t="s">
        <v>463</v>
      </c>
      <c r="I69" t="s">
        <v>463</v>
      </c>
      <c r="J69" t="s">
        <v>60</v>
      </c>
      <c r="K69" t="s">
        <v>464</v>
      </c>
      <c r="L69" t="s">
        <v>62</v>
      </c>
      <c r="M69" t="s">
        <v>464</v>
      </c>
      <c r="N69" t="s">
        <v>465</v>
      </c>
      <c r="O69" t="s">
        <v>414</v>
      </c>
      <c r="P69">
        <v>-19.655408000000001</v>
      </c>
      <c r="Q69">
        <v>-43.862772999999997</v>
      </c>
      <c r="R69" s="2" t="str">
        <f>HYPERLINK("https://www.google.com/maps?q=-19.6554080,-43.8627730","Abrir no Google Maps")</f>
        <v>Abrir no Google Maps</v>
      </c>
      <c r="S69">
        <v>3</v>
      </c>
      <c r="T69">
        <v>877.50781603676592</v>
      </c>
      <c r="U69">
        <v>3</v>
      </c>
      <c r="V69">
        <v>0.26227805268984999</v>
      </c>
      <c r="W69">
        <v>1</v>
      </c>
      <c r="X69">
        <v>0.26227805268984999</v>
      </c>
      <c r="Y69">
        <v>3</v>
      </c>
      <c r="Z69">
        <v>1005.9680098732809</v>
      </c>
      <c r="AA69">
        <v>2</v>
      </c>
      <c r="AB69">
        <v>3</v>
      </c>
      <c r="AC69">
        <v>7</v>
      </c>
      <c r="AD69">
        <v>26.01</v>
      </c>
      <c r="AE69">
        <v>253</v>
      </c>
      <c r="AF69">
        <v>18</v>
      </c>
      <c r="AG69">
        <v>58</v>
      </c>
      <c r="AH69">
        <v>32</v>
      </c>
      <c r="AI69">
        <v>7.11</v>
      </c>
      <c r="AJ69">
        <v>22.92</v>
      </c>
      <c r="AK69">
        <v>12.65</v>
      </c>
      <c r="AL69">
        <v>-19.655455099999951</v>
      </c>
      <c r="AM69">
        <v>-43.863149342001513</v>
      </c>
      <c r="AN69">
        <v>-19.655455099999951</v>
      </c>
      <c r="AO69">
        <v>-43.863149342001513</v>
      </c>
      <c r="AP69">
        <v>-19.655408000000001</v>
      </c>
      <c r="AQ69">
        <v>-43.862772999999997</v>
      </c>
      <c r="AR69">
        <v>39.800175805630573</v>
      </c>
      <c r="AS69" t="s">
        <v>65</v>
      </c>
      <c r="AT69">
        <v>1</v>
      </c>
      <c r="AU69" t="s">
        <v>466</v>
      </c>
      <c r="AV69" t="s">
        <v>467</v>
      </c>
      <c r="AW69" t="s">
        <v>60</v>
      </c>
      <c r="AX69" t="s">
        <v>68</v>
      </c>
      <c r="AY69" t="s">
        <v>69</v>
      </c>
      <c r="AZ69" t="b">
        <v>1</v>
      </c>
    </row>
    <row r="70" spans="1:52" x14ac:dyDescent="0.3">
      <c r="A70" t="s">
        <v>52</v>
      </c>
      <c r="B70" t="s">
        <v>53</v>
      </c>
      <c r="C70" t="s">
        <v>54</v>
      </c>
      <c r="D70" t="s">
        <v>55</v>
      </c>
      <c r="E70" t="s">
        <v>56</v>
      </c>
      <c r="F70" t="s">
        <v>176</v>
      </c>
      <c r="G70" t="s">
        <v>468</v>
      </c>
      <c r="H70" t="s">
        <v>469</v>
      </c>
      <c r="I70" t="s">
        <v>469</v>
      </c>
      <c r="J70" t="s">
        <v>60</v>
      </c>
      <c r="K70" t="s">
        <v>326</v>
      </c>
      <c r="L70" t="s">
        <v>62</v>
      </c>
      <c r="M70" t="s">
        <v>326</v>
      </c>
      <c r="N70" t="s">
        <v>470</v>
      </c>
      <c r="O70" t="s">
        <v>471</v>
      </c>
      <c r="P70">
        <v>-19.655975999999999</v>
      </c>
      <c r="Q70">
        <v>-43.870057000000003</v>
      </c>
      <c r="R70" s="2" t="str">
        <f>HYPERLINK("https://www.google.com/maps?q=-19.6559760,-43.8700570","Abrir no Google Maps")</f>
        <v>Abrir no Google Maps</v>
      </c>
      <c r="S70">
        <v>3</v>
      </c>
      <c r="T70">
        <v>409.25016374145417</v>
      </c>
      <c r="U70">
        <v>3</v>
      </c>
      <c r="V70">
        <v>0.2735126236100926</v>
      </c>
      <c r="W70">
        <v>1</v>
      </c>
      <c r="X70">
        <v>0.2735126236100926</v>
      </c>
      <c r="Y70">
        <v>3</v>
      </c>
      <c r="Z70">
        <v>484.59511175905197</v>
      </c>
      <c r="AA70">
        <v>2</v>
      </c>
      <c r="AB70">
        <v>3</v>
      </c>
      <c r="AC70">
        <v>7</v>
      </c>
      <c r="AD70">
        <v>26.01</v>
      </c>
      <c r="AE70">
        <v>253</v>
      </c>
      <c r="AF70">
        <v>18</v>
      </c>
      <c r="AG70">
        <v>58</v>
      </c>
      <c r="AH70">
        <v>32</v>
      </c>
      <c r="AI70">
        <v>7.11</v>
      </c>
      <c r="AJ70">
        <v>22.92</v>
      </c>
      <c r="AK70">
        <v>12.65</v>
      </c>
      <c r="AL70">
        <v>-19.655869499999969</v>
      </c>
      <c r="AM70">
        <v>-43.870040006843681</v>
      </c>
      <c r="AN70">
        <v>-19.655869499999969</v>
      </c>
      <c r="AO70">
        <v>-43.870040006843681</v>
      </c>
      <c r="AP70">
        <v>-19.655975999999999</v>
      </c>
      <c r="AQ70">
        <v>-43.870057000000003</v>
      </c>
      <c r="AR70">
        <v>11.98867552929476</v>
      </c>
      <c r="AS70" t="s">
        <v>65</v>
      </c>
      <c r="AT70">
        <v>1</v>
      </c>
      <c r="AU70" t="s">
        <v>472</v>
      </c>
      <c r="AV70" t="s">
        <v>473</v>
      </c>
      <c r="AW70" t="s">
        <v>60</v>
      </c>
      <c r="AX70" t="s">
        <v>68</v>
      </c>
      <c r="AY70" t="s">
        <v>69</v>
      </c>
      <c r="AZ70" t="b">
        <v>1</v>
      </c>
    </row>
    <row r="71" spans="1:52" x14ac:dyDescent="0.3">
      <c r="A71" t="s">
        <v>52</v>
      </c>
      <c r="B71" t="s">
        <v>53</v>
      </c>
      <c r="C71" t="s">
        <v>54</v>
      </c>
      <c r="D71" t="s">
        <v>55</v>
      </c>
      <c r="E71" t="s">
        <v>56</v>
      </c>
      <c r="F71" t="s">
        <v>176</v>
      </c>
      <c r="G71" t="s">
        <v>474</v>
      </c>
      <c r="H71" t="s">
        <v>475</v>
      </c>
      <c r="I71" t="s">
        <v>475</v>
      </c>
      <c r="J71" t="s">
        <v>60</v>
      </c>
      <c r="K71" t="s">
        <v>326</v>
      </c>
      <c r="L71" t="s">
        <v>62</v>
      </c>
      <c r="M71" t="s">
        <v>326</v>
      </c>
      <c r="N71" t="s">
        <v>476</v>
      </c>
      <c r="O71" t="s">
        <v>477</v>
      </c>
      <c r="P71">
        <v>-19.658083000000001</v>
      </c>
      <c r="Q71">
        <v>-43.866957999999997</v>
      </c>
      <c r="R71" s="2" t="str">
        <f>HYPERLINK("https://www.google.com/maps?q=-19.6580830,-43.8669580","Abrir no Google Maps")</f>
        <v>Abrir no Google Maps</v>
      </c>
      <c r="S71">
        <v>3</v>
      </c>
      <c r="T71">
        <v>753.45055811539748</v>
      </c>
      <c r="U71">
        <v>3</v>
      </c>
      <c r="V71">
        <v>0.27140928247469431</v>
      </c>
      <c r="W71">
        <v>1</v>
      </c>
      <c r="X71">
        <v>0.27140928247469431</v>
      </c>
      <c r="Y71">
        <v>3</v>
      </c>
      <c r="Z71">
        <v>808.47816984050394</v>
      </c>
      <c r="AA71">
        <v>2</v>
      </c>
      <c r="AB71">
        <v>3</v>
      </c>
      <c r="AC71">
        <v>7</v>
      </c>
      <c r="AD71">
        <v>26.01</v>
      </c>
      <c r="AE71">
        <v>253</v>
      </c>
      <c r="AF71">
        <v>18</v>
      </c>
      <c r="AG71">
        <v>58</v>
      </c>
      <c r="AH71">
        <v>32</v>
      </c>
      <c r="AI71">
        <v>7.11</v>
      </c>
      <c r="AJ71">
        <v>22.92</v>
      </c>
      <c r="AK71">
        <v>12.65</v>
      </c>
      <c r="AL71">
        <v>-19.658034899999929</v>
      </c>
      <c r="AM71">
        <v>-43.867024921196148</v>
      </c>
      <c r="AN71">
        <v>-19.658034899999929</v>
      </c>
      <c r="AO71">
        <v>-43.867024921196148</v>
      </c>
      <c r="AP71">
        <v>-19.658083000000001</v>
      </c>
      <c r="AQ71">
        <v>-43.866957999999997</v>
      </c>
      <c r="AR71">
        <v>8.8253920204286462</v>
      </c>
      <c r="AS71" t="s">
        <v>65</v>
      </c>
      <c r="AT71">
        <v>1</v>
      </c>
      <c r="AU71" t="s">
        <v>478</v>
      </c>
      <c r="AV71" t="s">
        <v>349</v>
      </c>
      <c r="AW71" t="s">
        <v>60</v>
      </c>
      <c r="AX71" t="s">
        <v>68</v>
      </c>
      <c r="AY71" t="s">
        <v>69</v>
      </c>
      <c r="AZ71" t="b">
        <v>1</v>
      </c>
    </row>
    <row r="72" spans="1:52" x14ac:dyDescent="0.3">
      <c r="A72" t="s">
        <v>52</v>
      </c>
      <c r="B72" t="s">
        <v>53</v>
      </c>
      <c r="C72" t="s">
        <v>54</v>
      </c>
      <c r="D72" t="s">
        <v>55</v>
      </c>
      <c r="E72" t="s">
        <v>56</v>
      </c>
      <c r="F72" t="s">
        <v>176</v>
      </c>
      <c r="G72" t="s">
        <v>479</v>
      </c>
      <c r="H72" t="s">
        <v>480</v>
      </c>
      <c r="I72" t="s">
        <v>480</v>
      </c>
      <c r="J72" t="s">
        <v>60</v>
      </c>
      <c r="K72" t="s">
        <v>286</v>
      </c>
      <c r="L72" t="s">
        <v>62</v>
      </c>
      <c r="M72" t="s">
        <v>286</v>
      </c>
      <c r="N72" t="s">
        <v>481</v>
      </c>
      <c r="O72" t="s">
        <v>159</v>
      </c>
      <c r="P72">
        <v>-19.635337</v>
      </c>
      <c r="Q72">
        <v>-43.884400999999997</v>
      </c>
      <c r="R72" s="2" t="str">
        <f>HYPERLINK("https://www.google.com/maps?q=-19.6353370,-43.8844010","Abrir no Google Maps")</f>
        <v>Abrir no Google Maps</v>
      </c>
      <c r="S72">
        <v>3</v>
      </c>
      <c r="T72">
        <v>697.1404216088763</v>
      </c>
      <c r="U72">
        <v>3</v>
      </c>
      <c r="V72">
        <v>0.27125103623369079</v>
      </c>
      <c r="W72">
        <v>1</v>
      </c>
      <c r="X72">
        <v>0.27125103623369079</v>
      </c>
      <c r="Y72">
        <v>2</v>
      </c>
      <c r="Z72">
        <v>178.9017814618079</v>
      </c>
      <c r="AA72">
        <v>2</v>
      </c>
      <c r="AB72">
        <v>3</v>
      </c>
      <c r="AC72">
        <v>7</v>
      </c>
      <c r="AD72">
        <v>26.01</v>
      </c>
      <c r="AE72">
        <v>253</v>
      </c>
      <c r="AF72">
        <v>18</v>
      </c>
      <c r="AG72">
        <v>58</v>
      </c>
      <c r="AH72">
        <v>32</v>
      </c>
      <c r="AI72">
        <v>7.11</v>
      </c>
      <c r="AJ72">
        <v>22.92</v>
      </c>
      <c r="AK72">
        <v>12.65</v>
      </c>
      <c r="AL72">
        <v>-19.635338699999949</v>
      </c>
      <c r="AM72">
        <v>-43.884486286355838</v>
      </c>
      <c r="AN72">
        <v>-19.635338699999949</v>
      </c>
      <c r="AO72">
        <v>-43.884486286355838</v>
      </c>
      <c r="AP72">
        <v>-19.635337</v>
      </c>
      <c r="AQ72">
        <v>-43.884400999999997</v>
      </c>
      <c r="AR72">
        <v>8.9440024153343494</v>
      </c>
      <c r="AS72" t="s">
        <v>65</v>
      </c>
      <c r="AT72">
        <v>1</v>
      </c>
      <c r="AU72" t="s">
        <v>482</v>
      </c>
      <c r="AV72" t="s">
        <v>483</v>
      </c>
      <c r="AW72" t="s">
        <v>60</v>
      </c>
      <c r="AX72" t="s">
        <v>68</v>
      </c>
      <c r="AY72" t="s">
        <v>69</v>
      </c>
      <c r="AZ72" t="b">
        <v>1</v>
      </c>
    </row>
    <row r="73" spans="1:52" x14ac:dyDescent="0.3">
      <c r="A73" t="s">
        <v>52</v>
      </c>
      <c r="B73" t="s">
        <v>53</v>
      </c>
      <c r="C73" t="s">
        <v>54</v>
      </c>
      <c r="D73" t="s">
        <v>55</v>
      </c>
      <c r="E73" t="s">
        <v>56</v>
      </c>
      <c r="F73" t="s">
        <v>176</v>
      </c>
      <c r="G73" t="s">
        <v>484</v>
      </c>
      <c r="H73" t="s">
        <v>485</v>
      </c>
      <c r="I73" t="s">
        <v>485</v>
      </c>
      <c r="J73" t="s">
        <v>60</v>
      </c>
      <c r="K73" t="s">
        <v>486</v>
      </c>
      <c r="L73" t="s">
        <v>62</v>
      </c>
      <c r="M73" t="s">
        <v>486</v>
      </c>
      <c r="N73" t="s">
        <v>487</v>
      </c>
      <c r="O73" t="s">
        <v>488</v>
      </c>
      <c r="P73">
        <v>-19.599471999999999</v>
      </c>
      <c r="Q73">
        <v>-43.904423999999999</v>
      </c>
      <c r="R73" s="2" t="str">
        <f>HYPERLINK("https://www.google.com/maps?q=-19.5994720,-43.9044240","Abrir no Google Maps")</f>
        <v>Abrir no Google Maps</v>
      </c>
      <c r="S73">
        <v>3</v>
      </c>
      <c r="T73">
        <v>0</v>
      </c>
      <c r="U73">
        <v>3</v>
      </c>
      <c r="V73">
        <v>0.26931921050215901</v>
      </c>
      <c r="W73">
        <v>1</v>
      </c>
      <c r="X73">
        <v>0.26931921050215901</v>
      </c>
      <c r="Y73">
        <v>2</v>
      </c>
      <c r="Z73">
        <v>112.207711482489</v>
      </c>
      <c r="AA73">
        <v>2</v>
      </c>
      <c r="AB73">
        <v>3</v>
      </c>
      <c r="AC73">
        <v>7</v>
      </c>
      <c r="AD73">
        <v>26.01</v>
      </c>
      <c r="AE73">
        <v>253</v>
      </c>
      <c r="AF73">
        <v>18</v>
      </c>
      <c r="AG73">
        <v>58</v>
      </c>
      <c r="AH73">
        <v>32</v>
      </c>
      <c r="AI73">
        <v>7.11</v>
      </c>
      <c r="AJ73">
        <v>22.92</v>
      </c>
      <c r="AK73">
        <v>12.65</v>
      </c>
      <c r="AL73">
        <v>-19.599417149999969</v>
      </c>
      <c r="AM73">
        <v>-43.904309145074677</v>
      </c>
      <c r="AN73">
        <v>-19.599417149999969</v>
      </c>
      <c r="AO73">
        <v>-43.904309145074677</v>
      </c>
      <c r="AP73">
        <v>-19.599471999999999</v>
      </c>
      <c r="AQ73">
        <v>-43.904423999999999</v>
      </c>
      <c r="AR73">
        <v>13.50409975769734</v>
      </c>
      <c r="AS73" t="s">
        <v>65</v>
      </c>
      <c r="AT73">
        <v>1</v>
      </c>
      <c r="AU73" t="s">
        <v>489</v>
      </c>
      <c r="AV73" t="s">
        <v>490</v>
      </c>
      <c r="AW73" t="s">
        <v>60</v>
      </c>
      <c r="AX73" t="s">
        <v>68</v>
      </c>
      <c r="AY73" t="s">
        <v>69</v>
      </c>
      <c r="AZ73" t="b">
        <v>1</v>
      </c>
    </row>
    <row r="74" spans="1:52" x14ac:dyDescent="0.3">
      <c r="A74" t="s">
        <v>52</v>
      </c>
      <c r="B74" t="s">
        <v>53</v>
      </c>
      <c r="C74" t="s">
        <v>54</v>
      </c>
      <c r="D74" t="s">
        <v>55</v>
      </c>
      <c r="E74" t="s">
        <v>56</v>
      </c>
      <c r="F74" t="s">
        <v>176</v>
      </c>
      <c r="G74" t="s">
        <v>438</v>
      </c>
      <c r="H74" t="s">
        <v>491</v>
      </c>
      <c r="I74" t="s">
        <v>491</v>
      </c>
      <c r="J74" t="s">
        <v>60</v>
      </c>
      <c r="K74" t="s">
        <v>492</v>
      </c>
      <c r="L74" t="s">
        <v>62</v>
      </c>
      <c r="M74" t="s">
        <v>492</v>
      </c>
      <c r="N74" t="s">
        <v>493</v>
      </c>
      <c r="O74" t="s">
        <v>81</v>
      </c>
      <c r="P74">
        <v>-19.599810999999999</v>
      </c>
      <c r="Q74">
        <v>-43.906267</v>
      </c>
      <c r="R74" s="2" t="str">
        <f>HYPERLINK("https://www.google.com/maps?q=-19.5998110,-43.9062670","Abrir no Google Maps")</f>
        <v>Abrir no Google Maps</v>
      </c>
      <c r="S74">
        <v>3</v>
      </c>
      <c r="T74">
        <v>214.87460546260371</v>
      </c>
      <c r="U74">
        <v>3</v>
      </c>
      <c r="V74">
        <v>0.2666676375750171</v>
      </c>
      <c r="W74">
        <v>1</v>
      </c>
      <c r="X74">
        <v>0.2666676375750171</v>
      </c>
      <c r="Y74">
        <v>2</v>
      </c>
      <c r="Z74">
        <v>211.0648412523515</v>
      </c>
      <c r="AA74">
        <v>2</v>
      </c>
      <c r="AB74">
        <v>3</v>
      </c>
      <c r="AC74">
        <v>7</v>
      </c>
      <c r="AD74">
        <v>26.01</v>
      </c>
      <c r="AE74">
        <v>253</v>
      </c>
      <c r="AF74">
        <v>18</v>
      </c>
      <c r="AG74">
        <v>58</v>
      </c>
      <c r="AH74">
        <v>32</v>
      </c>
      <c r="AI74">
        <v>7.11</v>
      </c>
      <c r="AJ74">
        <v>22.92</v>
      </c>
      <c r="AK74">
        <v>12.65</v>
      </c>
      <c r="AL74">
        <v>-19.600032099999961</v>
      </c>
      <c r="AM74">
        <v>-43.906252350845229</v>
      </c>
      <c r="AN74">
        <v>-19.600032099999961</v>
      </c>
      <c r="AO74">
        <v>-43.906252350845229</v>
      </c>
      <c r="AP74">
        <v>-19.599810999999999</v>
      </c>
      <c r="AQ74">
        <v>-43.906267</v>
      </c>
      <c r="AR74">
        <v>24.660749384148179</v>
      </c>
      <c r="AS74" t="s">
        <v>65</v>
      </c>
      <c r="AT74">
        <v>1</v>
      </c>
      <c r="AU74" t="s">
        <v>494</v>
      </c>
      <c r="AV74" t="s">
        <v>495</v>
      </c>
      <c r="AW74" t="s">
        <v>60</v>
      </c>
      <c r="AX74" t="s">
        <v>68</v>
      </c>
      <c r="AY74" t="s">
        <v>69</v>
      </c>
      <c r="AZ74" t="b">
        <v>1</v>
      </c>
    </row>
    <row r="75" spans="1:52" x14ac:dyDescent="0.3">
      <c r="A75" t="s">
        <v>52</v>
      </c>
      <c r="B75" t="s">
        <v>53</v>
      </c>
      <c r="C75" t="s">
        <v>54</v>
      </c>
      <c r="D75" t="s">
        <v>55</v>
      </c>
      <c r="E75" t="s">
        <v>56</v>
      </c>
      <c r="F75" t="s">
        <v>176</v>
      </c>
      <c r="G75" t="s">
        <v>371</v>
      </c>
      <c r="H75" t="s">
        <v>496</v>
      </c>
      <c r="I75" t="s">
        <v>496</v>
      </c>
      <c r="J75" t="s">
        <v>60</v>
      </c>
      <c r="K75" t="s">
        <v>352</v>
      </c>
      <c r="L75" t="s">
        <v>62</v>
      </c>
      <c r="M75" t="s">
        <v>352</v>
      </c>
      <c r="N75" t="s">
        <v>497</v>
      </c>
      <c r="O75" t="s">
        <v>120</v>
      </c>
      <c r="P75">
        <v>-19.599603999999999</v>
      </c>
      <c r="Q75">
        <v>-43.899650000000001</v>
      </c>
      <c r="R75" s="2" t="str">
        <f>HYPERLINK("https://www.google.com/maps?q=-19.5996040,-43.8996500","Abrir no Google Maps")</f>
        <v>Abrir no Google Maps</v>
      </c>
      <c r="S75">
        <v>3</v>
      </c>
      <c r="T75">
        <v>381.13553853255752</v>
      </c>
      <c r="U75">
        <v>3</v>
      </c>
      <c r="V75">
        <v>0.3184221178156294</v>
      </c>
      <c r="W75">
        <v>0.85</v>
      </c>
      <c r="X75">
        <v>0.27065880014328503</v>
      </c>
      <c r="Y75">
        <v>2</v>
      </c>
      <c r="Z75">
        <v>445.30611048306139</v>
      </c>
      <c r="AA75">
        <v>2</v>
      </c>
      <c r="AB75">
        <v>3</v>
      </c>
      <c r="AC75">
        <v>7</v>
      </c>
      <c r="AD75">
        <v>26.01</v>
      </c>
      <c r="AE75">
        <v>253</v>
      </c>
      <c r="AF75">
        <v>18</v>
      </c>
      <c r="AG75">
        <v>58</v>
      </c>
      <c r="AH75">
        <v>32</v>
      </c>
      <c r="AI75">
        <v>7.11</v>
      </c>
      <c r="AJ75">
        <v>22.92</v>
      </c>
      <c r="AK75">
        <v>12.65</v>
      </c>
      <c r="AL75">
        <v>-19.59984999999995</v>
      </c>
      <c r="AM75">
        <v>-43.90070409772008</v>
      </c>
      <c r="AN75">
        <v>-19.59984999999995</v>
      </c>
      <c r="AO75">
        <v>-43.90070409772008</v>
      </c>
      <c r="AP75">
        <v>-19.599603999999999</v>
      </c>
      <c r="AQ75">
        <v>-43.899650000000001</v>
      </c>
      <c r="AR75">
        <v>113.8846460473157</v>
      </c>
      <c r="AS75" t="s">
        <v>65</v>
      </c>
      <c r="AT75">
        <v>1</v>
      </c>
      <c r="AU75" t="s">
        <v>498</v>
      </c>
      <c r="AV75" t="s">
        <v>499</v>
      </c>
      <c r="AW75" t="s">
        <v>60</v>
      </c>
      <c r="AX75" t="s">
        <v>68</v>
      </c>
      <c r="AY75" t="s">
        <v>69</v>
      </c>
      <c r="AZ75" t="b">
        <v>1</v>
      </c>
    </row>
    <row r="76" spans="1:52" x14ac:dyDescent="0.3">
      <c r="A76" t="s">
        <v>52</v>
      </c>
      <c r="B76" t="s">
        <v>53</v>
      </c>
      <c r="C76" t="s">
        <v>54</v>
      </c>
      <c r="D76" t="s">
        <v>55</v>
      </c>
      <c r="E76" t="s">
        <v>56</v>
      </c>
      <c r="F76" t="s">
        <v>176</v>
      </c>
      <c r="G76" t="s">
        <v>500</v>
      </c>
      <c r="H76" t="s">
        <v>501</v>
      </c>
      <c r="I76" t="s">
        <v>501</v>
      </c>
      <c r="J76" t="s">
        <v>60</v>
      </c>
      <c r="K76" t="s">
        <v>164</v>
      </c>
      <c r="L76" t="s">
        <v>62</v>
      </c>
      <c r="M76" t="s">
        <v>164</v>
      </c>
      <c r="N76" t="s">
        <v>502</v>
      </c>
      <c r="O76" t="s">
        <v>503</v>
      </c>
      <c r="P76">
        <v>-19.665816</v>
      </c>
      <c r="Q76">
        <v>-43.886322999999997</v>
      </c>
      <c r="R76" s="2" t="str">
        <f>HYPERLINK("https://www.google.com/maps?q=-19.6658160,-43.8863230","Abrir no Google Maps")</f>
        <v>Abrir no Google Maps</v>
      </c>
      <c r="S76">
        <v>3</v>
      </c>
      <c r="T76">
        <v>1149.957610345353</v>
      </c>
      <c r="U76">
        <v>3</v>
      </c>
      <c r="V76">
        <v>0.2620302220449317</v>
      </c>
      <c r="W76">
        <v>1</v>
      </c>
      <c r="X76">
        <v>0.2620302220449317</v>
      </c>
      <c r="Y76">
        <v>1</v>
      </c>
      <c r="Z76">
        <v>381.605286477493</v>
      </c>
      <c r="AA76">
        <v>2</v>
      </c>
      <c r="AB76">
        <v>3</v>
      </c>
      <c r="AC76">
        <v>7</v>
      </c>
      <c r="AD76">
        <v>26.01</v>
      </c>
      <c r="AE76">
        <v>253</v>
      </c>
      <c r="AF76">
        <v>18</v>
      </c>
      <c r="AG76">
        <v>58</v>
      </c>
      <c r="AH76">
        <v>32</v>
      </c>
      <c r="AI76">
        <v>7.11</v>
      </c>
      <c r="AJ76">
        <v>22.92</v>
      </c>
      <c r="AK76">
        <v>12.65</v>
      </c>
      <c r="AL76">
        <v>-19.665844049999951</v>
      </c>
      <c r="AM76">
        <v>-43.886344205728712</v>
      </c>
      <c r="AN76">
        <v>-19.665844049999951</v>
      </c>
      <c r="AO76">
        <v>-43.886344205728712</v>
      </c>
      <c r="AP76">
        <v>-19.665816</v>
      </c>
      <c r="AQ76">
        <v>-43.886322999999997</v>
      </c>
      <c r="AR76">
        <v>3.8329604058735098</v>
      </c>
      <c r="AS76" t="s">
        <v>65</v>
      </c>
      <c r="AT76">
        <v>1</v>
      </c>
      <c r="AU76" t="s">
        <v>504</v>
      </c>
      <c r="AV76" t="s">
        <v>505</v>
      </c>
      <c r="AW76" t="s">
        <v>60</v>
      </c>
      <c r="AX76" t="s">
        <v>68</v>
      </c>
      <c r="AY76" t="s">
        <v>69</v>
      </c>
      <c r="AZ76" t="b">
        <v>1</v>
      </c>
    </row>
    <row r="77" spans="1:52" x14ac:dyDescent="0.3">
      <c r="A77" t="s">
        <v>52</v>
      </c>
      <c r="B77" t="s">
        <v>53</v>
      </c>
      <c r="C77" t="s">
        <v>54</v>
      </c>
      <c r="D77" t="s">
        <v>55</v>
      </c>
      <c r="E77" t="s">
        <v>56</v>
      </c>
      <c r="F77" t="s">
        <v>176</v>
      </c>
      <c r="G77" t="s">
        <v>506</v>
      </c>
      <c r="H77" t="s">
        <v>507</v>
      </c>
      <c r="I77" t="s">
        <v>507</v>
      </c>
      <c r="J77" t="s">
        <v>60</v>
      </c>
      <c r="K77" t="s">
        <v>219</v>
      </c>
      <c r="L77" t="s">
        <v>62</v>
      </c>
      <c r="M77" t="s">
        <v>219</v>
      </c>
      <c r="N77" t="s">
        <v>508</v>
      </c>
      <c r="O77" t="s">
        <v>509</v>
      </c>
      <c r="P77">
        <v>-19.663573</v>
      </c>
      <c r="Q77">
        <v>-43.884306000000002</v>
      </c>
      <c r="R77" s="2" t="str">
        <f>HYPERLINK("https://www.google.com/maps?q=-19.6635730,-43.8843060","Abrir no Google Maps")</f>
        <v>Abrir no Google Maps</v>
      </c>
      <c r="S77">
        <v>3</v>
      </c>
      <c r="T77">
        <v>1293.040666597964</v>
      </c>
      <c r="U77">
        <v>3</v>
      </c>
      <c r="V77">
        <v>0.27234487239229571</v>
      </c>
      <c r="W77">
        <v>1</v>
      </c>
      <c r="X77">
        <v>0.27234487239229571</v>
      </c>
      <c r="Y77">
        <v>1</v>
      </c>
      <c r="Z77">
        <v>649.69199246551727</v>
      </c>
      <c r="AA77">
        <v>2</v>
      </c>
      <c r="AB77">
        <v>3</v>
      </c>
      <c r="AC77">
        <v>7</v>
      </c>
      <c r="AD77">
        <v>26.01</v>
      </c>
      <c r="AE77">
        <v>253</v>
      </c>
      <c r="AF77">
        <v>18</v>
      </c>
      <c r="AG77">
        <v>58</v>
      </c>
      <c r="AH77">
        <v>32</v>
      </c>
      <c r="AI77">
        <v>7.11</v>
      </c>
      <c r="AJ77">
        <v>22.92</v>
      </c>
      <c r="AK77">
        <v>12.65</v>
      </c>
      <c r="AL77">
        <v>-19.663616899999969</v>
      </c>
      <c r="AM77">
        <v>-43.884279937960187</v>
      </c>
      <c r="AN77">
        <v>-19.663616899999969</v>
      </c>
      <c r="AO77">
        <v>-43.884279937960187</v>
      </c>
      <c r="AP77">
        <v>-19.663573</v>
      </c>
      <c r="AQ77">
        <v>-43.884306000000002</v>
      </c>
      <c r="AR77">
        <v>5.5987767285658263</v>
      </c>
      <c r="AS77" t="s">
        <v>65</v>
      </c>
      <c r="AT77">
        <v>1</v>
      </c>
      <c r="AU77" t="s">
        <v>510</v>
      </c>
      <c r="AV77" t="s">
        <v>511</v>
      </c>
      <c r="AW77" t="s">
        <v>60</v>
      </c>
      <c r="AX77" t="s">
        <v>68</v>
      </c>
      <c r="AY77" t="s">
        <v>69</v>
      </c>
      <c r="AZ77" t="b">
        <v>1</v>
      </c>
    </row>
    <row r="78" spans="1:52" x14ac:dyDescent="0.3">
      <c r="A78" t="s">
        <v>52</v>
      </c>
      <c r="B78" t="s">
        <v>53</v>
      </c>
      <c r="C78" t="s">
        <v>54</v>
      </c>
      <c r="D78" t="s">
        <v>55</v>
      </c>
      <c r="E78" t="s">
        <v>56</v>
      </c>
      <c r="F78" t="s">
        <v>512</v>
      </c>
      <c r="G78" t="s">
        <v>58</v>
      </c>
      <c r="H78" t="s">
        <v>59</v>
      </c>
      <c r="I78" t="s">
        <v>59</v>
      </c>
      <c r="J78" t="s">
        <v>60</v>
      </c>
      <c r="K78" t="s">
        <v>61</v>
      </c>
      <c r="L78" t="s">
        <v>62</v>
      </c>
      <c r="M78" t="s">
        <v>61</v>
      </c>
      <c r="N78" t="s">
        <v>63</v>
      </c>
      <c r="O78" t="s">
        <v>64</v>
      </c>
      <c r="P78">
        <v>-19.631502000000001</v>
      </c>
      <c r="Q78">
        <v>-43.910241999999997</v>
      </c>
      <c r="R78" s="2" t="str">
        <f>HYPERLINK("https://www.google.com/maps?q=-19.6315020,-43.9102420","Abrir no Google Maps")</f>
        <v>Abrir no Google Maps</v>
      </c>
      <c r="S78">
        <v>4</v>
      </c>
      <c r="T78">
        <v>789.20099406682743</v>
      </c>
      <c r="U78">
        <v>4</v>
      </c>
      <c r="V78">
        <v>0.2873314671418804</v>
      </c>
      <c r="W78">
        <v>1</v>
      </c>
      <c r="X78">
        <v>0.2873314671418804</v>
      </c>
      <c r="Y78">
        <v>10</v>
      </c>
      <c r="Z78">
        <v>691.44930074509864</v>
      </c>
      <c r="AA78">
        <v>2</v>
      </c>
      <c r="AB78">
        <v>3</v>
      </c>
      <c r="AC78">
        <v>7</v>
      </c>
      <c r="AD78">
        <v>26.01</v>
      </c>
      <c r="AE78">
        <v>253</v>
      </c>
      <c r="AF78">
        <v>18</v>
      </c>
      <c r="AG78">
        <v>58</v>
      </c>
      <c r="AH78">
        <v>32</v>
      </c>
      <c r="AI78">
        <v>7.11</v>
      </c>
      <c r="AJ78">
        <v>22.92</v>
      </c>
      <c r="AK78">
        <v>12.65</v>
      </c>
      <c r="AL78">
        <v>-19.631719749999949</v>
      </c>
      <c r="AM78">
        <v>-43.910102324517517</v>
      </c>
      <c r="AN78">
        <v>-19.631719749999949</v>
      </c>
      <c r="AO78">
        <v>-43.910102324517517</v>
      </c>
      <c r="AP78">
        <v>-19.631502000000001</v>
      </c>
      <c r="AQ78">
        <v>-43.910241999999997</v>
      </c>
      <c r="AR78">
        <v>28.320416429206599</v>
      </c>
      <c r="AS78" t="s">
        <v>65</v>
      </c>
      <c r="AT78">
        <v>1</v>
      </c>
      <c r="AU78" t="s">
        <v>66</v>
      </c>
      <c r="AV78" t="s">
        <v>67</v>
      </c>
      <c r="AW78" t="s">
        <v>60</v>
      </c>
      <c r="AX78" t="s">
        <v>68</v>
      </c>
      <c r="AY78" t="s">
        <v>69</v>
      </c>
      <c r="AZ78" t="b">
        <v>1</v>
      </c>
    </row>
    <row r="79" spans="1:52" x14ac:dyDescent="0.3">
      <c r="A79" t="s">
        <v>52</v>
      </c>
      <c r="B79" t="s">
        <v>53</v>
      </c>
      <c r="C79" t="s">
        <v>54</v>
      </c>
      <c r="D79" t="s">
        <v>55</v>
      </c>
      <c r="E79" t="s">
        <v>56</v>
      </c>
      <c r="F79" t="s">
        <v>512</v>
      </c>
      <c r="G79" t="s">
        <v>70</v>
      </c>
      <c r="H79" t="s">
        <v>71</v>
      </c>
      <c r="I79" t="s">
        <v>71</v>
      </c>
      <c r="J79" t="s">
        <v>60</v>
      </c>
      <c r="K79" t="s">
        <v>72</v>
      </c>
      <c r="L79" t="s">
        <v>62</v>
      </c>
      <c r="M79" t="s">
        <v>72</v>
      </c>
      <c r="N79" t="s">
        <v>73</v>
      </c>
      <c r="O79" t="s">
        <v>74</v>
      </c>
      <c r="P79">
        <v>-19.632581999999999</v>
      </c>
      <c r="Q79">
        <v>-43.902416000000002</v>
      </c>
      <c r="R79" s="2" t="str">
        <f>HYPERLINK("https://www.google.com/maps?q=-19.6325820,-43.9024160","Abrir no Google Maps")</f>
        <v>Abrir no Google Maps</v>
      </c>
      <c r="S79">
        <v>4</v>
      </c>
      <c r="T79">
        <v>0</v>
      </c>
      <c r="U79">
        <v>4</v>
      </c>
      <c r="V79">
        <v>0.2882293565715599</v>
      </c>
      <c r="W79">
        <v>1</v>
      </c>
      <c r="X79">
        <v>0.2882293565715599</v>
      </c>
      <c r="Y79">
        <v>10</v>
      </c>
      <c r="Z79">
        <v>146.6968158874696</v>
      </c>
      <c r="AA79">
        <v>2</v>
      </c>
      <c r="AB79">
        <v>3</v>
      </c>
      <c r="AC79">
        <v>7</v>
      </c>
      <c r="AD79">
        <v>26.01</v>
      </c>
      <c r="AE79">
        <v>253</v>
      </c>
      <c r="AF79">
        <v>18</v>
      </c>
      <c r="AG79">
        <v>58</v>
      </c>
      <c r="AH79">
        <v>32</v>
      </c>
      <c r="AI79">
        <v>7.11</v>
      </c>
      <c r="AJ79">
        <v>22.92</v>
      </c>
      <c r="AK79">
        <v>12.65</v>
      </c>
      <c r="AL79">
        <v>-19.63271449999996</v>
      </c>
      <c r="AM79">
        <v>-43.902649897389402</v>
      </c>
      <c r="AN79">
        <v>-19.63271449999996</v>
      </c>
      <c r="AO79">
        <v>-43.902649897389402</v>
      </c>
      <c r="AP79">
        <v>-19.632581999999999</v>
      </c>
      <c r="AQ79">
        <v>-43.902416000000002</v>
      </c>
      <c r="AR79">
        <v>28.617753432996459</v>
      </c>
      <c r="AS79" t="s">
        <v>65</v>
      </c>
      <c r="AT79">
        <v>1</v>
      </c>
      <c r="AU79" t="s">
        <v>75</v>
      </c>
      <c r="AV79" t="s">
        <v>76</v>
      </c>
      <c r="AW79" t="s">
        <v>60</v>
      </c>
      <c r="AX79" t="s">
        <v>68</v>
      </c>
      <c r="AY79" t="s">
        <v>69</v>
      </c>
      <c r="AZ79" t="b">
        <v>1</v>
      </c>
    </row>
    <row r="80" spans="1:52" x14ac:dyDescent="0.3">
      <c r="A80" t="s">
        <v>52</v>
      </c>
      <c r="B80" t="s">
        <v>53</v>
      </c>
      <c r="C80" t="s">
        <v>54</v>
      </c>
      <c r="D80" t="s">
        <v>55</v>
      </c>
      <c r="E80" t="s">
        <v>56</v>
      </c>
      <c r="F80" t="s">
        <v>512</v>
      </c>
      <c r="G80" t="s">
        <v>77</v>
      </c>
      <c r="H80" t="s">
        <v>78</v>
      </c>
      <c r="I80" t="s">
        <v>78</v>
      </c>
      <c r="J80" t="s">
        <v>60</v>
      </c>
      <c r="K80" t="s">
        <v>79</v>
      </c>
      <c r="L80" t="s">
        <v>62</v>
      </c>
      <c r="M80" t="s">
        <v>79</v>
      </c>
      <c r="N80" t="s">
        <v>80</v>
      </c>
      <c r="O80" t="s">
        <v>81</v>
      </c>
      <c r="P80">
        <v>-19.632463999999999</v>
      </c>
      <c r="Q80">
        <v>-43.904927999999998</v>
      </c>
      <c r="R80" s="2" t="str">
        <f>HYPERLINK("https://www.google.com/maps?q=-19.6324640,-43.9049280","Abrir no Google Maps")</f>
        <v>Abrir no Google Maps</v>
      </c>
      <c r="S80">
        <v>4</v>
      </c>
      <c r="T80">
        <v>244.1735197453369</v>
      </c>
      <c r="U80">
        <v>4</v>
      </c>
      <c r="V80">
        <v>0.29900449681318569</v>
      </c>
      <c r="W80">
        <v>1</v>
      </c>
      <c r="X80">
        <v>0.29900449681318569</v>
      </c>
      <c r="Y80">
        <v>10</v>
      </c>
      <c r="Z80">
        <v>287.26068152447448</v>
      </c>
      <c r="AA80">
        <v>2</v>
      </c>
      <c r="AB80">
        <v>3</v>
      </c>
      <c r="AC80">
        <v>7</v>
      </c>
      <c r="AD80">
        <v>26.01</v>
      </c>
      <c r="AE80">
        <v>253</v>
      </c>
      <c r="AF80">
        <v>18</v>
      </c>
      <c r="AG80">
        <v>58</v>
      </c>
      <c r="AH80">
        <v>32</v>
      </c>
      <c r="AI80">
        <v>7.11</v>
      </c>
      <c r="AJ80">
        <v>22.92</v>
      </c>
      <c r="AK80">
        <v>12.65</v>
      </c>
      <c r="AL80">
        <v>-19.63247099999996</v>
      </c>
      <c r="AM80">
        <v>-43.904964174285787</v>
      </c>
      <c r="AN80">
        <v>-19.63247099999996</v>
      </c>
      <c r="AO80">
        <v>-43.904964174285787</v>
      </c>
      <c r="AP80">
        <v>-19.632463999999999</v>
      </c>
      <c r="AQ80">
        <v>-43.904927999999998</v>
      </c>
      <c r="AR80">
        <v>3.8720457500200469</v>
      </c>
      <c r="AS80" t="s">
        <v>65</v>
      </c>
      <c r="AT80">
        <v>1</v>
      </c>
      <c r="AU80" t="s">
        <v>82</v>
      </c>
      <c r="AV80" t="s">
        <v>83</v>
      </c>
      <c r="AW80" t="s">
        <v>60</v>
      </c>
      <c r="AX80" t="s">
        <v>68</v>
      </c>
      <c r="AY80" t="s">
        <v>69</v>
      </c>
      <c r="AZ80" t="b">
        <v>1</v>
      </c>
    </row>
    <row r="81" spans="1:52" x14ac:dyDescent="0.3">
      <c r="A81" t="s">
        <v>52</v>
      </c>
      <c r="B81" t="s">
        <v>53</v>
      </c>
      <c r="C81" t="s">
        <v>54</v>
      </c>
      <c r="D81" t="s">
        <v>55</v>
      </c>
      <c r="E81" t="s">
        <v>56</v>
      </c>
      <c r="F81" t="s">
        <v>512</v>
      </c>
      <c r="G81" t="s">
        <v>84</v>
      </c>
      <c r="H81" t="s">
        <v>85</v>
      </c>
      <c r="I81" t="s">
        <v>85</v>
      </c>
      <c r="J81" t="s">
        <v>60</v>
      </c>
      <c r="K81" t="s">
        <v>86</v>
      </c>
      <c r="L81" t="s">
        <v>62</v>
      </c>
      <c r="M81" t="s">
        <v>86</v>
      </c>
      <c r="N81" t="s">
        <v>87</v>
      </c>
      <c r="O81" t="s">
        <v>88</v>
      </c>
      <c r="P81">
        <v>-19.629436999999999</v>
      </c>
      <c r="Q81">
        <v>-43.910398999999998</v>
      </c>
      <c r="R81" s="2" t="str">
        <f>HYPERLINK("https://www.google.com/maps?q=-19.6294370,-43.9103990","Abrir no Google Maps")</f>
        <v>Abrir no Google Maps</v>
      </c>
      <c r="S81">
        <v>4</v>
      </c>
      <c r="T81">
        <v>888.82060643108082</v>
      </c>
      <c r="U81">
        <v>4</v>
      </c>
      <c r="V81">
        <v>0.27592097943102067</v>
      </c>
      <c r="W81">
        <v>1</v>
      </c>
      <c r="X81">
        <v>0.27592097943102067</v>
      </c>
      <c r="Y81">
        <v>10</v>
      </c>
      <c r="Z81">
        <v>867.42797341651737</v>
      </c>
      <c r="AA81">
        <v>2</v>
      </c>
      <c r="AB81">
        <v>3</v>
      </c>
      <c r="AC81">
        <v>7</v>
      </c>
      <c r="AD81">
        <v>26.01</v>
      </c>
      <c r="AE81">
        <v>253</v>
      </c>
      <c r="AF81">
        <v>18</v>
      </c>
      <c r="AG81">
        <v>58</v>
      </c>
      <c r="AH81">
        <v>32</v>
      </c>
      <c r="AI81">
        <v>7.11</v>
      </c>
      <c r="AJ81">
        <v>22.92</v>
      </c>
      <c r="AK81">
        <v>12.65</v>
      </c>
      <c r="AL81">
        <v>-19.62934694999996</v>
      </c>
      <c r="AM81">
        <v>-43.910344699357317</v>
      </c>
      <c r="AN81">
        <v>-19.62934694999996</v>
      </c>
      <c r="AO81">
        <v>-43.910344699357331</v>
      </c>
      <c r="AP81">
        <v>-19.629436999999999</v>
      </c>
      <c r="AQ81">
        <v>-43.910398999999998</v>
      </c>
      <c r="AR81">
        <v>11.52837377953678</v>
      </c>
      <c r="AS81" t="s">
        <v>65</v>
      </c>
      <c r="AT81">
        <v>1</v>
      </c>
      <c r="AU81" t="s">
        <v>89</v>
      </c>
      <c r="AV81" t="s">
        <v>90</v>
      </c>
      <c r="AW81" t="s">
        <v>60</v>
      </c>
      <c r="AX81" t="s">
        <v>68</v>
      </c>
      <c r="AY81" t="s">
        <v>69</v>
      </c>
      <c r="AZ81" t="b">
        <v>1</v>
      </c>
    </row>
    <row r="82" spans="1:52" x14ac:dyDescent="0.3">
      <c r="A82" t="s">
        <v>52</v>
      </c>
      <c r="B82" t="s">
        <v>53</v>
      </c>
      <c r="C82" t="s">
        <v>54</v>
      </c>
      <c r="D82" t="s">
        <v>55</v>
      </c>
      <c r="E82" t="s">
        <v>56</v>
      </c>
      <c r="F82" t="s">
        <v>512</v>
      </c>
      <c r="G82" t="s">
        <v>91</v>
      </c>
      <c r="H82" t="s">
        <v>92</v>
      </c>
      <c r="I82" t="s">
        <v>92</v>
      </c>
      <c r="J82" t="s">
        <v>60</v>
      </c>
      <c r="K82" t="s">
        <v>86</v>
      </c>
      <c r="L82" t="s">
        <v>62</v>
      </c>
      <c r="M82" t="s">
        <v>86</v>
      </c>
      <c r="N82" t="s">
        <v>93</v>
      </c>
      <c r="O82" t="s">
        <v>94</v>
      </c>
      <c r="P82">
        <v>-19.630676999999999</v>
      </c>
      <c r="Q82">
        <v>-43.907255999999997</v>
      </c>
      <c r="R82" s="2" t="str">
        <f>HYPERLINK("https://www.google.com/maps?q=-19.6306770,-43.9072560","Abrir no Google Maps")</f>
        <v>Abrir no Google Maps</v>
      </c>
      <c r="S82">
        <v>4</v>
      </c>
      <c r="T82">
        <v>545.39374622597825</v>
      </c>
      <c r="U82">
        <v>4</v>
      </c>
      <c r="V82">
        <v>0.2738476709546287</v>
      </c>
      <c r="W82">
        <v>1</v>
      </c>
      <c r="X82">
        <v>0.2738476709546287</v>
      </c>
      <c r="Y82">
        <v>10</v>
      </c>
      <c r="Z82">
        <v>559.94033759457182</v>
      </c>
      <c r="AA82">
        <v>2</v>
      </c>
      <c r="AB82">
        <v>3</v>
      </c>
      <c r="AC82">
        <v>7</v>
      </c>
      <c r="AD82">
        <v>26.01</v>
      </c>
      <c r="AE82">
        <v>253</v>
      </c>
      <c r="AF82">
        <v>18</v>
      </c>
      <c r="AG82">
        <v>58</v>
      </c>
      <c r="AH82">
        <v>32</v>
      </c>
      <c r="AI82">
        <v>7.11</v>
      </c>
      <c r="AJ82">
        <v>22.92</v>
      </c>
      <c r="AK82">
        <v>12.65</v>
      </c>
      <c r="AL82">
        <v>-19.630448649999941</v>
      </c>
      <c r="AM82">
        <v>-43.907268502495313</v>
      </c>
      <c r="AN82">
        <v>-19.630448649999941</v>
      </c>
      <c r="AO82">
        <v>-43.907268502495313</v>
      </c>
      <c r="AP82">
        <v>-19.630676999999999</v>
      </c>
      <c r="AQ82">
        <v>-43.907255999999997</v>
      </c>
      <c r="AR82">
        <v>25.453700276562468</v>
      </c>
      <c r="AS82" t="s">
        <v>65</v>
      </c>
      <c r="AT82">
        <v>1</v>
      </c>
      <c r="AU82" t="s">
        <v>95</v>
      </c>
      <c r="AV82" t="s">
        <v>96</v>
      </c>
      <c r="AW82" t="s">
        <v>60</v>
      </c>
      <c r="AX82" t="s">
        <v>68</v>
      </c>
      <c r="AY82" t="s">
        <v>69</v>
      </c>
      <c r="AZ82" t="b">
        <v>1</v>
      </c>
    </row>
    <row r="83" spans="1:52" x14ac:dyDescent="0.3">
      <c r="A83" t="s">
        <v>52</v>
      </c>
      <c r="B83" t="s">
        <v>53</v>
      </c>
      <c r="C83" t="s">
        <v>54</v>
      </c>
      <c r="D83" t="s">
        <v>55</v>
      </c>
      <c r="E83" t="s">
        <v>56</v>
      </c>
      <c r="F83" t="s">
        <v>512</v>
      </c>
      <c r="G83" t="s">
        <v>97</v>
      </c>
      <c r="H83" t="s">
        <v>98</v>
      </c>
      <c r="I83" t="s">
        <v>98</v>
      </c>
      <c r="J83" t="s">
        <v>60</v>
      </c>
      <c r="K83" t="s">
        <v>99</v>
      </c>
      <c r="L83" t="s">
        <v>62</v>
      </c>
      <c r="M83" t="s">
        <v>99</v>
      </c>
      <c r="N83" t="s">
        <v>100</v>
      </c>
      <c r="O83" t="s">
        <v>101</v>
      </c>
      <c r="P83">
        <v>-19.629822000000001</v>
      </c>
      <c r="Q83">
        <v>-43.905341</v>
      </c>
      <c r="R83" s="2" t="str">
        <f>HYPERLINK("https://www.google.com/maps?q=-19.6298220,-43.9053410","Abrir no Google Maps")</f>
        <v>Abrir no Google Maps</v>
      </c>
      <c r="S83">
        <v>4</v>
      </c>
      <c r="T83">
        <v>441.30597341744129</v>
      </c>
      <c r="U83">
        <v>4</v>
      </c>
      <c r="V83">
        <v>0.2838805588789593</v>
      </c>
      <c r="W83">
        <v>1</v>
      </c>
      <c r="X83">
        <v>0.2838805588789593</v>
      </c>
      <c r="Y83">
        <v>10</v>
      </c>
      <c r="Z83">
        <v>513.56493751010987</v>
      </c>
      <c r="AA83">
        <v>2</v>
      </c>
      <c r="AB83">
        <v>3</v>
      </c>
      <c r="AC83">
        <v>7</v>
      </c>
      <c r="AD83">
        <v>26.01</v>
      </c>
      <c r="AE83">
        <v>253</v>
      </c>
      <c r="AF83">
        <v>18</v>
      </c>
      <c r="AG83">
        <v>58</v>
      </c>
      <c r="AH83">
        <v>32</v>
      </c>
      <c r="AI83">
        <v>7.11</v>
      </c>
      <c r="AJ83">
        <v>22.92</v>
      </c>
      <c r="AK83">
        <v>12.65</v>
      </c>
      <c r="AL83">
        <v>-19.629671599999941</v>
      </c>
      <c r="AM83">
        <v>-43.905369597920988</v>
      </c>
      <c r="AN83">
        <v>-19.629671599999931</v>
      </c>
      <c r="AO83">
        <v>-43.905369597920988</v>
      </c>
      <c r="AP83">
        <v>-19.629822000000001</v>
      </c>
      <c r="AQ83">
        <v>-43.905341</v>
      </c>
      <c r="AR83">
        <v>17.008917699186132</v>
      </c>
      <c r="AS83" t="s">
        <v>65</v>
      </c>
      <c r="AT83">
        <v>1</v>
      </c>
      <c r="AU83" t="s">
        <v>102</v>
      </c>
      <c r="AV83" t="s">
        <v>103</v>
      </c>
      <c r="AW83" t="s">
        <v>60</v>
      </c>
      <c r="AX83" t="s">
        <v>68</v>
      </c>
      <c r="AY83" t="s">
        <v>69</v>
      </c>
      <c r="AZ83" t="b">
        <v>1</v>
      </c>
    </row>
    <row r="84" spans="1:52" x14ac:dyDescent="0.3">
      <c r="A84" t="s">
        <v>52</v>
      </c>
      <c r="B84" t="s">
        <v>53</v>
      </c>
      <c r="C84" t="s">
        <v>54</v>
      </c>
      <c r="D84" t="s">
        <v>55</v>
      </c>
      <c r="E84" t="s">
        <v>56</v>
      </c>
      <c r="F84" t="s">
        <v>512</v>
      </c>
      <c r="G84" t="s">
        <v>513</v>
      </c>
      <c r="H84" t="s">
        <v>514</v>
      </c>
      <c r="I84" t="s">
        <v>514</v>
      </c>
      <c r="J84" t="s">
        <v>60</v>
      </c>
      <c r="K84" t="s">
        <v>185</v>
      </c>
      <c r="L84" t="s">
        <v>62</v>
      </c>
      <c r="M84" t="s">
        <v>185</v>
      </c>
      <c r="N84" t="s">
        <v>515</v>
      </c>
      <c r="O84" t="s">
        <v>516</v>
      </c>
      <c r="P84">
        <v>-19.63184</v>
      </c>
      <c r="Q84">
        <v>-43.899625999999998</v>
      </c>
      <c r="R84" s="2" t="str">
        <f>HYPERLINK("https://www.google.com/maps?q=-19.6318400,-43.8996260","Abrir no Google Maps")</f>
        <v>Abrir no Google Maps</v>
      </c>
      <c r="S84">
        <v>4</v>
      </c>
      <c r="T84">
        <v>317.05369638212568</v>
      </c>
      <c r="U84">
        <v>2</v>
      </c>
      <c r="V84">
        <v>0.27142063136568262</v>
      </c>
      <c r="W84">
        <v>0.85</v>
      </c>
      <c r="X84">
        <v>0.23070753666083019</v>
      </c>
      <c r="Y84">
        <v>10</v>
      </c>
      <c r="Z84">
        <v>467.39112963581732</v>
      </c>
      <c r="AA84">
        <v>2</v>
      </c>
      <c r="AB84">
        <v>3</v>
      </c>
      <c r="AC84">
        <v>7</v>
      </c>
      <c r="AD84">
        <v>26.01</v>
      </c>
      <c r="AE84">
        <v>253</v>
      </c>
      <c r="AF84">
        <v>18</v>
      </c>
      <c r="AG84">
        <v>58</v>
      </c>
      <c r="AH84">
        <v>32</v>
      </c>
      <c r="AI84">
        <v>7.11</v>
      </c>
      <c r="AJ84">
        <v>22.92</v>
      </c>
      <c r="AK84">
        <v>12.65</v>
      </c>
      <c r="AL84">
        <v>-19.631819699999941</v>
      </c>
      <c r="AM84">
        <v>-43.89977767057065</v>
      </c>
      <c r="AN84">
        <v>-19.631819699999941</v>
      </c>
      <c r="AO84">
        <v>-43.89977767057065</v>
      </c>
      <c r="AP84">
        <v>-19.63184</v>
      </c>
      <c r="AQ84">
        <v>-43.899625999999998</v>
      </c>
      <c r="AR84">
        <v>16.062279375806241</v>
      </c>
      <c r="AS84" t="s">
        <v>65</v>
      </c>
      <c r="AT84">
        <v>1</v>
      </c>
      <c r="AU84" t="s">
        <v>517</v>
      </c>
      <c r="AV84" t="s">
        <v>518</v>
      </c>
      <c r="AW84" t="s">
        <v>60</v>
      </c>
      <c r="AX84" t="s">
        <v>68</v>
      </c>
      <c r="AY84" t="s">
        <v>69</v>
      </c>
      <c r="AZ84" t="b">
        <v>1</v>
      </c>
    </row>
    <row r="85" spans="1:52" x14ac:dyDescent="0.3">
      <c r="A85" t="s">
        <v>52</v>
      </c>
      <c r="B85" t="s">
        <v>53</v>
      </c>
      <c r="C85" t="s">
        <v>54</v>
      </c>
      <c r="D85" t="s">
        <v>55</v>
      </c>
      <c r="E85" t="s">
        <v>56</v>
      </c>
      <c r="F85" t="s">
        <v>512</v>
      </c>
      <c r="G85" t="s">
        <v>519</v>
      </c>
      <c r="H85" t="s">
        <v>520</v>
      </c>
      <c r="I85" t="s">
        <v>520</v>
      </c>
      <c r="J85" t="s">
        <v>60</v>
      </c>
      <c r="K85" t="s">
        <v>72</v>
      </c>
      <c r="L85" t="s">
        <v>62</v>
      </c>
      <c r="M85" t="s">
        <v>72</v>
      </c>
      <c r="N85" t="s">
        <v>521</v>
      </c>
      <c r="O85" t="s">
        <v>522</v>
      </c>
      <c r="P85">
        <v>-19.634713000000001</v>
      </c>
      <c r="Q85">
        <v>-43.908909999999999</v>
      </c>
      <c r="R85" s="2" t="str">
        <f>HYPERLINK("https://www.google.com/maps?q=-19.6347130,-43.9089100","Abrir no Google Maps")</f>
        <v>Abrir no Google Maps</v>
      </c>
      <c r="S85">
        <v>4</v>
      </c>
      <c r="T85">
        <v>700.74700083720154</v>
      </c>
      <c r="U85">
        <v>2</v>
      </c>
      <c r="V85">
        <v>0.27814523108597311</v>
      </c>
      <c r="W85">
        <v>0.85</v>
      </c>
      <c r="X85">
        <v>0.23642344642307711</v>
      </c>
      <c r="Y85">
        <v>10</v>
      </c>
      <c r="Z85">
        <v>557.86159429038207</v>
      </c>
      <c r="AA85">
        <v>2</v>
      </c>
      <c r="AB85">
        <v>3</v>
      </c>
      <c r="AC85">
        <v>7</v>
      </c>
      <c r="AD85">
        <v>26.01</v>
      </c>
      <c r="AE85">
        <v>253</v>
      </c>
      <c r="AF85">
        <v>18</v>
      </c>
      <c r="AG85">
        <v>58</v>
      </c>
      <c r="AH85">
        <v>32</v>
      </c>
      <c r="AI85">
        <v>7.11</v>
      </c>
      <c r="AJ85">
        <v>22.92</v>
      </c>
      <c r="AK85">
        <v>12.65</v>
      </c>
      <c r="AL85">
        <v>-19.634626949999959</v>
      </c>
      <c r="AM85">
        <v>-43.909020333181857</v>
      </c>
      <c r="AN85">
        <v>-19.634626949999959</v>
      </c>
      <c r="AO85">
        <v>-43.909020333181857</v>
      </c>
      <c r="AP85">
        <v>-19.634713000000001</v>
      </c>
      <c r="AQ85">
        <v>-43.908909999999999</v>
      </c>
      <c r="AR85">
        <v>15.01933861967664</v>
      </c>
      <c r="AS85" t="s">
        <v>65</v>
      </c>
      <c r="AT85">
        <v>1</v>
      </c>
      <c r="AU85" t="s">
        <v>523</v>
      </c>
      <c r="AV85" t="s">
        <v>524</v>
      </c>
      <c r="AW85" t="s">
        <v>60</v>
      </c>
      <c r="AX85" t="s">
        <v>68</v>
      </c>
      <c r="AY85" t="s">
        <v>69</v>
      </c>
      <c r="AZ85" t="b">
        <v>1</v>
      </c>
    </row>
    <row r="86" spans="1:52" x14ac:dyDescent="0.3">
      <c r="A86" t="s">
        <v>52</v>
      </c>
      <c r="B86" t="s">
        <v>53</v>
      </c>
      <c r="C86" t="s">
        <v>54</v>
      </c>
      <c r="D86" t="s">
        <v>55</v>
      </c>
      <c r="E86" t="s">
        <v>56</v>
      </c>
      <c r="F86" t="s">
        <v>512</v>
      </c>
      <c r="G86" t="s">
        <v>284</v>
      </c>
      <c r="H86" t="s">
        <v>285</v>
      </c>
      <c r="I86" t="s">
        <v>285</v>
      </c>
      <c r="J86" t="s">
        <v>60</v>
      </c>
      <c r="K86" t="s">
        <v>286</v>
      </c>
      <c r="L86" t="s">
        <v>62</v>
      </c>
      <c r="M86" t="s">
        <v>286</v>
      </c>
      <c r="N86" t="s">
        <v>287</v>
      </c>
      <c r="O86" t="s">
        <v>288</v>
      </c>
      <c r="P86">
        <v>-19.639790000000001</v>
      </c>
      <c r="Q86">
        <v>-43.882798999999999</v>
      </c>
      <c r="R86" s="2" t="str">
        <f>HYPERLINK("https://www.google.com/maps?q=-19.6397900,-43.8827990","Abrir no Google Maps")</f>
        <v>Abrir no Google Maps</v>
      </c>
      <c r="S86">
        <v>3</v>
      </c>
      <c r="T86">
        <v>242.7052058134478</v>
      </c>
      <c r="U86">
        <v>4</v>
      </c>
      <c r="V86">
        <v>0.2795947088084873</v>
      </c>
      <c r="W86">
        <v>1</v>
      </c>
      <c r="X86">
        <v>0.2795947088084873</v>
      </c>
      <c r="Y86">
        <v>10</v>
      </c>
      <c r="Z86">
        <v>187.2088809462339</v>
      </c>
      <c r="AA86">
        <v>2</v>
      </c>
      <c r="AB86">
        <v>3</v>
      </c>
      <c r="AC86">
        <v>7</v>
      </c>
      <c r="AD86">
        <v>26.01</v>
      </c>
      <c r="AE86">
        <v>253</v>
      </c>
      <c r="AF86">
        <v>18</v>
      </c>
      <c r="AG86">
        <v>58</v>
      </c>
      <c r="AH86">
        <v>32</v>
      </c>
      <c r="AI86">
        <v>7.11</v>
      </c>
      <c r="AJ86">
        <v>22.92</v>
      </c>
      <c r="AK86">
        <v>12.65</v>
      </c>
      <c r="AL86">
        <v>-19.639855599999951</v>
      </c>
      <c r="AM86">
        <v>-43.882909745178452</v>
      </c>
      <c r="AN86">
        <v>-19.639855599999951</v>
      </c>
      <c r="AO86">
        <v>-43.882909745178452</v>
      </c>
      <c r="AP86">
        <v>-19.639790000000001</v>
      </c>
      <c r="AQ86">
        <v>-43.882798999999999</v>
      </c>
      <c r="AR86">
        <v>13.716486068571211</v>
      </c>
      <c r="AS86" t="s">
        <v>65</v>
      </c>
      <c r="AT86">
        <v>1</v>
      </c>
      <c r="AU86" t="s">
        <v>289</v>
      </c>
      <c r="AV86" t="s">
        <v>290</v>
      </c>
      <c r="AW86" t="s">
        <v>60</v>
      </c>
      <c r="AX86" t="s">
        <v>68</v>
      </c>
      <c r="AY86" t="s">
        <v>69</v>
      </c>
      <c r="AZ86" t="b">
        <v>1</v>
      </c>
    </row>
    <row r="87" spans="1:52" x14ac:dyDescent="0.3">
      <c r="A87" t="s">
        <v>52</v>
      </c>
      <c r="B87" t="s">
        <v>53</v>
      </c>
      <c r="C87" t="s">
        <v>54</v>
      </c>
      <c r="D87" t="s">
        <v>55</v>
      </c>
      <c r="E87" t="s">
        <v>56</v>
      </c>
      <c r="F87" t="s">
        <v>512</v>
      </c>
      <c r="G87" t="s">
        <v>291</v>
      </c>
      <c r="H87" t="s">
        <v>292</v>
      </c>
      <c r="I87" t="s">
        <v>292</v>
      </c>
      <c r="J87" t="s">
        <v>60</v>
      </c>
      <c r="K87" t="s">
        <v>286</v>
      </c>
      <c r="L87" t="s">
        <v>62</v>
      </c>
      <c r="M87" t="s">
        <v>286</v>
      </c>
      <c r="N87" t="s">
        <v>293</v>
      </c>
      <c r="O87" t="s">
        <v>294</v>
      </c>
      <c r="P87">
        <v>-19.640333999999999</v>
      </c>
      <c r="Q87">
        <v>-43.880004999999997</v>
      </c>
      <c r="R87" s="2" t="str">
        <f>HYPERLINK("https://www.google.com/maps?q=-19.6403340,-43.8800050","Abrir no Google Maps")</f>
        <v>Abrir no Google Maps</v>
      </c>
      <c r="S87">
        <v>3</v>
      </c>
      <c r="T87">
        <v>276.80943817309782</v>
      </c>
      <c r="U87">
        <v>4</v>
      </c>
      <c r="V87">
        <v>0.29308458175045582</v>
      </c>
      <c r="W87">
        <v>1</v>
      </c>
      <c r="X87">
        <v>0.29308458175045582</v>
      </c>
      <c r="Y87">
        <v>10</v>
      </c>
      <c r="Z87">
        <v>361.98332038983392</v>
      </c>
      <c r="AA87">
        <v>2</v>
      </c>
      <c r="AB87">
        <v>3</v>
      </c>
      <c r="AC87">
        <v>7</v>
      </c>
      <c r="AD87">
        <v>26.01</v>
      </c>
      <c r="AE87">
        <v>253</v>
      </c>
      <c r="AF87">
        <v>18</v>
      </c>
      <c r="AG87">
        <v>58</v>
      </c>
      <c r="AH87">
        <v>32</v>
      </c>
      <c r="AI87">
        <v>7.11</v>
      </c>
      <c r="AJ87">
        <v>22.92</v>
      </c>
      <c r="AK87">
        <v>12.65</v>
      </c>
      <c r="AL87">
        <v>-19.640260249999951</v>
      </c>
      <c r="AM87">
        <v>-43.880090474326408</v>
      </c>
      <c r="AN87">
        <v>-19.640260249999951</v>
      </c>
      <c r="AO87">
        <v>-43.880090474326408</v>
      </c>
      <c r="AP87">
        <v>-19.640333999999999</v>
      </c>
      <c r="AQ87">
        <v>-43.880004999999997</v>
      </c>
      <c r="AR87">
        <v>12.153556195359609</v>
      </c>
      <c r="AS87" t="s">
        <v>65</v>
      </c>
      <c r="AT87">
        <v>1</v>
      </c>
      <c r="AU87" t="s">
        <v>295</v>
      </c>
      <c r="AV87" t="s">
        <v>296</v>
      </c>
      <c r="AW87" t="s">
        <v>60</v>
      </c>
      <c r="AX87" t="s">
        <v>68</v>
      </c>
      <c r="AY87" t="s">
        <v>69</v>
      </c>
      <c r="AZ87" t="b">
        <v>1</v>
      </c>
    </row>
    <row r="88" spans="1:52" x14ac:dyDescent="0.3">
      <c r="A88" t="s">
        <v>52</v>
      </c>
      <c r="B88" t="s">
        <v>53</v>
      </c>
      <c r="C88" t="s">
        <v>54</v>
      </c>
      <c r="D88" t="s">
        <v>55</v>
      </c>
      <c r="E88" t="s">
        <v>56</v>
      </c>
      <c r="F88" t="s">
        <v>512</v>
      </c>
      <c r="G88" t="s">
        <v>388</v>
      </c>
      <c r="H88" t="s">
        <v>389</v>
      </c>
      <c r="I88" t="s">
        <v>389</v>
      </c>
      <c r="J88" t="s">
        <v>60</v>
      </c>
      <c r="K88" t="s">
        <v>185</v>
      </c>
      <c r="L88" t="s">
        <v>62</v>
      </c>
      <c r="M88" t="s">
        <v>185</v>
      </c>
      <c r="N88" t="s">
        <v>390</v>
      </c>
      <c r="O88" t="s">
        <v>391</v>
      </c>
      <c r="P88">
        <v>-19.628802</v>
      </c>
      <c r="Q88">
        <v>-43.891649000000001</v>
      </c>
      <c r="R88" s="2" t="str">
        <f>HYPERLINK("https://www.google.com/maps?q=-19.6288020,-43.8916490","Abrir no Google Maps")</f>
        <v>Abrir no Google Maps</v>
      </c>
      <c r="S88">
        <v>3</v>
      </c>
      <c r="T88">
        <v>0</v>
      </c>
      <c r="U88">
        <v>3</v>
      </c>
      <c r="V88">
        <v>0.31430441063320319</v>
      </c>
      <c r="W88">
        <v>0.85</v>
      </c>
      <c r="X88">
        <v>0.26715874903822268</v>
      </c>
      <c r="Y88">
        <v>18</v>
      </c>
      <c r="Z88">
        <v>117.5064585283839</v>
      </c>
      <c r="AA88">
        <v>2</v>
      </c>
      <c r="AB88">
        <v>3</v>
      </c>
      <c r="AC88">
        <v>7</v>
      </c>
      <c r="AD88">
        <v>26.01</v>
      </c>
      <c r="AE88">
        <v>253</v>
      </c>
      <c r="AF88">
        <v>18</v>
      </c>
      <c r="AG88">
        <v>58</v>
      </c>
      <c r="AH88">
        <v>32</v>
      </c>
      <c r="AI88">
        <v>7.11</v>
      </c>
      <c r="AJ88">
        <v>22.92</v>
      </c>
      <c r="AK88">
        <v>12.65</v>
      </c>
      <c r="AL88">
        <v>-19.628865499999961</v>
      </c>
      <c r="AM88">
        <v>-43.891662391334172</v>
      </c>
      <c r="AN88">
        <v>-19.628865499999961</v>
      </c>
      <c r="AO88">
        <v>-43.891662391334172</v>
      </c>
      <c r="AP88">
        <v>-19.628802</v>
      </c>
      <c r="AQ88">
        <v>-43.891649000000001</v>
      </c>
      <c r="AR88">
        <v>7.2069201904448459</v>
      </c>
      <c r="AS88" t="s">
        <v>65</v>
      </c>
      <c r="AT88">
        <v>1</v>
      </c>
      <c r="AU88" t="s">
        <v>392</v>
      </c>
      <c r="AV88" t="s">
        <v>393</v>
      </c>
      <c r="AW88" t="s">
        <v>60</v>
      </c>
      <c r="AX88" t="s">
        <v>68</v>
      </c>
      <c r="AY88" t="s">
        <v>69</v>
      </c>
      <c r="AZ88" t="b">
        <v>1</v>
      </c>
    </row>
    <row r="89" spans="1:52" x14ac:dyDescent="0.3">
      <c r="A89" t="s">
        <v>52</v>
      </c>
      <c r="B89" t="s">
        <v>53</v>
      </c>
      <c r="C89" t="s">
        <v>54</v>
      </c>
      <c r="D89" t="s">
        <v>55</v>
      </c>
      <c r="E89" t="s">
        <v>56</v>
      </c>
      <c r="F89" t="s">
        <v>512</v>
      </c>
      <c r="G89" t="s">
        <v>394</v>
      </c>
      <c r="H89" t="s">
        <v>395</v>
      </c>
      <c r="I89" t="s">
        <v>395</v>
      </c>
      <c r="J89" t="s">
        <v>60</v>
      </c>
      <c r="K89" t="s">
        <v>286</v>
      </c>
      <c r="L89" t="s">
        <v>62</v>
      </c>
      <c r="M89" t="s">
        <v>286</v>
      </c>
      <c r="N89" t="s">
        <v>396</v>
      </c>
      <c r="O89" t="s">
        <v>88</v>
      </c>
      <c r="P89">
        <v>-19.636932999999999</v>
      </c>
      <c r="Q89">
        <v>-43.882691999999999</v>
      </c>
      <c r="R89" s="2" t="str">
        <f>HYPERLINK("https://www.google.com/maps?q=-19.6369330,-43.8826920","Abrir no Google Maps")</f>
        <v>Abrir no Google Maps</v>
      </c>
      <c r="S89">
        <v>3</v>
      </c>
      <c r="T89">
        <v>523.52675813688109</v>
      </c>
      <c r="U89">
        <v>3</v>
      </c>
      <c r="V89">
        <v>0.26824366844182829</v>
      </c>
      <c r="W89">
        <v>1</v>
      </c>
      <c r="X89">
        <v>0.26824366844182829</v>
      </c>
      <c r="Y89">
        <v>10</v>
      </c>
      <c r="Z89">
        <v>372.58135532659509</v>
      </c>
      <c r="AA89">
        <v>2</v>
      </c>
      <c r="AB89">
        <v>3</v>
      </c>
      <c r="AC89">
        <v>7</v>
      </c>
      <c r="AD89">
        <v>26.01</v>
      </c>
      <c r="AE89">
        <v>253</v>
      </c>
      <c r="AF89">
        <v>18</v>
      </c>
      <c r="AG89">
        <v>58</v>
      </c>
      <c r="AH89">
        <v>32</v>
      </c>
      <c r="AI89">
        <v>7.11</v>
      </c>
      <c r="AJ89">
        <v>22.92</v>
      </c>
      <c r="AK89">
        <v>12.65</v>
      </c>
      <c r="AL89">
        <v>-19.637159949999951</v>
      </c>
      <c r="AM89">
        <v>-43.882643289441461</v>
      </c>
      <c r="AN89">
        <v>-19.637159949999951</v>
      </c>
      <c r="AO89">
        <v>-43.882643289441461</v>
      </c>
      <c r="AP89">
        <v>-19.636932999999999</v>
      </c>
      <c r="AQ89">
        <v>-43.882691999999999</v>
      </c>
      <c r="AR89">
        <v>25.775099947452478</v>
      </c>
      <c r="AS89" t="s">
        <v>65</v>
      </c>
      <c r="AT89">
        <v>1</v>
      </c>
      <c r="AU89" t="s">
        <v>397</v>
      </c>
      <c r="AV89" t="s">
        <v>398</v>
      </c>
      <c r="AW89" t="s">
        <v>60</v>
      </c>
      <c r="AX89" t="s">
        <v>68</v>
      </c>
      <c r="AY89" t="s">
        <v>69</v>
      </c>
      <c r="AZ89" t="b">
        <v>1</v>
      </c>
    </row>
    <row r="90" spans="1:52" x14ac:dyDescent="0.3">
      <c r="A90" t="s">
        <v>52</v>
      </c>
      <c r="B90" t="s">
        <v>53</v>
      </c>
      <c r="C90" t="s">
        <v>54</v>
      </c>
      <c r="D90" t="s">
        <v>55</v>
      </c>
      <c r="E90" t="s">
        <v>56</v>
      </c>
      <c r="F90" t="s">
        <v>512</v>
      </c>
      <c r="G90" t="s">
        <v>399</v>
      </c>
      <c r="H90" t="s">
        <v>400</v>
      </c>
      <c r="I90" t="s">
        <v>400</v>
      </c>
      <c r="J90" t="s">
        <v>60</v>
      </c>
      <c r="K90" t="s">
        <v>286</v>
      </c>
      <c r="L90" t="s">
        <v>62</v>
      </c>
      <c r="M90" t="s">
        <v>286</v>
      </c>
      <c r="N90" t="s">
        <v>401</v>
      </c>
      <c r="O90" t="s">
        <v>402</v>
      </c>
      <c r="P90">
        <v>-19.639906</v>
      </c>
      <c r="Q90">
        <v>-43.886059000000003</v>
      </c>
      <c r="R90" s="2" t="str">
        <f>HYPERLINK("https://www.google.com/maps?q=-19.6399060,-43.8860590","Abrir no Google Maps")</f>
        <v>Abrir no Google Maps</v>
      </c>
      <c r="S90">
        <v>3</v>
      </c>
      <c r="T90">
        <v>256.0748811302048</v>
      </c>
      <c r="U90">
        <v>3</v>
      </c>
      <c r="V90">
        <v>0.25931286934347408</v>
      </c>
      <c r="W90">
        <v>1</v>
      </c>
      <c r="X90">
        <v>0.25931286934347408</v>
      </c>
      <c r="Y90">
        <v>10</v>
      </c>
      <c r="Z90">
        <v>205.06236700857289</v>
      </c>
      <c r="AA90">
        <v>2</v>
      </c>
      <c r="AB90">
        <v>3</v>
      </c>
      <c r="AC90">
        <v>7</v>
      </c>
      <c r="AD90">
        <v>26.01</v>
      </c>
      <c r="AE90">
        <v>253</v>
      </c>
      <c r="AF90">
        <v>18</v>
      </c>
      <c r="AG90">
        <v>58</v>
      </c>
      <c r="AH90">
        <v>32</v>
      </c>
      <c r="AI90">
        <v>7.11</v>
      </c>
      <c r="AJ90">
        <v>22.92</v>
      </c>
      <c r="AK90">
        <v>12.65</v>
      </c>
      <c r="AL90">
        <v>-19.639789499999949</v>
      </c>
      <c r="AM90">
        <v>-43.885737855031408</v>
      </c>
      <c r="AN90">
        <v>-19.639789499999949</v>
      </c>
      <c r="AO90">
        <v>-43.885737855031408</v>
      </c>
      <c r="AP90">
        <v>-19.639906</v>
      </c>
      <c r="AQ90">
        <v>-43.886059000000003</v>
      </c>
      <c r="AR90">
        <v>36.081349702130403</v>
      </c>
      <c r="AS90" t="s">
        <v>65</v>
      </c>
      <c r="AT90">
        <v>1</v>
      </c>
      <c r="AU90" t="s">
        <v>403</v>
      </c>
      <c r="AV90" t="s">
        <v>404</v>
      </c>
      <c r="AW90" t="s">
        <v>60</v>
      </c>
      <c r="AX90" t="s">
        <v>68</v>
      </c>
      <c r="AY90" t="s">
        <v>69</v>
      </c>
      <c r="AZ90" t="b">
        <v>1</v>
      </c>
    </row>
    <row r="91" spans="1:52" x14ac:dyDescent="0.3">
      <c r="A91" t="s">
        <v>52</v>
      </c>
      <c r="B91" t="s">
        <v>53</v>
      </c>
      <c r="C91" t="s">
        <v>54</v>
      </c>
      <c r="D91" t="s">
        <v>55</v>
      </c>
      <c r="E91" t="s">
        <v>56</v>
      </c>
      <c r="F91" t="s">
        <v>512</v>
      </c>
      <c r="G91" t="s">
        <v>405</v>
      </c>
      <c r="H91" t="s">
        <v>406</v>
      </c>
      <c r="I91" t="s">
        <v>406</v>
      </c>
      <c r="J91" t="s">
        <v>60</v>
      </c>
      <c r="K91" t="s">
        <v>286</v>
      </c>
      <c r="L91" t="s">
        <v>62</v>
      </c>
      <c r="M91" t="s">
        <v>286</v>
      </c>
      <c r="N91" t="s">
        <v>407</v>
      </c>
      <c r="O91" t="s">
        <v>408</v>
      </c>
      <c r="P91">
        <v>-19.646345</v>
      </c>
      <c r="Q91">
        <v>-43.882294999999999</v>
      </c>
      <c r="R91" s="2" t="str">
        <f>HYPERLINK("https://www.google.com/maps?q=-19.6463450,-43.8822950","Abrir no Google Maps")</f>
        <v>Abrir no Google Maps</v>
      </c>
      <c r="S91">
        <v>3</v>
      </c>
      <c r="T91">
        <v>450.3180538635894</v>
      </c>
      <c r="U91">
        <v>3</v>
      </c>
      <c r="V91">
        <v>0.27305804735552192</v>
      </c>
      <c r="W91">
        <v>1</v>
      </c>
      <c r="X91">
        <v>0.27305804735552192</v>
      </c>
      <c r="Y91">
        <v>10</v>
      </c>
      <c r="Z91">
        <v>349.23341775902583</v>
      </c>
      <c r="AA91">
        <v>2</v>
      </c>
      <c r="AB91">
        <v>3</v>
      </c>
      <c r="AC91">
        <v>7</v>
      </c>
      <c r="AD91">
        <v>26.01</v>
      </c>
      <c r="AE91">
        <v>253</v>
      </c>
      <c r="AF91">
        <v>18</v>
      </c>
      <c r="AG91">
        <v>58</v>
      </c>
      <c r="AH91">
        <v>32</v>
      </c>
      <c r="AI91">
        <v>7.11</v>
      </c>
      <c r="AJ91">
        <v>22.92</v>
      </c>
      <c r="AK91">
        <v>12.65</v>
      </c>
      <c r="AL91">
        <v>-19.646391649999941</v>
      </c>
      <c r="AM91">
        <v>-43.882007396993302</v>
      </c>
      <c r="AN91">
        <v>-19.646391649999941</v>
      </c>
      <c r="AO91">
        <v>-43.882007396993302</v>
      </c>
      <c r="AP91">
        <v>-19.646345</v>
      </c>
      <c r="AQ91">
        <v>-43.882294999999999</v>
      </c>
      <c r="AR91">
        <v>30.596105513395301</v>
      </c>
      <c r="AS91" t="s">
        <v>65</v>
      </c>
      <c r="AT91">
        <v>1</v>
      </c>
      <c r="AU91" t="s">
        <v>409</v>
      </c>
      <c r="AV91" t="s">
        <v>410</v>
      </c>
      <c r="AW91" t="s">
        <v>60</v>
      </c>
      <c r="AX91" t="s">
        <v>68</v>
      </c>
      <c r="AY91" t="s">
        <v>69</v>
      </c>
      <c r="AZ91" t="b">
        <v>1</v>
      </c>
    </row>
    <row r="92" spans="1:52" x14ac:dyDescent="0.3">
      <c r="A92" t="s">
        <v>52</v>
      </c>
      <c r="B92" t="s">
        <v>53</v>
      </c>
      <c r="C92" t="s">
        <v>54</v>
      </c>
      <c r="D92" t="s">
        <v>55</v>
      </c>
      <c r="E92" t="s">
        <v>56</v>
      </c>
      <c r="F92" t="s">
        <v>512</v>
      </c>
      <c r="G92" t="s">
        <v>411</v>
      </c>
      <c r="H92" t="s">
        <v>412</v>
      </c>
      <c r="I92" t="s">
        <v>412</v>
      </c>
      <c r="J92" t="s">
        <v>60</v>
      </c>
      <c r="K92" t="s">
        <v>179</v>
      </c>
      <c r="L92" t="s">
        <v>62</v>
      </c>
      <c r="M92" t="s">
        <v>179</v>
      </c>
      <c r="N92" t="s">
        <v>413</v>
      </c>
      <c r="O92" t="s">
        <v>414</v>
      </c>
      <c r="P92">
        <v>-19.650079000000002</v>
      </c>
      <c r="Q92">
        <v>-43.884253999999999</v>
      </c>
      <c r="R92" s="2" t="str">
        <f>HYPERLINK("https://www.google.com/maps?q=-19.6500790,-43.8842540","Abrir no Google Maps")</f>
        <v>Abrir no Google Maps</v>
      </c>
      <c r="S92">
        <v>3</v>
      </c>
      <c r="T92">
        <v>797.21430129715498</v>
      </c>
      <c r="U92">
        <v>3</v>
      </c>
      <c r="V92">
        <v>0.26822119106059072</v>
      </c>
      <c r="W92">
        <v>1</v>
      </c>
      <c r="X92">
        <v>0.26822119106059072</v>
      </c>
      <c r="Y92">
        <v>10</v>
      </c>
      <c r="Z92">
        <v>774.04145012702554</v>
      </c>
      <c r="AA92">
        <v>2</v>
      </c>
      <c r="AB92">
        <v>3</v>
      </c>
      <c r="AC92">
        <v>7</v>
      </c>
      <c r="AD92">
        <v>26.01</v>
      </c>
      <c r="AE92">
        <v>253</v>
      </c>
      <c r="AF92">
        <v>18</v>
      </c>
      <c r="AG92">
        <v>58</v>
      </c>
      <c r="AH92">
        <v>32</v>
      </c>
      <c r="AI92">
        <v>7.11</v>
      </c>
      <c r="AJ92">
        <v>22.92</v>
      </c>
      <c r="AK92">
        <v>12.65</v>
      </c>
      <c r="AL92">
        <v>-19.649199399999961</v>
      </c>
      <c r="AM92">
        <v>-43.883888390043637</v>
      </c>
      <c r="AN92">
        <v>-19.649199399999961</v>
      </c>
      <c r="AO92">
        <v>-43.883888390043637</v>
      </c>
      <c r="AP92">
        <v>-19.650079000000002</v>
      </c>
      <c r="AQ92">
        <v>-43.884253999999999</v>
      </c>
      <c r="AR92">
        <v>105.1518915696123</v>
      </c>
      <c r="AS92" t="s">
        <v>65</v>
      </c>
      <c r="AT92">
        <v>1</v>
      </c>
      <c r="AU92" t="s">
        <v>415</v>
      </c>
      <c r="AV92" t="s">
        <v>416</v>
      </c>
      <c r="AW92" t="s">
        <v>60</v>
      </c>
      <c r="AX92" t="s">
        <v>68</v>
      </c>
      <c r="AY92" t="s">
        <v>69</v>
      </c>
      <c r="AZ92" t="b">
        <v>1</v>
      </c>
    </row>
    <row r="93" spans="1:52" x14ac:dyDescent="0.3">
      <c r="A93" t="s">
        <v>52</v>
      </c>
      <c r="B93" t="s">
        <v>53</v>
      </c>
      <c r="C93" t="s">
        <v>54</v>
      </c>
      <c r="D93" t="s">
        <v>55</v>
      </c>
      <c r="E93" t="s">
        <v>56</v>
      </c>
      <c r="F93" t="s">
        <v>512</v>
      </c>
      <c r="G93" t="s">
        <v>525</v>
      </c>
      <c r="H93" t="s">
        <v>526</v>
      </c>
      <c r="I93" t="s">
        <v>526</v>
      </c>
      <c r="J93" t="s">
        <v>60</v>
      </c>
      <c r="K93" t="s">
        <v>286</v>
      </c>
      <c r="L93" t="s">
        <v>62</v>
      </c>
      <c r="M93" t="s">
        <v>286</v>
      </c>
      <c r="N93" t="s">
        <v>527</v>
      </c>
      <c r="O93" t="s">
        <v>113</v>
      </c>
      <c r="P93">
        <v>-19.629049999999999</v>
      </c>
      <c r="Q93">
        <v>-43.887543000000001</v>
      </c>
      <c r="R93" s="2" t="str">
        <f>HYPERLINK("https://www.google.com/maps?q=-19.6290500,-43.8875430","Abrir no Google Maps")</f>
        <v>Abrir no Google Maps</v>
      </c>
      <c r="S93">
        <v>3</v>
      </c>
      <c r="T93">
        <v>420.9244758141914</v>
      </c>
      <c r="U93">
        <v>2</v>
      </c>
      <c r="V93">
        <v>0.27607721234079918</v>
      </c>
      <c r="W93">
        <v>0.85</v>
      </c>
      <c r="X93">
        <v>0.23466563048967931</v>
      </c>
      <c r="Y93">
        <v>18</v>
      </c>
      <c r="Z93">
        <v>298.16529694300579</v>
      </c>
      <c r="AA93">
        <v>2</v>
      </c>
      <c r="AB93">
        <v>3</v>
      </c>
      <c r="AC93">
        <v>7</v>
      </c>
      <c r="AD93">
        <v>26.01</v>
      </c>
      <c r="AE93">
        <v>253</v>
      </c>
      <c r="AF93">
        <v>18</v>
      </c>
      <c r="AG93">
        <v>58</v>
      </c>
      <c r="AH93">
        <v>32</v>
      </c>
      <c r="AI93">
        <v>7.11</v>
      </c>
      <c r="AJ93">
        <v>22.92</v>
      </c>
      <c r="AK93">
        <v>12.65</v>
      </c>
      <c r="AL93">
        <v>-19.62914789999996</v>
      </c>
      <c r="AM93">
        <v>-43.887659532387332</v>
      </c>
      <c r="AN93">
        <v>-19.62914789999996</v>
      </c>
      <c r="AO93">
        <v>-43.887659532387332</v>
      </c>
      <c r="AP93">
        <v>-19.629049999999999</v>
      </c>
      <c r="AQ93">
        <v>-43.887543000000001</v>
      </c>
      <c r="AR93">
        <v>16.372645779361299</v>
      </c>
      <c r="AS93" t="s">
        <v>65</v>
      </c>
      <c r="AT93">
        <v>1</v>
      </c>
      <c r="AU93" t="s">
        <v>528</v>
      </c>
      <c r="AV93" t="s">
        <v>529</v>
      </c>
      <c r="AW93" t="s">
        <v>60</v>
      </c>
      <c r="AX93" t="s">
        <v>68</v>
      </c>
      <c r="AY93" t="s">
        <v>69</v>
      </c>
      <c r="AZ93" t="b">
        <v>1</v>
      </c>
    </row>
    <row r="94" spans="1:52" x14ac:dyDescent="0.3">
      <c r="A94" t="s">
        <v>52</v>
      </c>
      <c r="B94" t="s">
        <v>53</v>
      </c>
      <c r="C94" t="s">
        <v>54</v>
      </c>
      <c r="D94" t="s">
        <v>55</v>
      </c>
      <c r="E94" t="s">
        <v>56</v>
      </c>
      <c r="F94" t="s">
        <v>512</v>
      </c>
      <c r="G94" t="s">
        <v>530</v>
      </c>
      <c r="H94" t="s">
        <v>531</v>
      </c>
      <c r="I94" t="s">
        <v>531</v>
      </c>
      <c r="J94" t="s">
        <v>60</v>
      </c>
      <c r="K94" t="s">
        <v>185</v>
      </c>
      <c r="L94" t="s">
        <v>62</v>
      </c>
      <c r="M94" t="s">
        <v>185</v>
      </c>
      <c r="N94" t="s">
        <v>532</v>
      </c>
      <c r="O94" t="s">
        <v>533</v>
      </c>
      <c r="P94">
        <v>-19.625264000000001</v>
      </c>
      <c r="Q94">
        <v>-43.889451000000001</v>
      </c>
      <c r="R94" s="2" t="str">
        <f>HYPERLINK("https://www.google.com/maps?q=-19.6252640,-43.8894510","Abrir no Google Maps")</f>
        <v>Abrir no Google Maps</v>
      </c>
      <c r="S94">
        <v>3</v>
      </c>
      <c r="T94">
        <v>466.11340370665903</v>
      </c>
      <c r="U94">
        <v>2</v>
      </c>
      <c r="V94">
        <v>0.29577448666884232</v>
      </c>
      <c r="W94">
        <v>0.85</v>
      </c>
      <c r="X94">
        <v>0.25140831366851601</v>
      </c>
      <c r="Y94">
        <v>18</v>
      </c>
      <c r="Z94">
        <v>320.77337440837812</v>
      </c>
      <c r="AA94">
        <v>2</v>
      </c>
      <c r="AB94">
        <v>3</v>
      </c>
      <c r="AC94">
        <v>7</v>
      </c>
      <c r="AD94">
        <v>26.01</v>
      </c>
      <c r="AE94">
        <v>253</v>
      </c>
      <c r="AF94">
        <v>18</v>
      </c>
      <c r="AG94">
        <v>58</v>
      </c>
      <c r="AH94">
        <v>32</v>
      </c>
      <c r="AI94">
        <v>7.11</v>
      </c>
      <c r="AJ94">
        <v>22.92</v>
      </c>
      <c r="AK94">
        <v>12.65</v>
      </c>
      <c r="AL94">
        <v>-19.62516189999997</v>
      </c>
      <c r="AM94">
        <v>-43.88954614566876</v>
      </c>
      <c r="AN94">
        <v>-19.62516189999997</v>
      </c>
      <c r="AO94">
        <v>-43.88954614566876</v>
      </c>
      <c r="AP94">
        <v>-19.625264000000001</v>
      </c>
      <c r="AQ94">
        <v>-43.889451000000001</v>
      </c>
      <c r="AR94">
        <v>15.12310549834147</v>
      </c>
      <c r="AS94" t="s">
        <v>65</v>
      </c>
      <c r="AT94">
        <v>1</v>
      </c>
      <c r="AU94" t="s">
        <v>534</v>
      </c>
      <c r="AV94" t="s">
        <v>535</v>
      </c>
      <c r="AW94" t="s">
        <v>60</v>
      </c>
      <c r="AX94" t="s">
        <v>68</v>
      </c>
      <c r="AY94" t="s">
        <v>69</v>
      </c>
      <c r="AZ94" t="b">
        <v>1</v>
      </c>
    </row>
    <row r="95" spans="1:52" x14ac:dyDescent="0.3">
      <c r="A95" t="s">
        <v>52</v>
      </c>
      <c r="B95" t="s">
        <v>53</v>
      </c>
      <c r="C95" t="s">
        <v>54</v>
      </c>
      <c r="D95" t="s">
        <v>55</v>
      </c>
      <c r="E95" t="s">
        <v>56</v>
      </c>
      <c r="F95" t="s">
        <v>512</v>
      </c>
      <c r="G95" t="s">
        <v>536</v>
      </c>
      <c r="H95" t="s">
        <v>537</v>
      </c>
      <c r="I95" t="s">
        <v>537</v>
      </c>
      <c r="J95" t="s">
        <v>60</v>
      </c>
      <c r="K95" t="s">
        <v>185</v>
      </c>
      <c r="L95" t="s">
        <v>62</v>
      </c>
      <c r="M95" t="s">
        <v>185</v>
      </c>
      <c r="N95" t="s">
        <v>538</v>
      </c>
      <c r="O95" t="s">
        <v>408</v>
      </c>
      <c r="P95">
        <v>-19.630147999999998</v>
      </c>
      <c r="Q95">
        <v>-43.893844000000001</v>
      </c>
      <c r="R95" s="2" t="str">
        <f>HYPERLINK("https://www.google.com/maps?q=-19.6301480,-43.8938440","Abrir no Google Maps")</f>
        <v>Abrir no Google Maps</v>
      </c>
      <c r="S95">
        <v>3</v>
      </c>
      <c r="T95">
        <v>262.94285160220159</v>
      </c>
      <c r="U95">
        <v>2</v>
      </c>
      <c r="V95">
        <v>0.2874970498425351</v>
      </c>
      <c r="W95">
        <v>0.85</v>
      </c>
      <c r="X95">
        <v>0.2443724923661548</v>
      </c>
      <c r="Y95">
        <v>18</v>
      </c>
      <c r="Z95">
        <v>351.25774094845309</v>
      </c>
      <c r="AA95">
        <v>2</v>
      </c>
      <c r="AB95">
        <v>3</v>
      </c>
      <c r="AC95">
        <v>7</v>
      </c>
      <c r="AD95">
        <v>26.01</v>
      </c>
      <c r="AE95">
        <v>253</v>
      </c>
      <c r="AF95">
        <v>18</v>
      </c>
      <c r="AG95">
        <v>58</v>
      </c>
      <c r="AH95">
        <v>32</v>
      </c>
      <c r="AI95">
        <v>7.11</v>
      </c>
      <c r="AJ95">
        <v>22.92</v>
      </c>
      <c r="AK95">
        <v>12.65</v>
      </c>
      <c r="AL95">
        <v>-19.630177599999939</v>
      </c>
      <c r="AM95">
        <v>-43.893752755034278</v>
      </c>
      <c r="AN95">
        <v>-19.630177599999939</v>
      </c>
      <c r="AO95">
        <v>-43.893752755034278</v>
      </c>
      <c r="AP95">
        <v>-19.630147999999998</v>
      </c>
      <c r="AQ95">
        <v>-43.893844000000001</v>
      </c>
      <c r="AR95">
        <v>10.1185927114604</v>
      </c>
      <c r="AS95" t="s">
        <v>65</v>
      </c>
      <c r="AT95">
        <v>1</v>
      </c>
      <c r="AU95" t="s">
        <v>539</v>
      </c>
      <c r="AV95" t="s">
        <v>540</v>
      </c>
      <c r="AW95" t="s">
        <v>60</v>
      </c>
      <c r="AX95" t="s">
        <v>68</v>
      </c>
      <c r="AY95" t="s">
        <v>69</v>
      </c>
      <c r="AZ95" t="b">
        <v>1</v>
      </c>
    </row>
    <row r="96" spans="1:52" x14ac:dyDescent="0.3">
      <c r="A96" t="s">
        <v>52</v>
      </c>
      <c r="B96" t="s">
        <v>53</v>
      </c>
      <c r="C96" t="s">
        <v>54</v>
      </c>
      <c r="D96" t="s">
        <v>55</v>
      </c>
      <c r="E96" t="s">
        <v>56</v>
      </c>
      <c r="F96" t="s">
        <v>512</v>
      </c>
      <c r="G96" t="s">
        <v>541</v>
      </c>
      <c r="H96" t="s">
        <v>542</v>
      </c>
      <c r="I96" t="s">
        <v>542</v>
      </c>
      <c r="J96" t="s">
        <v>60</v>
      </c>
      <c r="K96" t="s">
        <v>445</v>
      </c>
      <c r="L96" t="s">
        <v>62</v>
      </c>
      <c r="M96" t="s">
        <v>445</v>
      </c>
      <c r="N96" t="s">
        <v>543</v>
      </c>
      <c r="O96" t="s">
        <v>328</v>
      </c>
      <c r="P96">
        <v>-19.642263</v>
      </c>
      <c r="Q96">
        <v>-43.881428999999997</v>
      </c>
      <c r="R96" s="2" t="str">
        <f>HYPERLINK("https://www.google.com/maps?q=-19.6422630,-43.8814290","Abrir no Google Maps")</f>
        <v>Abrir no Google Maps</v>
      </c>
      <c r="S96">
        <v>3</v>
      </c>
      <c r="T96">
        <v>0</v>
      </c>
      <c r="U96">
        <v>2</v>
      </c>
      <c r="V96">
        <v>0.2720832570626221</v>
      </c>
      <c r="W96">
        <v>0.85</v>
      </c>
      <c r="X96">
        <v>0.23127076850322881</v>
      </c>
      <c r="Y96">
        <v>10</v>
      </c>
      <c r="Z96">
        <v>162.4764384685345</v>
      </c>
      <c r="AA96">
        <v>2</v>
      </c>
      <c r="AB96">
        <v>3</v>
      </c>
      <c r="AC96">
        <v>7</v>
      </c>
      <c r="AD96">
        <v>26.01</v>
      </c>
      <c r="AE96">
        <v>253</v>
      </c>
      <c r="AF96">
        <v>18</v>
      </c>
      <c r="AG96">
        <v>58</v>
      </c>
      <c r="AH96">
        <v>32</v>
      </c>
      <c r="AI96">
        <v>7.11</v>
      </c>
      <c r="AJ96">
        <v>22.92</v>
      </c>
      <c r="AK96">
        <v>12.65</v>
      </c>
      <c r="AL96">
        <v>-19.642346249999949</v>
      </c>
      <c r="AM96">
        <v>-43.881546938715289</v>
      </c>
      <c r="AN96">
        <v>-19.642346249999939</v>
      </c>
      <c r="AO96">
        <v>-43.881546938715289</v>
      </c>
      <c r="AP96">
        <v>-19.642263</v>
      </c>
      <c r="AQ96">
        <v>-43.881428999999997</v>
      </c>
      <c r="AR96">
        <v>15.45239906956777</v>
      </c>
      <c r="AS96" t="s">
        <v>65</v>
      </c>
      <c r="AT96">
        <v>1</v>
      </c>
      <c r="AU96" t="s">
        <v>544</v>
      </c>
      <c r="AV96" t="s">
        <v>545</v>
      </c>
      <c r="AW96" t="s">
        <v>60</v>
      </c>
      <c r="AX96" t="s">
        <v>68</v>
      </c>
      <c r="AY96" t="s">
        <v>69</v>
      </c>
      <c r="AZ96" t="b">
        <v>1</v>
      </c>
    </row>
    <row r="97" spans="1:52" x14ac:dyDescent="0.3">
      <c r="A97" t="s">
        <v>52</v>
      </c>
      <c r="B97" t="s">
        <v>53</v>
      </c>
      <c r="C97" t="s">
        <v>54</v>
      </c>
      <c r="D97" t="s">
        <v>55</v>
      </c>
      <c r="E97" t="s">
        <v>56</v>
      </c>
      <c r="F97" t="s">
        <v>512</v>
      </c>
      <c r="G97" t="s">
        <v>546</v>
      </c>
      <c r="H97" t="s">
        <v>547</v>
      </c>
      <c r="I97" t="s">
        <v>547</v>
      </c>
      <c r="J97" t="s">
        <v>60</v>
      </c>
      <c r="K97" t="s">
        <v>445</v>
      </c>
      <c r="L97" t="s">
        <v>62</v>
      </c>
      <c r="M97" t="s">
        <v>445</v>
      </c>
      <c r="N97" t="s">
        <v>548</v>
      </c>
      <c r="O97" t="s">
        <v>549</v>
      </c>
      <c r="P97">
        <v>-19.642752999999999</v>
      </c>
      <c r="Q97">
        <v>-43.879080999999999</v>
      </c>
      <c r="R97" s="2" t="str">
        <f>HYPERLINK("https://www.google.com/maps?q=-19.6427530,-43.8790810","Abrir no Google Maps")</f>
        <v>Abrir no Google Maps</v>
      </c>
      <c r="S97">
        <v>3</v>
      </c>
      <c r="T97">
        <v>256.19518367376457</v>
      </c>
      <c r="U97">
        <v>2</v>
      </c>
      <c r="V97">
        <v>0.27139330794405642</v>
      </c>
      <c r="W97">
        <v>0.85</v>
      </c>
      <c r="X97">
        <v>0.23068431175244791</v>
      </c>
      <c r="Y97">
        <v>10</v>
      </c>
      <c r="Z97">
        <v>192.73978446408199</v>
      </c>
      <c r="AA97">
        <v>2</v>
      </c>
      <c r="AB97">
        <v>3</v>
      </c>
      <c r="AC97">
        <v>7</v>
      </c>
      <c r="AD97">
        <v>26.01</v>
      </c>
      <c r="AE97">
        <v>253</v>
      </c>
      <c r="AF97">
        <v>18</v>
      </c>
      <c r="AG97">
        <v>58</v>
      </c>
      <c r="AH97">
        <v>32</v>
      </c>
      <c r="AI97">
        <v>7.11</v>
      </c>
      <c r="AJ97">
        <v>22.92</v>
      </c>
      <c r="AK97">
        <v>12.65</v>
      </c>
      <c r="AL97">
        <v>-19.642703749999949</v>
      </c>
      <c r="AM97">
        <v>-43.879132974738582</v>
      </c>
      <c r="AN97">
        <v>-19.642703749999949</v>
      </c>
      <c r="AO97">
        <v>-43.879132974738582</v>
      </c>
      <c r="AP97">
        <v>-19.642752999999999</v>
      </c>
      <c r="AQ97">
        <v>-43.879080999999999</v>
      </c>
      <c r="AR97">
        <v>7.7298757823687696</v>
      </c>
      <c r="AS97" t="s">
        <v>65</v>
      </c>
      <c r="AT97">
        <v>1</v>
      </c>
      <c r="AU97" t="s">
        <v>550</v>
      </c>
      <c r="AV97" t="s">
        <v>551</v>
      </c>
      <c r="AW97" t="s">
        <v>60</v>
      </c>
      <c r="AX97" t="s">
        <v>68</v>
      </c>
      <c r="AY97" t="s">
        <v>69</v>
      </c>
      <c r="AZ97" t="b">
        <v>1</v>
      </c>
    </row>
    <row r="98" spans="1:52" x14ac:dyDescent="0.3">
      <c r="A98" t="s">
        <v>52</v>
      </c>
      <c r="B98" t="s">
        <v>53</v>
      </c>
      <c r="C98" t="s">
        <v>54</v>
      </c>
      <c r="D98" t="s">
        <v>55</v>
      </c>
      <c r="E98" t="s">
        <v>56</v>
      </c>
      <c r="F98" t="s">
        <v>512</v>
      </c>
      <c r="G98" t="s">
        <v>552</v>
      </c>
      <c r="H98" t="s">
        <v>553</v>
      </c>
      <c r="I98" t="s">
        <v>553</v>
      </c>
      <c r="J98" t="s">
        <v>60</v>
      </c>
      <c r="K98" t="s">
        <v>445</v>
      </c>
      <c r="L98" t="s">
        <v>62</v>
      </c>
      <c r="M98" t="s">
        <v>445</v>
      </c>
      <c r="N98" t="s">
        <v>554</v>
      </c>
      <c r="O98" t="s">
        <v>207</v>
      </c>
      <c r="P98">
        <v>-19.641549999999999</v>
      </c>
      <c r="Q98">
        <v>-43.873263999999999</v>
      </c>
      <c r="R98" s="2" t="str">
        <f>HYPERLINK("https://www.google.com/maps?q=-19.6415500,-43.8732640","Abrir no Google Maps")</f>
        <v>Abrir no Google Maps</v>
      </c>
      <c r="S98">
        <v>3</v>
      </c>
      <c r="T98">
        <v>879.45465995735231</v>
      </c>
      <c r="U98">
        <v>2</v>
      </c>
      <c r="V98">
        <v>0.2759724600064134</v>
      </c>
      <c r="W98">
        <v>0.85</v>
      </c>
      <c r="X98">
        <v>0.23457659100545139</v>
      </c>
      <c r="Y98">
        <v>10</v>
      </c>
      <c r="Z98">
        <v>830.70905214077095</v>
      </c>
      <c r="AA98">
        <v>2</v>
      </c>
      <c r="AB98">
        <v>3</v>
      </c>
      <c r="AC98">
        <v>7</v>
      </c>
      <c r="AD98">
        <v>26.01</v>
      </c>
      <c r="AE98">
        <v>253</v>
      </c>
      <c r="AF98">
        <v>18</v>
      </c>
      <c r="AG98">
        <v>58</v>
      </c>
      <c r="AH98">
        <v>32</v>
      </c>
      <c r="AI98">
        <v>7.11</v>
      </c>
      <c r="AJ98">
        <v>22.92</v>
      </c>
      <c r="AK98">
        <v>12.65</v>
      </c>
      <c r="AL98">
        <v>-19.641459949999959</v>
      </c>
      <c r="AM98">
        <v>-43.873212145688711</v>
      </c>
      <c r="AN98">
        <v>-19.641459949999959</v>
      </c>
      <c r="AO98">
        <v>-43.873212145688711</v>
      </c>
      <c r="AP98">
        <v>-19.641549999999999</v>
      </c>
      <c r="AQ98">
        <v>-43.873263999999999</v>
      </c>
      <c r="AR98">
        <v>11.40368340137019</v>
      </c>
      <c r="AS98" t="s">
        <v>65</v>
      </c>
      <c r="AT98">
        <v>1</v>
      </c>
      <c r="AU98" t="s">
        <v>555</v>
      </c>
      <c r="AV98" t="s">
        <v>556</v>
      </c>
      <c r="AW98" t="s">
        <v>60</v>
      </c>
      <c r="AX98" t="s">
        <v>68</v>
      </c>
      <c r="AY98" t="s">
        <v>69</v>
      </c>
      <c r="AZ98" t="b">
        <v>1</v>
      </c>
    </row>
    <row r="99" spans="1:52" x14ac:dyDescent="0.3">
      <c r="A99" t="s">
        <v>52</v>
      </c>
      <c r="B99" t="s">
        <v>53</v>
      </c>
      <c r="C99" t="s">
        <v>54</v>
      </c>
      <c r="D99" t="s">
        <v>55</v>
      </c>
      <c r="E99" t="s">
        <v>56</v>
      </c>
      <c r="F99" t="s">
        <v>512</v>
      </c>
      <c r="G99" t="s">
        <v>557</v>
      </c>
      <c r="H99" t="s">
        <v>558</v>
      </c>
      <c r="I99" t="s">
        <v>558</v>
      </c>
      <c r="J99" t="s">
        <v>60</v>
      </c>
      <c r="K99" t="s">
        <v>445</v>
      </c>
      <c r="L99" t="s">
        <v>62</v>
      </c>
      <c r="M99" t="s">
        <v>445</v>
      </c>
      <c r="N99" t="s">
        <v>559</v>
      </c>
      <c r="O99" t="s">
        <v>560</v>
      </c>
      <c r="P99">
        <v>-19.641839000000001</v>
      </c>
      <c r="Q99">
        <v>-43.876227</v>
      </c>
      <c r="R99" s="2" t="str">
        <f>HYPERLINK("https://www.google.com/maps?q=-19.6418390,-43.8762270","Abrir no Google Maps")</f>
        <v>Abrir no Google Maps</v>
      </c>
      <c r="S99">
        <v>3</v>
      </c>
      <c r="T99">
        <v>564.50471877254449</v>
      </c>
      <c r="U99">
        <v>2</v>
      </c>
      <c r="V99">
        <v>0.27601564711963511</v>
      </c>
      <c r="W99">
        <v>0.85</v>
      </c>
      <c r="X99">
        <v>0.23461330005168979</v>
      </c>
      <c r="Y99">
        <v>10</v>
      </c>
      <c r="Z99">
        <v>490.40238336341412</v>
      </c>
      <c r="AA99">
        <v>2</v>
      </c>
      <c r="AB99">
        <v>3</v>
      </c>
      <c r="AC99">
        <v>7</v>
      </c>
      <c r="AD99">
        <v>26.01</v>
      </c>
      <c r="AE99">
        <v>253</v>
      </c>
      <c r="AF99">
        <v>18</v>
      </c>
      <c r="AG99">
        <v>58</v>
      </c>
      <c r="AH99">
        <v>32</v>
      </c>
      <c r="AI99">
        <v>7.11</v>
      </c>
      <c r="AJ99">
        <v>22.92</v>
      </c>
      <c r="AK99">
        <v>12.65</v>
      </c>
      <c r="AL99">
        <v>-19.641880699999941</v>
      </c>
      <c r="AM99">
        <v>-43.876185869580858</v>
      </c>
      <c r="AN99">
        <v>-19.641880699999941</v>
      </c>
      <c r="AO99">
        <v>-43.876185869580858</v>
      </c>
      <c r="AP99">
        <v>-19.641839000000001</v>
      </c>
      <c r="AQ99">
        <v>-43.876227</v>
      </c>
      <c r="AR99">
        <v>6.3359121862683301</v>
      </c>
      <c r="AS99" t="s">
        <v>65</v>
      </c>
      <c r="AT99">
        <v>1</v>
      </c>
      <c r="AU99" t="s">
        <v>561</v>
      </c>
      <c r="AV99" t="s">
        <v>562</v>
      </c>
      <c r="AW99" t="s">
        <v>60</v>
      </c>
      <c r="AX99" t="s">
        <v>68</v>
      </c>
      <c r="AY99" t="s">
        <v>69</v>
      </c>
      <c r="AZ99" t="b">
        <v>1</v>
      </c>
    </row>
    <row r="100" spans="1:52" x14ac:dyDescent="0.3">
      <c r="A100" t="s">
        <v>52</v>
      </c>
      <c r="B100" t="s">
        <v>53</v>
      </c>
      <c r="C100" t="s">
        <v>54</v>
      </c>
      <c r="D100" t="s">
        <v>55</v>
      </c>
      <c r="E100" t="s">
        <v>56</v>
      </c>
      <c r="F100" t="s">
        <v>512</v>
      </c>
      <c r="G100" t="s">
        <v>563</v>
      </c>
      <c r="H100" t="s">
        <v>564</v>
      </c>
      <c r="I100" t="s">
        <v>564</v>
      </c>
      <c r="J100" t="s">
        <v>60</v>
      </c>
      <c r="K100" t="s">
        <v>445</v>
      </c>
      <c r="L100" t="s">
        <v>62</v>
      </c>
      <c r="M100" t="s">
        <v>445</v>
      </c>
      <c r="N100" t="s">
        <v>565</v>
      </c>
      <c r="O100" t="s">
        <v>566</v>
      </c>
      <c r="P100">
        <v>-19.645859000000002</v>
      </c>
      <c r="Q100">
        <v>-43.878008000000001</v>
      </c>
      <c r="R100" s="2" t="str">
        <f>HYPERLINK("https://www.google.com/maps?q=-19.6458590,-43.8780080","Abrir no Google Maps")</f>
        <v>Abrir no Google Maps</v>
      </c>
      <c r="S100">
        <v>3</v>
      </c>
      <c r="T100">
        <v>535.60651658514928</v>
      </c>
      <c r="U100">
        <v>2</v>
      </c>
      <c r="V100">
        <v>0.27229041953153171</v>
      </c>
      <c r="W100">
        <v>0.85</v>
      </c>
      <c r="X100">
        <v>0.23144685660180189</v>
      </c>
      <c r="Y100">
        <v>10</v>
      </c>
      <c r="Z100">
        <v>356.77070476702067</v>
      </c>
      <c r="AA100">
        <v>2</v>
      </c>
      <c r="AB100">
        <v>3</v>
      </c>
      <c r="AC100">
        <v>7</v>
      </c>
      <c r="AD100">
        <v>26.01</v>
      </c>
      <c r="AE100">
        <v>253</v>
      </c>
      <c r="AF100">
        <v>18</v>
      </c>
      <c r="AG100">
        <v>58</v>
      </c>
      <c r="AH100">
        <v>32</v>
      </c>
      <c r="AI100">
        <v>7.11</v>
      </c>
      <c r="AJ100">
        <v>22.92</v>
      </c>
      <c r="AK100">
        <v>12.65</v>
      </c>
      <c r="AL100">
        <v>-19.645894599999959</v>
      </c>
      <c r="AM100">
        <v>-43.878073476665591</v>
      </c>
      <c r="AN100">
        <v>-19.645894599999959</v>
      </c>
      <c r="AO100">
        <v>-43.878073476665591</v>
      </c>
      <c r="AP100">
        <v>-19.645859000000002</v>
      </c>
      <c r="AQ100">
        <v>-43.878008000000001</v>
      </c>
      <c r="AR100">
        <v>7.9263849189726594</v>
      </c>
      <c r="AS100" t="s">
        <v>65</v>
      </c>
      <c r="AT100">
        <v>1</v>
      </c>
      <c r="AU100" t="s">
        <v>567</v>
      </c>
      <c r="AV100" t="s">
        <v>568</v>
      </c>
      <c r="AW100" t="s">
        <v>60</v>
      </c>
      <c r="AX100" t="s">
        <v>68</v>
      </c>
      <c r="AY100" t="s">
        <v>69</v>
      </c>
      <c r="AZ100" t="b">
        <v>1</v>
      </c>
    </row>
    <row r="101" spans="1:52" x14ac:dyDescent="0.3">
      <c r="A101" t="s">
        <v>52</v>
      </c>
      <c r="B101" t="s">
        <v>53</v>
      </c>
      <c r="C101" t="s">
        <v>54</v>
      </c>
      <c r="D101" t="s">
        <v>55</v>
      </c>
      <c r="E101" t="s">
        <v>56</v>
      </c>
      <c r="F101" t="s">
        <v>512</v>
      </c>
      <c r="G101" t="s">
        <v>569</v>
      </c>
      <c r="H101" t="s">
        <v>570</v>
      </c>
      <c r="I101" t="s">
        <v>570</v>
      </c>
      <c r="J101" t="s">
        <v>60</v>
      </c>
      <c r="K101" t="s">
        <v>445</v>
      </c>
      <c r="L101" t="s">
        <v>62</v>
      </c>
      <c r="M101" t="s">
        <v>445</v>
      </c>
      <c r="N101" t="s">
        <v>571</v>
      </c>
      <c r="O101" t="s">
        <v>572</v>
      </c>
      <c r="P101">
        <v>-19.646602999999999</v>
      </c>
      <c r="Q101">
        <v>-43.879826000000001</v>
      </c>
      <c r="R101" s="2" t="str">
        <f>HYPERLINK("https://www.google.com/maps?q=-19.6466030,-43.8798260","Abrir no Google Maps")</f>
        <v>Abrir no Google Maps</v>
      </c>
      <c r="S101">
        <v>3</v>
      </c>
      <c r="T101">
        <v>497.89126003830972</v>
      </c>
      <c r="U101">
        <v>2</v>
      </c>
      <c r="V101">
        <v>0.2631083786258393</v>
      </c>
      <c r="W101">
        <v>0.85</v>
      </c>
      <c r="X101">
        <v>0.22364212183196339</v>
      </c>
      <c r="Y101">
        <v>10</v>
      </c>
      <c r="Z101">
        <v>228.69190976735251</v>
      </c>
      <c r="AA101">
        <v>2</v>
      </c>
      <c r="AB101">
        <v>3</v>
      </c>
      <c r="AC101">
        <v>7</v>
      </c>
      <c r="AD101">
        <v>26.01</v>
      </c>
      <c r="AE101">
        <v>253</v>
      </c>
      <c r="AF101">
        <v>18</v>
      </c>
      <c r="AG101">
        <v>58</v>
      </c>
      <c r="AH101">
        <v>32</v>
      </c>
      <c r="AI101">
        <v>7.11</v>
      </c>
      <c r="AJ101">
        <v>22.92</v>
      </c>
      <c r="AK101">
        <v>12.65</v>
      </c>
      <c r="AL101">
        <v>-19.646577499999982</v>
      </c>
      <c r="AM101">
        <v>-43.879934131171261</v>
      </c>
      <c r="AN101">
        <v>-19.646577499999971</v>
      </c>
      <c r="AO101">
        <v>-43.879934131171261</v>
      </c>
      <c r="AP101">
        <v>-19.646602999999999</v>
      </c>
      <c r="AQ101">
        <v>-43.879826000000001</v>
      </c>
      <c r="AR101">
        <v>11.68641198848764</v>
      </c>
      <c r="AS101" t="s">
        <v>65</v>
      </c>
      <c r="AT101">
        <v>1</v>
      </c>
      <c r="AU101" t="s">
        <v>573</v>
      </c>
      <c r="AV101" t="s">
        <v>574</v>
      </c>
      <c r="AW101" t="s">
        <v>60</v>
      </c>
      <c r="AX101" t="s">
        <v>68</v>
      </c>
      <c r="AY101" t="s">
        <v>69</v>
      </c>
      <c r="AZ101" t="b">
        <v>1</v>
      </c>
    </row>
    <row r="102" spans="1:52" x14ac:dyDescent="0.3">
      <c r="A102" t="s">
        <v>52</v>
      </c>
      <c r="B102" t="s">
        <v>53</v>
      </c>
      <c r="C102" t="s">
        <v>54</v>
      </c>
      <c r="D102" t="s">
        <v>55</v>
      </c>
      <c r="E102" t="s">
        <v>56</v>
      </c>
      <c r="F102" t="s">
        <v>512</v>
      </c>
      <c r="G102" t="s">
        <v>575</v>
      </c>
      <c r="H102" t="s">
        <v>576</v>
      </c>
      <c r="I102" t="s">
        <v>576</v>
      </c>
      <c r="J102" t="s">
        <v>60</v>
      </c>
      <c r="K102" t="s">
        <v>445</v>
      </c>
      <c r="L102" t="s">
        <v>62</v>
      </c>
      <c r="M102" t="s">
        <v>445</v>
      </c>
      <c r="N102" t="s">
        <v>577</v>
      </c>
      <c r="O102" t="s">
        <v>214</v>
      </c>
      <c r="P102">
        <v>-19.639865</v>
      </c>
      <c r="Q102">
        <v>-43.877858000000003</v>
      </c>
      <c r="R102" s="2" t="str">
        <f>HYPERLINK("https://www.google.com/maps?q=-19.6398650,-43.8778580","Abrir no Google Maps")</f>
        <v>Abrir no Google Maps</v>
      </c>
      <c r="S102">
        <v>3</v>
      </c>
      <c r="T102">
        <v>497.47318171010488</v>
      </c>
      <c r="U102">
        <v>2</v>
      </c>
      <c r="V102">
        <v>0.27100310310932552</v>
      </c>
      <c r="W102">
        <v>0.85</v>
      </c>
      <c r="X102">
        <v>0.23035263764292671</v>
      </c>
      <c r="Y102">
        <v>10</v>
      </c>
      <c r="Z102">
        <v>547.08184956634818</v>
      </c>
      <c r="AA102">
        <v>2</v>
      </c>
      <c r="AB102">
        <v>3</v>
      </c>
      <c r="AC102">
        <v>7</v>
      </c>
      <c r="AD102">
        <v>26.01</v>
      </c>
      <c r="AE102">
        <v>253</v>
      </c>
      <c r="AF102">
        <v>18</v>
      </c>
      <c r="AG102">
        <v>58</v>
      </c>
      <c r="AH102">
        <v>32</v>
      </c>
      <c r="AI102">
        <v>7.11</v>
      </c>
      <c r="AJ102">
        <v>22.92</v>
      </c>
      <c r="AK102">
        <v>12.65</v>
      </c>
      <c r="AL102">
        <v>-19.639907499999961</v>
      </c>
      <c r="AM102">
        <v>-43.877561677180587</v>
      </c>
      <c r="AN102">
        <v>-19.639907499999961</v>
      </c>
      <c r="AO102">
        <v>-43.877561677180587</v>
      </c>
      <c r="AP102">
        <v>-19.639865</v>
      </c>
      <c r="AQ102">
        <v>-43.877858000000003</v>
      </c>
      <c r="AR102">
        <v>31.4257813556037</v>
      </c>
      <c r="AS102" t="s">
        <v>65</v>
      </c>
      <c r="AT102">
        <v>1</v>
      </c>
      <c r="AU102" t="s">
        <v>578</v>
      </c>
      <c r="AV102" t="s">
        <v>579</v>
      </c>
      <c r="AW102" t="s">
        <v>60</v>
      </c>
      <c r="AX102" t="s">
        <v>68</v>
      </c>
      <c r="AY102" t="s">
        <v>69</v>
      </c>
      <c r="AZ102" t="b">
        <v>1</v>
      </c>
    </row>
    <row r="103" spans="1:52" x14ac:dyDescent="0.3">
      <c r="A103" t="s">
        <v>52</v>
      </c>
      <c r="B103" t="s">
        <v>53</v>
      </c>
      <c r="C103" t="s">
        <v>54</v>
      </c>
      <c r="D103" t="s">
        <v>55</v>
      </c>
      <c r="E103" t="s">
        <v>56</v>
      </c>
      <c r="F103" t="s">
        <v>512</v>
      </c>
      <c r="G103" t="s">
        <v>580</v>
      </c>
      <c r="H103" t="s">
        <v>581</v>
      </c>
      <c r="I103" t="s">
        <v>581</v>
      </c>
      <c r="J103" t="s">
        <v>60</v>
      </c>
      <c r="K103" t="s">
        <v>179</v>
      </c>
      <c r="L103" t="s">
        <v>62</v>
      </c>
      <c r="M103" t="s">
        <v>179</v>
      </c>
      <c r="N103" t="s">
        <v>582</v>
      </c>
      <c r="O103" t="s">
        <v>583</v>
      </c>
      <c r="P103">
        <v>-19.651917999999998</v>
      </c>
      <c r="Q103">
        <v>-43.888081</v>
      </c>
      <c r="R103" s="2" t="str">
        <f>HYPERLINK("https://www.google.com/maps?q=-19.6519180,-43.8880810","Abrir no Google Maps")</f>
        <v>Abrir no Google Maps</v>
      </c>
      <c r="S103">
        <v>3</v>
      </c>
      <c r="T103">
        <v>1192.758363020145</v>
      </c>
      <c r="U103">
        <v>1</v>
      </c>
      <c r="V103">
        <v>0.25609080991880162</v>
      </c>
      <c r="W103">
        <v>0.85</v>
      </c>
      <c r="X103">
        <v>0.21767718843098141</v>
      </c>
      <c r="Y103">
        <v>10</v>
      </c>
      <c r="Z103">
        <v>1164.020417046748</v>
      </c>
      <c r="AA103">
        <v>2</v>
      </c>
      <c r="AB103">
        <v>3</v>
      </c>
      <c r="AC103">
        <v>7</v>
      </c>
      <c r="AD103">
        <v>26.01</v>
      </c>
      <c r="AE103">
        <v>253</v>
      </c>
      <c r="AF103">
        <v>18</v>
      </c>
      <c r="AG103">
        <v>58</v>
      </c>
      <c r="AH103">
        <v>32</v>
      </c>
      <c r="AI103">
        <v>7.11</v>
      </c>
      <c r="AJ103">
        <v>22.92</v>
      </c>
      <c r="AK103">
        <v>12.65</v>
      </c>
      <c r="AL103">
        <v>-19.65182809999996</v>
      </c>
      <c r="AM103">
        <v>-43.887955347266519</v>
      </c>
      <c r="AN103">
        <v>-19.65182809999996</v>
      </c>
      <c r="AO103">
        <v>-43.887955347266519</v>
      </c>
      <c r="AP103">
        <v>-19.651917999999998</v>
      </c>
      <c r="AQ103">
        <v>-43.888081</v>
      </c>
      <c r="AR103">
        <v>16.543262936495491</v>
      </c>
      <c r="AS103" t="s">
        <v>65</v>
      </c>
      <c r="AT103">
        <v>1</v>
      </c>
      <c r="AU103" t="s">
        <v>584</v>
      </c>
      <c r="AV103" t="s">
        <v>585</v>
      </c>
      <c r="AW103" t="s">
        <v>60</v>
      </c>
      <c r="AX103" t="s">
        <v>68</v>
      </c>
      <c r="AY103" t="s">
        <v>69</v>
      </c>
      <c r="AZ103" t="b">
        <v>1</v>
      </c>
    </row>
    <row r="104" spans="1:52" x14ac:dyDescent="0.3">
      <c r="A104" t="s">
        <v>52</v>
      </c>
      <c r="B104" t="s">
        <v>53</v>
      </c>
      <c r="C104" t="s">
        <v>54</v>
      </c>
      <c r="D104" t="s">
        <v>55</v>
      </c>
      <c r="E104" t="s">
        <v>56</v>
      </c>
      <c r="F104" t="s">
        <v>512</v>
      </c>
      <c r="G104" t="s">
        <v>586</v>
      </c>
      <c r="H104" t="s">
        <v>587</v>
      </c>
      <c r="I104" t="s">
        <v>587</v>
      </c>
      <c r="J104" t="s">
        <v>60</v>
      </c>
      <c r="K104" t="s">
        <v>286</v>
      </c>
      <c r="L104" t="s">
        <v>62</v>
      </c>
      <c r="M104" t="s">
        <v>286</v>
      </c>
      <c r="N104" t="s">
        <v>588</v>
      </c>
      <c r="O104" t="s">
        <v>589</v>
      </c>
      <c r="P104">
        <v>-19.638362999999998</v>
      </c>
      <c r="Q104">
        <v>-43.887081000000002</v>
      </c>
      <c r="R104" s="2" t="str">
        <f>HYPERLINK("https://www.google.com/maps?q=-19.6383630,-43.8870810","Abrir no Google Maps")</f>
        <v>Abrir no Google Maps</v>
      </c>
      <c r="S104">
        <v>3</v>
      </c>
      <c r="T104">
        <v>521.16909902210193</v>
      </c>
      <c r="U104">
        <v>1</v>
      </c>
      <c r="V104">
        <v>0.26159937497496139</v>
      </c>
      <c r="W104">
        <v>0.85</v>
      </c>
      <c r="X104">
        <v>0.2223594687287172</v>
      </c>
      <c r="Y104">
        <v>10</v>
      </c>
      <c r="Z104">
        <v>416.66355243950221</v>
      </c>
      <c r="AA104">
        <v>2</v>
      </c>
      <c r="AB104">
        <v>3</v>
      </c>
      <c r="AC104">
        <v>7</v>
      </c>
      <c r="AD104">
        <v>26.01</v>
      </c>
      <c r="AE104">
        <v>253</v>
      </c>
      <c r="AF104">
        <v>18</v>
      </c>
      <c r="AG104">
        <v>58</v>
      </c>
      <c r="AH104">
        <v>32</v>
      </c>
      <c r="AI104">
        <v>7.11</v>
      </c>
      <c r="AJ104">
        <v>22.92</v>
      </c>
      <c r="AK104">
        <v>12.65</v>
      </c>
      <c r="AL104">
        <v>-19.638074649999961</v>
      </c>
      <c r="AM104">
        <v>-43.887517684870552</v>
      </c>
      <c r="AN104">
        <v>-19.638074649999961</v>
      </c>
      <c r="AO104">
        <v>-43.887517684870552</v>
      </c>
      <c r="AP104">
        <v>-19.638362999999998</v>
      </c>
      <c r="AQ104">
        <v>-43.887081000000002</v>
      </c>
      <c r="AR104">
        <v>55.915550702564907</v>
      </c>
      <c r="AS104" t="s">
        <v>65</v>
      </c>
      <c r="AT104">
        <v>1</v>
      </c>
      <c r="AU104" t="s">
        <v>590</v>
      </c>
      <c r="AV104" t="s">
        <v>591</v>
      </c>
      <c r="AW104" t="s">
        <v>60</v>
      </c>
      <c r="AX104" t="s">
        <v>68</v>
      </c>
      <c r="AY104" t="s">
        <v>69</v>
      </c>
      <c r="AZ104" t="b">
        <v>1</v>
      </c>
    </row>
    <row r="105" spans="1:52" x14ac:dyDescent="0.3">
      <c r="A105" t="s">
        <v>52</v>
      </c>
      <c r="B105" t="s">
        <v>53</v>
      </c>
      <c r="C105" t="s">
        <v>54</v>
      </c>
      <c r="D105" t="s">
        <v>55</v>
      </c>
      <c r="E105" t="s">
        <v>56</v>
      </c>
      <c r="F105" t="s">
        <v>512</v>
      </c>
      <c r="G105" t="s">
        <v>592</v>
      </c>
      <c r="H105" t="s">
        <v>593</v>
      </c>
      <c r="I105" t="s">
        <v>593</v>
      </c>
      <c r="J105" t="s">
        <v>60</v>
      </c>
      <c r="K105" t="s">
        <v>445</v>
      </c>
      <c r="L105" t="s">
        <v>62</v>
      </c>
      <c r="M105" t="s">
        <v>445</v>
      </c>
      <c r="N105" t="s">
        <v>594</v>
      </c>
      <c r="O105" t="s">
        <v>477</v>
      </c>
      <c r="P105">
        <v>-19.640709000000001</v>
      </c>
      <c r="Q105">
        <v>-43.868687999999999</v>
      </c>
      <c r="R105" s="2" t="str">
        <f>HYPERLINK("https://www.google.com/maps?q=-19.6407090,-43.8686880","Abrir no Google Maps")</f>
        <v>Abrir no Google Maps</v>
      </c>
      <c r="S105">
        <v>1</v>
      </c>
      <c r="T105">
        <v>1174.9679995958841</v>
      </c>
      <c r="U105">
        <v>3</v>
      </c>
      <c r="V105">
        <v>0.26632352479939958</v>
      </c>
      <c r="W105">
        <v>1</v>
      </c>
      <c r="X105">
        <v>0.26632352479939958</v>
      </c>
      <c r="Y105">
        <v>10</v>
      </c>
      <c r="Z105">
        <v>1230.8029594060461</v>
      </c>
      <c r="AA105">
        <v>2</v>
      </c>
      <c r="AB105">
        <v>3</v>
      </c>
      <c r="AC105">
        <v>7</v>
      </c>
      <c r="AD105">
        <v>26.01</v>
      </c>
      <c r="AE105">
        <v>253</v>
      </c>
      <c r="AF105">
        <v>18</v>
      </c>
      <c r="AG105">
        <v>58</v>
      </c>
      <c r="AH105">
        <v>32</v>
      </c>
      <c r="AI105">
        <v>7.11</v>
      </c>
      <c r="AJ105">
        <v>22.92</v>
      </c>
      <c r="AK105">
        <v>12.65</v>
      </c>
      <c r="AL105">
        <v>-19.641057949999979</v>
      </c>
      <c r="AM105">
        <v>-43.868800137485707</v>
      </c>
      <c r="AN105">
        <v>-19.641057949999979</v>
      </c>
      <c r="AO105">
        <v>-43.868800137485707</v>
      </c>
      <c r="AP105">
        <v>-19.640709000000001</v>
      </c>
      <c r="AQ105">
        <v>-43.868687999999999</v>
      </c>
      <c r="AR105">
        <v>40.585293798071682</v>
      </c>
      <c r="AS105" t="s">
        <v>65</v>
      </c>
      <c r="AT105">
        <v>1</v>
      </c>
      <c r="AU105" t="s">
        <v>595</v>
      </c>
      <c r="AV105" t="s">
        <v>596</v>
      </c>
      <c r="AW105" t="s">
        <v>60</v>
      </c>
      <c r="AX105" t="s">
        <v>68</v>
      </c>
      <c r="AY105" t="s">
        <v>69</v>
      </c>
      <c r="AZ105" t="b">
        <v>1</v>
      </c>
    </row>
    <row r="106" spans="1:52" x14ac:dyDescent="0.3">
      <c r="A106" t="s">
        <v>52</v>
      </c>
      <c r="B106" t="s">
        <v>53</v>
      </c>
      <c r="C106" t="s">
        <v>54</v>
      </c>
      <c r="D106" t="s">
        <v>55</v>
      </c>
      <c r="E106" t="s">
        <v>56</v>
      </c>
      <c r="F106" t="s">
        <v>512</v>
      </c>
      <c r="G106" t="s">
        <v>597</v>
      </c>
      <c r="H106" t="s">
        <v>598</v>
      </c>
      <c r="I106" t="s">
        <v>598</v>
      </c>
      <c r="J106" t="s">
        <v>60</v>
      </c>
      <c r="K106" t="s">
        <v>445</v>
      </c>
      <c r="L106" t="s">
        <v>62</v>
      </c>
      <c r="M106" t="s">
        <v>445</v>
      </c>
      <c r="N106" t="s">
        <v>599</v>
      </c>
      <c r="O106" t="s">
        <v>391</v>
      </c>
      <c r="P106">
        <v>-19.637060999999999</v>
      </c>
      <c r="Q106">
        <v>-43.871026000000001</v>
      </c>
      <c r="R106" s="2" t="str">
        <f>HYPERLINK("https://www.google.com/maps?q=-19.6370610,-43.8710260","Abrir no Google Maps")</f>
        <v>Abrir no Google Maps</v>
      </c>
      <c r="S106">
        <v>1</v>
      </c>
      <c r="T106">
        <v>737.61884389282102</v>
      </c>
      <c r="U106">
        <v>3</v>
      </c>
      <c r="V106">
        <v>0.27307206944547252</v>
      </c>
      <c r="W106">
        <v>1</v>
      </c>
      <c r="X106">
        <v>0.27307206944547252</v>
      </c>
      <c r="Y106">
        <v>10</v>
      </c>
      <c r="Z106">
        <v>1331.4501394006061</v>
      </c>
      <c r="AA106">
        <v>2</v>
      </c>
      <c r="AB106">
        <v>3</v>
      </c>
      <c r="AC106">
        <v>7</v>
      </c>
      <c r="AD106">
        <v>26.01</v>
      </c>
      <c r="AE106">
        <v>253</v>
      </c>
      <c r="AF106">
        <v>18</v>
      </c>
      <c r="AG106">
        <v>58</v>
      </c>
      <c r="AH106">
        <v>32</v>
      </c>
      <c r="AI106">
        <v>7.11</v>
      </c>
      <c r="AJ106">
        <v>22.92</v>
      </c>
      <c r="AK106">
        <v>12.65</v>
      </c>
      <c r="AL106">
        <v>-19.637111899999951</v>
      </c>
      <c r="AM106">
        <v>-43.870888931681193</v>
      </c>
      <c r="AN106">
        <v>-19.637111899999951</v>
      </c>
      <c r="AO106">
        <v>-43.870888931681193</v>
      </c>
      <c r="AP106">
        <v>-19.637060999999999</v>
      </c>
      <c r="AQ106">
        <v>-43.871026000000001</v>
      </c>
      <c r="AR106">
        <v>15.44770924391884</v>
      </c>
      <c r="AS106" t="s">
        <v>65</v>
      </c>
      <c r="AT106">
        <v>1</v>
      </c>
      <c r="AU106" t="s">
        <v>600</v>
      </c>
      <c r="AV106" t="s">
        <v>601</v>
      </c>
      <c r="AW106" t="s">
        <v>60</v>
      </c>
      <c r="AX106" t="s">
        <v>68</v>
      </c>
      <c r="AY106" t="s">
        <v>69</v>
      </c>
      <c r="AZ106" t="b">
        <v>1</v>
      </c>
    </row>
    <row r="107" spans="1:52" x14ac:dyDescent="0.3">
      <c r="A107" t="s">
        <v>52</v>
      </c>
      <c r="B107" t="s">
        <v>53</v>
      </c>
      <c r="C107" t="s">
        <v>54</v>
      </c>
      <c r="D107" t="s">
        <v>55</v>
      </c>
      <c r="E107" t="s">
        <v>56</v>
      </c>
      <c r="F107" t="s">
        <v>512</v>
      </c>
      <c r="G107" t="s">
        <v>602</v>
      </c>
      <c r="H107" t="s">
        <v>603</v>
      </c>
      <c r="I107" t="s">
        <v>603</v>
      </c>
      <c r="J107" t="s">
        <v>60</v>
      </c>
      <c r="K107" t="s">
        <v>185</v>
      </c>
      <c r="L107" t="s">
        <v>62</v>
      </c>
      <c r="M107" t="s">
        <v>185</v>
      </c>
      <c r="N107" t="s">
        <v>604</v>
      </c>
      <c r="O107" t="s">
        <v>341</v>
      </c>
      <c r="P107">
        <v>-19.624801999999999</v>
      </c>
      <c r="Q107">
        <v>-43.891128999999999</v>
      </c>
      <c r="R107" s="2" t="str">
        <f>HYPERLINK("https://www.google.com/maps?q=-19.6248020,-43.8911290","Abrir no Google Maps")</f>
        <v>Abrir no Google Maps</v>
      </c>
      <c r="S107">
        <v>1</v>
      </c>
      <c r="T107">
        <v>340.53720321500958</v>
      </c>
      <c r="U107">
        <v>2</v>
      </c>
      <c r="V107">
        <v>0.28886028900986621</v>
      </c>
      <c r="W107">
        <v>0.85</v>
      </c>
      <c r="X107">
        <v>0.2455312456583863</v>
      </c>
      <c r="Y107">
        <v>18</v>
      </c>
      <c r="Z107">
        <v>362.68114540183888</v>
      </c>
      <c r="AA107">
        <v>2</v>
      </c>
      <c r="AB107">
        <v>3</v>
      </c>
      <c r="AC107">
        <v>7</v>
      </c>
      <c r="AD107">
        <v>26.01</v>
      </c>
      <c r="AE107">
        <v>253</v>
      </c>
      <c r="AF107">
        <v>18</v>
      </c>
      <c r="AG107">
        <v>58</v>
      </c>
      <c r="AH107">
        <v>32</v>
      </c>
      <c r="AI107">
        <v>7.11</v>
      </c>
      <c r="AJ107">
        <v>22.92</v>
      </c>
      <c r="AK107">
        <v>12.65</v>
      </c>
      <c r="AL107">
        <v>-19.625033299999959</v>
      </c>
      <c r="AM107">
        <v>-43.891084256403538</v>
      </c>
      <c r="AN107">
        <v>-19.625033299999959</v>
      </c>
      <c r="AO107">
        <v>-43.891084256403538</v>
      </c>
      <c r="AP107">
        <v>-19.624801999999999</v>
      </c>
      <c r="AQ107">
        <v>-43.891128999999999</v>
      </c>
      <c r="AR107">
        <v>26.172240371022362</v>
      </c>
      <c r="AS107" t="s">
        <v>65</v>
      </c>
      <c r="AT107">
        <v>1</v>
      </c>
      <c r="AU107" t="s">
        <v>605</v>
      </c>
      <c r="AV107" t="s">
        <v>606</v>
      </c>
      <c r="AW107" t="s">
        <v>60</v>
      </c>
      <c r="AX107" t="s">
        <v>68</v>
      </c>
      <c r="AY107" t="s">
        <v>69</v>
      </c>
      <c r="AZ107" t="b">
        <v>1</v>
      </c>
    </row>
    <row r="108" spans="1:52" x14ac:dyDescent="0.3">
      <c r="A108" t="s">
        <v>52</v>
      </c>
      <c r="B108" t="s">
        <v>53</v>
      </c>
      <c r="C108" t="s">
        <v>54</v>
      </c>
      <c r="D108" t="s">
        <v>55</v>
      </c>
      <c r="E108" t="s">
        <v>56</v>
      </c>
      <c r="F108" t="s">
        <v>512</v>
      </c>
      <c r="G108" t="s">
        <v>123</v>
      </c>
      <c r="H108" t="s">
        <v>607</v>
      </c>
      <c r="I108" t="s">
        <v>607</v>
      </c>
      <c r="J108" t="s">
        <v>60</v>
      </c>
      <c r="K108" t="s">
        <v>333</v>
      </c>
      <c r="L108" t="s">
        <v>62</v>
      </c>
      <c r="M108" t="s">
        <v>333</v>
      </c>
      <c r="N108" t="s">
        <v>125</v>
      </c>
      <c r="O108" t="s">
        <v>608</v>
      </c>
      <c r="P108">
        <v>-19.636002999999999</v>
      </c>
      <c r="Q108">
        <v>-43.908445</v>
      </c>
      <c r="R108" s="2" t="str">
        <f>HYPERLINK("https://www.google.com/maps?q=-19.6360030,-43.9084450","Abrir no Google Maps")</f>
        <v>Abrir no Google Maps</v>
      </c>
      <c r="S108">
        <v>1</v>
      </c>
      <c r="T108">
        <v>612.64850802557942</v>
      </c>
      <c r="U108">
        <v>2</v>
      </c>
      <c r="V108">
        <v>0.28812940990368369</v>
      </c>
      <c r="W108">
        <v>0.85</v>
      </c>
      <c r="X108">
        <v>0.2449099984181311</v>
      </c>
      <c r="Y108">
        <v>10</v>
      </c>
      <c r="Z108">
        <v>606.91793961222209</v>
      </c>
      <c r="AA108">
        <v>2</v>
      </c>
      <c r="AB108">
        <v>3</v>
      </c>
      <c r="AC108">
        <v>7</v>
      </c>
      <c r="AD108">
        <v>26.01</v>
      </c>
      <c r="AE108">
        <v>253</v>
      </c>
      <c r="AF108">
        <v>18</v>
      </c>
      <c r="AG108">
        <v>58</v>
      </c>
      <c r="AH108">
        <v>32</v>
      </c>
      <c r="AI108">
        <v>7.11</v>
      </c>
      <c r="AJ108">
        <v>22.92</v>
      </c>
      <c r="AK108">
        <v>12.65</v>
      </c>
      <c r="AL108">
        <v>-19.63618049999997</v>
      </c>
      <c r="AM108">
        <v>-43.908471095478113</v>
      </c>
      <c r="AN108">
        <v>-19.63618049999997</v>
      </c>
      <c r="AO108">
        <v>-43.908471095478113</v>
      </c>
      <c r="AP108">
        <v>-19.636002999999999</v>
      </c>
      <c r="AQ108">
        <v>-43.908445</v>
      </c>
      <c r="AR108">
        <v>19.947824476218141</v>
      </c>
      <c r="AS108" t="s">
        <v>65</v>
      </c>
      <c r="AT108">
        <v>1</v>
      </c>
      <c r="AU108" t="s">
        <v>609</v>
      </c>
      <c r="AV108" t="s">
        <v>610</v>
      </c>
      <c r="AW108" t="s">
        <v>60</v>
      </c>
      <c r="AX108" t="s">
        <v>68</v>
      </c>
      <c r="AY108" t="s">
        <v>69</v>
      </c>
      <c r="AZ108" t="b">
        <v>1</v>
      </c>
    </row>
    <row r="109" spans="1:52" x14ac:dyDescent="0.3">
      <c r="A109" t="s">
        <v>52</v>
      </c>
      <c r="B109" t="s">
        <v>53</v>
      </c>
      <c r="C109" t="s">
        <v>54</v>
      </c>
      <c r="D109" t="s">
        <v>55</v>
      </c>
      <c r="E109" t="s">
        <v>56</v>
      </c>
      <c r="F109" t="s">
        <v>512</v>
      </c>
      <c r="G109" t="s">
        <v>611</v>
      </c>
      <c r="H109" t="s">
        <v>612</v>
      </c>
      <c r="I109" t="s">
        <v>612</v>
      </c>
      <c r="J109" t="s">
        <v>60</v>
      </c>
      <c r="K109" t="s">
        <v>445</v>
      </c>
      <c r="L109" t="s">
        <v>62</v>
      </c>
      <c r="M109" t="s">
        <v>445</v>
      </c>
      <c r="N109" t="s">
        <v>613</v>
      </c>
      <c r="O109" t="s">
        <v>94</v>
      </c>
      <c r="P109">
        <v>-19.639271999999998</v>
      </c>
      <c r="Q109">
        <v>-43.875624000000002</v>
      </c>
      <c r="R109" s="2" t="str">
        <f>HYPERLINK("https://www.google.com/maps?q=-19.6392720,-43.8756240","Abrir no Google Maps")</f>
        <v>Abrir no Google Maps</v>
      </c>
      <c r="S109">
        <v>1</v>
      </c>
      <c r="T109">
        <v>618.4798639458262</v>
      </c>
      <c r="U109">
        <v>2</v>
      </c>
      <c r="V109">
        <v>0.27322794596354161</v>
      </c>
      <c r="W109">
        <v>0.85</v>
      </c>
      <c r="X109">
        <v>0.23224375406901029</v>
      </c>
      <c r="Y109">
        <v>10</v>
      </c>
      <c r="Z109">
        <v>724.62991660382431</v>
      </c>
      <c r="AA109">
        <v>2</v>
      </c>
      <c r="AB109">
        <v>3</v>
      </c>
      <c r="AC109">
        <v>7</v>
      </c>
      <c r="AD109">
        <v>26.01</v>
      </c>
      <c r="AE109">
        <v>253</v>
      </c>
      <c r="AF109">
        <v>18</v>
      </c>
      <c r="AG109">
        <v>58</v>
      </c>
      <c r="AH109">
        <v>32</v>
      </c>
      <c r="AI109">
        <v>7.11</v>
      </c>
      <c r="AJ109">
        <v>22.92</v>
      </c>
      <c r="AK109">
        <v>12.65</v>
      </c>
      <c r="AL109">
        <v>-19.639239899999978</v>
      </c>
      <c r="AM109">
        <v>-43.875497463228079</v>
      </c>
      <c r="AN109">
        <v>-19.639239899999978</v>
      </c>
      <c r="AO109">
        <v>-43.875497463228079</v>
      </c>
      <c r="AP109">
        <v>-19.639271999999998</v>
      </c>
      <c r="AQ109">
        <v>-43.875624000000002</v>
      </c>
      <c r="AR109">
        <v>13.73946951590594</v>
      </c>
      <c r="AS109" t="s">
        <v>65</v>
      </c>
      <c r="AT109">
        <v>1</v>
      </c>
      <c r="AU109" t="s">
        <v>614</v>
      </c>
      <c r="AV109" t="s">
        <v>615</v>
      </c>
      <c r="AW109" t="s">
        <v>60</v>
      </c>
      <c r="AX109" t="s">
        <v>68</v>
      </c>
      <c r="AY109" t="s">
        <v>69</v>
      </c>
      <c r="AZ109" t="b">
        <v>1</v>
      </c>
    </row>
    <row r="110" spans="1:52" x14ac:dyDescent="0.3">
      <c r="A110" t="s">
        <v>52</v>
      </c>
      <c r="B110" t="s">
        <v>53</v>
      </c>
      <c r="C110" t="s">
        <v>54</v>
      </c>
      <c r="D110" t="s">
        <v>55</v>
      </c>
      <c r="E110" t="s">
        <v>616</v>
      </c>
      <c r="F110" t="s">
        <v>57</v>
      </c>
      <c r="G110" t="s">
        <v>58</v>
      </c>
      <c r="H110" t="s">
        <v>59</v>
      </c>
      <c r="I110" t="s">
        <v>59</v>
      </c>
      <c r="J110" t="s">
        <v>60</v>
      </c>
      <c r="K110" t="s">
        <v>61</v>
      </c>
      <c r="L110" t="s">
        <v>62</v>
      </c>
      <c r="M110" t="s">
        <v>61</v>
      </c>
      <c r="N110" t="s">
        <v>63</v>
      </c>
      <c r="O110" t="s">
        <v>64</v>
      </c>
      <c r="P110">
        <v>-19.631502000000001</v>
      </c>
      <c r="Q110">
        <v>-43.910241999999997</v>
      </c>
      <c r="R110" s="2" t="str">
        <f>HYPERLINK("https://www.google.com/maps?q=-19.6315020,-43.9102420","Abrir no Google Maps")</f>
        <v>Abrir no Google Maps</v>
      </c>
      <c r="S110">
        <v>4</v>
      </c>
      <c r="T110">
        <v>789.20099406682743</v>
      </c>
      <c r="U110">
        <v>4</v>
      </c>
      <c r="V110">
        <v>0.48945717166984137</v>
      </c>
      <c r="W110">
        <v>1</v>
      </c>
      <c r="X110">
        <v>0.48945717166984137</v>
      </c>
      <c r="Y110">
        <v>10</v>
      </c>
      <c r="Z110">
        <v>691.44930074509864</v>
      </c>
      <c r="AA110">
        <v>2</v>
      </c>
      <c r="AB110">
        <v>3</v>
      </c>
      <c r="AC110">
        <v>7</v>
      </c>
      <c r="AD110">
        <v>26.56</v>
      </c>
      <c r="AE110">
        <v>253</v>
      </c>
      <c r="AF110">
        <v>17</v>
      </c>
      <c r="AG110">
        <v>62</v>
      </c>
      <c r="AH110">
        <v>32</v>
      </c>
      <c r="AI110">
        <v>6.72</v>
      </c>
      <c r="AJ110">
        <v>24.51</v>
      </c>
      <c r="AK110">
        <v>12.65</v>
      </c>
      <c r="AL110">
        <v>-19.631719749999949</v>
      </c>
      <c r="AM110">
        <v>-43.910102324517517</v>
      </c>
      <c r="AN110">
        <v>-19.631719749999949</v>
      </c>
      <c r="AO110">
        <v>-43.910102324517517</v>
      </c>
      <c r="AP110">
        <v>-19.631502000000001</v>
      </c>
      <c r="AQ110">
        <v>-43.910241999999997</v>
      </c>
      <c r="AR110">
        <v>28.320416429206599</v>
      </c>
      <c r="AS110" t="s">
        <v>65</v>
      </c>
      <c r="AT110">
        <v>1</v>
      </c>
      <c r="AU110" t="s">
        <v>66</v>
      </c>
      <c r="AV110" t="s">
        <v>67</v>
      </c>
      <c r="AW110" t="s">
        <v>60</v>
      </c>
      <c r="AX110" t="s">
        <v>68</v>
      </c>
      <c r="AY110" t="s">
        <v>69</v>
      </c>
      <c r="AZ110" t="b">
        <v>1</v>
      </c>
    </row>
    <row r="111" spans="1:52" x14ac:dyDescent="0.3">
      <c r="A111" t="s">
        <v>52</v>
      </c>
      <c r="B111" t="s">
        <v>53</v>
      </c>
      <c r="C111" t="s">
        <v>54</v>
      </c>
      <c r="D111" t="s">
        <v>55</v>
      </c>
      <c r="E111" t="s">
        <v>616</v>
      </c>
      <c r="F111" t="s">
        <v>57</v>
      </c>
      <c r="G111" t="s">
        <v>84</v>
      </c>
      <c r="H111" t="s">
        <v>85</v>
      </c>
      <c r="I111" t="s">
        <v>85</v>
      </c>
      <c r="J111" t="s">
        <v>60</v>
      </c>
      <c r="K111" t="s">
        <v>86</v>
      </c>
      <c r="L111" t="s">
        <v>62</v>
      </c>
      <c r="M111" t="s">
        <v>86</v>
      </c>
      <c r="N111" t="s">
        <v>87</v>
      </c>
      <c r="O111" t="s">
        <v>88</v>
      </c>
      <c r="P111">
        <v>-19.629436999999999</v>
      </c>
      <c r="Q111">
        <v>-43.910398999999998</v>
      </c>
      <c r="R111" s="2" t="str">
        <f>HYPERLINK("https://www.google.com/maps?q=-19.6294370,-43.9103990","Abrir no Google Maps")</f>
        <v>Abrir no Google Maps</v>
      </c>
      <c r="S111">
        <v>4</v>
      </c>
      <c r="T111">
        <v>888.82060643108082</v>
      </c>
      <c r="U111">
        <v>4</v>
      </c>
      <c r="V111">
        <v>0.52579595158173131</v>
      </c>
      <c r="W111">
        <v>1</v>
      </c>
      <c r="X111">
        <v>0.52579595158173131</v>
      </c>
      <c r="Y111">
        <v>10</v>
      </c>
      <c r="Z111">
        <v>867.42797341651737</v>
      </c>
      <c r="AA111">
        <v>2</v>
      </c>
      <c r="AB111">
        <v>3</v>
      </c>
      <c r="AC111">
        <v>7</v>
      </c>
      <c r="AD111">
        <v>26.56</v>
      </c>
      <c r="AE111">
        <v>253</v>
      </c>
      <c r="AF111">
        <v>17</v>
      </c>
      <c r="AG111">
        <v>62</v>
      </c>
      <c r="AH111">
        <v>32</v>
      </c>
      <c r="AI111">
        <v>6.72</v>
      </c>
      <c r="AJ111">
        <v>24.51</v>
      </c>
      <c r="AK111">
        <v>12.65</v>
      </c>
      <c r="AL111">
        <v>-19.62934694999996</v>
      </c>
      <c r="AM111">
        <v>-43.910344699357317</v>
      </c>
      <c r="AN111">
        <v>-19.62934694999996</v>
      </c>
      <c r="AO111">
        <v>-43.910344699357331</v>
      </c>
      <c r="AP111">
        <v>-19.629436999999999</v>
      </c>
      <c r="AQ111">
        <v>-43.910398999999998</v>
      </c>
      <c r="AR111">
        <v>11.52837377953678</v>
      </c>
      <c r="AS111" t="s">
        <v>65</v>
      </c>
      <c r="AT111">
        <v>1</v>
      </c>
      <c r="AU111" t="s">
        <v>89</v>
      </c>
      <c r="AV111" t="s">
        <v>90</v>
      </c>
      <c r="AW111" t="s">
        <v>60</v>
      </c>
      <c r="AX111" t="s">
        <v>68</v>
      </c>
      <c r="AY111" t="s">
        <v>69</v>
      </c>
      <c r="AZ111" t="b">
        <v>1</v>
      </c>
    </row>
    <row r="112" spans="1:52" x14ac:dyDescent="0.3">
      <c r="A112" t="s">
        <v>52</v>
      </c>
      <c r="B112" t="s">
        <v>53</v>
      </c>
      <c r="C112" t="s">
        <v>54</v>
      </c>
      <c r="D112" t="s">
        <v>55</v>
      </c>
      <c r="E112" t="s">
        <v>616</v>
      </c>
      <c r="F112" t="s">
        <v>57</v>
      </c>
      <c r="G112" t="s">
        <v>91</v>
      </c>
      <c r="H112" t="s">
        <v>92</v>
      </c>
      <c r="I112" t="s">
        <v>92</v>
      </c>
      <c r="J112" t="s">
        <v>60</v>
      </c>
      <c r="K112" t="s">
        <v>86</v>
      </c>
      <c r="L112" t="s">
        <v>62</v>
      </c>
      <c r="M112" t="s">
        <v>86</v>
      </c>
      <c r="N112" t="s">
        <v>93</v>
      </c>
      <c r="O112" t="s">
        <v>94</v>
      </c>
      <c r="P112">
        <v>-19.630676999999999</v>
      </c>
      <c r="Q112">
        <v>-43.907255999999997</v>
      </c>
      <c r="R112" s="2" t="str">
        <f>HYPERLINK("https://www.google.com/maps?q=-19.6306770,-43.9072560","Abrir no Google Maps")</f>
        <v>Abrir no Google Maps</v>
      </c>
      <c r="S112">
        <v>4</v>
      </c>
      <c r="T112">
        <v>545.39374622597825</v>
      </c>
      <c r="U112">
        <v>4</v>
      </c>
      <c r="V112">
        <v>0.50009569377990426</v>
      </c>
      <c r="W112">
        <v>1</v>
      </c>
      <c r="X112">
        <v>0.50009569377990426</v>
      </c>
      <c r="Y112">
        <v>10</v>
      </c>
      <c r="Z112">
        <v>559.94033759457182</v>
      </c>
      <c r="AA112">
        <v>2</v>
      </c>
      <c r="AB112">
        <v>3</v>
      </c>
      <c r="AC112">
        <v>7</v>
      </c>
      <c r="AD112">
        <v>26.56</v>
      </c>
      <c r="AE112">
        <v>253</v>
      </c>
      <c r="AF112">
        <v>17</v>
      </c>
      <c r="AG112">
        <v>62</v>
      </c>
      <c r="AH112">
        <v>32</v>
      </c>
      <c r="AI112">
        <v>6.72</v>
      </c>
      <c r="AJ112">
        <v>24.51</v>
      </c>
      <c r="AK112">
        <v>12.65</v>
      </c>
      <c r="AL112">
        <v>-19.630448649999941</v>
      </c>
      <c r="AM112">
        <v>-43.907268502495313</v>
      </c>
      <c r="AN112">
        <v>-19.630448649999941</v>
      </c>
      <c r="AO112">
        <v>-43.907268502495313</v>
      </c>
      <c r="AP112">
        <v>-19.630676999999999</v>
      </c>
      <c r="AQ112">
        <v>-43.907255999999997</v>
      </c>
      <c r="AR112">
        <v>25.453700276562468</v>
      </c>
      <c r="AS112" t="s">
        <v>65</v>
      </c>
      <c r="AT112">
        <v>1</v>
      </c>
      <c r="AU112" t="s">
        <v>95</v>
      </c>
      <c r="AV112" t="s">
        <v>96</v>
      </c>
      <c r="AW112" t="s">
        <v>60</v>
      </c>
      <c r="AX112" t="s">
        <v>68</v>
      </c>
      <c r="AY112" t="s">
        <v>69</v>
      </c>
      <c r="AZ112" t="b">
        <v>1</v>
      </c>
    </row>
    <row r="113" spans="1:52" x14ac:dyDescent="0.3">
      <c r="A113" t="s">
        <v>52</v>
      </c>
      <c r="B113" t="s">
        <v>53</v>
      </c>
      <c r="C113" t="s">
        <v>54</v>
      </c>
      <c r="D113" t="s">
        <v>55</v>
      </c>
      <c r="E113" t="s">
        <v>616</v>
      </c>
      <c r="F113" t="s">
        <v>57</v>
      </c>
      <c r="G113" t="s">
        <v>617</v>
      </c>
      <c r="H113" t="s">
        <v>618</v>
      </c>
      <c r="I113" t="s">
        <v>618</v>
      </c>
      <c r="J113" t="s">
        <v>60</v>
      </c>
      <c r="K113" t="s">
        <v>164</v>
      </c>
      <c r="L113" t="s">
        <v>62</v>
      </c>
      <c r="M113" t="s">
        <v>164</v>
      </c>
      <c r="N113" t="s">
        <v>619</v>
      </c>
      <c r="O113" t="s">
        <v>533</v>
      </c>
      <c r="P113">
        <v>-19.647825000000001</v>
      </c>
      <c r="Q113">
        <v>-43.908369</v>
      </c>
      <c r="R113" s="2" t="str">
        <f>HYPERLINK("https://www.google.com/maps?q=-19.6478250,-43.9083690","Abrir no Google Maps")</f>
        <v>Abrir no Google Maps</v>
      </c>
      <c r="S113">
        <v>4</v>
      </c>
      <c r="T113">
        <v>492.67524679338959</v>
      </c>
      <c r="U113">
        <v>4</v>
      </c>
      <c r="V113">
        <v>0.49006731105704671</v>
      </c>
      <c r="W113">
        <v>1</v>
      </c>
      <c r="X113">
        <v>0.49006731105704671</v>
      </c>
      <c r="Y113">
        <v>4</v>
      </c>
      <c r="Z113">
        <v>410.3082448803296</v>
      </c>
      <c r="AA113">
        <v>2</v>
      </c>
      <c r="AB113">
        <v>3</v>
      </c>
      <c r="AC113">
        <v>7</v>
      </c>
      <c r="AD113">
        <v>26.56</v>
      </c>
      <c r="AE113">
        <v>253</v>
      </c>
      <c r="AF113">
        <v>17</v>
      </c>
      <c r="AG113">
        <v>62</v>
      </c>
      <c r="AH113">
        <v>32</v>
      </c>
      <c r="AI113">
        <v>6.72</v>
      </c>
      <c r="AJ113">
        <v>24.51</v>
      </c>
      <c r="AK113">
        <v>12.65</v>
      </c>
      <c r="AL113">
        <v>-19.647879399999969</v>
      </c>
      <c r="AM113">
        <v>-43.908372097349897</v>
      </c>
      <c r="AN113">
        <v>-19.647879399999969</v>
      </c>
      <c r="AO113">
        <v>-43.908372097349897</v>
      </c>
      <c r="AP113">
        <v>-19.647825000000001</v>
      </c>
      <c r="AQ113">
        <v>-43.908369</v>
      </c>
      <c r="AR113">
        <v>6.06450779015137</v>
      </c>
      <c r="AS113" t="s">
        <v>65</v>
      </c>
      <c r="AT113">
        <v>1</v>
      </c>
      <c r="AU113" t="s">
        <v>620</v>
      </c>
      <c r="AV113" t="s">
        <v>621</v>
      </c>
      <c r="AW113" t="s">
        <v>60</v>
      </c>
      <c r="AX113" t="s">
        <v>68</v>
      </c>
      <c r="AY113" t="s">
        <v>69</v>
      </c>
      <c r="AZ113" t="b">
        <v>1</v>
      </c>
    </row>
    <row r="114" spans="1:52" x14ac:dyDescent="0.3">
      <c r="A114" t="s">
        <v>52</v>
      </c>
      <c r="B114" t="s">
        <v>53</v>
      </c>
      <c r="C114" t="s">
        <v>54</v>
      </c>
      <c r="D114" t="s">
        <v>55</v>
      </c>
      <c r="E114" t="s">
        <v>616</v>
      </c>
      <c r="F114" t="s">
        <v>57</v>
      </c>
      <c r="G114" t="s">
        <v>197</v>
      </c>
      <c r="H114" t="s">
        <v>198</v>
      </c>
      <c r="I114" t="s">
        <v>198</v>
      </c>
      <c r="J114" t="s">
        <v>60</v>
      </c>
      <c r="K114" t="s">
        <v>199</v>
      </c>
      <c r="L114" t="s">
        <v>62</v>
      </c>
      <c r="M114" t="s">
        <v>199</v>
      </c>
      <c r="N114" t="s">
        <v>200</v>
      </c>
      <c r="O114" t="s">
        <v>201</v>
      </c>
      <c r="P114">
        <v>-19.639250000000001</v>
      </c>
      <c r="Q114">
        <v>-43.916449999999998</v>
      </c>
      <c r="R114" s="2" t="str">
        <f>HYPERLINK("https://www.google.com/maps?q=-19.6392500,-43.9164500","Abrir no Google Maps")</f>
        <v>Abrir no Google Maps</v>
      </c>
      <c r="S114">
        <v>4</v>
      </c>
      <c r="T114">
        <v>249.46350881074861</v>
      </c>
      <c r="U114">
        <v>4</v>
      </c>
      <c r="V114">
        <v>0.4980623177105894</v>
      </c>
      <c r="W114">
        <v>1</v>
      </c>
      <c r="X114">
        <v>0.4980623177105894</v>
      </c>
      <c r="Y114">
        <v>3</v>
      </c>
      <c r="Z114">
        <v>267.54148787490578</v>
      </c>
      <c r="AA114">
        <v>2</v>
      </c>
      <c r="AB114">
        <v>3</v>
      </c>
      <c r="AC114">
        <v>7</v>
      </c>
      <c r="AD114">
        <v>26.56</v>
      </c>
      <c r="AE114">
        <v>253</v>
      </c>
      <c r="AF114">
        <v>17</v>
      </c>
      <c r="AG114">
        <v>62</v>
      </c>
      <c r="AH114">
        <v>32</v>
      </c>
      <c r="AI114">
        <v>6.72</v>
      </c>
      <c r="AJ114">
        <v>24.51</v>
      </c>
      <c r="AK114">
        <v>12.65</v>
      </c>
      <c r="AL114">
        <v>-19.639331149999951</v>
      </c>
      <c r="AM114">
        <v>-43.916434187886892</v>
      </c>
      <c r="AN114">
        <v>-19.639331149999951</v>
      </c>
      <c r="AO114">
        <v>-43.916434187886892</v>
      </c>
      <c r="AP114">
        <v>-19.639250000000001</v>
      </c>
      <c r="AQ114">
        <v>-43.916449999999998</v>
      </c>
      <c r="AR114">
        <v>9.1844750188843953</v>
      </c>
      <c r="AS114" t="s">
        <v>65</v>
      </c>
      <c r="AT114">
        <v>1</v>
      </c>
      <c r="AU114" t="s">
        <v>202</v>
      </c>
      <c r="AV114" t="s">
        <v>203</v>
      </c>
      <c r="AW114" t="s">
        <v>60</v>
      </c>
      <c r="AX114" t="s">
        <v>68</v>
      </c>
      <c r="AY114" t="s">
        <v>69</v>
      </c>
      <c r="AZ114" t="b">
        <v>1</v>
      </c>
    </row>
    <row r="115" spans="1:52" x14ac:dyDescent="0.3">
      <c r="A115" t="s">
        <v>52</v>
      </c>
      <c r="B115" t="s">
        <v>53</v>
      </c>
      <c r="C115" t="s">
        <v>54</v>
      </c>
      <c r="D115" t="s">
        <v>55</v>
      </c>
      <c r="E115" t="s">
        <v>616</v>
      </c>
      <c r="F115" t="s">
        <v>57</v>
      </c>
      <c r="G115" t="s">
        <v>145</v>
      </c>
      <c r="H115" t="s">
        <v>146</v>
      </c>
      <c r="I115" t="s">
        <v>146</v>
      </c>
      <c r="J115" t="s">
        <v>60</v>
      </c>
      <c r="K115" t="s">
        <v>147</v>
      </c>
      <c r="L115" t="s">
        <v>62</v>
      </c>
      <c r="M115" t="s">
        <v>147</v>
      </c>
      <c r="N115" t="s">
        <v>148</v>
      </c>
      <c r="O115" t="s">
        <v>81</v>
      </c>
      <c r="P115">
        <v>-19.629356999999999</v>
      </c>
      <c r="Q115">
        <v>-43.916857</v>
      </c>
      <c r="R115" s="2" t="str">
        <f>HYPERLINK("https://www.google.com/maps?q=-19.6293570,-43.9168570","Abrir no Google Maps")</f>
        <v>Abrir no Google Maps</v>
      </c>
      <c r="S115">
        <v>4</v>
      </c>
      <c r="T115">
        <v>834.49898564045827</v>
      </c>
      <c r="U115">
        <v>4</v>
      </c>
      <c r="V115">
        <v>0.48492701817098599</v>
      </c>
      <c r="W115">
        <v>1</v>
      </c>
      <c r="X115">
        <v>0.48492701817098599</v>
      </c>
      <c r="Y115">
        <v>3</v>
      </c>
      <c r="Z115">
        <v>774.2841152512085</v>
      </c>
      <c r="AA115">
        <v>2</v>
      </c>
      <c r="AB115">
        <v>3</v>
      </c>
      <c r="AC115">
        <v>7</v>
      </c>
      <c r="AD115">
        <v>26.56</v>
      </c>
      <c r="AE115">
        <v>253</v>
      </c>
      <c r="AF115">
        <v>17</v>
      </c>
      <c r="AG115">
        <v>62</v>
      </c>
      <c r="AH115">
        <v>32</v>
      </c>
      <c r="AI115">
        <v>6.72</v>
      </c>
      <c r="AJ115">
        <v>24.51</v>
      </c>
      <c r="AK115">
        <v>12.65</v>
      </c>
      <c r="AL115">
        <v>-19.62962324999998</v>
      </c>
      <c r="AM115">
        <v>-43.916419823634037</v>
      </c>
      <c r="AN115">
        <v>-19.62962324999998</v>
      </c>
      <c r="AO115">
        <v>-43.916419823634051</v>
      </c>
      <c r="AP115">
        <v>-19.629356999999999</v>
      </c>
      <c r="AQ115">
        <v>-43.916857</v>
      </c>
      <c r="AR115">
        <v>54.585757388798442</v>
      </c>
      <c r="AS115" t="s">
        <v>65</v>
      </c>
      <c r="AT115">
        <v>1</v>
      </c>
      <c r="AU115" t="s">
        <v>149</v>
      </c>
      <c r="AV115" t="s">
        <v>150</v>
      </c>
      <c r="AW115" t="s">
        <v>60</v>
      </c>
      <c r="AX115" t="s">
        <v>68</v>
      </c>
      <c r="AY115" t="s">
        <v>69</v>
      </c>
      <c r="AZ115" t="b">
        <v>1</v>
      </c>
    </row>
    <row r="116" spans="1:52" x14ac:dyDescent="0.3">
      <c r="A116" t="s">
        <v>52</v>
      </c>
      <c r="B116" t="s">
        <v>53</v>
      </c>
      <c r="C116" t="s">
        <v>54</v>
      </c>
      <c r="D116" t="s">
        <v>55</v>
      </c>
      <c r="E116" t="s">
        <v>616</v>
      </c>
      <c r="F116" t="s">
        <v>57</v>
      </c>
      <c r="G116" t="s">
        <v>217</v>
      </c>
      <c r="H116" t="s">
        <v>218</v>
      </c>
      <c r="I116" t="s">
        <v>218</v>
      </c>
      <c r="J116" t="s">
        <v>60</v>
      </c>
      <c r="K116" t="s">
        <v>219</v>
      </c>
      <c r="L116" t="s">
        <v>62</v>
      </c>
      <c r="M116" t="s">
        <v>219</v>
      </c>
      <c r="N116" t="s">
        <v>220</v>
      </c>
      <c r="O116" t="s">
        <v>221</v>
      </c>
      <c r="P116">
        <v>-19.668924000000001</v>
      </c>
      <c r="Q116">
        <v>-43.888824</v>
      </c>
      <c r="R116" s="2" t="str">
        <f>HYPERLINK("https://www.google.com/maps?q=-19.6689240,-43.8888240","Abrir no Google Maps")</f>
        <v>Abrir no Google Maps</v>
      </c>
      <c r="S116">
        <v>4</v>
      </c>
      <c r="T116">
        <v>911.82770913869297</v>
      </c>
      <c r="U116">
        <v>4</v>
      </c>
      <c r="V116">
        <v>0.50867895545314901</v>
      </c>
      <c r="W116">
        <v>1</v>
      </c>
      <c r="X116">
        <v>0.50867895545314901</v>
      </c>
      <c r="Y116">
        <v>3</v>
      </c>
      <c r="Z116">
        <v>306.43809582423751</v>
      </c>
      <c r="AA116">
        <v>2</v>
      </c>
      <c r="AB116">
        <v>3</v>
      </c>
      <c r="AC116">
        <v>7</v>
      </c>
      <c r="AD116">
        <v>26.56</v>
      </c>
      <c r="AE116">
        <v>253</v>
      </c>
      <c r="AF116">
        <v>17</v>
      </c>
      <c r="AG116">
        <v>62</v>
      </c>
      <c r="AH116">
        <v>32</v>
      </c>
      <c r="AI116">
        <v>6.72</v>
      </c>
      <c r="AJ116">
        <v>24.51</v>
      </c>
      <c r="AK116">
        <v>12.65</v>
      </c>
      <c r="AL116">
        <v>-19.669015399999981</v>
      </c>
      <c r="AM116">
        <v>-43.88883436988452</v>
      </c>
      <c r="AN116">
        <v>-19.669015399999971</v>
      </c>
      <c r="AO116">
        <v>-43.88883436988452</v>
      </c>
      <c r="AP116">
        <v>-19.668924000000001</v>
      </c>
      <c r="AQ116">
        <v>-43.888824</v>
      </c>
      <c r="AR116">
        <v>10.23254983885769</v>
      </c>
      <c r="AS116" t="s">
        <v>65</v>
      </c>
      <c r="AT116">
        <v>1</v>
      </c>
      <c r="AU116" t="s">
        <v>222</v>
      </c>
      <c r="AV116" t="s">
        <v>223</v>
      </c>
      <c r="AW116" t="s">
        <v>60</v>
      </c>
      <c r="AX116" t="s">
        <v>68</v>
      </c>
      <c r="AY116" t="s">
        <v>69</v>
      </c>
      <c r="AZ116" t="b">
        <v>1</v>
      </c>
    </row>
    <row r="117" spans="1:52" x14ac:dyDescent="0.3">
      <c r="A117" t="s">
        <v>52</v>
      </c>
      <c r="B117" t="s">
        <v>53</v>
      </c>
      <c r="C117" t="s">
        <v>54</v>
      </c>
      <c r="D117" t="s">
        <v>55</v>
      </c>
      <c r="E117" t="s">
        <v>616</v>
      </c>
      <c r="F117" t="s">
        <v>57</v>
      </c>
      <c r="G117" t="s">
        <v>197</v>
      </c>
      <c r="H117" t="s">
        <v>224</v>
      </c>
      <c r="I117" t="s">
        <v>224</v>
      </c>
      <c r="J117" t="s">
        <v>60</v>
      </c>
      <c r="K117" t="s">
        <v>199</v>
      </c>
      <c r="L117" t="s">
        <v>62</v>
      </c>
      <c r="M117" t="s">
        <v>199</v>
      </c>
      <c r="N117" t="s">
        <v>200</v>
      </c>
      <c r="O117" t="s">
        <v>225</v>
      </c>
      <c r="P117">
        <v>-19.637217</v>
      </c>
      <c r="Q117">
        <v>-43.916117</v>
      </c>
      <c r="R117" s="2" t="str">
        <f>HYPERLINK("https://www.google.com/maps?q=-19.6372170,-43.9161170","Abrir no Google Maps")</f>
        <v>Abrir no Google Maps</v>
      </c>
      <c r="S117">
        <v>4</v>
      </c>
      <c r="T117">
        <v>0</v>
      </c>
      <c r="U117">
        <v>4</v>
      </c>
      <c r="V117">
        <v>0.49053712448345649</v>
      </c>
      <c r="W117">
        <v>1</v>
      </c>
      <c r="X117">
        <v>0.49053712448345649</v>
      </c>
      <c r="Y117">
        <v>3</v>
      </c>
      <c r="Z117">
        <v>94.289538231800577</v>
      </c>
      <c r="AA117">
        <v>2</v>
      </c>
      <c r="AB117">
        <v>3</v>
      </c>
      <c r="AC117">
        <v>7</v>
      </c>
      <c r="AD117">
        <v>26.56</v>
      </c>
      <c r="AE117">
        <v>253</v>
      </c>
      <c r="AF117">
        <v>17</v>
      </c>
      <c r="AG117">
        <v>62</v>
      </c>
      <c r="AH117">
        <v>32</v>
      </c>
      <c r="AI117">
        <v>6.72</v>
      </c>
      <c r="AJ117">
        <v>24.51</v>
      </c>
      <c r="AK117">
        <v>12.65</v>
      </c>
      <c r="AL117">
        <v>-19.63714454999996</v>
      </c>
      <c r="AM117">
        <v>-43.915856532303224</v>
      </c>
      <c r="AN117">
        <v>-19.63714454999996</v>
      </c>
      <c r="AO117">
        <v>-43.915856532303224</v>
      </c>
      <c r="AP117">
        <v>-19.637217</v>
      </c>
      <c r="AQ117">
        <v>-43.916117</v>
      </c>
      <c r="AR117">
        <v>28.47493692061667</v>
      </c>
      <c r="AS117" t="s">
        <v>65</v>
      </c>
      <c r="AT117">
        <v>1</v>
      </c>
      <c r="AU117" t="s">
        <v>226</v>
      </c>
      <c r="AV117" t="s">
        <v>227</v>
      </c>
      <c r="AW117" t="s">
        <v>60</v>
      </c>
      <c r="AX117" t="s">
        <v>68</v>
      </c>
      <c r="AY117" t="s">
        <v>69</v>
      </c>
      <c r="AZ117" t="b">
        <v>1</v>
      </c>
    </row>
    <row r="118" spans="1:52" x14ac:dyDescent="0.3">
      <c r="A118" t="s">
        <v>52</v>
      </c>
      <c r="B118" t="s">
        <v>53</v>
      </c>
      <c r="C118" t="s">
        <v>54</v>
      </c>
      <c r="D118" t="s">
        <v>55</v>
      </c>
      <c r="E118" t="s">
        <v>616</v>
      </c>
      <c r="F118" t="s">
        <v>57</v>
      </c>
      <c r="G118" t="s">
        <v>228</v>
      </c>
      <c r="H118" t="s">
        <v>229</v>
      </c>
      <c r="I118" t="s">
        <v>229</v>
      </c>
      <c r="J118" t="s">
        <v>60</v>
      </c>
      <c r="K118" t="s">
        <v>199</v>
      </c>
      <c r="L118" t="s">
        <v>62</v>
      </c>
      <c r="M118" t="s">
        <v>199</v>
      </c>
      <c r="N118" t="s">
        <v>230</v>
      </c>
      <c r="O118" t="s">
        <v>88</v>
      </c>
      <c r="P118">
        <v>-19.637703999999999</v>
      </c>
      <c r="Q118">
        <v>-43.913817999999999</v>
      </c>
      <c r="R118" s="2" t="str">
        <f>HYPERLINK("https://www.google.com/maps?q=-19.6377040,-43.9138180","Abrir no Google Maps")</f>
        <v>Abrir no Google Maps</v>
      </c>
      <c r="S118">
        <v>4</v>
      </c>
      <c r="T118">
        <v>216.67225021659709</v>
      </c>
      <c r="U118">
        <v>4</v>
      </c>
      <c r="V118">
        <v>0.48015028737351412</v>
      </c>
      <c r="W118">
        <v>1</v>
      </c>
      <c r="X118">
        <v>0.48015028737351412</v>
      </c>
      <c r="Y118">
        <v>3</v>
      </c>
      <c r="Z118">
        <v>250.25912407368671</v>
      </c>
      <c r="AA118">
        <v>2</v>
      </c>
      <c r="AB118">
        <v>3</v>
      </c>
      <c r="AC118">
        <v>7</v>
      </c>
      <c r="AD118">
        <v>26.56</v>
      </c>
      <c r="AE118">
        <v>253</v>
      </c>
      <c r="AF118">
        <v>17</v>
      </c>
      <c r="AG118">
        <v>62</v>
      </c>
      <c r="AH118">
        <v>32</v>
      </c>
      <c r="AI118">
        <v>6.72</v>
      </c>
      <c r="AJ118">
        <v>24.51</v>
      </c>
      <c r="AK118">
        <v>12.65</v>
      </c>
      <c r="AL118">
        <v>-19.637548049999939</v>
      </c>
      <c r="AM118">
        <v>-43.91383458447649</v>
      </c>
      <c r="AN118">
        <v>-19.637548049999939</v>
      </c>
      <c r="AO118">
        <v>-43.91383458447649</v>
      </c>
      <c r="AP118">
        <v>-19.637703999999999</v>
      </c>
      <c r="AQ118">
        <v>-43.913817999999999</v>
      </c>
      <c r="AR118">
        <v>17.44721566371809</v>
      </c>
      <c r="AS118" t="s">
        <v>65</v>
      </c>
      <c r="AT118">
        <v>1</v>
      </c>
      <c r="AU118" t="s">
        <v>231</v>
      </c>
      <c r="AV118" t="s">
        <v>232</v>
      </c>
      <c r="AW118" t="s">
        <v>60</v>
      </c>
      <c r="AX118" t="s">
        <v>68</v>
      </c>
      <c r="AY118" t="s">
        <v>69</v>
      </c>
      <c r="AZ118" t="b">
        <v>1</v>
      </c>
    </row>
    <row r="119" spans="1:52" x14ac:dyDescent="0.3">
      <c r="A119" t="s">
        <v>52</v>
      </c>
      <c r="B119" t="s">
        <v>53</v>
      </c>
      <c r="C119" t="s">
        <v>54</v>
      </c>
      <c r="D119" t="s">
        <v>55</v>
      </c>
      <c r="E119" t="s">
        <v>616</v>
      </c>
      <c r="F119" t="s">
        <v>57</v>
      </c>
      <c r="G119" t="s">
        <v>246</v>
      </c>
      <c r="H119" t="s">
        <v>247</v>
      </c>
      <c r="I119" t="s">
        <v>247</v>
      </c>
      <c r="J119" t="s">
        <v>60</v>
      </c>
      <c r="K119" t="s">
        <v>164</v>
      </c>
      <c r="L119" t="s">
        <v>62</v>
      </c>
      <c r="M119" t="s">
        <v>164</v>
      </c>
      <c r="N119" t="s">
        <v>248</v>
      </c>
      <c r="O119" t="s">
        <v>249</v>
      </c>
      <c r="P119">
        <v>-19.6448</v>
      </c>
      <c r="Q119">
        <v>-43.901600999999999</v>
      </c>
      <c r="R119" s="2" t="str">
        <f>HYPERLINK("https://www.google.com/maps?q=-19.6448000,-43.9016010","Abrir no Google Maps")</f>
        <v>Abrir no Google Maps</v>
      </c>
      <c r="S119">
        <v>4</v>
      </c>
      <c r="T119">
        <v>317.869447308274</v>
      </c>
      <c r="U119">
        <v>4</v>
      </c>
      <c r="V119">
        <v>0.5195609406313777</v>
      </c>
      <c r="W119">
        <v>1</v>
      </c>
      <c r="X119">
        <v>0.5195609406313777</v>
      </c>
      <c r="Y119">
        <v>1</v>
      </c>
      <c r="Z119">
        <v>349.42631749673592</v>
      </c>
      <c r="AA119">
        <v>2</v>
      </c>
      <c r="AB119">
        <v>3</v>
      </c>
      <c r="AC119">
        <v>7</v>
      </c>
      <c r="AD119">
        <v>26.56</v>
      </c>
      <c r="AE119">
        <v>253</v>
      </c>
      <c r="AF119">
        <v>17</v>
      </c>
      <c r="AG119">
        <v>62</v>
      </c>
      <c r="AH119">
        <v>32</v>
      </c>
      <c r="AI119">
        <v>6.72</v>
      </c>
      <c r="AJ119">
        <v>24.51</v>
      </c>
      <c r="AK119">
        <v>12.65</v>
      </c>
      <c r="AL119">
        <v>-19.644877249999951</v>
      </c>
      <c r="AM119">
        <v>-43.901796079893373</v>
      </c>
      <c r="AN119">
        <v>-19.644877249999951</v>
      </c>
      <c r="AO119">
        <v>-43.901796079893373</v>
      </c>
      <c r="AP119">
        <v>-19.6448</v>
      </c>
      <c r="AQ119">
        <v>-43.901600999999999</v>
      </c>
      <c r="AR119">
        <v>22.186635956426102</v>
      </c>
      <c r="AS119" t="s">
        <v>65</v>
      </c>
      <c r="AT119">
        <v>1</v>
      </c>
      <c r="AU119" t="s">
        <v>250</v>
      </c>
      <c r="AV119" t="s">
        <v>251</v>
      </c>
      <c r="AW119" t="s">
        <v>60</v>
      </c>
      <c r="AX119" t="s">
        <v>68</v>
      </c>
      <c r="AY119" t="s">
        <v>69</v>
      </c>
      <c r="AZ119" t="b">
        <v>1</v>
      </c>
    </row>
    <row r="120" spans="1:52" x14ac:dyDescent="0.3">
      <c r="A120" t="s">
        <v>52</v>
      </c>
      <c r="B120" t="s">
        <v>53</v>
      </c>
      <c r="C120" t="s">
        <v>54</v>
      </c>
      <c r="D120" t="s">
        <v>55</v>
      </c>
      <c r="E120" t="s">
        <v>616</v>
      </c>
      <c r="F120" t="s">
        <v>57</v>
      </c>
      <c r="G120" t="s">
        <v>252</v>
      </c>
      <c r="H120" t="s">
        <v>253</v>
      </c>
      <c r="I120" t="s">
        <v>253</v>
      </c>
      <c r="J120" t="s">
        <v>60</v>
      </c>
      <c r="K120" t="s">
        <v>164</v>
      </c>
      <c r="L120" t="s">
        <v>62</v>
      </c>
      <c r="M120" t="s">
        <v>164</v>
      </c>
      <c r="N120" t="s">
        <v>254</v>
      </c>
      <c r="O120" t="s">
        <v>255</v>
      </c>
      <c r="P120">
        <v>-19.652244</v>
      </c>
      <c r="Q120">
        <v>-43.906869</v>
      </c>
      <c r="R120" s="2" t="str">
        <f>HYPERLINK("https://www.google.com/maps?q=-19.6522440,-43.9068690","Abrir no Google Maps")</f>
        <v>Abrir no Google Maps</v>
      </c>
      <c r="S120">
        <v>4</v>
      </c>
      <c r="T120">
        <v>659.98887289357856</v>
      </c>
      <c r="U120">
        <v>4</v>
      </c>
      <c r="V120">
        <v>0.51758200640252772</v>
      </c>
      <c r="W120">
        <v>1</v>
      </c>
      <c r="X120">
        <v>0.51758200640252772</v>
      </c>
      <c r="Y120">
        <v>1</v>
      </c>
      <c r="Z120">
        <v>607.69009953455907</v>
      </c>
      <c r="AA120">
        <v>2</v>
      </c>
      <c r="AB120">
        <v>3</v>
      </c>
      <c r="AC120">
        <v>7</v>
      </c>
      <c r="AD120">
        <v>26.56</v>
      </c>
      <c r="AE120">
        <v>253</v>
      </c>
      <c r="AF120">
        <v>17</v>
      </c>
      <c r="AG120">
        <v>62</v>
      </c>
      <c r="AH120">
        <v>32</v>
      </c>
      <c r="AI120">
        <v>6.72</v>
      </c>
      <c r="AJ120">
        <v>24.51</v>
      </c>
      <c r="AK120">
        <v>12.65</v>
      </c>
      <c r="AL120">
        <v>-19.65225609999996</v>
      </c>
      <c r="AM120">
        <v>-43.906862663911163</v>
      </c>
      <c r="AN120">
        <v>-19.65225609999996</v>
      </c>
      <c r="AO120">
        <v>-43.906862663911149</v>
      </c>
      <c r="AP120">
        <v>-19.652244</v>
      </c>
      <c r="AQ120">
        <v>-43.906869</v>
      </c>
      <c r="AR120">
        <v>1.501852076897872</v>
      </c>
      <c r="AS120" t="s">
        <v>65</v>
      </c>
      <c r="AT120">
        <v>1</v>
      </c>
      <c r="AU120" t="s">
        <v>256</v>
      </c>
      <c r="AV120" t="s">
        <v>257</v>
      </c>
      <c r="AW120" t="s">
        <v>60</v>
      </c>
      <c r="AX120" t="s">
        <v>68</v>
      </c>
      <c r="AY120" t="s">
        <v>69</v>
      </c>
      <c r="AZ120" t="b">
        <v>1</v>
      </c>
    </row>
    <row r="121" spans="1:52" x14ac:dyDescent="0.3">
      <c r="A121" t="s">
        <v>52</v>
      </c>
      <c r="B121" t="s">
        <v>53</v>
      </c>
      <c r="C121" t="s">
        <v>54</v>
      </c>
      <c r="D121" t="s">
        <v>55</v>
      </c>
      <c r="E121" t="s">
        <v>616</v>
      </c>
      <c r="F121" t="s">
        <v>57</v>
      </c>
      <c r="G121" t="s">
        <v>622</v>
      </c>
      <c r="H121" t="s">
        <v>623</v>
      </c>
      <c r="I121" t="s">
        <v>623</v>
      </c>
      <c r="J121" t="s">
        <v>60</v>
      </c>
      <c r="K121" t="s">
        <v>219</v>
      </c>
      <c r="L121" t="s">
        <v>62</v>
      </c>
      <c r="M121" t="s">
        <v>219</v>
      </c>
      <c r="N121" t="s">
        <v>624</v>
      </c>
      <c r="O121" t="s">
        <v>113</v>
      </c>
      <c r="P121">
        <v>-19.670276999999999</v>
      </c>
      <c r="Q121">
        <v>-43.893808</v>
      </c>
      <c r="R121" s="2" t="str">
        <f>HYPERLINK("https://www.google.com/maps?q=-19.6702770,-43.8938080","Abrir no Google Maps")</f>
        <v>Abrir no Google Maps</v>
      </c>
      <c r="S121">
        <v>4</v>
      </c>
      <c r="T121">
        <v>846.9753608437735</v>
      </c>
      <c r="U121">
        <v>4</v>
      </c>
      <c r="V121">
        <v>0.51202323855201548</v>
      </c>
      <c r="W121">
        <v>1</v>
      </c>
      <c r="X121">
        <v>0.51202323855201548</v>
      </c>
      <c r="Y121">
        <v>1</v>
      </c>
      <c r="Z121">
        <v>600.43160852236622</v>
      </c>
      <c r="AA121">
        <v>2</v>
      </c>
      <c r="AB121">
        <v>3</v>
      </c>
      <c r="AC121">
        <v>7</v>
      </c>
      <c r="AD121">
        <v>26.56</v>
      </c>
      <c r="AE121">
        <v>253</v>
      </c>
      <c r="AF121">
        <v>17</v>
      </c>
      <c r="AG121">
        <v>62</v>
      </c>
      <c r="AH121">
        <v>32</v>
      </c>
      <c r="AI121">
        <v>6.72</v>
      </c>
      <c r="AJ121">
        <v>24.51</v>
      </c>
      <c r="AK121">
        <v>12.65</v>
      </c>
      <c r="AL121">
        <v>-19.670319349999971</v>
      </c>
      <c r="AM121">
        <v>-43.893716431206371</v>
      </c>
      <c r="AN121">
        <v>-19.670319349999971</v>
      </c>
      <c r="AO121">
        <v>-43.893716431206371</v>
      </c>
      <c r="AP121">
        <v>-19.670276999999999</v>
      </c>
      <c r="AQ121">
        <v>-43.893808</v>
      </c>
      <c r="AR121">
        <v>10.693863517034069</v>
      </c>
      <c r="AS121" t="s">
        <v>65</v>
      </c>
      <c r="AT121">
        <v>1</v>
      </c>
      <c r="AU121" t="s">
        <v>625</v>
      </c>
      <c r="AV121" t="s">
        <v>626</v>
      </c>
      <c r="AW121" t="s">
        <v>60</v>
      </c>
      <c r="AX121" t="s">
        <v>68</v>
      </c>
      <c r="AY121" t="s">
        <v>69</v>
      </c>
      <c r="AZ121" t="b">
        <v>1</v>
      </c>
    </row>
    <row r="122" spans="1:52" x14ac:dyDescent="0.3">
      <c r="A122" t="s">
        <v>52</v>
      </c>
      <c r="B122" t="s">
        <v>53</v>
      </c>
      <c r="C122" t="s">
        <v>54</v>
      </c>
      <c r="D122" t="s">
        <v>55</v>
      </c>
      <c r="E122" t="s">
        <v>616</v>
      </c>
      <c r="F122" t="s">
        <v>57</v>
      </c>
      <c r="G122" t="s">
        <v>217</v>
      </c>
      <c r="H122" t="s">
        <v>264</v>
      </c>
      <c r="I122" t="s">
        <v>264</v>
      </c>
      <c r="J122" t="s">
        <v>60</v>
      </c>
      <c r="K122" t="s">
        <v>219</v>
      </c>
      <c r="L122" t="s">
        <v>62</v>
      </c>
      <c r="M122" t="s">
        <v>219</v>
      </c>
      <c r="N122" t="s">
        <v>220</v>
      </c>
      <c r="O122" t="s">
        <v>265</v>
      </c>
      <c r="P122">
        <v>-19.668958</v>
      </c>
      <c r="Q122">
        <v>-43.890619999999998</v>
      </c>
      <c r="R122" s="2" t="str">
        <f>HYPERLINK("https://www.google.com/maps?q=-19.6689580,-43.8906200","Abrir no Google Maps")</f>
        <v>Abrir no Google Maps</v>
      </c>
      <c r="S122">
        <v>4</v>
      </c>
      <c r="T122">
        <v>893.53138484322108</v>
      </c>
      <c r="U122">
        <v>4</v>
      </c>
      <c r="V122">
        <v>0.51990322068856099</v>
      </c>
      <c r="W122">
        <v>1</v>
      </c>
      <c r="X122">
        <v>0.51990322068856099</v>
      </c>
      <c r="Y122">
        <v>1</v>
      </c>
      <c r="Z122">
        <v>336.68220024294959</v>
      </c>
      <c r="AA122">
        <v>2</v>
      </c>
      <c r="AB122">
        <v>3</v>
      </c>
      <c r="AC122">
        <v>7</v>
      </c>
      <c r="AD122">
        <v>26.56</v>
      </c>
      <c r="AE122">
        <v>253</v>
      </c>
      <c r="AF122">
        <v>17</v>
      </c>
      <c r="AG122">
        <v>62</v>
      </c>
      <c r="AH122">
        <v>32</v>
      </c>
      <c r="AI122">
        <v>6.72</v>
      </c>
      <c r="AJ122">
        <v>24.51</v>
      </c>
      <c r="AK122">
        <v>12.65</v>
      </c>
      <c r="AL122">
        <v>-19.669114549999961</v>
      </c>
      <c r="AM122">
        <v>-43.890740893526242</v>
      </c>
      <c r="AN122">
        <v>-19.669114549999961</v>
      </c>
      <c r="AO122">
        <v>-43.890740893526242</v>
      </c>
      <c r="AP122">
        <v>-19.668958</v>
      </c>
      <c r="AQ122">
        <v>-43.890619999999998</v>
      </c>
      <c r="AR122">
        <v>21.54764375256557</v>
      </c>
      <c r="AS122" t="s">
        <v>65</v>
      </c>
      <c r="AT122">
        <v>1</v>
      </c>
      <c r="AU122" t="s">
        <v>266</v>
      </c>
      <c r="AV122" t="s">
        <v>267</v>
      </c>
      <c r="AW122" t="s">
        <v>60</v>
      </c>
      <c r="AX122" t="s">
        <v>68</v>
      </c>
      <c r="AY122" t="s">
        <v>69</v>
      </c>
      <c r="AZ122" t="b">
        <v>1</v>
      </c>
    </row>
    <row r="123" spans="1:52" x14ac:dyDescent="0.3">
      <c r="A123" t="s">
        <v>52</v>
      </c>
      <c r="B123" t="s">
        <v>53</v>
      </c>
      <c r="C123" t="s">
        <v>54</v>
      </c>
      <c r="D123" t="s">
        <v>55</v>
      </c>
      <c r="E123" t="s">
        <v>616</v>
      </c>
      <c r="F123" t="s">
        <v>57</v>
      </c>
      <c r="G123" t="s">
        <v>268</v>
      </c>
      <c r="H123" t="s">
        <v>269</v>
      </c>
      <c r="I123" t="s">
        <v>269</v>
      </c>
      <c r="J123" t="s">
        <v>60</v>
      </c>
      <c r="K123" t="s">
        <v>164</v>
      </c>
      <c r="L123" t="s">
        <v>62</v>
      </c>
      <c r="M123" t="s">
        <v>164</v>
      </c>
      <c r="N123" t="s">
        <v>270</v>
      </c>
      <c r="O123" t="s">
        <v>113</v>
      </c>
      <c r="P123">
        <v>-19.648771</v>
      </c>
      <c r="Q123">
        <v>-43.903640000000003</v>
      </c>
      <c r="R123" s="2" t="str">
        <f>HYPERLINK("https://www.google.com/maps?q=-19.6487710,-43.9036400","Abrir no Google Maps")</f>
        <v>Abrir no Google Maps</v>
      </c>
      <c r="S123">
        <v>4</v>
      </c>
      <c r="T123">
        <v>206.63717887005251</v>
      </c>
      <c r="U123">
        <v>4</v>
      </c>
      <c r="V123">
        <v>0.52984139177724732</v>
      </c>
      <c r="W123">
        <v>1</v>
      </c>
      <c r="X123">
        <v>0.52984139177724732</v>
      </c>
      <c r="Y123">
        <v>1</v>
      </c>
      <c r="Z123">
        <v>200.80459056276209</v>
      </c>
      <c r="AA123">
        <v>2</v>
      </c>
      <c r="AB123">
        <v>3</v>
      </c>
      <c r="AC123">
        <v>7</v>
      </c>
      <c r="AD123">
        <v>26.56</v>
      </c>
      <c r="AE123">
        <v>253</v>
      </c>
      <c r="AF123">
        <v>17</v>
      </c>
      <c r="AG123">
        <v>62</v>
      </c>
      <c r="AH123">
        <v>32</v>
      </c>
      <c r="AI123">
        <v>6.72</v>
      </c>
      <c r="AJ123">
        <v>24.51</v>
      </c>
      <c r="AK123">
        <v>12.65</v>
      </c>
      <c r="AL123">
        <v>-19.648938299999969</v>
      </c>
      <c r="AM123">
        <v>-43.903687287450857</v>
      </c>
      <c r="AN123">
        <v>-19.648938299999969</v>
      </c>
      <c r="AO123">
        <v>-43.903687287450857</v>
      </c>
      <c r="AP123">
        <v>-19.648771</v>
      </c>
      <c r="AQ123">
        <v>-43.903640000000003</v>
      </c>
      <c r="AR123">
        <v>19.272369946853829</v>
      </c>
      <c r="AS123" t="s">
        <v>65</v>
      </c>
      <c r="AT123">
        <v>1</v>
      </c>
      <c r="AU123" t="s">
        <v>271</v>
      </c>
      <c r="AV123" t="s">
        <v>272</v>
      </c>
      <c r="AW123" t="s">
        <v>60</v>
      </c>
      <c r="AX123" t="s">
        <v>68</v>
      </c>
      <c r="AY123" t="s">
        <v>69</v>
      </c>
      <c r="AZ123" t="b">
        <v>1</v>
      </c>
    </row>
    <row r="124" spans="1:52" x14ac:dyDescent="0.3">
      <c r="A124" t="s">
        <v>52</v>
      </c>
      <c r="B124" t="s">
        <v>53</v>
      </c>
      <c r="C124" t="s">
        <v>54</v>
      </c>
      <c r="D124" t="s">
        <v>55</v>
      </c>
      <c r="E124" t="s">
        <v>616</v>
      </c>
      <c r="F124" t="s">
        <v>57</v>
      </c>
      <c r="G124" t="s">
        <v>162</v>
      </c>
      <c r="H124" t="s">
        <v>163</v>
      </c>
      <c r="I124" t="s">
        <v>163</v>
      </c>
      <c r="J124" t="s">
        <v>60</v>
      </c>
      <c r="K124" t="s">
        <v>164</v>
      </c>
      <c r="L124" t="s">
        <v>62</v>
      </c>
      <c r="M124" t="s">
        <v>164</v>
      </c>
      <c r="N124" t="s">
        <v>165</v>
      </c>
      <c r="O124" t="s">
        <v>166</v>
      </c>
      <c r="P124">
        <v>-19.650033000000001</v>
      </c>
      <c r="Q124">
        <v>-43.904634000000001</v>
      </c>
      <c r="R124" s="2" t="str">
        <f>HYPERLINK("https://www.google.com/maps?q=-19.6500330,-43.9046340","Abrir no Google Maps")</f>
        <v>Abrir no Google Maps</v>
      </c>
      <c r="S124">
        <v>4</v>
      </c>
      <c r="T124">
        <v>343.61469317865811</v>
      </c>
      <c r="U124">
        <v>4</v>
      </c>
      <c r="V124">
        <v>0.5357242971390882</v>
      </c>
      <c r="W124">
        <v>1</v>
      </c>
      <c r="X124">
        <v>0.5357242971390882</v>
      </c>
      <c r="Y124">
        <v>1</v>
      </c>
      <c r="Z124">
        <v>351.81960241626399</v>
      </c>
      <c r="AA124">
        <v>2</v>
      </c>
      <c r="AB124">
        <v>3</v>
      </c>
      <c r="AC124">
        <v>7</v>
      </c>
      <c r="AD124">
        <v>26.56</v>
      </c>
      <c r="AE124">
        <v>253</v>
      </c>
      <c r="AF124">
        <v>17</v>
      </c>
      <c r="AG124">
        <v>62</v>
      </c>
      <c r="AH124">
        <v>32</v>
      </c>
      <c r="AI124">
        <v>6.72</v>
      </c>
      <c r="AJ124">
        <v>24.51</v>
      </c>
      <c r="AK124">
        <v>12.65</v>
      </c>
      <c r="AL124">
        <v>-19.650065899999959</v>
      </c>
      <c r="AM124">
        <v>-43.904619920569793</v>
      </c>
      <c r="AN124">
        <v>-19.650065899999959</v>
      </c>
      <c r="AO124">
        <v>-43.904619920569793</v>
      </c>
      <c r="AP124">
        <v>-19.650033000000001</v>
      </c>
      <c r="AQ124">
        <v>-43.904634000000001</v>
      </c>
      <c r="AR124">
        <v>3.9486827164921792</v>
      </c>
      <c r="AS124" t="s">
        <v>65</v>
      </c>
      <c r="AT124">
        <v>1</v>
      </c>
      <c r="AU124" t="s">
        <v>167</v>
      </c>
      <c r="AV124" t="s">
        <v>168</v>
      </c>
      <c r="AW124" t="s">
        <v>60</v>
      </c>
      <c r="AX124" t="s">
        <v>68</v>
      </c>
      <c r="AY124" t="s">
        <v>69</v>
      </c>
      <c r="AZ124" t="b">
        <v>1</v>
      </c>
    </row>
    <row r="125" spans="1:52" x14ac:dyDescent="0.3">
      <c r="A125" t="s">
        <v>52</v>
      </c>
      <c r="B125" t="s">
        <v>53</v>
      </c>
      <c r="C125" t="s">
        <v>54</v>
      </c>
      <c r="D125" t="s">
        <v>55</v>
      </c>
      <c r="E125" t="s">
        <v>616</v>
      </c>
      <c r="F125" t="s">
        <v>57</v>
      </c>
      <c r="G125" t="s">
        <v>273</v>
      </c>
      <c r="H125" t="s">
        <v>274</v>
      </c>
      <c r="I125" t="s">
        <v>274</v>
      </c>
      <c r="J125" t="s">
        <v>60</v>
      </c>
      <c r="K125" t="s">
        <v>171</v>
      </c>
      <c r="L125" t="s">
        <v>62</v>
      </c>
      <c r="M125" t="s">
        <v>171</v>
      </c>
      <c r="N125" t="s">
        <v>275</v>
      </c>
      <c r="O125" t="s">
        <v>276</v>
      </c>
      <c r="P125">
        <v>-19.679956000000001</v>
      </c>
      <c r="Q125">
        <v>-43.888520999999997</v>
      </c>
      <c r="R125" s="2" t="str">
        <f>HYPERLINK("https://www.google.com/maps?q=-19.6799560,-43.8885210","Abrir no Google Maps")</f>
        <v>Abrir no Google Maps</v>
      </c>
      <c r="S125">
        <v>4</v>
      </c>
      <c r="T125">
        <v>346.2974251077423</v>
      </c>
      <c r="U125">
        <v>4</v>
      </c>
      <c r="V125">
        <v>0.48908212560386471</v>
      </c>
      <c r="W125">
        <v>1</v>
      </c>
      <c r="X125">
        <v>0.48908212560386471</v>
      </c>
      <c r="Y125">
        <v>0</v>
      </c>
      <c r="Z125">
        <v>223.68420981797229</v>
      </c>
      <c r="AA125">
        <v>2</v>
      </c>
      <c r="AB125">
        <v>3</v>
      </c>
      <c r="AC125">
        <v>7</v>
      </c>
      <c r="AD125">
        <v>26.56</v>
      </c>
      <c r="AE125">
        <v>253</v>
      </c>
      <c r="AF125">
        <v>17</v>
      </c>
      <c r="AG125">
        <v>62</v>
      </c>
      <c r="AH125">
        <v>32</v>
      </c>
      <c r="AI125">
        <v>6.72</v>
      </c>
      <c r="AJ125">
        <v>24.51</v>
      </c>
      <c r="AK125">
        <v>12.65</v>
      </c>
      <c r="AL125">
        <v>-19.67989189999998</v>
      </c>
      <c r="AM125">
        <v>-43.888485157753777</v>
      </c>
      <c r="AN125">
        <v>-19.67989189999998</v>
      </c>
      <c r="AO125">
        <v>-43.888485157753777</v>
      </c>
      <c r="AP125">
        <v>-19.679956000000001</v>
      </c>
      <c r="AQ125">
        <v>-43.888520999999997</v>
      </c>
      <c r="AR125">
        <v>8.0641961934087583</v>
      </c>
      <c r="AS125" t="s">
        <v>65</v>
      </c>
      <c r="AT125">
        <v>1</v>
      </c>
      <c r="AU125" t="s">
        <v>277</v>
      </c>
      <c r="AV125" t="s">
        <v>278</v>
      </c>
      <c r="AW125" t="s">
        <v>60</v>
      </c>
      <c r="AX125" t="s">
        <v>68</v>
      </c>
      <c r="AY125" t="s">
        <v>69</v>
      </c>
      <c r="AZ125" t="b">
        <v>1</v>
      </c>
    </row>
    <row r="126" spans="1:52" x14ac:dyDescent="0.3">
      <c r="A126" t="s">
        <v>52</v>
      </c>
      <c r="B126" t="s">
        <v>53</v>
      </c>
      <c r="C126" t="s">
        <v>54</v>
      </c>
      <c r="D126" t="s">
        <v>55</v>
      </c>
      <c r="E126" t="s">
        <v>616</v>
      </c>
      <c r="F126" t="s">
        <v>57</v>
      </c>
      <c r="G126" t="s">
        <v>279</v>
      </c>
      <c r="H126" t="s">
        <v>280</v>
      </c>
      <c r="I126" t="s">
        <v>280</v>
      </c>
      <c r="J126" t="s">
        <v>60</v>
      </c>
      <c r="K126" t="s">
        <v>171</v>
      </c>
      <c r="L126" t="s">
        <v>62</v>
      </c>
      <c r="M126" t="s">
        <v>171</v>
      </c>
      <c r="N126" t="s">
        <v>281</v>
      </c>
      <c r="O126" t="s">
        <v>282</v>
      </c>
      <c r="P126">
        <v>-19.677088000000001</v>
      </c>
      <c r="Q126">
        <v>-43.890014000000001</v>
      </c>
      <c r="R126" s="2" t="str">
        <f>HYPERLINK("https://www.google.com/maps?q=-19.6770880,-43.8900140","Abrir no Google Maps")</f>
        <v>Abrir no Google Maps</v>
      </c>
      <c r="S126">
        <v>4</v>
      </c>
      <c r="T126">
        <v>0</v>
      </c>
      <c r="U126">
        <v>4</v>
      </c>
      <c r="V126">
        <v>0.49137678327144813</v>
      </c>
      <c r="W126">
        <v>1</v>
      </c>
      <c r="X126">
        <v>0.49137678327144813</v>
      </c>
      <c r="Y126">
        <v>0</v>
      </c>
      <c r="Z126">
        <v>151.75635194559609</v>
      </c>
      <c r="AA126">
        <v>2</v>
      </c>
      <c r="AB126">
        <v>3</v>
      </c>
      <c r="AC126">
        <v>7</v>
      </c>
      <c r="AD126">
        <v>26.56</v>
      </c>
      <c r="AE126">
        <v>253</v>
      </c>
      <c r="AF126">
        <v>17</v>
      </c>
      <c r="AG126">
        <v>62</v>
      </c>
      <c r="AH126">
        <v>32</v>
      </c>
      <c r="AI126">
        <v>6.72</v>
      </c>
      <c r="AJ126">
        <v>24.51</v>
      </c>
      <c r="AK126">
        <v>12.65</v>
      </c>
      <c r="AL126">
        <v>-19.677165649999949</v>
      </c>
      <c r="AM126">
        <v>-43.890106299611283</v>
      </c>
      <c r="AN126">
        <v>-19.677165649999949</v>
      </c>
      <c r="AO126">
        <v>-43.890106299611283</v>
      </c>
      <c r="AP126">
        <v>-19.677088000000001</v>
      </c>
      <c r="AQ126">
        <v>-43.890014000000001</v>
      </c>
      <c r="AR126">
        <v>12.973833126778279</v>
      </c>
      <c r="AS126" t="s">
        <v>65</v>
      </c>
      <c r="AT126">
        <v>1</v>
      </c>
      <c r="AU126" t="s">
        <v>283</v>
      </c>
      <c r="AV126" t="s">
        <v>175</v>
      </c>
      <c r="AW126" t="s">
        <v>60</v>
      </c>
      <c r="AX126" t="s">
        <v>68</v>
      </c>
      <c r="AY126" t="s">
        <v>69</v>
      </c>
      <c r="AZ126" t="b">
        <v>1</v>
      </c>
    </row>
    <row r="127" spans="1:52" x14ac:dyDescent="0.3">
      <c r="A127" t="s">
        <v>52</v>
      </c>
      <c r="B127" t="s">
        <v>53</v>
      </c>
      <c r="C127" t="s">
        <v>54</v>
      </c>
      <c r="D127" t="s">
        <v>55</v>
      </c>
      <c r="E127" t="s">
        <v>616</v>
      </c>
      <c r="F127" t="s">
        <v>176</v>
      </c>
      <c r="G127" t="s">
        <v>97</v>
      </c>
      <c r="H127" t="s">
        <v>98</v>
      </c>
      <c r="I127" t="s">
        <v>98</v>
      </c>
      <c r="J127" t="s">
        <v>60</v>
      </c>
      <c r="K127" t="s">
        <v>99</v>
      </c>
      <c r="L127" t="s">
        <v>62</v>
      </c>
      <c r="M127" t="s">
        <v>99</v>
      </c>
      <c r="N127" t="s">
        <v>100</v>
      </c>
      <c r="O127" t="s">
        <v>101</v>
      </c>
      <c r="P127">
        <v>-19.629822000000001</v>
      </c>
      <c r="Q127">
        <v>-43.905341</v>
      </c>
      <c r="R127" s="2" t="str">
        <f>HYPERLINK("https://www.google.com/maps?q=-19.6298220,-43.9053410","Abrir no Google Maps")</f>
        <v>Abrir no Google Maps</v>
      </c>
      <c r="S127">
        <v>4</v>
      </c>
      <c r="T127">
        <v>441.30597341744129</v>
      </c>
      <c r="U127">
        <v>3</v>
      </c>
      <c r="V127">
        <v>0.4779859473011232</v>
      </c>
      <c r="W127">
        <v>1</v>
      </c>
      <c r="X127">
        <v>0.4779859473011232</v>
      </c>
      <c r="Y127">
        <v>10</v>
      </c>
      <c r="Z127">
        <v>513.56493751010987</v>
      </c>
      <c r="AA127">
        <v>2</v>
      </c>
      <c r="AB127">
        <v>3</v>
      </c>
      <c r="AC127">
        <v>7</v>
      </c>
      <c r="AD127">
        <v>26.56</v>
      </c>
      <c r="AE127">
        <v>253</v>
      </c>
      <c r="AF127">
        <v>17</v>
      </c>
      <c r="AG127">
        <v>62</v>
      </c>
      <c r="AH127">
        <v>32</v>
      </c>
      <c r="AI127">
        <v>6.72</v>
      </c>
      <c r="AJ127">
        <v>24.51</v>
      </c>
      <c r="AK127">
        <v>12.65</v>
      </c>
      <c r="AL127">
        <v>-19.629671599999941</v>
      </c>
      <c r="AM127">
        <v>-43.905369597920988</v>
      </c>
      <c r="AN127">
        <v>-19.629671599999931</v>
      </c>
      <c r="AO127">
        <v>-43.905369597920988</v>
      </c>
      <c r="AP127">
        <v>-19.629822000000001</v>
      </c>
      <c r="AQ127">
        <v>-43.905341</v>
      </c>
      <c r="AR127">
        <v>17.008917699186132</v>
      </c>
      <c r="AS127" t="s">
        <v>65</v>
      </c>
      <c r="AT127">
        <v>1</v>
      </c>
      <c r="AU127" t="s">
        <v>102</v>
      </c>
      <c r="AV127" t="s">
        <v>103</v>
      </c>
      <c r="AW127" t="s">
        <v>60</v>
      </c>
      <c r="AX127" t="s">
        <v>68</v>
      </c>
      <c r="AY127" t="s">
        <v>69</v>
      </c>
      <c r="AZ127" t="b">
        <v>1</v>
      </c>
    </row>
    <row r="128" spans="1:52" x14ac:dyDescent="0.3">
      <c r="A128" t="s">
        <v>52</v>
      </c>
      <c r="B128" t="s">
        <v>53</v>
      </c>
      <c r="C128" t="s">
        <v>54</v>
      </c>
      <c r="D128" t="s">
        <v>55</v>
      </c>
      <c r="E128" t="s">
        <v>616</v>
      </c>
      <c r="F128" t="s">
        <v>176</v>
      </c>
      <c r="G128" t="s">
        <v>177</v>
      </c>
      <c r="H128" t="s">
        <v>178</v>
      </c>
      <c r="I128" t="s">
        <v>178</v>
      </c>
      <c r="J128" t="s">
        <v>60</v>
      </c>
      <c r="K128" t="s">
        <v>179</v>
      </c>
      <c r="L128" t="s">
        <v>62</v>
      </c>
      <c r="M128" t="s">
        <v>179</v>
      </c>
      <c r="N128" t="s">
        <v>180</v>
      </c>
      <c r="O128" t="s">
        <v>120</v>
      </c>
      <c r="P128">
        <v>-19.651526</v>
      </c>
      <c r="Q128">
        <v>-43.891382999999998</v>
      </c>
      <c r="R128" s="2" t="str">
        <f>HYPERLINK("https://www.google.com/maps?q=-19.6515260,-43.8913830","Abrir no Google Maps")</f>
        <v>Abrir no Google Maps</v>
      </c>
      <c r="S128">
        <v>4</v>
      </c>
      <c r="T128">
        <v>925.67779296789433</v>
      </c>
      <c r="U128">
        <v>3</v>
      </c>
      <c r="V128">
        <v>0.45646986846130322</v>
      </c>
      <c r="W128">
        <v>1</v>
      </c>
      <c r="X128">
        <v>0.45646986846130322</v>
      </c>
      <c r="Y128">
        <v>7</v>
      </c>
      <c r="Z128">
        <v>1193.102297436121</v>
      </c>
      <c r="AA128">
        <v>2</v>
      </c>
      <c r="AB128">
        <v>3</v>
      </c>
      <c r="AC128">
        <v>7</v>
      </c>
      <c r="AD128">
        <v>26.56</v>
      </c>
      <c r="AE128">
        <v>253</v>
      </c>
      <c r="AF128">
        <v>17</v>
      </c>
      <c r="AG128">
        <v>62</v>
      </c>
      <c r="AH128">
        <v>32</v>
      </c>
      <c r="AI128">
        <v>6.72</v>
      </c>
      <c r="AJ128">
        <v>24.51</v>
      </c>
      <c r="AK128">
        <v>12.65</v>
      </c>
      <c r="AL128">
        <v>-19.651590199999958</v>
      </c>
      <c r="AM128">
        <v>-43.891399191449963</v>
      </c>
      <c r="AN128">
        <v>-19.651590199999958</v>
      </c>
      <c r="AO128">
        <v>-43.891399191449963</v>
      </c>
      <c r="AP128">
        <v>-19.651526</v>
      </c>
      <c r="AQ128">
        <v>-43.891382999999998</v>
      </c>
      <c r="AR128">
        <v>7.3455622550785931</v>
      </c>
      <c r="AS128" t="s">
        <v>65</v>
      </c>
      <c r="AT128">
        <v>1</v>
      </c>
      <c r="AU128" t="s">
        <v>181</v>
      </c>
      <c r="AV128" t="s">
        <v>182</v>
      </c>
      <c r="AW128" t="s">
        <v>60</v>
      </c>
      <c r="AX128" t="s">
        <v>68</v>
      </c>
      <c r="AY128" t="s">
        <v>69</v>
      </c>
      <c r="AZ128" t="b">
        <v>1</v>
      </c>
    </row>
    <row r="129" spans="1:52" x14ac:dyDescent="0.3">
      <c r="A129" t="s">
        <v>52</v>
      </c>
      <c r="B129" t="s">
        <v>53</v>
      </c>
      <c r="C129" t="s">
        <v>54</v>
      </c>
      <c r="D129" t="s">
        <v>55</v>
      </c>
      <c r="E129" t="s">
        <v>616</v>
      </c>
      <c r="F129" t="s">
        <v>176</v>
      </c>
      <c r="G129" t="s">
        <v>104</v>
      </c>
      <c r="H129" t="s">
        <v>105</v>
      </c>
      <c r="I129" t="s">
        <v>105</v>
      </c>
      <c r="J129" t="s">
        <v>60</v>
      </c>
      <c r="K129" t="s">
        <v>99</v>
      </c>
      <c r="L129" t="s">
        <v>62</v>
      </c>
      <c r="M129" t="s">
        <v>99</v>
      </c>
      <c r="N129" t="s">
        <v>106</v>
      </c>
      <c r="O129" t="s">
        <v>107</v>
      </c>
      <c r="P129">
        <v>-19.627993</v>
      </c>
      <c r="Q129">
        <v>-43.904820000000001</v>
      </c>
      <c r="R129" s="2" t="str">
        <f>HYPERLINK("https://www.google.com/maps?q=-19.6279930,-43.9048200","Abrir no Google Maps")</f>
        <v>Abrir no Google Maps</v>
      </c>
      <c r="S129">
        <v>4</v>
      </c>
      <c r="T129">
        <v>573.16526621674666</v>
      </c>
      <c r="U129">
        <v>3</v>
      </c>
      <c r="V129">
        <v>0.43434565641055928</v>
      </c>
      <c r="W129">
        <v>1</v>
      </c>
      <c r="X129">
        <v>0.43434565641055928</v>
      </c>
      <c r="Y129">
        <v>7</v>
      </c>
      <c r="Z129">
        <v>659.04372306144853</v>
      </c>
      <c r="AA129">
        <v>2</v>
      </c>
      <c r="AB129">
        <v>3</v>
      </c>
      <c r="AC129">
        <v>7</v>
      </c>
      <c r="AD129">
        <v>26.56</v>
      </c>
      <c r="AE129">
        <v>253</v>
      </c>
      <c r="AF129">
        <v>17</v>
      </c>
      <c r="AG129">
        <v>62</v>
      </c>
      <c r="AH129">
        <v>32</v>
      </c>
      <c r="AI129">
        <v>6.72</v>
      </c>
      <c r="AJ129">
        <v>24.51</v>
      </c>
      <c r="AK129">
        <v>12.65</v>
      </c>
      <c r="AL129">
        <v>-19.627956249999951</v>
      </c>
      <c r="AM129">
        <v>-43.904807634206207</v>
      </c>
      <c r="AN129">
        <v>-19.627956249999951</v>
      </c>
      <c r="AO129">
        <v>-43.904807634206207</v>
      </c>
      <c r="AP129">
        <v>-19.627993</v>
      </c>
      <c r="AQ129">
        <v>-43.904820000000001</v>
      </c>
      <c r="AR129">
        <v>4.291557430205998</v>
      </c>
      <c r="AS129" t="s">
        <v>65</v>
      </c>
      <c r="AT129">
        <v>1</v>
      </c>
      <c r="AU129" t="s">
        <v>108</v>
      </c>
      <c r="AV129" t="s">
        <v>103</v>
      </c>
      <c r="AW129" t="s">
        <v>60</v>
      </c>
      <c r="AX129" t="s">
        <v>68</v>
      </c>
      <c r="AY129" t="s">
        <v>69</v>
      </c>
      <c r="AZ129" t="b">
        <v>1</v>
      </c>
    </row>
    <row r="130" spans="1:52" x14ac:dyDescent="0.3">
      <c r="A130" t="s">
        <v>52</v>
      </c>
      <c r="B130" t="s">
        <v>53</v>
      </c>
      <c r="C130" t="s">
        <v>54</v>
      </c>
      <c r="D130" t="s">
        <v>55</v>
      </c>
      <c r="E130" t="s">
        <v>616</v>
      </c>
      <c r="F130" t="s">
        <v>176</v>
      </c>
      <c r="G130" t="s">
        <v>190</v>
      </c>
      <c r="H130" t="s">
        <v>191</v>
      </c>
      <c r="I130" t="s">
        <v>191</v>
      </c>
      <c r="J130" t="s">
        <v>60</v>
      </c>
      <c r="K130" t="s">
        <v>192</v>
      </c>
      <c r="L130" t="s">
        <v>62</v>
      </c>
      <c r="M130" t="s">
        <v>192</v>
      </c>
      <c r="N130" t="s">
        <v>193</v>
      </c>
      <c r="O130" t="s">
        <v>194</v>
      </c>
      <c r="P130">
        <v>-19.654112000000001</v>
      </c>
      <c r="Q130">
        <v>-43.910761999999998</v>
      </c>
      <c r="R130" s="2" t="str">
        <f>HYPERLINK("https://www.google.com/maps?q=-19.6541120,-43.9107620","Abrir no Google Maps")</f>
        <v>Abrir no Google Maps</v>
      </c>
      <c r="S130">
        <v>4</v>
      </c>
      <c r="T130">
        <v>1080.0524626304521</v>
      </c>
      <c r="U130">
        <v>3</v>
      </c>
      <c r="V130">
        <v>0.4437308282208588</v>
      </c>
      <c r="W130">
        <v>1</v>
      </c>
      <c r="X130">
        <v>0.4437308282208588</v>
      </c>
      <c r="Y130">
        <v>4</v>
      </c>
      <c r="Z130">
        <v>666.99022879086885</v>
      </c>
      <c r="AA130">
        <v>2</v>
      </c>
      <c r="AB130">
        <v>3</v>
      </c>
      <c r="AC130">
        <v>7</v>
      </c>
      <c r="AD130">
        <v>26.56</v>
      </c>
      <c r="AE130">
        <v>253</v>
      </c>
      <c r="AF130">
        <v>17</v>
      </c>
      <c r="AG130">
        <v>62</v>
      </c>
      <c r="AH130">
        <v>32</v>
      </c>
      <c r="AI130">
        <v>6.72</v>
      </c>
      <c r="AJ130">
        <v>24.51</v>
      </c>
      <c r="AK130">
        <v>12.65</v>
      </c>
      <c r="AL130">
        <v>-19.653869149999959</v>
      </c>
      <c r="AM130">
        <v>-43.911142816432779</v>
      </c>
      <c r="AN130">
        <v>-19.653869149999959</v>
      </c>
      <c r="AO130">
        <v>-43.911142816432779</v>
      </c>
      <c r="AP130">
        <v>-19.654112000000001</v>
      </c>
      <c r="AQ130">
        <v>-43.910761999999998</v>
      </c>
      <c r="AR130">
        <v>48.214810864237499</v>
      </c>
      <c r="AS130" t="s">
        <v>65</v>
      </c>
      <c r="AT130">
        <v>1</v>
      </c>
      <c r="AU130" t="s">
        <v>195</v>
      </c>
      <c r="AV130" t="s">
        <v>196</v>
      </c>
      <c r="AW130" t="s">
        <v>60</v>
      </c>
      <c r="AX130" t="s">
        <v>68</v>
      </c>
      <c r="AY130" t="s">
        <v>69</v>
      </c>
      <c r="AZ130" t="b">
        <v>1</v>
      </c>
    </row>
    <row r="131" spans="1:52" x14ac:dyDescent="0.3">
      <c r="A131" t="s">
        <v>52</v>
      </c>
      <c r="B131" t="s">
        <v>53</v>
      </c>
      <c r="C131" t="s">
        <v>54</v>
      </c>
      <c r="D131" t="s">
        <v>55</v>
      </c>
      <c r="E131" t="s">
        <v>616</v>
      </c>
      <c r="F131" t="s">
        <v>176</v>
      </c>
      <c r="G131" t="s">
        <v>204</v>
      </c>
      <c r="H131" t="s">
        <v>205</v>
      </c>
      <c r="I131" t="s">
        <v>205</v>
      </c>
      <c r="J131" t="s">
        <v>60</v>
      </c>
      <c r="K131" t="s">
        <v>171</v>
      </c>
      <c r="L131" t="s">
        <v>62</v>
      </c>
      <c r="M131" t="s">
        <v>171</v>
      </c>
      <c r="N131" t="s">
        <v>206</v>
      </c>
      <c r="O131" t="s">
        <v>207</v>
      </c>
      <c r="P131">
        <v>-19.674109000000001</v>
      </c>
      <c r="Q131">
        <v>-43.890711000000003</v>
      </c>
      <c r="R131" s="2" t="str">
        <f>HYPERLINK("https://www.google.com/maps?q=-19.6741090,-43.8907110","Abrir no Google Maps")</f>
        <v>Abrir no Google Maps</v>
      </c>
      <c r="S131">
        <v>4</v>
      </c>
      <c r="T131">
        <v>396.53059443764772</v>
      </c>
      <c r="U131">
        <v>3</v>
      </c>
      <c r="V131">
        <v>0.47681545636242501</v>
      </c>
      <c r="W131">
        <v>1</v>
      </c>
      <c r="X131">
        <v>0.47681545636242501</v>
      </c>
      <c r="Y131">
        <v>3</v>
      </c>
      <c r="Z131">
        <v>499.22520255557538</v>
      </c>
      <c r="AA131">
        <v>2</v>
      </c>
      <c r="AB131">
        <v>3</v>
      </c>
      <c r="AC131">
        <v>7</v>
      </c>
      <c r="AD131">
        <v>26.56</v>
      </c>
      <c r="AE131">
        <v>253</v>
      </c>
      <c r="AF131">
        <v>17</v>
      </c>
      <c r="AG131">
        <v>62</v>
      </c>
      <c r="AH131">
        <v>32</v>
      </c>
      <c r="AI131">
        <v>6.72</v>
      </c>
      <c r="AJ131">
        <v>24.51</v>
      </c>
      <c r="AK131">
        <v>12.65</v>
      </c>
      <c r="AL131">
        <v>-19.67362479999997</v>
      </c>
      <c r="AM131">
        <v>-43.89068378253377</v>
      </c>
      <c r="AN131">
        <v>-19.67362479999997</v>
      </c>
      <c r="AO131">
        <v>-43.89068378253377</v>
      </c>
      <c r="AP131">
        <v>-19.674109000000001</v>
      </c>
      <c r="AQ131">
        <v>-43.890711000000003</v>
      </c>
      <c r="AR131">
        <v>53.976595260276227</v>
      </c>
      <c r="AS131" t="s">
        <v>65</v>
      </c>
      <c r="AT131">
        <v>1</v>
      </c>
      <c r="AU131" t="s">
        <v>208</v>
      </c>
      <c r="AV131" t="s">
        <v>209</v>
      </c>
      <c r="AW131" t="s">
        <v>60</v>
      </c>
      <c r="AX131" t="s">
        <v>68</v>
      </c>
      <c r="AY131" t="s">
        <v>69</v>
      </c>
      <c r="AZ131" t="b">
        <v>1</v>
      </c>
    </row>
    <row r="132" spans="1:52" x14ac:dyDescent="0.3">
      <c r="A132" t="s">
        <v>52</v>
      </c>
      <c r="B132" t="s">
        <v>53</v>
      </c>
      <c r="C132" t="s">
        <v>54</v>
      </c>
      <c r="D132" t="s">
        <v>55</v>
      </c>
      <c r="E132" t="s">
        <v>616</v>
      </c>
      <c r="F132" t="s">
        <v>176</v>
      </c>
      <c r="G132" t="s">
        <v>438</v>
      </c>
      <c r="H132" t="s">
        <v>627</v>
      </c>
      <c r="I132" t="s">
        <v>627</v>
      </c>
      <c r="J132" t="s">
        <v>60</v>
      </c>
      <c r="K132" t="s">
        <v>628</v>
      </c>
      <c r="L132" t="s">
        <v>62</v>
      </c>
      <c r="M132" t="s">
        <v>628</v>
      </c>
      <c r="N132" t="s">
        <v>629</v>
      </c>
      <c r="O132" t="s">
        <v>120</v>
      </c>
      <c r="P132">
        <v>-19.628743</v>
      </c>
      <c r="Q132">
        <v>-43.943513000000003</v>
      </c>
      <c r="R132" s="2" t="str">
        <f>HYPERLINK("https://www.google.com/maps?q=-19.6287430,-43.9435130","Abrir no Google Maps")</f>
        <v>Abrir no Google Maps</v>
      </c>
      <c r="S132">
        <v>4</v>
      </c>
      <c r="T132">
        <v>3557.9101481053699</v>
      </c>
      <c r="U132">
        <v>3</v>
      </c>
      <c r="V132">
        <v>0.5056532425789374</v>
      </c>
      <c r="W132">
        <v>0.85</v>
      </c>
      <c r="X132">
        <v>0.42980525619209681</v>
      </c>
      <c r="Y132">
        <v>3</v>
      </c>
      <c r="Z132">
        <v>2502.7249183190038</v>
      </c>
      <c r="AA132">
        <v>2</v>
      </c>
      <c r="AB132">
        <v>3</v>
      </c>
      <c r="AC132">
        <v>7</v>
      </c>
      <c r="AD132">
        <v>26.56</v>
      </c>
      <c r="AE132">
        <v>253</v>
      </c>
      <c r="AF132">
        <v>17</v>
      </c>
      <c r="AG132">
        <v>62</v>
      </c>
      <c r="AH132">
        <v>32</v>
      </c>
      <c r="AI132">
        <v>6.72</v>
      </c>
      <c r="AJ132">
        <v>24.51</v>
      </c>
      <c r="AK132">
        <v>12.65</v>
      </c>
      <c r="AL132">
        <v>-19.629071349999951</v>
      </c>
      <c r="AM132">
        <v>-43.948698793409463</v>
      </c>
      <c r="AN132">
        <v>-19.629071349999951</v>
      </c>
      <c r="AO132">
        <v>-43.948698793409463</v>
      </c>
      <c r="AP132">
        <v>-19.628743</v>
      </c>
      <c r="AQ132">
        <v>-43.943513000000003</v>
      </c>
      <c r="AR132">
        <v>544.96217050785538</v>
      </c>
      <c r="AS132" t="s">
        <v>65</v>
      </c>
      <c r="AT132">
        <v>1</v>
      </c>
      <c r="AU132" t="s">
        <v>630</v>
      </c>
      <c r="AV132" t="s">
        <v>631</v>
      </c>
      <c r="AW132" t="s">
        <v>60</v>
      </c>
      <c r="AX132" t="s">
        <v>68</v>
      </c>
      <c r="AY132" t="s">
        <v>69</v>
      </c>
      <c r="AZ132" t="b">
        <v>1</v>
      </c>
    </row>
    <row r="133" spans="1:52" x14ac:dyDescent="0.3">
      <c r="A133" t="s">
        <v>52</v>
      </c>
      <c r="B133" t="s">
        <v>53</v>
      </c>
      <c r="C133" t="s">
        <v>54</v>
      </c>
      <c r="D133" t="s">
        <v>55</v>
      </c>
      <c r="E133" t="s">
        <v>616</v>
      </c>
      <c r="F133" t="s">
        <v>176</v>
      </c>
      <c r="G133" t="s">
        <v>151</v>
      </c>
      <c r="H133" t="s">
        <v>152</v>
      </c>
      <c r="I133" t="s">
        <v>152</v>
      </c>
      <c r="J133" t="s">
        <v>60</v>
      </c>
      <c r="K133" t="s">
        <v>72</v>
      </c>
      <c r="L133" t="s">
        <v>62</v>
      </c>
      <c r="M133" t="s">
        <v>72</v>
      </c>
      <c r="N133" t="s">
        <v>153</v>
      </c>
      <c r="O133" t="s">
        <v>81</v>
      </c>
      <c r="P133">
        <v>-19.635065999999998</v>
      </c>
      <c r="Q133">
        <v>-43.916640000000001</v>
      </c>
      <c r="R133" s="2" t="str">
        <f>HYPERLINK("https://www.google.com/maps?q=-19.6350660,-43.9166400","Abrir no Google Maps")</f>
        <v>Abrir no Google Maps</v>
      </c>
      <c r="S133">
        <v>4</v>
      </c>
      <c r="T133">
        <v>245.09875796292749</v>
      </c>
      <c r="U133">
        <v>3</v>
      </c>
      <c r="V133">
        <v>0.43473492547425469</v>
      </c>
      <c r="W133">
        <v>1</v>
      </c>
      <c r="X133">
        <v>0.43473492547425469</v>
      </c>
      <c r="Y133">
        <v>3</v>
      </c>
      <c r="Z133">
        <v>207.74356419317499</v>
      </c>
      <c r="AA133">
        <v>2</v>
      </c>
      <c r="AB133">
        <v>3</v>
      </c>
      <c r="AC133">
        <v>7</v>
      </c>
      <c r="AD133">
        <v>26.56</v>
      </c>
      <c r="AE133">
        <v>253</v>
      </c>
      <c r="AF133">
        <v>17</v>
      </c>
      <c r="AG133">
        <v>62</v>
      </c>
      <c r="AH133">
        <v>32</v>
      </c>
      <c r="AI133">
        <v>6.72</v>
      </c>
      <c r="AJ133">
        <v>24.51</v>
      </c>
      <c r="AK133">
        <v>12.65</v>
      </c>
      <c r="AL133">
        <v>-19.63505579999995</v>
      </c>
      <c r="AM133">
        <v>-43.916633303072622</v>
      </c>
      <c r="AN133">
        <v>-19.63505579999995</v>
      </c>
      <c r="AO133">
        <v>-43.916633303072622</v>
      </c>
      <c r="AP133">
        <v>-19.635065999999998</v>
      </c>
      <c r="AQ133">
        <v>-43.916640000000001</v>
      </c>
      <c r="AR133">
        <v>1.335026849412978</v>
      </c>
      <c r="AS133" t="s">
        <v>65</v>
      </c>
      <c r="AT133">
        <v>1</v>
      </c>
      <c r="AU133" t="s">
        <v>154</v>
      </c>
      <c r="AV133" t="s">
        <v>155</v>
      </c>
      <c r="AW133" t="s">
        <v>60</v>
      </c>
      <c r="AX133" t="s">
        <v>68</v>
      </c>
      <c r="AY133" t="s">
        <v>69</v>
      </c>
      <c r="AZ133" t="b">
        <v>1</v>
      </c>
    </row>
    <row r="134" spans="1:52" x14ac:dyDescent="0.3">
      <c r="A134" t="s">
        <v>52</v>
      </c>
      <c r="B134" t="s">
        <v>53</v>
      </c>
      <c r="C134" t="s">
        <v>54</v>
      </c>
      <c r="D134" t="s">
        <v>55</v>
      </c>
      <c r="E134" t="s">
        <v>616</v>
      </c>
      <c r="F134" t="s">
        <v>176</v>
      </c>
      <c r="G134" t="s">
        <v>156</v>
      </c>
      <c r="H134" t="s">
        <v>157</v>
      </c>
      <c r="I134" t="s">
        <v>157</v>
      </c>
      <c r="J134" t="s">
        <v>60</v>
      </c>
      <c r="K134" t="s">
        <v>79</v>
      </c>
      <c r="L134" t="s">
        <v>62</v>
      </c>
      <c r="M134" t="s">
        <v>79</v>
      </c>
      <c r="N134" t="s">
        <v>158</v>
      </c>
      <c r="O134" t="s">
        <v>159</v>
      </c>
      <c r="P134">
        <v>-19.634687</v>
      </c>
      <c r="Q134">
        <v>-43.912925999999999</v>
      </c>
      <c r="R134" s="2" t="str">
        <f>HYPERLINK("https://www.google.com/maps?q=-19.6346870,-43.9129260","Abrir no Google Maps")</f>
        <v>Abrir no Google Maps</v>
      </c>
      <c r="S134">
        <v>4</v>
      </c>
      <c r="T134">
        <v>363.69725005634331</v>
      </c>
      <c r="U134">
        <v>3</v>
      </c>
      <c r="V134">
        <v>0.46771686731118778</v>
      </c>
      <c r="W134">
        <v>1</v>
      </c>
      <c r="X134">
        <v>0.46771686731118778</v>
      </c>
      <c r="Y134">
        <v>3</v>
      </c>
      <c r="Z134">
        <v>343.04088334900467</v>
      </c>
      <c r="AA134">
        <v>2</v>
      </c>
      <c r="AB134">
        <v>3</v>
      </c>
      <c r="AC134">
        <v>7</v>
      </c>
      <c r="AD134">
        <v>26.56</v>
      </c>
      <c r="AE134">
        <v>253</v>
      </c>
      <c r="AF134">
        <v>17</v>
      </c>
      <c r="AG134">
        <v>62</v>
      </c>
      <c r="AH134">
        <v>32</v>
      </c>
      <c r="AI134">
        <v>6.72</v>
      </c>
      <c r="AJ134">
        <v>24.51</v>
      </c>
      <c r="AK134">
        <v>12.65</v>
      </c>
      <c r="AL134">
        <v>-19.635145849999962</v>
      </c>
      <c r="AM134">
        <v>-43.913103387269381</v>
      </c>
      <c r="AN134">
        <v>-19.635145849999962</v>
      </c>
      <c r="AO134">
        <v>-43.913103387269381</v>
      </c>
      <c r="AP134">
        <v>-19.634687</v>
      </c>
      <c r="AQ134">
        <v>-43.912925999999999</v>
      </c>
      <c r="AR134">
        <v>54.359794849827942</v>
      </c>
      <c r="AS134" t="s">
        <v>65</v>
      </c>
      <c r="AT134">
        <v>1</v>
      </c>
      <c r="AU134" t="s">
        <v>160</v>
      </c>
      <c r="AV134" t="s">
        <v>161</v>
      </c>
      <c r="AW134" t="s">
        <v>60</v>
      </c>
      <c r="AX134" t="s">
        <v>68</v>
      </c>
      <c r="AY134" t="s">
        <v>69</v>
      </c>
      <c r="AZ134" t="b">
        <v>1</v>
      </c>
    </row>
    <row r="135" spans="1:52" x14ac:dyDescent="0.3">
      <c r="A135" t="s">
        <v>52</v>
      </c>
      <c r="B135" t="s">
        <v>53</v>
      </c>
      <c r="C135" t="s">
        <v>54</v>
      </c>
      <c r="D135" t="s">
        <v>55</v>
      </c>
      <c r="E135" t="s">
        <v>616</v>
      </c>
      <c r="F135" t="s">
        <v>176</v>
      </c>
      <c r="G135" t="s">
        <v>239</v>
      </c>
      <c r="H135" t="s">
        <v>240</v>
      </c>
      <c r="I135" t="s">
        <v>240</v>
      </c>
      <c r="J135" t="s">
        <v>60</v>
      </c>
      <c r="K135" t="s">
        <v>241</v>
      </c>
      <c r="L135" t="s">
        <v>62</v>
      </c>
      <c r="M135" t="s">
        <v>241</v>
      </c>
      <c r="N135" t="s">
        <v>242</v>
      </c>
      <c r="O135" t="s">
        <v>243</v>
      </c>
      <c r="P135">
        <v>-19.64987</v>
      </c>
      <c r="Q135">
        <v>-43.901328999999997</v>
      </c>
      <c r="R135" s="2" t="str">
        <f>HYPERLINK("https://www.google.com/maps?q=-19.6498700,-43.9013290","Abrir no Google Maps")</f>
        <v>Abrir no Google Maps</v>
      </c>
      <c r="S135">
        <v>4</v>
      </c>
      <c r="T135">
        <v>379.88574886534309</v>
      </c>
      <c r="U135">
        <v>3</v>
      </c>
      <c r="V135">
        <v>0.44374800637958528</v>
      </c>
      <c r="W135">
        <v>1</v>
      </c>
      <c r="X135">
        <v>0.44374800637958528</v>
      </c>
      <c r="Y135">
        <v>1</v>
      </c>
      <c r="Z135">
        <v>442.33649591135162</v>
      </c>
      <c r="AA135">
        <v>2</v>
      </c>
      <c r="AB135">
        <v>3</v>
      </c>
      <c r="AC135">
        <v>7</v>
      </c>
      <c r="AD135">
        <v>26.56</v>
      </c>
      <c r="AE135">
        <v>253</v>
      </c>
      <c r="AF135">
        <v>17</v>
      </c>
      <c r="AG135">
        <v>62</v>
      </c>
      <c r="AH135">
        <v>32</v>
      </c>
      <c r="AI135">
        <v>6.72</v>
      </c>
      <c r="AJ135">
        <v>24.51</v>
      </c>
      <c r="AK135">
        <v>12.65</v>
      </c>
      <c r="AL135">
        <v>-19.64971674999995</v>
      </c>
      <c r="AM135">
        <v>-43.901441574655102</v>
      </c>
      <c r="AN135">
        <v>-19.64971674999995</v>
      </c>
      <c r="AO135">
        <v>-43.901441574655102</v>
      </c>
      <c r="AP135">
        <v>-19.64987</v>
      </c>
      <c r="AQ135">
        <v>-43.901328999999997</v>
      </c>
      <c r="AR135">
        <v>20.744262514610401</v>
      </c>
      <c r="AS135" t="s">
        <v>65</v>
      </c>
      <c r="AT135">
        <v>1</v>
      </c>
      <c r="AU135" t="s">
        <v>244</v>
      </c>
      <c r="AV135" t="s">
        <v>245</v>
      </c>
      <c r="AW135" t="s">
        <v>60</v>
      </c>
      <c r="AX135" t="s">
        <v>68</v>
      </c>
      <c r="AY135" t="s">
        <v>69</v>
      </c>
      <c r="AZ135" t="b">
        <v>1</v>
      </c>
    </row>
    <row r="136" spans="1:52" x14ac:dyDescent="0.3">
      <c r="A136" t="s">
        <v>52</v>
      </c>
      <c r="B136" t="s">
        <v>53</v>
      </c>
      <c r="C136" t="s">
        <v>54</v>
      </c>
      <c r="D136" t="s">
        <v>55</v>
      </c>
      <c r="E136" t="s">
        <v>616</v>
      </c>
      <c r="F136" t="s">
        <v>176</v>
      </c>
      <c r="G136" t="s">
        <v>632</v>
      </c>
      <c r="H136" t="s">
        <v>633</v>
      </c>
      <c r="I136" t="s">
        <v>633</v>
      </c>
      <c r="J136" t="s">
        <v>60</v>
      </c>
      <c r="K136" t="s">
        <v>164</v>
      </c>
      <c r="L136" t="s">
        <v>62</v>
      </c>
      <c r="M136" t="s">
        <v>164</v>
      </c>
      <c r="N136" t="s">
        <v>287</v>
      </c>
      <c r="O136" t="s">
        <v>634</v>
      </c>
      <c r="P136">
        <v>-19.647012</v>
      </c>
      <c r="Q136">
        <v>-43.903843000000002</v>
      </c>
      <c r="R136" s="2" t="str">
        <f>HYPERLINK("https://www.google.com/maps?q=-19.6470120,-43.9038430","Abrir no Google Maps")</f>
        <v>Abrir no Google Maps</v>
      </c>
      <c r="S136">
        <v>4</v>
      </c>
      <c r="T136">
        <v>0</v>
      </c>
      <c r="U136">
        <v>3</v>
      </c>
      <c r="V136">
        <v>0.52800432900432903</v>
      </c>
      <c r="W136">
        <v>0.85</v>
      </c>
      <c r="X136">
        <v>0.44880367965367968</v>
      </c>
      <c r="Y136">
        <v>1</v>
      </c>
      <c r="Z136">
        <v>126.45608798330009</v>
      </c>
      <c r="AA136">
        <v>2</v>
      </c>
      <c r="AB136">
        <v>3</v>
      </c>
      <c r="AC136">
        <v>7</v>
      </c>
      <c r="AD136">
        <v>26.56</v>
      </c>
      <c r="AE136">
        <v>253</v>
      </c>
      <c r="AF136">
        <v>17</v>
      </c>
      <c r="AG136">
        <v>62</v>
      </c>
      <c r="AH136">
        <v>32</v>
      </c>
      <c r="AI136">
        <v>6.72</v>
      </c>
      <c r="AJ136">
        <v>24.51</v>
      </c>
      <c r="AK136">
        <v>12.65</v>
      </c>
      <c r="AL136">
        <v>-19.647072199999968</v>
      </c>
      <c r="AM136">
        <v>-43.903751273681941</v>
      </c>
      <c r="AN136">
        <v>-19.647072199999968</v>
      </c>
      <c r="AO136">
        <v>-43.903751273681941</v>
      </c>
      <c r="AP136">
        <v>-19.647012</v>
      </c>
      <c r="AQ136">
        <v>-43.903843000000002</v>
      </c>
      <c r="AR136">
        <v>11.72121231224985</v>
      </c>
      <c r="AS136" t="s">
        <v>65</v>
      </c>
      <c r="AT136">
        <v>1</v>
      </c>
      <c r="AU136" t="s">
        <v>635</v>
      </c>
      <c r="AV136" t="s">
        <v>636</v>
      </c>
      <c r="AW136" t="s">
        <v>60</v>
      </c>
      <c r="AX136" t="s">
        <v>68</v>
      </c>
      <c r="AY136" t="s">
        <v>69</v>
      </c>
      <c r="AZ136" t="b">
        <v>1</v>
      </c>
    </row>
    <row r="137" spans="1:52" x14ac:dyDescent="0.3">
      <c r="A137" t="s">
        <v>52</v>
      </c>
      <c r="B137" t="s">
        <v>53</v>
      </c>
      <c r="C137" t="s">
        <v>54</v>
      </c>
      <c r="D137" t="s">
        <v>55</v>
      </c>
      <c r="E137" t="s">
        <v>616</v>
      </c>
      <c r="F137" t="s">
        <v>176</v>
      </c>
      <c r="G137" t="s">
        <v>637</v>
      </c>
      <c r="H137" t="s">
        <v>638</v>
      </c>
      <c r="I137" t="s">
        <v>638</v>
      </c>
      <c r="J137" t="s">
        <v>60</v>
      </c>
      <c r="K137" t="s">
        <v>164</v>
      </c>
      <c r="L137" t="s">
        <v>62</v>
      </c>
      <c r="M137" t="s">
        <v>164</v>
      </c>
      <c r="N137" t="s">
        <v>515</v>
      </c>
      <c r="O137" t="s">
        <v>639</v>
      </c>
      <c r="P137">
        <v>-19.649045000000001</v>
      </c>
      <c r="Q137">
        <v>-43.906213000000001</v>
      </c>
      <c r="R137" s="2" t="str">
        <f>HYPERLINK("https://www.google.com/maps?q=-19.6490450,-43.9062130","Abrir no Google Maps")</f>
        <v>Abrir no Google Maps</v>
      </c>
      <c r="S137">
        <v>4</v>
      </c>
      <c r="T137">
        <v>354.5775313741824</v>
      </c>
      <c r="U137">
        <v>3</v>
      </c>
      <c r="V137">
        <v>0.49710204081632647</v>
      </c>
      <c r="W137">
        <v>0.85</v>
      </c>
      <c r="X137">
        <v>0.42253673469387748</v>
      </c>
      <c r="Y137">
        <v>1</v>
      </c>
      <c r="Z137">
        <v>313.4728845052731</v>
      </c>
      <c r="AA137">
        <v>2</v>
      </c>
      <c r="AB137">
        <v>3</v>
      </c>
      <c r="AC137">
        <v>7</v>
      </c>
      <c r="AD137">
        <v>26.56</v>
      </c>
      <c r="AE137">
        <v>253</v>
      </c>
      <c r="AF137">
        <v>17</v>
      </c>
      <c r="AG137">
        <v>62</v>
      </c>
      <c r="AH137">
        <v>32</v>
      </c>
      <c r="AI137">
        <v>6.72</v>
      </c>
      <c r="AJ137">
        <v>24.51</v>
      </c>
      <c r="AK137">
        <v>12.65</v>
      </c>
      <c r="AL137">
        <v>-19.64957229999996</v>
      </c>
      <c r="AM137">
        <v>-43.905865971426437</v>
      </c>
      <c r="AN137">
        <v>-19.64957229999996</v>
      </c>
      <c r="AO137">
        <v>-43.905865971426437</v>
      </c>
      <c r="AP137">
        <v>-19.649045000000001</v>
      </c>
      <c r="AQ137">
        <v>-43.906213000000001</v>
      </c>
      <c r="AR137">
        <v>69.059379686882949</v>
      </c>
      <c r="AS137" t="s">
        <v>65</v>
      </c>
      <c r="AT137">
        <v>1</v>
      </c>
      <c r="AU137" t="s">
        <v>640</v>
      </c>
      <c r="AV137" t="s">
        <v>641</v>
      </c>
      <c r="AW137" t="s">
        <v>60</v>
      </c>
      <c r="AX137" t="s">
        <v>68</v>
      </c>
      <c r="AY137" t="s">
        <v>69</v>
      </c>
      <c r="AZ137" t="b">
        <v>1</v>
      </c>
    </row>
    <row r="138" spans="1:52" x14ac:dyDescent="0.3">
      <c r="A138" t="s">
        <v>52</v>
      </c>
      <c r="B138" t="s">
        <v>53</v>
      </c>
      <c r="C138" t="s">
        <v>54</v>
      </c>
      <c r="D138" t="s">
        <v>55</v>
      </c>
      <c r="E138" t="s">
        <v>616</v>
      </c>
      <c r="F138" t="s">
        <v>176</v>
      </c>
      <c r="G138" t="s">
        <v>258</v>
      </c>
      <c r="H138" t="s">
        <v>259</v>
      </c>
      <c r="I138" t="s">
        <v>259</v>
      </c>
      <c r="J138" t="s">
        <v>60</v>
      </c>
      <c r="K138" t="s">
        <v>192</v>
      </c>
      <c r="L138" t="s">
        <v>62</v>
      </c>
      <c r="M138" t="s">
        <v>192</v>
      </c>
      <c r="N138" t="s">
        <v>260</v>
      </c>
      <c r="O138" t="s">
        <v>261</v>
      </c>
      <c r="P138">
        <v>-19.651322</v>
      </c>
      <c r="Q138">
        <v>-43.909526999999997</v>
      </c>
      <c r="R138" s="2" t="str">
        <f>HYPERLINK("https://www.google.com/maps?q=-19.6513220,-43.9095270","Abrir no Google Maps")</f>
        <v>Abrir no Google Maps</v>
      </c>
      <c r="S138">
        <v>4</v>
      </c>
      <c r="T138">
        <v>818.75599819160288</v>
      </c>
      <c r="U138">
        <v>3</v>
      </c>
      <c r="V138">
        <v>0.45978142076502732</v>
      </c>
      <c r="W138">
        <v>1</v>
      </c>
      <c r="X138">
        <v>0.45978142076502732</v>
      </c>
      <c r="Y138">
        <v>1</v>
      </c>
      <c r="Z138">
        <v>730.53961508554767</v>
      </c>
      <c r="AA138">
        <v>2</v>
      </c>
      <c r="AB138">
        <v>3</v>
      </c>
      <c r="AC138">
        <v>7</v>
      </c>
      <c r="AD138">
        <v>26.56</v>
      </c>
      <c r="AE138">
        <v>253</v>
      </c>
      <c r="AF138">
        <v>17</v>
      </c>
      <c r="AG138">
        <v>62</v>
      </c>
      <c r="AH138">
        <v>32</v>
      </c>
      <c r="AI138">
        <v>6.72</v>
      </c>
      <c r="AJ138">
        <v>24.51</v>
      </c>
      <c r="AK138">
        <v>12.65</v>
      </c>
      <c r="AL138">
        <v>-19.65143184999997</v>
      </c>
      <c r="AM138">
        <v>-43.910059983056307</v>
      </c>
      <c r="AN138">
        <v>-19.65143184999997</v>
      </c>
      <c r="AO138">
        <v>-43.910059983056307</v>
      </c>
      <c r="AP138">
        <v>-19.651322</v>
      </c>
      <c r="AQ138">
        <v>-43.909526999999997</v>
      </c>
      <c r="AR138">
        <v>57.198416395481701</v>
      </c>
      <c r="AS138" t="s">
        <v>65</v>
      </c>
      <c r="AT138">
        <v>1</v>
      </c>
      <c r="AU138" t="s">
        <v>262</v>
      </c>
      <c r="AV138" t="s">
        <v>263</v>
      </c>
      <c r="AW138" t="s">
        <v>60</v>
      </c>
      <c r="AX138" t="s">
        <v>68</v>
      </c>
      <c r="AY138" t="s">
        <v>69</v>
      </c>
      <c r="AZ138" t="b">
        <v>1</v>
      </c>
    </row>
    <row r="139" spans="1:52" x14ac:dyDescent="0.3">
      <c r="A139" t="s">
        <v>52</v>
      </c>
      <c r="B139" t="s">
        <v>53</v>
      </c>
      <c r="C139" t="s">
        <v>54</v>
      </c>
      <c r="D139" t="s">
        <v>55</v>
      </c>
      <c r="E139" t="s">
        <v>616</v>
      </c>
      <c r="F139" t="s">
        <v>176</v>
      </c>
      <c r="G139" t="s">
        <v>642</v>
      </c>
      <c r="H139" t="s">
        <v>643</v>
      </c>
      <c r="I139" t="s">
        <v>643</v>
      </c>
      <c r="J139" t="s">
        <v>60</v>
      </c>
      <c r="K139" t="s">
        <v>164</v>
      </c>
      <c r="L139" t="s">
        <v>62</v>
      </c>
      <c r="M139" t="s">
        <v>164</v>
      </c>
      <c r="N139" t="s">
        <v>644</v>
      </c>
      <c r="O139" t="s">
        <v>81</v>
      </c>
      <c r="P139">
        <v>-19.644956000000001</v>
      </c>
      <c r="Q139">
        <v>-43.901023000000002</v>
      </c>
      <c r="R139" s="2" t="str">
        <f>HYPERLINK("https://www.google.com/maps?q=-19.6449560,-43.9010230","Abrir no Google Maps")</f>
        <v>Abrir no Google Maps</v>
      </c>
      <c r="S139">
        <v>4</v>
      </c>
      <c r="T139">
        <v>378.64754976511352</v>
      </c>
      <c r="U139">
        <v>3</v>
      </c>
      <c r="V139">
        <v>0.51592452830188684</v>
      </c>
      <c r="W139">
        <v>0.85</v>
      </c>
      <c r="X139">
        <v>0.43853584905660381</v>
      </c>
      <c r="Y139">
        <v>1</v>
      </c>
      <c r="Z139">
        <v>510.11108946713603</v>
      </c>
      <c r="AA139">
        <v>2</v>
      </c>
      <c r="AB139">
        <v>3</v>
      </c>
      <c r="AC139">
        <v>7</v>
      </c>
      <c r="AD139">
        <v>26.56</v>
      </c>
      <c r="AE139">
        <v>253</v>
      </c>
      <c r="AF139">
        <v>17</v>
      </c>
      <c r="AG139">
        <v>62</v>
      </c>
      <c r="AH139">
        <v>32</v>
      </c>
      <c r="AI139">
        <v>6.72</v>
      </c>
      <c r="AJ139">
        <v>24.51</v>
      </c>
      <c r="AK139">
        <v>12.65</v>
      </c>
      <c r="AL139">
        <v>-19.644933249999951</v>
      </c>
      <c r="AM139">
        <v>-43.900932838618871</v>
      </c>
      <c r="AN139">
        <v>-19.644933249999951</v>
      </c>
      <c r="AO139">
        <v>-43.900932838618871</v>
      </c>
      <c r="AP139">
        <v>-19.644956000000001</v>
      </c>
      <c r="AQ139">
        <v>-43.901023000000002</v>
      </c>
      <c r="AR139">
        <v>9.7859445473101285</v>
      </c>
      <c r="AS139" t="s">
        <v>65</v>
      </c>
      <c r="AT139">
        <v>1</v>
      </c>
      <c r="AU139" t="s">
        <v>645</v>
      </c>
      <c r="AV139" t="s">
        <v>646</v>
      </c>
      <c r="AW139" t="s">
        <v>60</v>
      </c>
      <c r="AX139" t="s">
        <v>68</v>
      </c>
      <c r="AY139" t="s">
        <v>69</v>
      </c>
      <c r="AZ139" t="b">
        <v>1</v>
      </c>
    </row>
    <row r="140" spans="1:52" x14ac:dyDescent="0.3">
      <c r="A140" t="s">
        <v>52</v>
      </c>
      <c r="B140" t="s">
        <v>53</v>
      </c>
      <c r="C140" t="s">
        <v>54</v>
      </c>
      <c r="D140" t="s">
        <v>55</v>
      </c>
      <c r="E140" t="s">
        <v>616</v>
      </c>
      <c r="F140" t="s">
        <v>176</v>
      </c>
      <c r="G140" t="s">
        <v>647</v>
      </c>
      <c r="H140" t="s">
        <v>648</v>
      </c>
      <c r="I140" t="s">
        <v>648</v>
      </c>
      <c r="J140" t="s">
        <v>60</v>
      </c>
      <c r="K140" t="s">
        <v>219</v>
      </c>
      <c r="L140" t="s">
        <v>62</v>
      </c>
      <c r="M140" t="s">
        <v>219</v>
      </c>
      <c r="N140" t="s">
        <v>649</v>
      </c>
      <c r="O140" t="s">
        <v>650</v>
      </c>
      <c r="P140">
        <v>-19.665845999999998</v>
      </c>
      <c r="Q140">
        <v>-43.889798999999996</v>
      </c>
      <c r="R140" s="2" t="str">
        <f>HYPERLINK("https://www.google.com/maps?q=-19.6658460,-43.8897990","Abrir no Google Maps")</f>
        <v>Abrir no Google Maps</v>
      </c>
      <c r="S140">
        <v>4</v>
      </c>
      <c r="T140">
        <v>1250.455343908134</v>
      </c>
      <c r="U140">
        <v>3</v>
      </c>
      <c r="V140">
        <v>0.53409968567579702</v>
      </c>
      <c r="W140">
        <v>0.85</v>
      </c>
      <c r="X140">
        <v>0.45398473282442747</v>
      </c>
      <c r="Y140">
        <v>1</v>
      </c>
      <c r="Z140">
        <v>82.379279290412427</v>
      </c>
      <c r="AA140">
        <v>2</v>
      </c>
      <c r="AB140">
        <v>3</v>
      </c>
      <c r="AC140">
        <v>7</v>
      </c>
      <c r="AD140">
        <v>26.56</v>
      </c>
      <c r="AE140">
        <v>253</v>
      </c>
      <c r="AF140">
        <v>17</v>
      </c>
      <c r="AG140">
        <v>62</v>
      </c>
      <c r="AH140">
        <v>32</v>
      </c>
      <c r="AI140">
        <v>6.72</v>
      </c>
      <c r="AJ140">
        <v>24.51</v>
      </c>
      <c r="AK140">
        <v>12.65</v>
      </c>
      <c r="AL140">
        <v>-19.665872099999941</v>
      </c>
      <c r="AM140">
        <v>-43.889753298873359</v>
      </c>
      <c r="AN140">
        <v>-19.665872099999941</v>
      </c>
      <c r="AO140">
        <v>-43.889753298873359</v>
      </c>
      <c r="AP140">
        <v>-19.665845999999998</v>
      </c>
      <c r="AQ140">
        <v>-43.889798999999996</v>
      </c>
      <c r="AR140">
        <v>5.6029010526379528</v>
      </c>
      <c r="AS140" t="s">
        <v>65</v>
      </c>
      <c r="AT140">
        <v>1</v>
      </c>
      <c r="AU140" t="s">
        <v>651</v>
      </c>
      <c r="AV140" t="s">
        <v>652</v>
      </c>
      <c r="AW140" t="s">
        <v>60</v>
      </c>
      <c r="AX140" t="s">
        <v>68</v>
      </c>
      <c r="AY140" t="s">
        <v>69</v>
      </c>
      <c r="AZ140" t="b">
        <v>1</v>
      </c>
    </row>
    <row r="141" spans="1:52" x14ac:dyDescent="0.3">
      <c r="A141" t="s">
        <v>52</v>
      </c>
      <c r="B141" t="s">
        <v>53</v>
      </c>
      <c r="C141" t="s">
        <v>54</v>
      </c>
      <c r="D141" t="s">
        <v>55</v>
      </c>
      <c r="E141" t="s">
        <v>616</v>
      </c>
      <c r="F141" t="s">
        <v>176</v>
      </c>
      <c r="G141" t="s">
        <v>506</v>
      </c>
      <c r="H141" t="s">
        <v>653</v>
      </c>
      <c r="I141" t="s">
        <v>653</v>
      </c>
      <c r="J141" t="s">
        <v>60</v>
      </c>
      <c r="K141" t="s">
        <v>219</v>
      </c>
      <c r="L141" t="s">
        <v>62</v>
      </c>
      <c r="M141" t="s">
        <v>219</v>
      </c>
      <c r="N141" t="s">
        <v>654</v>
      </c>
      <c r="O141" t="s">
        <v>655</v>
      </c>
      <c r="P141">
        <v>-19.663547000000001</v>
      </c>
      <c r="Q141">
        <v>-43.887289000000003</v>
      </c>
      <c r="R141" s="2" t="str">
        <f>HYPERLINK("https://www.google.com/maps?q=-19.6635470,-43.8872890","Abrir no Google Maps")</f>
        <v>Abrir no Google Maps</v>
      </c>
      <c r="S141">
        <v>4</v>
      </c>
      <c r="T141">
        <v>1322.0974038105271</v>
      </c>
      <c r="U141">
        <v>3</v>
      </c>
      <c r="V141">
        <v>0.54500000000000004</v>
      </c>
      <c r="W141">
        <v>0.85</v>
      </c>
      <c r="X141">
        <v>0.46325</v>
      </c>
      <c r="Y141">
        <v>1</v>
      </c>
      <c r="Z141">
        <v>410.01820565428989</v>
      </c>
      <c r="AA141">
        <v>2</v>
      </c>
      <c r="AB141">
        <v>3</v>
      </c>
      <c r="AC141">
        <v>7</v>
      </c>
      <c r="AD141">
        <v>26.56</v>
      </c>
      <c r="AE141">
        <v>253</v>
      </c>
      <c r="AF141">
        <v>17</v>
      </c>
      <c r="AG141">
        <v>62</v>
      </c>
      <c r="AH141">
        <v>32</v>
      </c>
      <c r="AI141">
        <v>6.72</v>
      </c>
      <c r="AJ141">
        <v>24.51</v>
      </c>
      <c r="AK141">
        <v>12.65</v>
      </c>
      <c r="AL141">
        <v>-19.663324149999969</v>
      </c>
      <c r="AM141">
        <v>-43.887335428407333</v>
      </c>
      <c r="AN141">
        <v>-19.663324149999969</v>
      </c>
      <c r="AO141">
        <v>-43.887335428407333</v>
      </c>
      <c r="AP141">
        <v>-19.663547000000001</v>
      </c>
      <c r="AQ141">
        <v>-43.887289000000003</v>
      </c>
      <c r="AR141">
        <v>25.280585055537909</v>
      </c>
      <c r="AS141" t="s">
        <v>65</v>
      </c>
      <c r="AT141">
        <v>1</v>
      </c>
      <c r="AU141" t="s">
        <v>656</v>
      </c>
      <c r="AV141" t="s">
        <v>657</v>
      </c>
      <c r="AW141" t="s">
        <v>60</v>
      </c>
      <c r="AX141" t="s">
        <v>68</v>
      </c>
      <c r="AY141" t="s">
        <v>69</v>
      </c>
      <c r="AZ141" t="b">
        <v>1</v>
      </c>
    </row>
    <row r="142" spans="1:52" x14ac:dyDescent="0.3">
      <c r="A142" t="s">
        <v>52</v>
      </c>
      <c r="B142" t="s">
        <v>53</v>
      </c>
      <c r="C142" t="s">
        <v>54</v>
      </c>
      <c r="D142" t="s">
        <v>55</v>
      </c>
      <c r="E142" t="s">
        <v>616</v>
      </c>
      <c r="F142" t="s">
        <v>176</v>
      </c>
      <c r="G142" t="s">
        <v>658</v>
      </c>
      <c r="H142" t="s">
        <v>659</v>
      </c>
      <c r="I142" t="s">
        <v>659</v>
      </c>
      <c r="J142" t="s">
        <v>60</v>
      </c>
      <c r="K142" t="s">
        <v>219</v>
      </c>
      <c r="L142" t="s">
        <v>62</v>
      </c>
      <c r="M142" t="s">
        <v>219</v>
      </c>
      <c r="N142" t="s">
        <v>660</v>
      </c>
      <c r="O142" t="s">
        <v>661</v>
      </c>
      <c r="P142">
        <v>-19.666937999999998</v>
      </c>
      <c r="Q142">
        <v>-43.888468000000003</v>
      </c>
      <c r="R142" s="2" t="str">
        <f>HYPERLINK("https://www.google.com/maps?q=-19.6669380,-43.8884680","Abrir no Google Maps")</f>
        <v>Abrir no Google Maps</v>
      </c>
      <c r="S142">
        <v>4</v>
      </c>
      <c r="T142">
        <v>1154.601486572938</v>
      </c>
      <c r="U142">
        <v>3</v>
      </c>
      <c r="V142">
        <v>0.53506376863660854</v>
      </c>
      <c r="W142">
        <v>0.85</v>
      </c>
      <c r="X142">
        <v>0.45480420334111732</v>
      </c>
      <c r="Y142">
        <v>1</v>
      </c>
      <c r="Z142">
        <v>129.9648546404961</v>
      </c>
      <c r="AA142">
        <v>2</v>
      </c>
      <c r="AB142">
        <v>3</v>
      </c>
      <c r="AC142">
        <v>7</v>
      </c>
      <c r="AD142">
        <v>26.56</v>
      </c>
      <c r="AE142">
        <v>253</v>
      </c>
      <c r="AF142">
        <v>17</v>
      </c>
      <c r="AG142">
        <v>62</v>
      </c>
      <c r="AH142">
        <v>32</v>
      </c>
      <c r="AI142">
        <v>6.72</v>
      </c>
      <c r="AJ142">
        <v>24.51</v>
      </c>
      <c r="AK142">
        <v>12.65</v>
      </c>
      <c r="AL142">
        <v>-19.666844549999951</v>
      </c>
      <c r="AM142">
        <v>-43.888501800017913</v>
      </c>
      <c r="AN142">
        <v>-19.666844549999951</v>
      </c>
      <c r="AO142">
        <v>-43.888501800017913</v>
      </c>
      <c r="AP142">
        <v>-19.666937999999998</v>
      </c>
      <c r="AQ142">
        <v>-43.888468000000003</v>
      </c>
      <c r="AR142">
        <v>10.9896825754148</v>
      </c>
      <c r="AS142" t="s">
        <v>65</v>
      </c>
      <c r="AT142">
        <v>1</v>
      </c>
      <c r="AU142" t="s">
        <v>662</v>
      </c>
      <c r="AV142" t="s">
        <v>663</v>
      </c>
      <c r="AW142" t="s">
        <v>60</v>
      </c>
      <c r="AX142" t="s">
        <v>68</v>
      </c>
      <c r="AY142" t="s">
        <v>69</v>
      </c>
      <c r="AZ142" t="b">
        <v>1</v>
      </c>
    </row>
    <row r="143" spans="1:52" x14ac:dyDescent="0.3">
      <c r="A143" t="s">
        <v>52</v>
      </c>
      <c r="B143" t="s">
        <v>53</v>
      </c>
      <c r="C143" t="s">
        <v>54</v>
      </c>
      <c r="D143" t="s">
        <v>55</v>
      </c>
      <c r="E143" t="s">
        <v>616</v>
      </c>
      <c r="F143" t="s">
        <v>176</v>
      </c>
      <c r="G143" t="s">
        <v>169</v>
      </c>
      <c r="H143" t="s">
        <v>170</v>
      </c>
      <c r="I143" t="s">
        <v>170</v>
      </c>
      <c r="J143" t="s">
        <v>60</v>
      </c>
      <c r="K143" t="s">
        <v>171</v>
      </c>
      <c r="L143" t="s">
        <v>62</v>
      </c>
      <c r="M143" t="s">
        <v>171</v>
      </c>
      <c r="N143" t="s">
        <v>172</v>
      </c>
      <c r="O143" t="s">
        <v>173</v>
      </c>
      <c r="P143">
        <v>-19.676233</v>
      </c>
      <c r="Q143">
        <v>-43.88861</v>
      </c>
      <c r="R143" s="2" t="str">
        <f>HYPERLINK("https://www.google.com/maps?q=-19.6762330,-43.8886100","Abrir no Google Maps")</f>
        <v>Abrir no Google Maps</v>
      </c>
      <c r="S143">
        <v>4</v>
      </c>
      <c r="T143">
        <v>209.5772620412292</v>
      </c>
      <c r="U143">
        <v>3</v>
      </c>
      <c r="V143">
        <v>0.47102070412140201</v>
      </c>
      <c r="W143">
        <v>1</v>
      </c>
      <c r="X143">
        <v>0.47102070412140201</v>
      </c>
      <c r="Y143">
        <v>0</v>
      </c>
      <c r="Z143">
        <v>194.26571923644971</v>
      </c>
      <c r="AA143">
        <v>2</v>
      </c>
      <c r="AB143">
        <v>3</v>
      </c>
      <c r="AC143">
        <v>7</v>
      </c>
      <c r="AD143">
        <v>26.56</v>
      </c>
      <c r="AE143">
        <v>253</v>
      </c>
      <c r="AF143">
        <v>17</v>
      </c>
      <c r="AG143">
        <v>62</v>
      </c>
      <c r="AH143">
        <v>32</v>
      </c>
      <c r="AI143">
        <v>6.72</v>
      </c>
      <c r="AJ143">
        <v>24.51</v>
      </c>
      <c r="AK143">
        <v>12.65</v>
      </c>
      <c r="AL143">
        <v>-19.676097449999961</v>
      </c>
      <c r="AM143">
        <v>-43.888455613153738</v>
      </c>
      <c r="AN143">
        <v>-19.676097449999961</v>
      </c>
      <c r="AO143">
        <v>-43.888455613153738</v>
      </c>
      <c r="AP143">
        <v>-19.676233</v>
      </c>
      <c r="AQ143">
        <v>-43.88861</v>
      </c>
      <c r="AR143">
        <v>22.126352434234079</v>
      </c>
      <c r="AS143" t="s">
        <v>65</v>
      </c>
      <c r="AT143">
        <v>1</v>
      </c>
      <c r="AU143" t="s">
        <v>174</v>
      </c>
      <c r="AV143" t="s">
        <v>175</v>
      </c>
      <c r="AW143" t="s">
        <v>60</v>
      </c>
      <c r="AX143" t="s">
        <v>68</v>
      </c>
      <c r="AY143" t="s">
        <v>69</v>
      </c>
      <c r="AZ143" t="b">
        <v>1</v>
      </c>
    </row>
    <row r="144" spans="1:52" x14ac:dyDescent="0.3">
      <c r="A144" t="s">
        <v>52</v>
      </c>
      <c r="B144" t="s">
        <v>53</v>
      </c>
      <c r="C144" t="s">
        <v>54</v>
      </c>
      <c r="D144" t="s">
        <v>55</v>
      </c>
      <c r="E144" t="s">
        <v>616</v>
      </c>
      <c r="F144" t="s">
        <v>176</v>
      </c>
      <c r="G144" t="s">
        <v>664</v>
      </c>
      <c r="H144" t="s">
        <v>665</v>
      </c>
      <c r="I144" t="s">
        <v>665</v>
      </c>
      <c r="J144" t="s">
        <v>60</v>
      </c>
      <c r="K144" t="s">
        <v>666</v>
      </c>
      <c r="L144" t="s">
        <v>62</v>
      </c>
      <c r="M144" t="s">
        <v>666</v>
      </c>
      <c r="N144" t="s">
        <v>667</v>
      </c>
      <c r="O144" t="s">
        <v>120</v>
      </c>
      <c r="P144">
        <v>-19.682517000000001</v>
      </c>
      <c r="Q144">
        <v>-43.886673000000002</v>
      </c>
      <c r="R144" s="2" t="str">
        <f>HYPERLINK("https://www.google.com/maps?q=-19.6825170,-43.8866730","Abrir no Google Maps")</f>
        <v>Abrir no Google Maps</v>
      </c>
      <c r="S144">
        <v>4</v>
      </c>
      <c r="T144">
        <v>688.73237714666766</v>
      </c>
      <c r="U144">
        <v>3</v>
      </c>
      <c r="V144">
        <v>0.49812499999999998</v>
      </c>
      <c r="W144">
        <v>0.85</v>
      </c>
      <c r="X144">
        <v>0.42340624999999998</v>
      </c>
      <c r="Y144">
        <v>0</v>
      </c>
      <c r="Z144">
        <v>961.20849723967763</v>
      </c>
      <c r="AA144">
        <v>2</v>
      </c>
      <c r="AB144">
        <v>3</v>
      </c>
      <c r="AC144">
        <v>7</v>
      </c>
      <c r="AD144">
        <v>26.56</v>
      </c>
      <c r="AE144">
        <v>253</v>
      </c>
      <c r="AF144">
        <v>17</v>
      </c>
      <c r="AG144">
        <v>62</v>
      </c>
      <c r="AH144">
        <v>32</v>
      </c>
      <c r="AI144">
        <v>6.72</v>
      </c>
      <c r="AJ144">
        <v>24.51</v>
      </c>
      <c r="AK144">
        <v>12.65</v>
      </c>
      <c r="AL144">
        <v>-19.683136299999941</v>
      </c>
      <c r="AM144">
        <v>-43.888254237759512</v>
      </c>
      <c r="AN144">
        <v>-19.683136299999941</v>
      </c>
      <c r="AO144">
        <v>-43.888254237759512</v>
      </c>
      <c r="AP144">
        <v>-19.682517000000001</v>
      </c>
      <c r="AQ144">
        <v>-43.886673000000002</v>
      </c>
      <c r="AR144">
        <v>179.50479253324011</v>
      </c>
      <c r="AS144" t="s">
        <v>65</v>
      </c>
      <c r="AT144">
        <v>1</v>
      </c>
      <c r="AU144" t="s">
        <v>668</v>
      </c>
      <c r="AV144" t="s">
        <v>669</v>
      </c>
      <c r="AW144" t="s">
        <v>60</v>
      </c>
      <c r="AX144" t="s">
        <v>68</v>
      </c>
      <c r="AY144" t="s">
        <v>69</v>
      </c>
      <c r="AZ144" t="b">
        <v>1</v>
      </c>
    </row>
    <row r="145" spans="1:52" x14ac:dyDescent="0.3">
      <c r="A145" t="s">
        <v>52</v>
      </c>
      <c r="B145" t="s">
        <v>53</v>
      </c>
      <c r="C145" t="s">
        <v>54</v>
      </c>
      <c r="D145" t="s">
        <v>55</v>
      </c>
      <c r="E145" t="s">
        <v>616</v>
      </c>
      <c r="F145" t="s">
        <v>176</v>
      </c>
      <c r="G145" t="s">
        <v>291</v>
      </c>
      <c r="H145" t="s">
        <v>292</v>
      </c>
      <c r="I145" t="s">
        <v>292</v>
      </c>
      <c r="J145" t="s">
        <v>60</v>
      </c>
      <c r="K145" t="s">
        <v>286</v>
      </c>
      <c r="L145" t="s">
        <v>62</v>
      </c>
      <c r="M145" t="s">
        <v>286</v>
      </c>
      <c r="N145" t="s">
        <v>293</v>
      </c>
      <c r="O145" t="s">
        <v>294</v>
      </c>
      <c r="P145">
        <v>-19.640333999999999</v>
      </c>
      <c r="Q145">
        <v>-43.880004999999997</v>
      </c>
      <c r="R145" s="2" t="str">
        <f>HYPERLINK("https://www.google.com/maps?q=-19.6403340,-43.8800050","Abrir no Google Maps")</f>
        <v>Abrir no Google Maps</v>
      </c>
      <c r="S145">
        <v>3</v>
      </c>
      <c r="T145">
        <v>276.80943817309782</v>
      </c>
      <c r="U145">
        <v>4</v>
      </c>
      <c r="V145">
        <v>0.49916253833451291</v>
      </c>
      <c r="W145">
        <v>1</v>
      </c>
      <c r="X145">
        <v>0.49916253833451291</v>
      </c>
      <c r="Y145">
        <v>10</v>
      </c>
      <c r="Z145">
        <v>361.98332038983392</v>
      </c>
      <c r="AA145">
        <v>2</v>
      </c>
      <c r="AB145">
        <v>3</v>
      </c>
      <c r="AC145">
        <v>7</v>
      </c>
      <c r="AD145">
        <v>26.56</v>
      </c>
      <c r="AE145">
        <v>253</v>
      </c>
      <c r="AF145">
        <v>17</v>
      </c>
      <c r="AG145">
        <v>62</v>
      </c>
      <c r="AH145">
        <v>32</v>
      </c>
      <c r="AI145">
        <v>6.72</v>
      </c>
      <c r="AJ145">
        <v>24.51</v>
      </c>
      <c r="AK145">
        <v>12.65</v>
      </c>
      <c r="AL145">
        <v>-19.640260249999951</v>
      </c>
      <c r="AM145">
        <v>-43.880090474326408</v>
      </c>
      <c r="AN145">
        <v>-19.640260249999951</v>
      </c>
      <c r="AO145">
        <v>-43.880090474326408</v>
      </c>
      <c r="AP145">
        <v>-19.640333999999999</v>
      </c>
      <c r="AQ145">
        <v>-43.880004999999997</v>
      </c>
      <c r="AR145">
        <v>12.153556195359609</v>
      </c>
      <c r="AS145" t="s">
        <v>65</v>
      </c>
      <c r="AT145">
        <v>1</v>
      </c>
      <c r="AU145" t="s">
        <v>295</v>
      </c>
      <c r="AV145" t="s">
        <v>296</v>
      </c>
      <c r="AW145" t="s">
        <v>60</v>
      </c>
      <c r="AX145" t="s">
        <v>68</v>
      </c>
      <c r="AY145" t="s">
        <v>69</v>
      </c>
      <c r="AZ145" t="b">
        <v>1</v>
      </c>
    </row>
    <row r="146" spans="1:52" x14ac:dyDescent="0.3">
      <c r="A146" t="s">
        <v>52</v>
      </c>
      <c r="B146" t="s">
        <v>53</v>
      </c>
      <c r="C146" t="s">
        <v>54</v>
      </c>
      <c r="D146" t="s">
        <v>55</v>
      </c>
      <c r="E146" t="s">
        <v>616</v>
      </c>
      <c r="F146" t="s">
        <v>176</v>
      </c>
      <c r="G146" t="s">
        <v>417</v>
      </c>
      <c r="H146" t="s">
        <v>418</v>
      </c>
      <c r="I146" t="s">
        <v>418</v>
      </c>
      <c r="J146" t="s">
        <v>60</v>
      </c>
      <c r="K146" t="s">
        <v>179</v>
      </c>
      <c r="L146" t="s">
        <v>62</v>
      </c>
      <c r="M146" t="s">
        <v>179</v>
      </c>
      <c r="N146" t="s">
        <v>419</v>
      </c>
      <c r="O146" t="s">
        <v>420</v>
      </c>
      <c r="P146">
        <v>-19.646516999999999</v>
      </c>
      <c r="Q146">
        <v>-43.889716</v>
      </c>
      <c r="R146" s="2" t="str">
        <f>HYPERLINK("https://www.google.com/maps?q=-19.6465170,-43.8897160","Abrir no Google Maps")</f>
        <v>Abrir no Google Maps</v>
      </c>
      <c r="S146">
        <v>3</v>
      </c>
      <c r="T146">
        <v>796.8355517653099</v>
      </c>
      <c r="U146">
        <v>4</v>
      </c>
      <c r="V146">
        <v>0.50211533066557534</v>
      </c>
      <c r="W146">
        <v>1</v>
      </c>
      <c r="X146">
        <v>0.50211533066557534</v>
      </c>
      <c r="Y146">
        <v>7</v>
      </c>
      <c r="Z146">
        <v>749.72812632947034</v>
      </c>
      <c r="AA146">
        <v>2</v>
      </c>
      <c r="AB146">
        <v>3</v>
      </c>
      <c r="AC146">
        <v>7</v>
      </c>
      <c r="AD146">
        <v>26.56</v>
      </c>
      <c r="AE146">
        <v>253</v>
      </c>
      <c r="AF146">
        <v>17</v>
      </c>
      <c r="AG146">
        <v>62</v>
      </c>
      <c r="AH146">
        <v>32</v>
      </c>
      <c r="AI146">
        <v>6.72</v>
      </c>
      <c r="AJ146">
        <v>24.51</v>
      </c>
      <c r="AK146">
        <v>12.65</v>
      </c>
      <c r="AL146">
        <v>-19.646452649999961</v>
      </c>
      <c r="AM146">
        <v>-43.88991036523079</v>
      </c>
      <c r="AN146">
        <v>-19.646452649999961</v>
      </c>
      <c r="AO146">
        <v>-43.88991036523079</v>
      </c>
      <c r="AP146">
        <v>-19.646516999999999</v>
      </c>
      <c r="AQ146">
        <v>-43.889716</v>
      </c>
      <c r="AR146">
        <v>21.599617922669939</v>
      </c>
      <c r="AS146" t="s">
        <v>65</v>
      </c>
      <c r="AT146">
        <v>1</v>
      </c>
      <c r="AU146" t="s">
        <v>421</v>
      </c>
      <c r="AV146" t="s">
        <v>422</v>
      </c>
      <c r="AW146" t="s">
        <v>60</v>
      </c>
      <c r="AX146" t="s">
        <v>68</v>
      </c>
      <c r="AY146" t="s">
        <v>69</v>
      </c>
      <c r="AZ146" t="b">
        <v>1</v>
      </c>
    </row>
    <row r="147" spans="1:52" x14ac:dyDescent="0.3">
      <c r="A147" t="s">
        <v>52</v>
      </c>
      <c r="B147" t="s">
        <v>53</v>
      </c>
      <c r="C147" t="s">
        <v>54</v>
      </c>
      <c r="D147" t="s">
        <v>55</v>
      </c>
      <c r="E147" t="s">
        <v>616</v>
      </c>
      <c r="F147" t="s">
        <v>176</v>
      </c>
      <c r="G147" t="s">
        <v>228</v>
      </c>
      <c r="H147" t="s">
        <v>423</v>
      </c>
      <c r="I147" t="s">
        <v>423</v>
      </c>
      <c r="J147" t="s">
        <v>60</v>
      </c>
      <c r="K147" t="s">
        <v>286</v>
      </c>
      <c r="L147" t="s">
        <v>62</v>
      </c>
      <c r="M147" t="s">
        <v>286</v>
      </c>
      <c r="N147" t="s">
        <v>230</v>
      </c>
      <c r="O147" t="s">
        <v>424</v>
      </c>
      <c r="P147">
        <v>-19.641656999999999</v>
      </c>
      <c r="Q147">
        <v>-43.884228999999998</v>
      </c>
      <c r="R147" s="2" t="str">
        <f>HYPERLINK("https://www.google.com/maps?q=-19.6416570,-43.8842290","Abrir no Google Maps")</f>
        <v>Abrir no Google Maps</v>
      </c>
      <c r="S147">
        <v>3</v>
      </c>
      <c r="T147">
        <v>0</v>
      </c>
      <c r="U147">
        <v>4</v>
      </c>
      <c r="V147">
        <v>0.48908815260569288</v>
      </c>
      <c r="W147">
        <v>1</v>
      </c>
      <c r="X147">
        <v>0.48908815260569288</v>
      </c>
      <c r="Y147">
        <v>7</v>
      </c>
      <c r="Z147">
        <v>67.727401070752876</v>
      </c>
      <c r="AA147">
        <v>2</v>
      </c>
      <c r="AB147">
        <v>3</v>
      </c>
      <c r="AC147">
        <v>7</v>
      </c>
      <c r="AD147">
        <v>26.56</v>
      </c>
      <c r="AE147">
        <v>253</v>
      </c>
      <c r="AF147">
        <v>17</v>
      </c>
      <c r="AG147">
        <v>62</v>
      </c>
      <c r="AH147">
        <v>32</v>
      </c>
      <c r="AI147">
        <v>6.72</v>
      </c>
      <c r="AJ147">
        <v>24.51</v>
      </c>
      <c r="AK147">
        <v>12.65</v>
      </c>
      <c r="AL147">
        <v>-19.641634199999942</v>
      </c>
      <c r="AM147">
        <v>-43.884263743972831</v>
      </c>
      <c r="AN147">
        <v>-19.641634199999942</v>
      </c>
      <c r="AO147">
        <v>-43.884263743972831</v>
      </c>
      <c r="AP147">
        <v>-19.641656999999999</v>
      </c>
      <c r="AQ147">
        <v>-43.884228999999998</v>
      </c>
      <c r="AR147">
        <v>4.4396888961435659</v>
      </c>
      <c r="AS147" t="s">
        <v>65</v>
      </c>
      <c r="AT147">
        <v>1</v>
      </c>
      <c r="AU147" t="s">
        <v>425</v>
      </c>
      <c r="AV147" t="s">
        <v>426</v>
      </c>
      <c r="AW147" t="s">
        <v>60</v>
      </c>
      <c r="AX147" t="s">
        <v>68</v>
      </c>
      <c r="AY147" t="s">
        <v>69</v>
      </c>
      <c r="AZ147" t="b">
        <v>1</v>
      </c>
    </row>
    <row r="148" spans="1:52" x14ac:dyDescent="0.3">
      <c r="A148" t="s">
        <v>52</v>
      </c>
      <c r="B148" t="s">
        <v>53</v>
      </c>
      <c r="C148" t="s">
        <v>54</v>
      </c>
      <c r="D148" t="s">
        <v>55</v>
      </c>
      <c r="E148" t="s">
        <v>616</v>
      </c>
      <c r="F148" t="s">
        <v>176</v>
      </c>
      <c r="G148" t="s">
        <v>670</v>
      </c>
      <c r="H148" t="s">
        <v>671</v>
      </c>
      <c r="I148" t="s">
        <v>671</v>
      </c>
      <c r="J148" t="s">
        <v>60</v>
      </c>
      <c r="K148" t="s">
        <v>672</v>
      </c>
      <c r="L148" t="s">
        <v>62</v>
      </c>
      <c r="M148" t="s">
        <v>672</v>
      </c>
      <c r="N148" t="s">
        <v>673</v>
      </c>
      <c r="O148" t="s">
        <v>424</v>
      </c>
      <c r="P148">
        <v>-19.574909999999999</v>
      </c>
      <c r="Q148">
        <v>-43.906655999999998</v>
      </c>
      <c r="R148" s="2" t="str">
        <f>HYPERLINK("https://www.google.com/maps?q=-19.5749100,-43.9066560","Abrir no Google Maps")</f>
        <v>Abrir no Google Maps</v>
      </c>
      <c r="S148">
        <v>3</v>
      </c>
      <c r="T148">
        <v>1366.716412286687</v>
      </c>
      <c r="U148">
        <v>4</v>
      </c>
      <c r="V148">
        <v>0.54598862492618638</v>
      </c>
      <c r="W148">
        <v>1</v>
      </c>
      <c r="X148">
        <v>0.54598862492618638</v>
      </c>
      <c r="Y148">
        <v>7</v>
      </c>
      <c r="Z148">
        <v>1153.3004962806151</v>
      </c>
      <c r="AA148">
        <v>2</v>
      </c>
      <c r="AB148">
        <v>3</v>
      </c>
      <c r="AC148">
        <v>7</v>
      </c>
      <c r="AD148">
        <v>26.56</v>
      </c>
      <c r="AE148">
        <v>253</v>
      </c>
      <c r="AF148">
        <v>17</v>
      </c>
      <c r="AG148">
        <v>62</v>
      </c>
      <c r="AH148">
        <v>32</v>
      </c>
      <c r="AI148">
        <v>6.72</v>
      </c>
      <c r="AJ148">
        <v>24.51</v>
      </c>
      <c r="AK148">
        <v>12.65</v>
      </c>
      <c r="AL148">
        <v>-19.574026899999978</v>
      </c>
      <c r="AM148">
        <v>-43.907476033591983</v>
      </c>
      <c r="AN148">
        <v>-19.574026899999978</v>
      </c>
      <c r="AO148">
        <v>-43.907476033591983</v>
      </c>
      <c r="AP148">
        <v>-19.574909999999999</v>
      </c>
      <c r="AQ148">
        <v>-43.906655999999998</v>
      </c>
      <c r="AR148">
        <v>130.62174183264671</v>
      </c>
      <c r="AS148" t="s">
        <v>65</v>
      </c>
      <c r="AT148">
        <v>1</v>
      </c>
      <c r="AU148" t="s">
        <v>674</v>
      </c>
      <c r="AV148" t="s">
        <v>675</v>
      </c>
      <c r="AW148" t="s">
        <v>60</v>
      </c>
      <c r="AX148" t="s">
        <v>68</v>
      </c>
      <c r="AY148" t="s">
        <v>69</v>
      </c>
      <c r="AZ148" t="b">
        <v>1</v>
      </c>
    </row>
    <row r="149" spans="1:52" x14ac:dyDescent="0.3">
      <c r="A149" t="s">
        <v>52</v>
      </c>
      <c r="B149" t="s">
        <v>53</v>
      </c>
      <c r="C149" t="s">
        <v>54</v>
      </c>
      <c r="D149" t="s">
        <v>55</v>
      </c>
      <c r="E149" t="s">
        <v>616</v>
      </c>
      <c r="F149" t="s">
        <v>176</v>
      </c>
      <c r="G149" t="s">
        <v>297</v>
      </c>
      <c r="H149" t="s">
        <v>298</v>
      </c>
      <c r="I149" t="s">
        <v>298</v>
      </c>
      <c r="J149" t="s">
        <v>60</v>
      </c>
      <c r="K149" t="s">
        <v>299</v>
      </c>
      <c r="L149" t="s">
        <v>62</v>
      </c>
      <c r="M149" t="s">
        <v>299</v>
      </c>
      <c r="N149" t="s">
        <v>300</v>
      </c>
      <c r="O149" t="s">
        <v>301</v>
      </c>
      <c r="P149">
        <v>-19.679597000000001</v>
      </c>
      <c r="Q149">
        <v>-43.912095000000001</v>
      </c>
      <c r="R149" s="2" t="str">
        <f>HYPERLINK("https://www.google.com/maps?q=-19.6795970,-43.9120950","Abrir no Google Maps")</f>
        <v>Abrir no Google Maps</v>
      </c>
      <c r="S149">
        <v>3</v>
      </c>
      <c r="T149">
        <v>1581.3368267219889</v>
      </c>
      <c r="U149">
        <v>4</v>
      </c>
      <c r="V149">
        <v>0.51964576515656735</v>
      </c>
      <c r="W149">
        <v>1</v>
      </c>
      <c r="X149">
        <v>0.51964576515656735</v>
      </c>
      <c r="Y149">
        <v>5</v>
      </c>
      <c r="Z149">
        <v>2051.2590436749392</v>
      </c>
      <c r="AA149">
        <v>2</v>
      </c>
      <c r="AB149">
        <v>3</v>
      </c>
      <c r="AC149">
        <v>7</v>
      </c>
      <c r="AD149">
        <v>26.56</v>
      </c>
      <c r="AE149">
        <v>253</v>
      </c>
      <c r="AF149">
        <v>17</v>
      </c>
      <c r="AG149">
        <v>62</v>
      </c>
      <c r="AH149">
        <v>32</v>
      </c>
      <c r="AI149">
        <v>6.72</v>
      </c>
      <c r="AJ149">
        <v>24.51</v>
      </c>
      <c r="AK149">
        <v>12.65</v>
      </c>
      <c r="AL149">
        <v>-19.679572799999931</v>
      </c>
      <c r="AM149">
        <v>-43.912071775440793</v>
      </c>
      <c r="AN149">
        <v>-19.679572799999931</v>
      </c>
      <c r="AO149">
        <v>-43.912071775440793</v>
      </c>
      <c r="AP149">
        <v>-19.679597000000001</v>
      </c>
      <c r="AQ149">
        <v>-43.912095000000001</v>
      </c>
      <c r="AR149">
        <v>3.6308936744190978</v>
      </c>
      <c r="AS149" t="s">
        <v>65</v>
      </c>
      <c r="AT149">
        <v>1</v>
      </c>
      <c r="AU149" t="s">
        <v>302</v>
      </c>
      <c r="AV149" t="s">
        <v>303</v>
      </c>
      <c r="AW149" t="s">
        <v>60</v>
      </c>
      <c r="AX149" t="s">
        <v>68</v>
      </c>
      <c r="AY149" t="s">
        <v>69</v>
      </c>
      <c r="AZ149" t="b">
        <v>1</v>
      </c>
    </row>
    <row r="150" spans="1:52" x14ac:dyDescent="0.3">
      <c r="A150" t="s">
        <v>52</v>
      </c>
      <c r="B150" t="s">
        <v>53</v>
      </c>
      <c r="C150" t="s">
        <v>54</v>
      </c>
      <c r="D150" t="s">
        <v>55</v>
      </c>
      <c r="E150" t="s">
        <v>616</v>
      </c>
      <c r="F150" t="s">
        <v>176</v>
      </c>
      <c r="G150" t="s">
        <v>304</v>
      </c>
      <c r="H150" t="s">
        <v>305</v>
      </c>
      <c r="I150" t="s">
        <v>305</v>
      </c>
      <c r="J150" t="s">
        <v>60</v>
      </c>
      <c r="K150" t="s">
        <v>299</v>
      </c>
      <c r="L150" t="s">
        <v>62</v>
      </c>
      <c r="M150" t="s">
        <v>299</v>
      </c>
      <c r="N150" t="s">
        <v>306</v>
      </c>
      <c r="O150" t="s">
        <v>307</v>
      </c>
      <c r="P150">
        <v>-19.681051</v>
      </c>
      <c r="Q150">
        <v>-43.914375</v>
      </c>
      <c r="R150" s="2" t="str">
        <f>HYPERLINK("https://www.google.com/maps?q=-19.6810510,-43.9143750","Abrir no Google Maps")</f>
        <v>Abrir no Google Maps</v>
      </c>
      <c r="S150">
        <v>3</v>
      </c>
      <c r="T150">
        <v>1793.507056919605</v>
      </c>
      <c r="U150">
        <v>4</v>
      </c>
      <c r="V150">
        <v>0.53190689907107813</v>
      </c>
      <c r="W150">
        <v>1</v>
      </c>
      <c r="X150">
        <v>0.53190689907107813</v>
      </c>
      <c r="Y150">
        <v>5</v>
      </c>
      <c r="Z150">
        <v>2183.7125920783069</v>
      </c>
      <c r="AA150">
        <v>2</v>
      </c>
      <c r="AB150">
        <v>3</v>
      </c>
      <c r="AC150">
        <v>7</v>
      </c>
      <c r="AD150">
        <v>26.56</v>
      </c>
      <c r="AE150">
        <v>253</v>
      </c>
      <c r="AF150">
        <v>17</v>
      </c>
      <c r="AG150">
        <v>62</v>
      </c>
      <c r="AH150">
        <v>32</v>
      </c>
      <c r="AI150">
        <v>6.72</v>
      </c>
      <c r="AJ150">
        <v>24.51</v>
      </c>
      <c r="AK150">
        <v>12.65</v>
      </c>
      <c r="AL150">
        <v>-19.680967149999962</v>
      </c>
      <c r="AM150">
        <v>-43.914383884426663</v>
      </c>
      <c r="AN150">
        <v>-19.680967149999962</v>
      </c>
      <c r="AO150">
        <v>-43.914383884426663</v>
      </c>
      <c r="AP150">
        <v>-19.681051</v>
      </c>
      <c r="AQ150">
        <v>-43.914375</v>
      </c>
      <c r="AR150">
        <v>9.3805201894968722</v>
      </c>
      <c r="AS150" t="s">
        <v>65</v>
      </c>
      <c r="AT150">
        <v>1</v>
      </c>
      <c r="AU150" t="s">
        <v>308</v>
      </c>
      <c r="AV150" t="s">
        <v>303</v>
      </c>
      <c r="AW150" t="s">
        <v>60</v>
      </c>
      <c r="AX150" t="s">
        <v>68</v>
      </c>
      <c r="AY150" t="s">
        <v>69</v>
      </c>
      <c r="AZ150" t="b">
        <v>1</v>
      </c>
    </row>
    <row r="151" spans="1:52" x14ac:dyDescent="0.3">
      <c r="A151" t="s">
        <v>52</v>
      </c>
      <c r="B151" t="s">
        <v>53</v>
      </c>
      <c r="C151" t="s">
        <v>54</v>
      </c>
      <c r="D151" t="s">
        <v>55</v>
      </c>
      <c r="E151" t="s">
        <v>616</v>
      </c>
      <c r="F151" t="s">
        <v>176</v>
      </c>
      <c r="G151" t="s">
        <v>309</v>
      </c>
      <c r="H151" t="s">
        <v>676</v>
      </c>
      <c r="I151" t="s">
        <v>676</v>
      </c>
      <c r="J151" t="s">
        <v>60</v>
      </c>
      <c r="K151" t="s">
        <v>311</v>
      </c>
      <c r="L151" t="s">
        <v>62</v>
      </c>
      <c r="M151" t="s">
        <v>311</v>
      </c>
      <c r="N151" t="s">
        <v>677</v>
      </c>
      <c r="O151" t="s">
        <v>678</v>
      </c>
      <c r="P151">
        <v>-19.567574</v>
      </c>
      <c r="Q151">
        <v>-43.916691</v>
      </c>
      <c r="R151" s="2" t="str">
        <f>HYPERLINK("https://www.google.com/maps?q=-19.5675740,-43.9166910","Abrir no Google Maps")</f>
        <v>Abrir no Google Maps</v>
      </c>
      <c r="S151">
        <v>3</v>
      </c>
      <c r="T151">
        <v>964.07840012317956</v>
      </c>
      <c r="U151">
        <v>4</v>
      </c>
      <c r="V151">
        <v>0.51682734740987168</v>
      </c>
      <c r="W151">
        <v>1</v>
      </c>
      <c r="X151">
        <v>0.51682734740987168</v>
      </c>
      <c r="Y151">
        <v>5</v>
      </c>
      <c r="Z151">
        <v>848.74171565955544</v>
      </c>
      <c r="AA151">
        <v>2</v>
      </c>
      <c r="AB151">
        <v>3</v>
      </c>
      <c r="AC151">
        <v>7</v>
      </c>
      <c r="AD151">
        <v>26.56</v>
      </c>
      <c r="AE151">
        <v>253</v>
      </c>
      <c r="AF151">
        <v>17</v>
      </c>
      <c r="AG151">
        <v>62</v>
      </c>
      <c r="AH151">
        <v>32</v>
      </c>
      <c r="AI151">
        <v>6.72</v>
      </c>
      <c r="AJ151">
        <v>24.51</v>
      </c>
      <c r="AK151">
        <v>12.65</v>
      </c>
      <c r="AL151">
        <v>-19.568204099999971</v>
      </c>
      <c r="AM151">
        <v>-43.914085447159053</v>
      </c>
      <c r="AN151">
        <v>-19.568204099999971</v>
      </c>
      <c r="AO151">
        <v>-43.914085447159053</v>
      </c>
      <c r="AP151">
        <v>-19.567574</v>
      </c>
      <c r="AQ151">
        <v>-43.916691</v>
      </c>
      <c r="AR151">
        <v>282.15548573552991</v>
      </c>
      <c r="AS151" t="s">
        <v>65</v>
      </c>
      <c r="AT151">
        <v>1</v>
      </c>
      <c r="AU151" t="s">
        <v>679</v>
      </c>
      <c r="AV151" t="s">
        <v>680</v>
      </c>
      <c r="AW151" t="s">
        <v>60</v>
      </c>
      <c r="AX151" t="s">
        <v>68</v>
      </c>
      <c r="AY151" t="s">
        <v>69</v>
      </c>
      <c r="AZ151" t="b">
        <v>1</v>
      </c>
    </row>
    <row r="152" spans="1:52" x14ac:dyDescent="0.3">
      <c r="A152" t="s">
        <v>52</v>
      </c>
      <c r="B152" t="s">
        <v>53</v>
      </c>
      <c r="C152" t="s">
        <v>54</v>
      </c>
      <c r="D152" t="s">
        <v>55</v>
      </c>
      <c r="E152" t="s">
        <v>616</v>
      </c>
      <c r="F152" t="s">
        <v>176</v>
      </c>
      <c r="G152" t="s">
        <v>427</v>
      </c>
      <c r="H152" t="s">
        <v>428</v>
      </c>
      <c r="I152" t="s">
        <v>428</v>
      </c>
      <c r="J152" t="s">
        <v>60</v>
      </c>
      <c r="K152" t="s">
        <v>311</v>
      </c>
      <c r="L152" t="s">
        <v>62</v>
      </c>
      <c r="M152" t="s">
        <v>311</v>
      </c>
      <c r="N152" t="s">
        <v>429</v>
      </c>
      <c r="O152" t="s">
        <v>430</v>
      </c>
      <c r="P152">
        <v>-19.574636999999999</v>
      </c>
      <c r="Q152">
        <v>-43.919919999999998</v>
      </c>
      <c r="R152" s="2" t="str">
        <f>HYPERLINK("https://www.google.com/maps?q=-19.5746370,-43.9199200","Abrir no Google Maps")</f>
        <v>Abrir no Google Maps</v>
      </c>
      <c r="S152">
        <v>3</v>
      </c>
      <c r="T152">
        <v>0</v>
      </c>
      <c r="U152">
        <v>4</v>
      </c>
      <c r="V152">
        <v>0.49815094611123101</v>
      </c>
      <c r="W152">
        <v>1</v>
      </c>
      <c r="X152">
        <v>0.49815094611123101</v>
      </c>
      <c r="Y152">
        <v>5</v>
      </c>
      <c r="Z152">
        <v>161.2304444692663</v>
      </c>
      <c r="AA152">
        <v>2</v>
      </c>
      <c r="AB152">
        <v>3</v>
      </c>
      <c r="AC152">
        <v>7</v>
      </c>
      <c r="AD152">
        <v>26.56</v>
      </c>
      <c r="AE152">
        <v>253</v>
      </c>
      <c r="AF152">
        <v>17</v>
      </c>
      <c r="AG152">
        <v>62</v>
      </c>
      <c r="AH152">
        <v>32</v>
      </c>
      <c r="AI152">
        <v>6.72</v>
      </c>
      <c r="AJ152">
        <v>24.51</v>
      </c>
      <c r="AK152">
        <v>12.65</v>
      </c>
      <c r="AL152">
        <v>-19.57444484999996</v>
      </c>
      <c r="AM152">
        <v>-43.920497272225433</v>
      </c>
      <c r="AN152">
        <v>-19.57444484999996</v>
      </c>
      <c r="AO152">
        <v>-43.920497272225433</v>
      </c>
      <c r="AP152">
        <v>-19.574636999999999</v>
      </c>
      <c r="AQ152">
        <v>-43.919919999999998</v>
      </c>
      <c r="AR152">
        <v>64.215298992893679</v>
      </c>
      <c r="AS152" t="s">
        <v>65</v>
      </c>
      <c r="AT152">
        <v>1</v>
      </c>
      <c r="AU152" t="s">
        <v>431</v>
      </c>
      <c r="AV152" t="s">
        <v>432</v>
      </c>
      <c r="AW152" t="s">
        <v>60</v>
      </c>
      <c r="AX152" t="s">
        <v>68</v>
      </c>
      <c r="AY152" t="s">
        <v>69</v>
      </c>
      <c r="AZ152" t="b">
        <v>1</v>
      </c>
    </row>
    <row r="153" spans="1:52" x14ac:dyDescent="0.3">
      <c r="A153" t="s">
        <v>52</v>
      </c>
      <c r="B153" t="s">
        <v>53</v>
      </c>
      <c r="C153" t="s">
        <v>54</v>
      </c>
      <c r="D153" t="s">
        <v>55</v>
      </c>
      <c r="E153" t="s">
        <v>616</v>
      </c>
      <c r="F153" t="s">
        <v>176</v>
      </c>
      <c r="G153" t="s">
        <v>433</v>
      </c>
      <c r="H153" t="s">
        <v>434</v>
      </c>
      <c r="I153" t="s">
        <v>434</v>
      </c>
      <c r="J153" t="s">
        <v>60</v>
      </c>
      <c r="K153" t="s">
        <v>311</v>
      </c>
      <c r="L153" t="s">
        <v>62</v>
      </c>
      <c r="M153" t="s">
        <v>311</v>
      </c>
      <c r="N153" t="s">
        <v>435</v>
      </c>
      <c r="O153" t="s">
        <v>120</v>
      </c>
      <c r="P153">
        <v>-19.563834</v>
      </c>
      <c r="Q153">
        <v>-43.917617</v>
      </c>
      <c r="R153" s="2" t="str">
        <f>HYPERLINK("https://www.google.com/maps?q=-19.5638340,-43.9176170","Abrir no Google Maps")</f>
        <v>Abrir no Google Maps</v>
      </c>
      <c r="S153">
        <v>3</v>
      </c>
      <c r="T153">
        <v>1208.4380275937069</v>
      </c>
      <c r="U153">
        <v>4</v>
      </c>
      <c r="V153">
        <v>0.53675456389452336</v>
      </c>
      <c r="W153">
        <v>1</v>
      </c>
      <c r="X153">
        <v>0.53675456389452336</v>
      </c>
      <c r="Y153">
        <v>5</v>
      </c>
      <c r="Z153">
        <v>1239.357315084522</v>
      </c>
      <c r="AA153">
        <v>2</v>
      </c>
      <c r="AB153">
        <v>3</v>
      </c>
      <c r="AC153">
        <v>7</v>
      </c>
      <c r="AD153">
        <v>26.56</v>
      </c>
      <c r="AE153">
        <v>253</v>
      </c>
      <c r="AF153">
        <v>17</v>
      </c>
      <c r="AG153">
        <v>62</v>
      </c>
      <c r="AH153">
        <v>32</v>
      </c>
      <c r="AI153">
        <v>6.72</v>
      </c>
      <c r="AJ153">
        <v>24.51</v>
      </c>
      <c r="AK153">
        <v>12.65</v>
      </c>
      <c r="AL153">
        <v>-19.563932349999959</v>
      </c>
      <c r="AM153">
        <v>-43.917383104532327</v>
      </c>
      <c r="AN153">
        <v>-19.563932349999959</v>
      </c>
      <c r="AO153">
        <v>-43.917383104532327</v>
      </c>
      <c r="AP153">
        <v>-19.563834</v>
      </c>
      <c r="AQ153">
        <v>-43.917617</v>
      </c>
      <c r="AR153">
        <v>26.86608405010627</v>
      </c>
      <c r="AS153" t="s">
        <v>65</v>
      </c>
      <c r="AT153">
        <v>1</v>
      </c>
      <c r="AU153" t="s">
        <v>436</v>
      </c>
      <c r="AV153" t="s">
        <v>437</v>
      </c>
      <c r="AW153" t="s">
        <v>60</v>
      </c>
      <c r="AX153" t="s">
        <v>68</v>
      </c>
      <c r="AY153" t="s">
        <v>69</v>
      </c>
      <c r="AZ153" t="b">
        <v>1</v>
      </c>
    </row>
    <row r="154" spans="1:52" x14ac:dyDescent="0.3">
      <c r="A154" t="s">
        <v>52</v>
      </c>
      <c r="B154" t="s">
        <v>53</v>
      </c>
      <c r="C154" t="s">
        <v>54</v>
      </c>
      <c r="D154" t="s">
        <v>55</v>
      </c>
      <c r="E154" t="s">
        <v>616</v>
      </c>
      <c r="F154" t="s">
        <v>176</v>
      </c>
      <c r="G154" t="s">
        <v>443</v>
      </c>
      <c r="H154" t="s">
        <v>444</v>
      </c>
      <c r="I154" t="s">
        <v>444</v>
      </c>
      <c r="J154" t="s">
        <v>60</v>
      </c>
      <c r="K154" t="s">
        <v>445</v>
      </c>
      <c r="L154" t="s">
        <v>62</v>
      </c>
      <c r="M154" t="s">
        <v>445</v>
      </c>
      <c r="N154" t="s">
        <v>446</v>
      </c>
      <c r="O154" t="s">
        <v>447</v>
      </c>
      <c r="P154">
        <v>-19.650062999999999</v>
      </c>
      <c r="Q154">
        <v>-43.878337000000002</v>
      </c>
      <c r="R154" s="2" t="str">
        <f>HYPERLINK("https://www.google.com/maps?q=-19.6500630,-43.8783370","Abrir no Google Maps")</f>
        <v>Abrir no Google Maps</v>
      </c>
      <c r="S154">
        <v>3</v>
      </c>
      <c r="T154">
        <v>839.11860749856135</v>
      </c>
      <c r="U154">
        <v>4</v>
      </c>
      <c r="V154">
        <v>0.49780818381308889</v>
      </c>
      <c r="W154">
        <v>1</v>
      </c>
      <c r="X154">
        <v>0.49780818381308889</v>
      </c>
      <c r="Y154">
        <v>3</v>
      </c>
      <c r="Z154">
        <v>698.86168887476526</v>
      </c>
      <c r="AA154">
        <v>2</v>
      </c>
      <c r="AB154">
        <v>3</v>
      </c>
      <c r="AC154">
        <v>7</v>
      </c>
      <c r="AD154">
        <v>26.56</v>
      </c>
      <c r="AE154">
        <v>253</v>
      </c>
      <c r="AF154">
        <v>17</v>
      </c>
      <c r="AG154">
        <v>62</v>
      </c>
      <c r="AH154">
        <v>32</v>
      </c>
      <c r="AI154">
        <v>6.72</v>
      </c>
      <c r="AJ154">
        <v>24.51</v>
      </c>
      <c r="AK154">
        <v>12.65</v>
      </c>
      <c r="AL154">
        <v>-19.650555399999941</v>
      </c>
      <c r="AM154">
        <v>-43.878603008553611</v>
      </c>
      <c r="AN154">
        <v>-19.650555399999941</v>
      </c>
      <c r="AO154">
        <v>-43.878603008553611</v>
      </c>
      <c r="AP154">
        <v>-19.650062999999999</v>
      </c>
      <c r="AQ154">
        <v>-43.878337000000002</v>
      </c>
      <c r="AR154">
        <v>61.500273251918507</v>
      </c>
      <c r="AS154" t="s">
        <v>65</v>
      </c>
      <c r="AT154">
        <v>1</v>
      </c>
      <c r="AU154" t="s">
        <v>448</v>
      </c>
      <c r="AV154" t="s">
        <v>449</v>
      </c>
      <c r="AW154" t="s">
        <v>60</v>
      </c>
      <c r="AX154" t="s">
        <v>68</v>
      </c>
      <c r="AY154" t="s">
        <v>69</v>
      </c>
      <c r="AZ154" t="b">
        <v>1</v>
      </c>
    </row>
    <row r="155" spans="1:52" x14ac:dyDescent="0.3">
      <c r="A155" t="s">
        <v>52</v>
      </c>
      <c r="B155" t="s">
        <v>53</v>
      </c>
      <c r="C155" t="s">
        <v>54</v>
      </c>
      <c r="D155" t="s">
        <v>55</v>
      </c>
      <c r="E155" t="s">
        <v>616</v>
      </c>
      <c r="F155" t="s">
        <v>176</v>
      </c>
      <c r="G155" t="s">
        <v>450</v>
      </c>
      <c r="H155" t="s">
        <v>451</v>
      </c>
      <c r="I155" t="s">
        <v>451</v>
      </c>
      <c r="J155" t="s">
        <v>60</v>
      </c>
      <c r="K155" t="s">
        <v>452</v>
      </c>
      <c r="L155" t="s">
        <v>62</v>
      </c>
      <c r="M155" t="s">
        <v>452</v>
      </c>
      <c r="N155" t="s">
        <v>453</v>
      </c>
      <c r="O155" t="s">
        <v>454</v>
      </c>
      <c r="P155">
        <v>-19.649691000000001</v>
      </c>
      <c r="Q155">
        <v>-43.873970999999997</v>
      </c>
      <c r="R155" s="2" t="str">
        <f>HYPERLINK("https://www.google.com/maps?q=-19.6496910,-43.8739710","Abrir no Google Maps")</f>
        <v>Abrir no Google Maps</v>
      </c>
      <c r="S155">
        <v>3</v>
      </c>
      <c r="T155">
        <v>433.54329587849469</v>
      </c>
      <c r="U155">
        <v>4</v>
      </c>
      <c r="V155">
        <v>0.51868017188459181</v>
      </c>
      <c r="W155">
        <v>1</v>
      </c>
      <c r="X155">
        <v>0.51868017188459181</v>
      </c>
      <c r="Y155">
        <v>3</v>
      </c>
      <c r="Z155">
        <v>298.71042308886041</v>
      </c>
      <c r="AA155">
        <v>2</v>
      </c>
      <c r="AB155">
        <v>3</v>
      </c>
      <c r="AC155">
        <v>7</v>
      </c>
      <c r="AD155">
        <v>26.56</v>
      </c>
      <c r="AE155">
        <v>253</v>
      </c>
      <c r="AF155">
        <v>17</v>
      </c>
      <c r="AG155">
        <v>62</v>
      </c>
      <c r="AH155">
        <v>32</v>
      </c>
      <c r="AI155">
        <v>6.72</v>
      </c>
      <c r="AJ155">
        <v>24.51</v>
      </c>
      <c r="AK155">
        <v>12.65</v>
      </c>
      <c r="AL155">
        <v>-19.64973869999994</v>
      </c>
      <c r="AM155">
        <v>-43.873980587601103</v>
      </c>
      <c r="AN155">
        <v>-19.64973869999994</v>
      </c>
      <c r="AO155">
        <v>-43.873980587601103</v>
      </c>
      <c r="AP155">
        <v>-19.649691000000001</v>
      </c>
      <c r="AQ155">
        <v>-43.873970999999997</v>
      </c>
      <c r="AR155">
        <v>5.4042596125531333</v>
      </c>
      <c r="AS155" t="s">
        <v>65</v>
      </c>
      <c r="AT155">
        <v>1</v>
      </c>
      <c r="AU155" t="s">
        <v>455</v>
      </c>
      <c r="AV155" t="s">
        <v>456</v>
      </c>
      <c r="AW155" t="s">
        <v>60</v>
      </c>
      <c r="AX155" t="s">
        <v>68</v>
      </c>
      <c r="AY155" t="s">
        <v>69</v>
      </c>
      <c r="AZ155" t="b">
        <v>1</v>
      </c>
    </row>
    <row r="156" spans="1:52" x14ac:dyDescent="0.3">
      <c r="A156" t="s">
        <v>52</v>
      </c>
      <c r="B156" t="s">
        <v>53</v>
      </c>
      <c r="C156" t="s">
        <v>54</v>
      </c>
      <c r="D156" t="s">
        <v>55</v>
      </c>
      <c r="E156" t="s">
        <v>616</v>
      </c>
      <c r="F156" t="s">
        <v>176</v>
      </c>
      <c r="G156" t="s">
        <v>324</v>
      </c>
      <c r="H156" t="s">
        <v>325</v>
      </c>
      <c r="I156" t="s">
        <v>325</v>
      </c>
      <c r="J156" t="s">
        <v>60</v>
      </c>
      <c r="K156" t="s">
        <v>326</v>
      </c>
      <c r="L156" t="s">
        <v>62</v>
      </c>
      <c r="M156" t="s">
        <v>326</v>
      </c>
      <c r="N156" t="s">
        <v>327</v>
      </c>
      <c r="O156" t="s">
        <v>328</v>
      </c>
      <c r="P156">
        <v>-19.654454000000001</v>
      </c>
      <c r="Q156">
        <v>-43.874654</v>
      </c>
      <c r="R156" s="2" t="str">
        <f>HYPERLINK("https://www.google.com/maps?q=-19.6544540,-43.8746540","Abrir no Google Maps")</f>
        <v>Abrir no Google Maps</v>
      </c>
      <c r="S156">
        <v>3</v>
      </c>
      <c r="T156">
        <v>461.71515786258828</v>
      </c>
      <c r="U156">
        <v>4</v>
      </c>
      <c r="V156">
        <v>0.4901374222479386</v>
      </c>
      <c r="W156">
        <v>1</v>
      </c>
      <c r="X156">
        <v>0.4901374222479386</v>
      </c>
      <c r="Y156">
        <v>3</v>
      </c>
      <c r="Z156">
        <v>321.42492762576637</v>
      </c>
      <c r="AA156">
        <v>2</v>
      </c>
      <c r="AB156">
        <v>3</v>
      </c>
      <c r="AC156">
        <v>7</v>
      </c>
      <c r="AD156">
        <v>26.56</v>
      </c>
      <c r="AE156">
        <v>253</v>
      </c>
      <c r="AF156">
        <v>17</v>
      </c>
      <c r="AG156">
        <v>62</v>
      </c>
      <c r="AH156">
        <v>32</v>
      </c>
      <c r="AI156">
        <v>6.72</v>
      </c>
      <c r="AJ156">
        <v>24.51</v>
      </c>
      <c r="AK156">
        <v>12.65</v>
      </c>
      <c r="AL156">
        <v>-19.654399599999941</v>
      </c>
      <c r="AM156">
        <v>-43.87457008070222</v>
      </c>
      <c r="AN156">
        <v>-19.654399599999941</v>
      </c>
      <c r="AO156">
        <v>-43.87457008070222</v>
      </c>
      <c r="AP156">
        <v>-19.654454000000001</v>
      </c>
      <c r="AQ156">
        <v>-43.874654</v>
      </c>
      <c r="AR156">
        <v>10.68040226290562</v>
      </c>
      <c r="AS156" t="s">
        <v>65</v>
      </c>
      <c r="AT156">
        <v>1</v>
      </c>
      <c r="AU156" t="s">
        <v>329</v>
      </c>
      <c r="AV156" t="s">
        <v>330</v>
      </c>
      <c r="AW156" t="s">
        <v>60</v>
      </c>
      <c r="AX156" t="s">
        <v>68</v>
      </c>
      <c r="AY156" t="s">
        <v>69</v>
      </c>
      <c r="AZ156" t="b">
        <v>1</v>
      </c>
    </row>
    <row r="157" spans="1:52" x14ac:dyDescent="0.3">
      <c r="A157" t="s">
        <v>52</v>
      </c>
      <c r="B157" t="s">
        <v>53</v>
      </c>
      <c r="C157" t="s">
        <v>54</v>
      </c>
      <c r="D157" t="s">
        <v>55</v>
      </c>
      <c r="E157" t="s">
        <v>616</v>
      </c>
      <c r="F157" t="s">
        <v>176</v>
      </c>
      <c r="G157" t="s">
        <v>457</v>
      </c>
      <c r="H157" t="s">
        <v>458</v>
      </c>
      <c r="I157" t="s">
        <v>458</v>
      </c>
      <c r="J157" t="s">
        <v>60</v>
      </c>
      <c r="K157" t="s">
        <v>286</v>
      </c>
      <c r="L157" t="s">
        <v>62</v>
      </c>
      <c r="M157" t="s">
        <v>286</v>
      </c>
      <c r="N157" t="s">
        <v>459</v>
      </c>
      <c r="O157" t="s">
        <v>408</v>
      </c>
      <c r="P157">
        <v>-19.648675000000001</v>
      </c>
      <c r="Q157">
        <v>-43.876176999999998</v>
      </c>
      <c r="R157" s="2" t="str">
        <f>HYPERLINK("https://www.google.com/maps?q=-19.6486750,-43.8761770","Abrir no Google Maps")</f>
        <v>Abrir no Google Maps</v>
      </c>
      <c r="S157">
        <v>3</v>
      </c>
      <c r="T157">
        <v>696.15049931004592</v>
      </c>
      <c r="U157">
        <v>4</v>
      </c>
      <c r="V157">
        <v>0.52900558704950584</v>
      </c>
      <c r="W157">
        <v>1</v>
      </c>
      <c r="X157">
        <v>0.52900558704950584</v>
      </c>
      <c r="Y157">
        <v>3</v>
      </c>
      <c r="Z157">
        <v>617.40976221624703</v>
      </c>
      <c r="AA157">
        <v>2</v>
      </c>
      <c r="AB157">
        <v>3</v>
      </c>
      <c r="AC157">
        <v>7</v>
      </c>
      <c r="AD157">
        <v>26.56</v>
      </c>
      <c r="AE157">
        <v>253</v>
      </c>
      <c r="AF157">
        <v>17</v>
      </c>
      <c r="AG157">
        <v>62</v>
      </c>
      <c r="AH157">
        <v>32</v>
      </c>
      <c r="AI157">
        <v>6.72</v>
      </c>
      <c r="AJ157">
        <v>24.51</v>
      </c>
      <c r="AK157">
        <v>12.65</v>
      </c>
      <c r="AL157">
        <v>-19.648626649999951</v>
      </c>
      <c r="AM157">
        <v>-43.876233357879343</v>
      </c>
      <c r="AN157">
        <v>-19.648626649999951</v>
      </c>
      <c r="AO157">
        <v>-43.876233357879343</v>
      </c>
      <c r="AP157">
        <v>-19.648675000000001</v>
      </c>
      <c r="AQ157">
        <v>-43.876176999999998</v>
      </c>
      <c r="AR157">
        <v>7.9924470956447653</v>
      </c>
      <c r="AS157" t="s">
        <v>65</v>
      </c>
      <c r="AT157">
        <v>1</v>
      </c>
      <c r="AU157" t="s">
        <v>460</v>
      </c>
      <c r="AV157" t="s">
        <v>461</v>
      </c>
      <c r="AW157" t="s">
        <v>60</v>
      </c>
      <c r="AX157" t="s">
        <v>68</v>
      </c>
      <c r="AY157" t="s">
        <v>69</v>
      </c>
      <c r="AZ157" t="b">
        <v>1</v>
      </c>
    </row>
    <row r="158" spans="1:52" x14ac:dyDescent="0.3">
      <c r="A158" t="s">
        <v>52</v>
      </c>
      <c r="B158" t="s">
        <v>53</v>
      </c>
      <c r="C158" t="s">
        <v>54</v>
      </c>
      <c r="D158" t="s">
        <v>55</v>
      </c>
      <c r="E158" t="s">
        <v>616</v>
      </c>
      <c r="F158" t="s">
        <v>176</v>
      </c>
      <c r="G158" t="s">
        <v>468</v>
      </c>
      <c r="H158" t="s">
        <v>469</v>
      </c>
      <c r="I158" t="s">
        <v>469</v>
      </c>
      <c r="J158" t="s">
        <v>60</v>
      </c>
      <c r="K158" t="s">
        <v>326</v>
      </c>
      <c r="L158" t="s">
        <v>62</v>
      </c>
      <c r="M158" t="s">
        <v>326</v>
      </c>
      <c r="N158" t="s">
        <v>470</v>
      </c>
      <c r="O158" t="s">
        <v>471</v>
      </c>
      <c r="P158">
        <v>-19.655975999999999</v>
      </c>
      <c r="Q158">
        <v>-43.870057000000003</v>
      </c>
      <c r="R158" s="2" t="str">
        <f>HYPERLINK("https://www.google.com/maps?q=-19.6559760,-43.8700570","Abrir no Google Maps")</f>
        <v>Abrir no Google Maps</v>
      </c>
      <c r="S158">
        <v>3</v>
      </c>
      <c r="T158">
        <v>409.25016374145417</v>
      </c>
      <c r="U158">
        <v>4</v>
      </c>
      <c r="V158">
        <v>0.51737441967148123</v>
      </c>
      <c r="W158">
        <v>1</v>
      </c>
      <c r="X158">
        <v>0.51737441967148123</v>
      </c>
      <c r="Y158">
        <v>3</v>
      </c>
      <c r="Z158">
        <v>484.59511175905197</v>
      </c>
      <c r="AA158">
        <v>2</v>
      </c>
      <c r="AB158">
        <v>3</v>
      </c>
      <c r="AC158">
        <v>7</v>
      </c>
      <c r="AD158">
        <v>26.56</v>
      </c>
      <c r="AE158">
        <v>253</v>
      </c>
      <c r="AF158">
        <v>17</v>
      </c>
      <c r="AG158">
        <v>62</v>
      </c>
      <c r="AH158">
        <v>32</v>
      </c>
      <c r="AI158">
        <v>6.72</v>
      </c>
      <c r="AJ158">
        <v>24.51</v>
      </c>
      <c r="AK158">
        <v>12.65</v>
      </c>
      <c r="AL158">
        <v>-19.655869499999969</v>
      </c>
      <c r="AM158">
        <v>-43.870040006843681</v>
      </c>
      <c r="AN158">
        <v>-19.655869499999969</v>
      </c>
      <c r="AO158">
        <v>-43.870040006843681</v>
      </c>
      <c r="AP158">
        <v>-19.655975999999999</v>
      </c>
      <c r="AQ158">
        <v>-43.870057000000003</v>
      </c>
      <c r="AR158">
        <v>11.98867552929476</v>
      </c>
      <c r="AS158" t="s">
        <v>65</v>
      </c>
      <c r="AT158">
        <v>1</v>
      </c>
      <c r="AU158" t="s">
        <v>472</v>
      </c>
      <c r="AV158" t="s">
        <v>473</v>
      </c>
      <c r="AW158" t="s">
        <v>60</v>
      </c>
      <c r="AX158" t="s">
        <v>68</v>
      </c>
      <c r="AY158" t="s">
        <v>69</v>
      </c>
      <c r="AZ158" t="b">
        <v>1</v>
      </c>
    </row>
    <row r="159" spans="1:52" x14ac:dyDescent="0.3">
      <c r="A159" t="s">
        <v>52</v>
      </c>
      <c r="B159" t="s">
        <v>53</v>
      </c>
      <c r="C159" t="s">
        <v>54</v>
      </c>
      <c r="D159" t="s">
        <v>55</v>
      </c>
      <c r="E159" t="s">
        <v>616</v>
      </c>
      <c r="F159" t="s">
        <v>176</v>
      </c>
      <c r="G159" t="s">
        <v>338</v>
      </c>
      <c r="H159" t="s">
        <v>339</v>
      </c>
      <c r="I159" t="s">
        <v>339</v>
      </c>
      <c r="J159" t="s">
        <v>60</v>
      </c>
      <c r="K159" t="s">
        <v>219</v>
      </c>
      <c r="L159" t="s">
        <v>62</v>
      </c>
      <c r="M159" t="s">
        <v>219</v>
      </c>
      <c r="N159" t="s">
        <v>340</v>
      </c>
      <c r="O159" t="s">
        <v>341</v>
      </c>
      <c r="P159">
        <v>-19.666964</v>
      </c>
      <c r="Q159">
        <v>-43.884436999999998</v>
      </c>
      <c r="R159" s="2" t="str">
        <f>HYPERLINK("https://www.google.com/maps?q=-19.6669640,-43.8844370","Abrir no Google Maps")</f>
        <v>Abrir no Google Maps</v>
      </c>
      <c r="S159">
        <v>3</v>
      </c>
      <c r="T159">
        <v>957.0047152726122</v>
      </c>
      <c r="U159">
        <v>4</v>
      </c>
      <c r="V159">
        <v>0.50425593098490296</v>
      </c>
      <c r="W159">
        <v>1</v>
      </c>
      <c r="X159">
        <v>0.50425593098490296</v>
      </c>
      <c r="Y159">
        <v>3</v>
      </c>
      <c r="Z159">
        <v>558.02655966087093</v>
      </c>
      <c r="AA159">
        <v>2</v>
      </c>
      <c r="AB159">
        <v>3</v>
      </c>
      <c r="AC159">
        <v>7</v>
      </c>
      <c r="AD159">
        <v>26.56</v>
      </c>
      <c r="AE159">
        <v>253</v>
      </c>
      <c r="AF159">
        <v>17</v>
      </c>
      <c r="AG159">
        <v>62</v>
      </c>
      <c r="AH159">
        <v>32</v>
      </c>
      <c r="AI159">
        <v>6.72</v>
      </c>
      <c r="AJ159">
        <v>24.51</v>
      </c>
      <c r="AK159">
        <v>12.65</v>
      </c>
      <c r="AL159">
        <v>-19.66693374999997</v>
      </c>
      <c r="AM159">
        <v>-43.884551162820181</v>
      </c>
      <c r="AN159">
        <v>-19.66693374999997</v>
      </c>
      <c r="AO159">
        <v>-43.884551162820181</v>
      </c>
      <c r="AP159">
        <v>-19.666964</v>
      </c>
      <c r="AQ159">
        <v>-43.884436999999998</v>
      </c>
      <c r="AR159">
        <v>12.43199920714442</v>
      </c>
      <c r="AS159" t="s">
        <v>65</v>
      </c>
      <c r="AT159">
        <v>1</v>
      </c>
      <c r="AU159" t="s">
        <v>342</v>
      </c>
      <c r="AV159" t="s">
        <v>343</v>
      </c>
      <c r="AW159" t="s">
        <v>60</v>
      </c>
      <c r="AX159" t="s">
        <v>68</v>
      </c>
      <c r="AY159" t="s">
        <v>69</v>
      </c>
      <c r="AZ159" t="b">
        <v>1</v>
      </c>
    </row>
    <row r="160" spans="1:52" x14ac:dyDescent="0.3">
      <c r="A160" t="s">
        <v>52</v>
      </c>
      <c r="B160" t="s">
        <v>53</v>
      </c>
      <c r="C160" t="s">
        <v>54</v>
      </c>
      <c r="D160" t="s">
        <v>55</v>
      </c>
      <c r="E160" t="s">
        <v>616</v>
      </c>
      <c r="F160" t="s">
        <v>176</v>
      </c>
      <c r="G160" t="s">
        <v>474</v>
      </c>
      <c r="H160" t="s">
        <v>475</v>
      </c>
      <c r="I160" t="s">
        <v>475</v>
      </c>
      <c r="J160" t="s">
        <v>60</v>
      </c>
      <c r="K160" t="s">
        <v>326</v>
      </c>
      <c r="L160" t="s">
        <v>62</v>
      </c>
      <c r="M160" t="s">
        <v>326</v>
      </c>
      <c r="N160" t="s">
        <v>476</v>
      </c>
      <c r="O160" t="s">
        <v>477</v>
      </c>
      <c r="P160">
        <v>-19.658083000000001</v>
      </c>
      <c r="Q160">
        <v>-43.866957999999997</v>
      </c>
      <c r="R160" s="2" t="str">
        <f>HYPERLINK("https://www.google.com/maps?q=-19.6580830,-43.8669580","Abrir no Google Maps")</f>
        <v>Abrir no Google Maps</v>
      </c>
      <c r="S160">
        <v>3</v>
      </c>
      <c r="T160">
        <v>753.45055811539748</v>
      </c>
      <c r="U160">
        <v>4</v>
      </c>
      <c r="V160">
        <v>0.50624074465834568</v>
      </c>
      <c r="W160">
        <v>1</v>
      </c>
      <c r="X160">
        <v>0.50624074465834568</v>
      </c>
      <c r="Y160">
        <v>3</v>
      </c>
      <c r="Z160">
        <v>808.47816984050394</v>
      </c>
      <c r="AA160">
        <v>2</v>
      </c>
      <c r="AB160">
        <v>3</v>
      </c>
      <c r="AC160">
        <v>7</v>
      </c>
      <c r="AD160">
        <v>26.56</v>
      </c>
      <c r="AE160">
        <v>253</v>
      </c>
      <c r="AF160">
        <v>17</v>
      </c>
      <c r="AG160">
        <v>62</v>
      </c>
      <c r="AH160">
        <v>32</v>
      </c>
      <c r="AI160">
        <v>6.72</v>
      </c>
      <c r="AJ160">
        <v>24.51</v>
      </c>
      <c r="AK160">
        <v>12.65</v>
      </c>
      <c r="AL160">
        <v>-19.658034899999929</v>
      </c>
      <c r="AM160">
        <v>-43.867024921196148</v>
      </c>
      <c r="AN160">
        <v>-19.658034899999929</v>
      </c>
      <c r="AO160">
        <v>-43.867024921196148</v>
      </c>
      <c r="AP160">
        <v>-19.658083000000001</v>
      </c>
      <c r="AQ160">
        <v>-43.866957999999997</v>
      </c>
      <c r="AR160">
        <v>8.8253920204286462</v>
      </c>
      <c r="AS160" t="s">
        <v>65</v>
      </c>
      <c r="AT160">
        <v>1</v>
      </c>
      <c r="AU160" t="s">
        <v>478</v>
      </c>
      <c r="AV160" t="s">
        <v>349</v>
      </c>
      <c r="AW160" t="s">
        <v>60</v>
      </c>
      <c r="AX160" t="s">
        <v>68</v>
      </c>
      <c r="AY160" t="s">
        <v>69</v>
      </c>
      <c r="AZ160" t="b">
        <v>1</v>
      </c>
    </row>
    <row r="161" spans="1:52" x14ac:dyDescent="0.3">
      <c r="A161" t="s">
        <v>52</v>
      </c>
      <c r="B161" t="s">
        <v>53</v>
      </c>
      <c r="C161" t="s">
        <v>54</v>
      </c>
      <c r="D161" t="s">
        <v>55</v>
      </c>
      <c r="E161" t="s">
        <v>616</v>
      </c>
      <c r="F161" t="s">
        <v>176</v>
      </c>
      <c r="G161" t="s">
        <v>484</v>
      </c>
      <c r="H161" t="s">
        <v>485</v>
      </c>
      <c r="I161" t="s">
        <v>485</v>
      </c>
      <c r="J161" t="s">
        <v>60</v>
      </c>
      <c r="K161" t="s">
        <v>486</v>
      </c>
      <c r="L161" t="s">
        <v>62</v>
      </c>
      <c r="M161" t="s">
        <v>486</v>
      </c>
      <c r="N161" t="s">
        <v>487</v>
      </c>
      <c r="O161" t="s">
        <v>488</v>
      </c>
      <c r="P161">
        <v>-19.599471999999999</v>
      </c>
      <c r="Q161">
        <v>-43.904423999999999</v>
      </c>
      <c r="R161" s="2" t="str">
        <f>HYPERLINK("https://www.google.com/maps?q=-19.5994720,-43.9044240","Abrir no Google Maps")</f>
        <v>Abrir no Google Maps</v>
      </c>
      <c r="S161">
        <v>3</v>
      </c>
      <c r="T161">
        <v>0</v>
      </c>
      <c r="U161">
        <v>4</v>
      </c>
      <c r="V161">
        <v>0.50497896213183735</v>
      </c>
      <c r="W161">
        <v>1</v>
      </c>
      <c r="X161">
        <v>0.50497896213183735</v>
      </c>
      <c r="Y161">
        <v>2</v>
      </c>
      <c r="Z161">
        <v>112.207711482489</v>
      </c>
      <c r="AA161">
        <v>2</v>
      </c>
      <c r="AB161">
        <v>3</v>
      </c>
      <c r="AC161">
        <v>7</v>
      </c>
      <c r="AD161">
        <v>26.56</v>
      </c>
      <c r="AE161">
        <v>253</v>
      </c>
      <c r="AF161">
        <v>17</v>
      </c>
      <c r="AG161">
        <v>62</v>
      </c>
      <c r="AH161">
        <v>32</v>
      </c>
      <c r="AI161">
        <v>6.72</v>
      </c>
      <c r="AJ161">
        <v>24.51</v>
      </c>
      <c r="AK161">
        <v>12.65</v>
      </c>
      <c r="AL161">
        <v>-19.599417149999969</v>
      </c>
      <c r="AM161">
        <v>-43.904309145074677</v>
      </c>
      <c r="AN161">
        <v>-19.599417149999969</v>
      </c>
      <c r="AO161">
        <v>-43.904309145074677</v>
      </c>
      <c r="AP161">
        <v>-19.599471999999999</v>
      </c>
      <c r="AQ161">
        <v>-43.904423999999999</v>
      </c>
      <c r="AR161">
        <v>13.50409975769734</v>
      </c>
      <c r="AS161" t="s">
        <v>65</v>
      </c>
      <c r="AT161">
        <v>1</v>
      </c>
      <c r="AU161" t="s">
        <v>489</v>
      </c>
      <c r="AV161" t="s">
        <v>490</v>
      </c>
      <c r="AW161" t="s">
        <v>60</v>
      </c>
      <c r="AX161" t="s">
        <v>68</v>
      </c>
      <c r="AY161" t="s">
        <v>69</v>
      </c>
      <c r="AZ161" t="b">
        <v>1</v>
      </c>
    </row>
    <row r="162" spans="1:52" x14ac:dyDescent="0.3">
      <c r="A162" t="s">
        <v>52</v>
      </c>
      <c r="B162" t="s">
        <v>53</v>
      </c>
      <c r="C162" t="s">
        <v>54</v>
      </c>
      <c r="D162" t="s">
        <v>55</v>
      </c>
      <c r="E162" t="s">
        <v>616</v>
      </c>
      <c r="F162" t="s">
        <v>176</v>
      </c>
      <c r="G162" t="s">
        <v>438</v>
      </c>
      <c r="H162" t="s">
        <v>491</v>
      </c>
      <c r="I162" t="s">
        <v>491</v>
      </c>
      <c r="J162" t="s">
        <v>60</v>
      </c>
      <c r="K162" t="s">
        <v>492</v>
      </c>
      <c r="L162" t="s">
        <v>62</v>
      </c>
      <c r="M162" t="s">
        <v>492</v>
      </c>
      <c r="N162" t="s">
        <v>493</v>
      </c>
      <c r="O162" t="s">
        <v>81</v>
      </c>
      <c r="P162">
        <v>-19.599810999999999</v>
      </c>
      <c r="Q162">
        <v>-43.906267</v>
      </c>
      <c r="R162" s="2" t="str">
        <f>HYPERLINK("https://www.google.com/maps?q=-19.5998110,-43.9062670","Abrir no Google Maps")</f>
        <v>Abrir no Google Maps</v>
      </c>
      <c r="S162">
        <v>3</v>
      </c>
      <c r="T162">
        <v>214.87460546260371</v>
      </c>
      <c r="U162">
        <v>4</v>
      </c>
      <c r="V162">
        <v>0.5168357810413885</v>
      </c>
      <c r="W162">
        <v>1</v>
      </c>
      <c r="X162">
        <v>0.5168357810413885</v>
      </c>
      <c r="Y162">
        <v>2</v>
      </c>
      <c r="Z162">
        <v>211.0648412523515</v>
      </c>
      <c r="AA162">
        <v>2</v>
      </c>
      <c r="AB162">
        <v>3</v>
      </c>
      <c r="AC162">
        <v>7</v>
      </c>
      <c r="AD162">
        <v>26.56</v>
      </c>
      <c r="AE162">
        <v>253</v>
      </c>
      <c r="AF162">
        <v>17</v>
      </c>
      <c r="AG162">
        <v>62</v>
      </c>
      <c r="AH162">
        <v>32</v>
      </c>
      <c r="AI162">
        <v>6.72</v>
      </c>
      <c r="AJ162">
        <v>24.51</v>
      </c>
      <c r="AK162">
        <v>12.65</v>
      </c>
      <c r="AL162">
        <v>-19.600032099999961</v>
      </c>
      <c r="AM162">
        <v>-43.906252350845229</v>
      </c>
      <c r="AN162">
        <v>-19.600032099999961</v>
      </c>
      <c r="AO162">
        <v>-43.906252350845229</v>
      </c>
      <c r="AP162">
        <v>-19.599810999999999</v>
      </c>
      <c r="AQ162">
        <v>-43.906267</v>
      </c>
      <c r="AR162">
        <v>24.660749384148179</v>
      </c>
      <c r="AS162" t="s">
        <v>65</v>
      </c>
      <c r="AT162">
        <v>1</v>
      </c>
      <c r="AU162" t="s">
        <v>494</v>
      </c>
      <c r="AV162" t="s">
        <v>495</v>
      </c>
      <c r="AW162" t="s">
        <v>60</v>
      </c>
      <c r="AX162" t="s">
        <v>68</v>
      </c>
      <c r="AY162" t="s">
        <v>69</v>
      </c>
      <c r="AZ162" t="b">
        <v>1</v>
      </c>
    </row>
    <row r="163" spans="1:52" x14ac:dyDescent="0.3">
      <c r="A163" t="s">
        <v>52</v>
      </c>
      <c r="B163" t="s">
        <v>53</v>
      </c>
      <c r="C163" t="s">
        <v>54</v>
      </c>
      <c r="D163" t="s">
        <v>55</v>
      </c>
      <c r="E163" t="s">
        <v>616</v>
      </c>
      <c r="F163" t="s">
        <v>176</v>
      </c>
      <c r="G163" t="s">
        <v>500</v>
      </c>
      <c r="H163" t="s">
        <v>501</v>
      </c>
      <c r="I163" t="s">
        <v>501</v>
      </c>
      <c r="J163" t="s">
        <v>60</v>
      </c>
      <c r="K163" t="s">
        <v>164</v>
      </c>
      <c r="L163" t="s">
        <v>62</v>
      </c>
      <c r="M163" t="s">
        <v>164</v>
      </c>
      <c r="N163" t="s">
        <v>502</v>
      </c>
      <c r="O163" t="s">
        <v>503</v>
      </c>
      <c r="P163">
        <v>-19.665816</v>
      </c>
      <c r="Q163">
        <v>-43.886322999999997</v>
      </c>
      <c r="R163" s="2" t="str">
        <f>HYPERLINK("https://www.google.com/maps?q=-19.6658160,-43.8863230","Abrir no Google Maps")</f>
        <v>Abrir no Google Maps</v>
      </c>
      <c r="S163">
        <v>3</v>
      </c>
      <c r="T163">
        <v>1149.957610345353</v>
      </c>
      <c r="U163">
        <v>4</v>
      </c>
      <c r="V163">
        <v>0.52387039969325366</v>
      </c>
      <c r="W163">
        <v>1</v>
      </c>
      <c r="X163">
        <v>0.52387039969325366</v>
      </c>
      <c r="Y163">
        <v>1</v>
      </c>
      <c r="Z163">
        <v>381.605286477493</v>
      </c>
      <c r="AA163">
        <v>2</v>
      </c>
      <c r="AB163">
        <v>3</v>
      </c>
      <c r="AC163">
        <v>7</v>
      </c>
      <c r="AD163">
        <v>26.56</v>
      </c>
      <c r="AE163">
        <v>253</v>
      </c>
      <c r="AF163">
        <v>17</v>
      </c>
      <c r="AG163">
        <v>62</v>
      </c>
      <c r="AH163">
        <v>32</v>
      </c>
      <c r="AI163">
        <v>6.72</v>
      </c>
      <c r="AJ163">
        <v>24.51</v>
      </c>
      <c r="AK163">
        <v>12.65</v>
      </c>
      <c r="AL163">
        <v>-19.665844049999951</v>
      </c>
      <c r="AM163">
        <v>-43.886344205728712</v>
      </c>
      <c r="AN163">
        <v>-19.665844049999951</v>
      </c>
      <c r="AO163">
        <v>-43.886344205728712</v>
      </c>
      <c r="AP163">
        <v>-19.665816</v>
      </c>
      <c r="AQ163">
        <v>-43.886322999999997</v>
      </c>
      <c r="AR163">
        <v>3.8329604058735098</v>
      </c>
      <c r="AS163" t="s">
        <v>65</v>
      </c>
      <c r="AT163">
        <v>1</v>
      </c>
      <c r="AU163" t="s">
        <v>504</v>
      </c>
      <c r="AV163" t="s">
        <v>505</v>
      </c>
      <c r="AW163" t="s">
        <v>60</v>
      </c>
      <c r="AX163" t="s">
        <v>68</v>
      </c>
      <c r="AY163" t="s">
        <v>69</v>
      </c>
      <c r="AZ163" t="b">
        <v>1</v>
      </c>
    </row>
    <row r="164" spans="1:52" x14ac:dyDescent="0.3">
      <c r="A164" t="s">
        <v>52</v>
      </c>
      <c r="B164" t="s">
        <v>53</v>
      </c>
      <c r="C164" t="s">
        <v>54</v>
      </c>
      <c r="D164" t="s">
        <v>55</v>
      </c>
      <c r="E164" t="s">
        <v>616</v>
      </c>
      <c r="F164" t="s">
        <v>176</v>
      </c>
      <c r="G164" t="s">
        <v>506</v>
      </c>
      <c r="H164" t="s">
        <v>507</v>
      </c>
      <c r="I164" t="s">
        <v>507</v>
      </c>
      <c r="J164" t="s">
        <v>60</v>
      </c>
      <c r="K164" t="s">
        <v>219</v>
      </c>
      <c r="L164" t="s">
        <v>62</v>
      </c>
      <c r="M164" t="s">
        <v>219</v>
      </c>
      <c r="N164" t="s">
        <v>508</v>
      </c>
      <c r="O164" t="s">
        <v>509</v>
      </c>
      <c r="P164">
        <v>-19.663573</v>
      </c>
      <c r="Q164">
        <v>-43.884306000000002</v>
      </c>
      <c r="R164" s="2" t="str">
        <f>HYPERLINK("https://www.google.com/maps?q=-19.6635730,-43.8843060","Abrir no Google Maps")</f>
        <v>Abrir no Google Maps</v>
      </c>
      <c r="S164">
        <v>3</v>
      </c>
      <c r="T164">
        <v>1293.040666597964</v>
      </c>
      <c r="U164">
        <v>4</v>
      </c>
      <c r="V164">
        <v>0.52839710769204318</v>
      </c>
      <c r="W164">
        <v>1</v>
      </c>
      <c r="X164">
        <v>0.52839710769204318</v>
      </c>
      <c r="Y164">
        <v>1</v>
      </c>
      <c r="Z164">
        <v>649.69199246551727</v>
      </c>
      <c r="AA164">
        <v>2</v>
      </c>
      <c r="AB164">
        <v>3</v>
      </c>
      <c r="AC164">
        <v>7</v>
      </c>
      <c r="AD164">
        <v>26.56</v>
      </c>
      <c r="AE164">
        <v>253</v>
      </c>
      <c r="AF164">
        <v>17</v>
      </c>
      <c r="AG164">
        <v>62</v>
      </c>
      <c r="AH164">
        <v>32</v>
      </c>
      <c r="AI164">
        <v>6.72</v>
      </c>
      <c r="AJ164">
        <v>24.51</v>
      </c>
      <c r="AK164">
        <v>12.65</v>
      </c>
      <c r="AL164">
        <v>-19.663616899999969</v>
      </c>
      <c r="AM164">
        <v>-43.884279937960187</v>
      </c>
      <c r="AN164">
        <v>-19.663616899999969</v>
      </c>
      <c r="AO164">
        <v>-43.884279937960187</v>
      </c>
      <c r="AP164">
        <v>-19.663573</v>
      </c>
      <c r="AQ164">
        <v>-43.884306000000002</v>
      </c>
      <c r="AR164">
        <v>5.5987767285658263</v>
      </c>
      <c r="AS164" t="s">
        <v>65</v>
      </c>
      <c r="AT164">
        <v>1</v>
      </c>
      <c r="AU164" t="s">
        <v>510</v>
      </c>
      <c r="AV164" t="s">
        <v>511</v>
      </c>
      <c r="AW164" t="s">
        <v>60</v>
      </c>
      <c r="AX164" t="s">
        <v>68</v>
      </c>
      <c r="AY164" t="s">
        <v>69</v>
      </c>
      <c r="AZ164" t="b">
        <v>1</v>
      </c>
    </row>
    <row r="165" spans="1:52" x14ac:dyDescent="0.3">
      <c r="A165" t="s">
        <v>52</v>
      </c>
      <c r="B165" t="s">
        <v>53</v>
      </c>
      <c r="C165" t="s">
        <v>54</v>
      </c>
      <c r="D165" t="s">
        <v>55</v>
      </c>
      <c r="E165" t="s">
        <v>616</v>
      </c>
      <c r="F165" t="s">
        <v>176</v>
      </c>
      <c r="G165" t="s">
        <v>681</v>
      </c>
      <c r="H165" t="s">
        <v>682</v>
      </c>
      <c r="I165" t="s">
        <v>682</v>
      </c>
      <c r="J165" t="s">
        <v>60</v>
      </c>
      <c r="K165" t="s">
        <v>683</v>
      </c>
      <c r="L165" t="s">
        <v>62</v>
      </c>
      <c r="M165" t="s">
        <v>683</v>
      </c>
      <c r="N165" t="s">
        <v>684</v>
      </c>
      <c r="O165" t="s">
        <v>589</v>
      </c>
      <c r="P165">
        <v>-19.569573999999999</v>
      </c>
      <c r="Q165">
        <v>-43.948939000000003</v>
      </c>
      <c r="R165" s="2" t="str">
        <f>HYPERLINK("https://www.google.com/maps?q=-19.5695740,-43.9489390","Abrir no Google Maps")</f>
        <v>Abrir no Google Maps</v>
      </c>
      <c r="S165">
        <v>3</v>
      </c>
      <c r="T165">
        <v>710.01170441209865</v>
      </c>
      <c r="U165">
        <v>4</v>
      </c>
      <c r="V165">
        <v>0.51401999130812681</v>
      </c>
      <c r="W165">
        <v>1</v>
      </c>
      <c r="X165">
        <v>0.51401999130812681</v>
      </c>
      <c r="Y165">
        <v>1</v>
      </c>
      <c r="Z165">
        <v>528.51196257580398</v>
      </c>
      <c r="AA165">
        <v>2</v>
      </c>
      <c r="AB165">
        <v>3</v>
      </c>
      <c r="AC165">
        <v>7</v>
      </c>
      <c r="AD165">
        <v>26.56</v>
      </c>
      <c r="AE165">
        <v>253</v>
      </c>
      <c r="AF165">
        <v>17</v>
      </c>
      <c r="AG165">
        <v>62</v>
      </c>
      <c r="AH165">
        <v>32</v>
      </c>
      <c r="AI165">
        <v>6.72</v>
      </c>
      <c r="AJ165">
        <v>24.51</v>
      </c>
      <c r="AK165">
        <v>12.65</v>
      </c>
      <c r="AL165">
        <v>-19.570777549999971</v>
      </c>
      <c r="AM165">
        <v>-43.949205504203732</v>
      </c>
      <c r="AN165">
        <v>-19.570777549999981</v>
      </c>
      <c r="AO165">
        <v>-43.949205504203732</v>
      </c>
      <c r="AP165">
        <v>-19.569573999999999</v>
      </c>
      <c r="AQ165">
        <v>-43.948939000000003</v>
      </c>
      <c r="AR165">
        <v>136.86420500821191</v>
      </c>
      <c r="AS165" t="s">
        <v>65</v>
      </c>
      <c r="AT165">
        <v>1</v>
      </c>
      <c r="AU165" t="s">
        <v>685</v>
      </c>
      <c r="AV165" t="s">
        <v>686</v>
      </c>
      <c r="AW165" t="s">
        <v>60</v>
      </c>
      <c r="AX165" t="s">
        <v>68</v>
      </c>
      <c r="AY165" t="s">
        <v>69</v>
      </c>
      <c r="AZ165" t="b">
        <v>1</v>
      </c>
    </row>
    <row r="166" spans="1:52" x14ac:dyDescent="0.3">
      <c r="A166" t="s">
        <v>52</v>
      </c>
      <c r="B166" t="s">
        <v>53</v>
      </c>
      <c r="C166" t="s">
        <v>54</v>
      </c>
      <c r="D166" t="s">
        <v>55</v>
      </c>
      <c r="E166" t="s">
        <v>616</v>
      </c>
      <c r="F166" t="s">
        <v>176</v>
      </c>
      <c r="G166" t="s">
        <v>664</v>
      </c>
      <c r="H166" t="s">
        <v>687</v>
      </c>
      <c r="I166" t="s">
        <v>687</v>
      </c>
      <c r="J166" t="s">
        <v>60</v>
      </c>
      <c r="K166" t="s">
        <v>683</v>
      </c>
      <c r="L166" t="s">
        <v>62</v>
      </c>
      <c r="M166" t="s">
        <v>683</v>
      </c>
      <c r="N166" t="s">
        <v>688</v>
      </c>
      <c r="O166" t="s">
        <v>354</v>
      </c>
      <c r="P166">
        <v>-19.564990999999999</v>
      </c>
      <c r="Q166">
        <v>-43.947169000000002</v>
      </c>
      <c r="R166" s="2" t="str">
        <f>HYPERLINK("https://www.google.com/maps?q=-19.5649910,-43.9471690","Abrir no Google Maps")</f>
        <v>Abrir no Google Maps</v>
      </c>
      <c r="S166">
        <v>3</v>
      </c>
      <c r="T166">
        <v>686.62887321451433</v>
      </c>
      <c r="U166">
        <v>4</v>
      </c>
      <c r="V166">
        <v>0.50867177370273353</v>
      </c>
      <c r="W166">
        <v>1</v>
      </c>
      <c r="X166">
        <v>0.50867177370273353</v>
      </c>
      <c r="Y166">
        <v>1</v>
      </c>
      <c r="Z166">
        <v>848.87718642784125</v>
      </c>
      <c r="AA166">
        <v>2</v>
      </c>
      <c r="AB166">
        <v>3</v>
      </c>
      <c r="AC166">
        <v>7</v>
      </c>
      <c r="AD166">
        <v>26.56</v>
      </c>
      <c r="AE166">
        <v>253</v>
      </c>
      <c r="AF166">
        <v>17</v>
      </c>
      <c r="AG166">
        <v>62</v>
      </c>
      <c r="AH166">
        <v>32</v>
      </c>
      <c r="AI166">
        <v>6.72</v>
      </c>
      <c r="AJ166">
        <v>24.51</v>
      </c>
      <c r="AK166">
        <v>12.65</v>
      </c>
      <c r="AL166">
        <v>-19.564904949999971</v>
      </c>
      <c r="AM166">
        <v>-43.94746329903581</v>
      </c>
      <c r="AN166">
        <v>-19.564904949999971</v>
      </c>
      <c r="AO166">
        <v>-43.94746329903581</v>
      </c>
      <c r="AP166">
        <v>-19.564990999999999</v>
      </c>
      <c r="AQ166">
        <v>-43.947169000000002</v>
      </c>
      <c r="AR166">
        <v>32.321888980844889</v>
      </c>
      <c r="AS166" t="s">
        <v>65</v>
      </c>
      <c r="AT166">
        <v>1</v>
      </c>
      <c r="AU166" t="s">
        <v>689</v>
      </c>
      <c r="AV166" t="s">
        <v>690</v>
      </c>
      <c r="AW166" t="s">
        <v>60</v>
      </c>
      <c r="AX166" t="s">
        <v>68</v>
      </c>
      <c r="AY166" t="s">
        <v>69</v>
      </c>
      <c r="AZ166" t="b">
        <v>1</v>
      </c>
    </row>
    <row r="167" spans="1:52" x14ac:dyDescent="0.3">
      <c r="A167" t="s">
        <v>52</v>
      </c>
      <c r="B167" t="s">
        <v>53</v>
      </c>
      <c r="C167" t="s">
        <v>54</v>
      </c>
      <c r="D167" t="s">
        <v>55</v>
      </c>
      <c r="E167" t="s">
        <v>616</v>
      </c>
      <c r="F167" t="s">
        <v>176</v>
      </c>
      <c r="G167" t="s">
        <v>394</v>
      </c>
      <c r="H167" t="s">
        <v>395</v>
      </c>
      <c r="I167" t="s">
        <v>395</v>
      </c>
      <c r="J167" t="s">
        <v>60</v>
      </c>
      <c r="K167" t="s">
        <v>286</v>
      </c>
      <c r="L167" t="s">
        <v>62</v>
      </c>
      <c r="M167" t="s">
        <v>286</v>
      </c>
      <c r="N167" t="s">
        <v>396</v>
      </c>
      <c r="O167" t="s">
        <v>88</v>
      </c>
      <c r="P167">
        <v>-19.636932999999999</v>
      </c>
      <c r="Q167">
        <v>-43.882691999999999</v>
      </c>
      <c r="R167" s="2" t="str">
        <f>HYPERLINK("https://www.google.com/maps?q=-19.6369330,-43.8826920","Abrir no Google Maps")</f>
        <v>Abrir no Google Maps</v>
      </c>
      <c r="S167">
        <v>3</v>
      </c>
      <c r="T167">
        <v>523.52675813688109</v>
      </c>
      <c r="U167">
        <v>3</v>
      </c>
      <c r="V167">
        <v>0.46445699882454161</v>
      </c>
      <c r="W167">
        <v>1</v>
      </c>
      <c r="X167">
        <v>0.46445699882454161</v>
      </c>
      <c r="Y167">
        <v>10</v>
      </c>
      <c r="Z167">
        <v>372.58135532659509</v>
      </c>
      <c r="AA167">
        <v>2</v>
      </c>
      <c r="AB167">
        <v>3</v>
      </c>
      <c r="AC167">
        <v>7</v>
      </c>
      <c r="AD167">
        <v>26.56</v>
      </c>
      <c r="AE167">
        <v>253</v>
      </c>
      <c r="AF167">
        <v>17</v>
      </c>
      <c r="AG167">
        <v>62</v>
      </c>
      <c r="AH167">
        <v>32</v>
      </c>
      <c r="AI167">
        <v>6.72</v>
      </c>
      <c r="AJ167">
        <v>24.51</v>
      </c>
      <c r="AK167">
        <v>12.65</v>
      </c>
      <c r="AL167">
        <v>-19.637159949999951</v>
      </c>
      <c r="AM167">
        <v>-43.882643289441461</v>
      </c>
      <c r="AN167">
        <v>-19.637159949999951</v>
      </c>
      <c r="AO167">
        <v>-43.882643289441461</v>
      </c>
      <c r="AP167">
        <v>-19.636932999999999</v>
      </c>
      <c r="AQ167">
        <v>-43.882691999999999</v>
      </c>
      <c r="AR167">
        <v>25.775099947452478</v>
      </c>
      <c r="AS167" t="s">
        <v>65</v>
      </c>
      <c r="AT167">
        <v>1</v>
      </c>
      <c r="AU167" t="s">
        <v>397</v>
      </c>
      <c r="AV167" t="s">
        <v>398</v>
      </c>
      <c r="AW167" t="s">
        <v>60</v>
      </c>
      <c r="AX167" t="s">
        <v>68</v>
      </c>
      <c r="AY167" t="s">
        <v>69</v>
      </c>
      <c r="AZ167" t="b">
        <v>1</v>
      </c>
    </row>
    <row r="168" spans="1:52" x14ac:dyDescent="0.3">
      <c r="A168" t="s">
        <v>52</v>
      </c>
      <c r="B168" t="s">
        <v>53</v>
      </c>
      <c r="C168" t="s">
        <v>54</v>
      </c>
      <c r="D168" t="s">
        <v>55</v>
      </c>
      <c r="E168" t="s">
        <v>616</v>
      </c>
      <c r="F168" t="s">
        <v>176</v>
      </c>
      <c r="G168" t="s">
        <v>399</v>
      </c>
      <c r="H168" t="s">
        <v>400</v>
      </c>
      <c r="I168" t="s">
        <v>400</v>
      </c>
      <c r="J168" t="s">
        <v>60</v>
      </c>
      <c r="K168" t="s">
        <v>286</v>
      </c>
      <c r="L168" t="s">
        <v>62</v>
      </c>
      <c r="M168" t="s">
        <v>286</v>
      </c>
      <c r="N168" t="s">
        <v>401</v>
      </c>
      <c r="O168" t="s">
        <v>402</v>
      </c>
      <c r="P168">
        <v>-19.639906</v>
      </c>
      <c r="Q168">
        <v>-43.886059000000003</v>
      </c>
      <c r="R168" s="2" t="str">
        <f>HYPERLINK("https://www.google.com/maps?q=-19.6399060,-43.8860590","Abrir no Google Maps")</f>
        <v>Abrir no Google Maps</v>
      </c>
      <c r="S168">
        <v>3</v>
      </c>
      <c r="T168">
        <v>256.0748811302048</v>
      </c>
      <c r="U168">
        <v>3</v>
      </c>
      <c r="V168">
        <v>0.45177814938684502</v>
      </c>
      <c r="W168">
        <v>1</v>
      </c>
      <c r="X168">
        <v>0.45177814938684502</v>
      </c>
      <c r="Y168">
        <v>10</v>
      </c>
      <c r="Z168">
        <v>205.06236700857289</v>
      </c>
      <c r="AA168">
        <v>2</v>
      </c>
      <c r="AB168">
        <v>3</v>
      </c>
      <c r="AC168">
        <v>7</v>
      </c>
      <c r="AD168">
        <v>26.56</v>
      </c>
      <c r="AE168">
        <v>253</v>
      </c>
      <c r="AF168">
        <v>17</v>
      </c>
      <c r="AG168">
        <v>62</v>
      </c>
      <c r="AH168">
        <v>32</v>
      </c>
      <c r="AI168">
        <v>6.72</v>
      </c>
      <c r="AJ168">
        <v>24.51</v>
      </c>
      <c r="AK168">
        <v>12.65</v>
      </c>
      <c r="AL168">
        <v>-19.639789499999949</v>
      </c>
      <c r="AM168">
        <v>-43.885737855031408</v>
      </c>
      <c r="AN168">
        <v>-19.639789499999949</v>
      </c>
      <c r="AO168">
        <v>-43.885737855031408</v>
      </c>
      <c r="AP168">
        <v>-19.639906</v>
      </c>
      <c r="AQ168">
        <v>-43.886059000000003</v>
      </c>
      <c r="AR168">
        <v>36.081349702130403</v>
      </c>
      <c r="AS168" t="s">
        <v>65</v>
      </c>
      <c r="AT168">
        <v>1</v>
      </c>
      <c r="AU168" t="s">
        <v>403</v>
      </c>
      <c r="AV168" t="s">
        <v>404</v>
      </c>
      <c r="AW168" t="s">
        <v>60</v>
      </c>
      <c r="AX168" t="s">
        <v>68</v>
      </c>
      <c r="AY168" t="s">
        <v>69</v>
      </c>
      <c r="AZ168" t="b">
        <v>1</v>
      </c>
    </row>
    <row r="169" spans="1:52" x14ac:dyDescent="0.3">
      <c r="A169" t="s">
        <v>52</v>
      </c>
      <c r="B169" t="s">
        <v>53</v>
      </c>
      <c r="C169" t="s">
        <v>54</v>
      </c>
      <c r="D169" t="s">
        <v>55</v>
      </c>
      <c r="E169" t="s">
        <v>616</v>
      </c>
      <c r="F169" t="s">
        <v>176</v>
      </c>
      <c r="G169" t="s">
        <v>284</v>
      </c>
      <c r="H169" t="s">
        <v>285</v>
      </c>
      <c r="I169" t="s">
        <v>285</v>
      </c>
      <c r="J169" t="s">
        <v>60</v>
      </c>
      <c r="K169" t="s">
        <v>286</v>
      </c>
      <c r="L169" t="s">
        <v>62</v>
      </c>
      <c r="M169" t="s">
        <v>286</v>
      </c>
      <c r="N169" t="s">
        <v>287</v>
      </c>
      <c r="O169" t="s">
        <v>288</v>
      </c>
      <c r="P169">
        <v>-19.639790000000001</v>
      </c>
      <c r="Q169">
        <v>-43.882798999999999</v>
      </c>
      <c r="R169" s="2" t="str">
        <f>HYPERLINK("https://www.google.com/maps?q=-19.6397900,-43.8827990","Abrir no Google Maps")</f>
        <v>Abrir no Google Maps</v>
      </c>
      <c r="S169">
        <v>3</v>
      </c>
      <c r="T169">
        <v>242.7052058134478</v>
      </c>
      <c r="U169">
        <v>3</v>
      </c>
      <c r="V169">
        <v>0.47646516204415468</v>
      </c>
      <c r="W169">
        <v>1</v>
      </c>
      <c r="X169">
        <v>0.47646516204415468</v>
      </c>
      <c r="Y169">
        <v>10</v>
      </c>
      <c r="Z169">
        <v>187.2088809462339</v>
      </c>
      <c r="AA169">
        <v>2</v>
      </c>
      <c r="AB169">
        <v>3</v>
      </c>
      <c r="AC169">
        <v>7</v>
      </c>
      <c r="AD169">
        <v>26.56</v>
      </c>
      <c r="AE169">
        <v>253</v>
      </c>
      <c r="AF169">
        <v>17</v>
      </c>
      <c r="AG169">
        <v>62</v>
      </c>
      <c r="AH169">
        <v>32</v>
      </c>
      <c r="AI169">
        <v>6.72</v>
      </c>
      <c r="AJ169">
        <v>24.51</v>
      </c>
      <c r="AK169">
        <v>12.65</v>
      </c>
      <c r="AL169">
        <v>-19.639855599999951</v>
      </c>
      <c r="AM169">
        <v>-43.882909745178452</v>
      </c>
      <c r="AN169">
        <v>-19.639855599999951</v>
      </c>
      <c r="AO169">
        <v>-43.882909745178452</v>
      </c>
      <c r="AP169">
        <v>-19.639790000000001</v>
      </c>
      <c r="AQ169">
        <v>-43.882798999999999</v>
      </c>
      <c r="AR169">
        <v>13.716486068571211</v>
      </c>
      <c r="AS169" t="s">
        <v>65</v>
      </c>
      <c r="AT169">
        <v>1</v>
      </c>
      <c r="AU169" t="s">
        <v>289</v>
      </c>
      <c r="AV169" t="s">
        <v>290</v>
      </c>
      <c r="AW169" t="s">
        <v>60</v>
      </c>
      <c r="AX169" t="s">
        <v>68</v>
      </c>
      <c r="AY169" t="s">
        <v>69</v>
      </c>
      <c r="AZ169" t="b">
        <v>1</v>
      </c>
    </row>
    <row r="170" spans="1:52" x14ac:dyDescent="0.3">
      <c r="A170" t="s">
        <v>52</v>
      </c>
      <c r="B170" t="s">
        <v>53</v>
      </c>
      <c r="C170" t="s">
        <v>54</v>
      </c>
      <c r="D170" t="s">
        <v>55</v>
      </c>
      <c r="E170" t="s">
        <v>616</v>
      </c>
      <c r="F170" t="s">
        <v>176</v>
      </c>
      <c r="G170" t="s">
        <v>405</v>
      </c>
      <c r="H170" t="s">
        <v>406</v>
      </c>
      <c r="I170" t="s">
        <v>406</v>
      </c>
      <c r="J170" t="s">
        <v>60</v>
      </c>
      <c r="K170" t="s">
        <v>286</v>
      </c>
      <c r="L170" t="s">
        <v>62</v>
      </c>
      <c r="M170" t="s">
        <v>286</v>
      </c>
      <c r="N170" t="s">
        <v>407</v>
      </c>
      <c r="O170" t="s">
        <v>408</v>
      </c>
      <c r="P170">
        <v>-19.646345</v>
      </c>
      <c r="Q170">
        <v>-43.882294999999999</v>
      </c>
      <c r="R170" s="2" t="str">
        <f>HYPERLINK("https://www.google.com/maps?q=-19.6463450,-43.8822950","Abrir no Google Maps")</f>
        <v>Abrir no Google Maps</v>
      </c>
      <c r="S170">
        <v>3</v>
      </c>
      <c r="T170">
        <v>450.3180538635894</v>
      </c>
      <c r="U170">
        <v>3</v>
      </c>
      <c r="V170">
        <v>0.46941596038370231</v>
      </c>
      <c r="W170">
        <v>1</v>
      </c>
      <c r="X170">
        <v>0.46941596038370231</v>
      </c>
      <c r="Y170">
        <v>10</v>
      </c>
      <c r="Z170">
        <v>349.23341775902583</v>
      </c>
      <c r="AA170">
        <v>2</v>
      </c>
      <c r="AB170">
        <v>3</v>
      </c>
      <c r="AC170">
        <v>7</v>
      </c>
      <c r="AD170">
        <v>26.56</v>
      </c>
      <c r="AE170">
        <v>253</v>
      </c>
      <c r="AF170">
        <v>17</v>
      </c>
      <c r="AG170">
        <v>62</v>
      </c>
      <c r="AH170">
        <v>32</v>
      </c>
      <c r="AI170">
        <v>6.72</v>
      </c>
      <c r="AJ170">
        <v>24.51</v>
      </c>
      <c r="AK170">
        <v>12.65</v>
      </c>
      <c r="AL170">
        <v>-19.646391649999941</v>
      </c>
      <c r="AM170">
        <v>-43.882007396993302</v>
      </c>
      <c r="AN170">
        <v>-19.646391649999941</v>
      </c>
      <c r="AO170">
        <v>-43.882007396993302</v>
      </c>
      <c r="AP170">
        <v>-19.646345</v>
      </c>
      <c r="AQ170">
        <v>-43.882294999999999</v>
      </c>
      <c r="AR170">
        <v>30.596105513395301</v>
      </c>
      <c r="AS170" t="s">
        <v>65</v>
      </c>
      <c r="AT170">
        <v>1</v>
      </c>
      <c r="AU170" t="s">
        <v>409</v>
      </c>
      <c r="AV170" t="s">
        <v>410</v>
      </c>
      <c r="AW170" t="s">
        <v>60</v>
      </c>
      <c r="AX170" t="s">
        <v>68</v>
      </c>
      <c r="AY170" t="s">
        <v>69</v>
      </c>
      <c r="AZ170" t="b">
        <v>1</v>
      </c>
    </row>
    <row r="171" spans="1:52" x14ac:dyDescent="0.3">
      <c r="A171" t="s">
        <v>52</v>
      </c>
      <c r="B171" t="s">
        <v>53</v>
      </c>
      <c r="C171" t="s">
        <v>54</v>
      </c>
      <c r="D171" t="s">
        <v>55</v>
      </c>
      <c r="E171" t="s">
        <v>616</v>
      </c>
      <c r="F171" t="s">
        <v>176</v>
      </c>
      <c r="G171" t="s">
        <v>691</v>
      </c>
      <c r="H171" t="s">
        <v>692</v>
      </c>
      <c r="I171" t="s">
        <v>692</v>
      </c>
      <c r="J171" t="s">
        <v>60</v>
      </c>
      <c r="K171" t="s">
        <v>352</v>
      </c>
      <c r="L171" t="s">
        <v>62</v>
      </c>
      <c r="M171" t="s">
        <v>352</v>
      </c>
      <c r="N171" t="s">
        <v>693</v>
      </c>
      <c r="O171" t="s">
        <v>694</v>
      </c>
      <c r="P171">
        <v>-19.592984999999999</v>
      </c>
      <c r="Q171">
        <v>-43.897024999999999</v>
      </c>
      <c r="R171" s="2" t="str">
        <f>HYPERLINK("https://www.google.com/maps?q=-19.5929850,-43.8970250","Abrir no Google Maps")</f>
        <v>Abrir no Google Maps</v>
      </c>
      <c r="S171">
        <v>3</v>
      </c>
      <c r="T171">
        <v>1022.30441514714</v>
      </c>
      <c r="U171">
        <v>3</v>
      </c>
      <c r="V171">
        <v>0.52569105691056917</v>
      </c>
      <c r="W171">
        <v>0.85</v>
      </c>
      <c r="X171">
        <v>0.44683739837398379</v>
      </c>
      <c r="Y171">
        <v>7</v>
      </c>
      <c r="Z171">
        <v>1025.765184854632</v>
      </c>
      <c r="AA171">
        <v>2</v>
      </c>
      <c r="AB171">
        <v>3</v>
      </c>
      <c r="AC171">
        <v>7</v>
      </c>
      <c r="AD171">
        <v>26.56</v>
      </c>
      <c r="AE171">
        <v>253</v>
      </c>
      <c r="AF171">
        <v>17</v>
      </c>
      <c r="AG171">
        <v>62</v>
      </c>
      <c r="AH171">
        <v>32</v>
      </c>
      <c r="AI171">
        <v>6.72</v>
      </c>
      <c r="AJ171">
        <v>24.51</v>
      </c>
      <c r="AK171">
        <v>12.65</v>
      </c>
      <c r="AL171">
        <v>-19.593727299999951</v>
      </c>
      <c r="AM171">
        <v>-43.89663096630845</v>
      </c>
      <c r="AN171">
        <v>-19.593727299999951</v>
      </c>
      <c r="AO171">
        <v>-43.89663096630845</v>
      </c>
      <c r="AP171">
        <v>-19.592984999999999</v>
      </c>
      <c r="AQ171">
        <v>-43.897024999999999</v>
      </c>
      <c r="AR171">
        <v>92.389647241204798</v>
      </c>
      <c r="AS171" t="s">
        <v>65</v>
      </c>
      <c r="AT171">
        <v>1</v>
      </c>
      <c r="AU171" t="s">
        <v>695</v>
      </c>
      <c r="AV171" t="s">
        <v>375</v>
      </c>
      <c r="AW171" t="s">
        <v>60</v>
      </c>
      <c r="AX171" t="s">
        <v>68</v>
      </c>
      <c r="AY171" t="s">
        <v>69</v>
      </c>
      <c r="AZ171" t="b">
        <v>1</v>
      </c>
    </row>
    <row r="172" spans="1:52" x14ac:dyDescent="0.3">
      <c r="A172" t="s">
        <v>52</v>
      </c>
      <c r="B172" t="s">
        <v>53</v>
      </c>
      <c r="C172" t="s">
        <v>54</v>
      </c>
      <c r="D172" t="s">
        <v>55</v>
      </c>
      <c r="E172" t="s">
        <v>616</v>
      </c>
      <c r="F172" t="s">
        <v>176</v>
      </c>
      <c r="G172" t="s">
        <v>696</v>
      </c>
      <c r="H172" t="s">
        <v>697</v>
      </c>
      <c r="I172" t="s">
        <v>697</v>
      </c>
      <c r="J172" t="s">
        <v>60</v>
      </c>
      <c r="K172" t="s">
        <v>192</v>
      </c>
      <c r="L172" t="s">
        <v>62</v>
      </c>
      <c r="M172" t="s">
        <v>192</v>
      </c>
      <c r="N172" t="s">
        <v>698</v>
      </c>
      <c r="O172" t="s">
        <v>201</v>
      </c>
      <c r="P172">
        <v>-19.657964</v>
      </c>
      <c r="Q172">
        <v>-43.913791000000003</v>
      </c>
      <c r="R172" s="2" t="str">
        <f>HYPERLINK("https://www.google.com/maps?q=-19.6579640,-43.9137910","Abrir no Google Maps")</f>
        <v>Abrir no Google Maps</v>
      </c>
      <c r="S172">
        <v>3</v>
      </c>
      <c r="T172">
        <v>1058.2952342500039</v>
      </c>
      <c r="U172">
        <v>3</v>
      </c>
      <c r="V172">
        <v>0.54117080994386524</v>
      </c>
      <c r="W172">
        <v>0.85</v>
      </c>
      <c r="X172">
        <v>0.45999518845228538</v>
      </c>
      <c r="Y172">
        <v>5</v>
      </c>
      <c r="Z172">
        <v>569.88485997938767</v>
      </c>
      <c r="AA172">
        <v>2</v>
      </c>
      <c r="AB172">
        <v>3</v>
      </c>
      <c r="AC172">
        <v>7</v>
      </c>
      <c r="AD172">
        <v>26.56</v>
      </c>
      <c r="AE172">
        <v>253</v>
      </c>
      <c r="AF172">
        <v>17</v>
      </c>
      <c r="AG172">
        <v>62</v>
      </c>
      <c r="AH172">
        <v>32</v>
      </c>
      <c r="AI172">
        <v>6.72</v>
      </c>
      <c r="AJ172">
        <v>24.51</v>
      </c>
      <c r="AK172">
        <v>12.65</v>
      </c>
      <c r="AL172">
        <v>-19.656920099999951</v>
      </c>
      <c r="AM172">
        <v>-43.913287088959777</v>
      </c>
      <c r="AN172">
        <v>-19.656920099999951</v>
      </c>
      <c r="AO172">
        <v>-43.913287088959777</v>
      </c>
      <c r="AP172">
        <v>-19.657964</v>
      </c>
      <c r="AQ172">
        <v>-43.913791000000003</v>
      </c>
      <c r="AR172">
        <v>127.6506083298423</v>
      </c>
      <c r="AS172" t="s">
        <v>65</v>
      </c>
      <c r="AT172">
        <v>1</v>
      </c>
      <c r="AU172" t="s">
        <v>699</v>
      </c>
      <c r="AV172" t="s">
        <v>700</v>
      </c>
      <c r="AW172" t="s">
        <v>60</v>
      </c>
      <c r="AX172" t="s">
        <v>68</v>
      </c>
      <c r="AY172" t="s">
        <v>69</v>
      </c>
      <c r="AZ172" t="b">
        <v>1</v>
      </c>
    </row>
    <row r="173" spans="1:52" x14ac:dyDescent="0.3">
      <c r="A173" t="s">
        <v>52</v>
      </c>
      <c r="B173" t="s">
        <v>53</v>
      </c>
      <c r="C173" t="s">
        <v>54</v>
      </c>
      <c r="D173" t="s">
        <v>55</v>
      </c>
      <c r="E173" t="s">
        <v>616</v>
      </c>
      <c r="F173" t="s">
        <v>176</v>
      </c>
      <c r="G173" t="s">
        <v>664</v>
      </c>
      <c r="H173" t="s">
        <v>701</v>
      </c>
      <c r="I173" t="s">
        <v>701</v>
      </c>
      <c r="J173" t="s">
        <v>60</v>
      </c>
      <c r="K173" t="s">
        <v>311</v>
      </c>
      <c r="L173" t="s">
        <v>62</v>
      </c>
      <c r="M173" t="s">
        <v>311</v>
      </c>
      <c r="N173" t="s">
        <v>435</v>
      </c>
      <c r="O173" t="s">
        <v>702</v>
      </c>
      <c r="P173">
        <v>-19.565729000000001</v>
      </c>
      <c r="Q173">
        <v>-43.920665999999997</v>
      </c>
      <c r="R173" s="2" t="str">
        <f>HYPERLINK("https://www.google.com/maps?q=-19.5657290,-43.9206660","Abrir no Google Maps")</f>
        <v>Abrir no Google Maps</v>
      </c>
      <c r="S173">
        <v>3</v>
      </c>
      <c r="T173">
        <v>849.43063667308161</v>
      </c>
      <c r="U173">
        <v>3</v>
      </c>
      <c r="V173">
        <v>0.53277074542897329</v>
      </c>
      <c r="W173">
        <v>0.85</v>
      </c>
      <c r="X173">
        <v>0.45285513361462731</v>
      </c>
      <c r="Y173">
        <v>5</v>
      </c>
      <c r="Z173">
        <v>643.17339424023237</v>
      </c>
      <c r="AA173">
        <v>2</v>
      </c>
      <c r="AB173">
        <v>3</v>
      </c>
      <c r="AC173">
        <v>7</v>
      </c>
      <c r="AD173">
        <v>26.56</v>
      </c>
      <c r="AE173">
        <v>253</v>
      </c>
      <c r="AF173">
        <v>17</v>
      </c>
      <c r="AG173">
        <v>62</v>
      </c>
      <c r="AH173">
        <v>32</v>
      </c>
      <c r="AI173">
        <v>6.72</v>
      </c>
      <c r="AJ173">
        <v>24.51</v>
      </c>
      <c r="AK173">
        <v>12.65</v>
      </c>
      <c r="AL173">
        <v>-19.56682334999994</v>
      </c>
      <c r="AM173">
        <v>-43.921453383422516</v>
      </c>
      <c r="AN173">
        <v>-19.56682334999994</v>
      </c>
      <c r="AO173">
        <v>-43.921453383422516</v>
      </c>
      <c r="AP173">
        <v>-19.565729000000001</v>
      </c>
      <c r="AQ173">
        <v>-43.920665999999997</v>
      </c>
      <c r="AR173">
        <v>147.17990898184439</v>
      </c>
      <c r="AS173" t="s">
        <v>65</v>
      </c>
      <c r="AT173">
        <v>1</v>
      </c>
      <c r="AU173" t="s">
        <v>703</v>
      </c>
      <c r="AV173" t="s">
        <v>704</v>
      </c>
      <c r="AW173" t="s">
        <v>60</v>
      </c>
      <c r="AX173" t="s">
        <v>68</v>
      </c>
      <c r="AY173" t="s">
        <v>69</v>
      </c>
      <c r="AZ173" t="b">
        <v>1</v>
      </c>
    </row>
    <row r="174" spans="1:52" x14ac:dyDescent="0.3">
      <c r="A174" t="s">
        <v>52</v>
      </c>
      <c r="B174" t="s">
        <v>53</v>
      </c>
      <c r="C174" t="s">
        <v>54</v>
      </c>
      <c r="D174" t="s">
        <v>55</v>
      </c>
      <c r="E174" t="s">
        <v>616</v>
      </c>
      <c r="F174" t="s">
        <v>176</v>
      </c>
      <c r="G174" t="s">
        <v>705</v>
      </c>
      <c r="H174" t="s">
        <v>706</v>
      </c>
      <c r="I174" t="s">
        <v>706</v>
      </c>
      <c r="J174" t="s">
        <v>60</v>
      </c>
      <c r="K174" t="s">
        <v>707</v>
      </c>
      <c r="L174" t="s">
        <v>62</v>
      </c>
      <c r="M174" t="s">
        <v>707</v>
      </c>
      <c r="N174" t="s">
        <v>708</v>
      </c>
      <c r="O174" t="s">
        <v>709</v>
      </c>
      <c r="P174">
        <v>-19.649132000000002</v>
      </c>
      <c r="Q174">
        <v>-43.913184999999999</v>
      </c>
      <c r="R174" s="2" t="str">
        <f>HYPERLINK("https://www.google.com/maps?q=-19.6491320,-43.9131850","Abrir no Google Maps")</f>
        <v>Abrir no Google Maps</v>
      </c>
      <c r="S174">
        <v>3</v>
      </c>
      <c r="T174">
        <v>708.05095277627129</v>
      </c>
      <c r="U174">
        <v>3</v>
      </c>
      <c r="V174">
        <v>0.42472452183842418</v>
      </c>
      <c r="W174">
        <v>1</v>
      </c>
      <c r="X174">
        <v>0.42472452183842418</v>
      </c>
      <c r="Y174">
        <v>4</v>
      </c>
      <c r="Z174">
        <v>786.89435979618963</v>
      </c>
      <c r="AA174">
        <v>2</v>
      </c>
      <c r="AB174">
        <v>3</v>
      </c>
      <c r="AC174">
        <v>7</v>
      </c>
      <c r="AD174">
        <v>26.56</v>
      </c>
      <c r="AE174">
        <v>253</v>
      </c>
      <c r="AF174">
        <v>17</v>
      </c>
      <c r="AG174">
        <v>62</v>
      </c>
      <c r="AH174">
        <v>32</v>
      </c>
      <c r="AI174">
        <v>6.72</v>
      </c>
      <c r="AJ174">
        <v>24.51</v>
      </c>
      <c r="AK174">
        <v>12.65</v>
      </c>
      <c r="AL174">
        <v>-19.649055099999941</v>
      </c>
      <c r="AM174">
        <v>-43.912942827576757</v>
      </c>
      <c r="AN174">
        <v>-19.649055099999941</v>
      </c>
      <c r="AO174">
        <v>-43.912942827576771</v>
      </c>
      <c r="AP174">
        <v>-19.649132000000002</v>
      </c>
      <c r="AQ174">
        <v>-43.913184999999999</v>
      </c>
      <c r="AR174">
        <v>26.793189431239711</v>
      </c>
      <c r="AS174" t="s">
        <v>65</v>
      </c>
      <c r="AT174">
        <v>1</v>
      </c>
      <c r="AU174" t="s">
        <v>710</v>
      </c>
      <c r="AV174" t="s">
        <v>711</v>
      </c>
      <c r="AW174" t="s">
        <v>60</v>
      </c>
      <c r="AX174" t="s">
        <v>68</v>
      </c>
      <c r="AY174" t="s">
        <v>69</v>
      </c>
      <c r="AZ174" t="b">
        <v>1</v>
      </c>
    </row>
    <row r="175" spans="1:52" x14ac:dyDescent="0.3">
      <c r="A175" t="s">
        <v>52</v>
      </c>
      <c r="B175" t="s">
        <v>53</v>
      </c>
      <c r="C175" t="s">
        <v>54</v>
      </c>
      <c r="D175" t="s">
        <v>55</v>
      </c>
      <c r="E175" t="s">
        <v>616</v>
      </c>
      <c r="F175" t="s">
        <v>176</v>
      </c>
      <c r="G175" t="s">
        <v>712</v>
      </c>
      <c r="H175" t="s">
        <v>713</v>
      </c>
      <c r="I175" t="s">
        <v>713</v>
      </c>
      <c r="J175" t="s">
        <v>60</v>
      </c>
      <c r="K175" t="s">
        <v>192</v>
      </c>
      <c r="L175" t="s">
        <v>62</v>
      </c>
      <c r="M175" t="s">
        <v>192</v>
      </c>
      <c r="N175" t="s">
        <v>714</v>
      </c>
      <c r="O175" t="s">
        <v>715</v>
      </c>
      <c r="P175">
        <v>-19.653379999999999</v>
      </c>
      <c r="Q175">
        <v>-43.914634999999997</v>
      </c>
      <c r="R175" s="2" t="str">
        <f>HYPERLINK("https://www.google.com/maps?q=-19.6533800,-43.9146350","Abrir no Google Maps")</f>
        <v>Abrir no Google Maps</v>
      </c>
      <c r="S175">
        <v>3</v>
      </c>
      <c r="T175">
        <v>1209.6845317210091</v>
      </c>
      <c r="U175">
        <v>3</v>
      </c>
      <c r="V175">
        <v>0.4345135794244333</v>
      </c>
      <c r="W175">
        <v>1</v>
      </c>
      <c r="X175">
        <v>0.4345135794244333</v>
      </c>
      <c r="Y175">
        <v>4</v>
      </c>
      <c r="Z175">
        <v>948.79528152345983</v>
      </c>
      <c r="AA175">
        <v>2</v>
      </c>
      <c r="AB175">
        <v>3</v>
      </c>
      <c r="AC175">
        <v>7</v>
      </c>
      <c r="AD175">
        <v>26.56</v>
      </c>
      <c r="AE175">
        <v>253</v>
      </c>
      <c r="AF175">
        <v>17</v>
      </c>
      <c r="AG175">
        <v>62</v>
      </c>
      <c r="AH175">
        <v>32</v>
      </c>
      <c r="AI175">
        <v>6.72</v>
      </c>
      <c r="AJ175">
        <v>24.51</v>
      </c>
      <c r="AK175">
        <v>12.65</v>
      </c>
      <c r="AL175">
        <v>-19.653402249999939</v>
      </c>
      <c r="AM175">
        <v>-43.91489200796137</v>
      </c>
      <c r="AN175">
        <v>-19.653402249999939</v>
      </c>
      <c r="AO175">
        <v>-43.91489200796137</v>
      </c>
      <c r="AP175">
        <v>-19.653379999999999</v>
      </c>
      <c r="AQ175">
        <v>-43.914634999999997</v>
      </c>
      <c r="AR175">
        <v>27.0570338493382</v>
      </c>
      <c r="AS175" t="s">
        <v>65</v>
      </c>
      <c r="AT175">
        <v>1</v>
      </c>
      <c r="AU175" t="s">
        <v>716</v>
      </c>
      <c r="AV175" t="s">
        <v>717</v>
      </c>
      <c r="AW175" t="s">
        <v>60</v>
      </c>
      <c r="AX175" t="s">
        <v>68</v>
      </c>
      <c r="AY175" t="s">
        <v>69</v>
      </c>
      <c r="AZ175" t="b">
        <v>1</v>
      </c>
    </row>
    <row r="176" spans="1:52" x14ac:dyDescent="0.3">
      <c r="A176" t="s">
        <v>52</v>
      </c>
      <c r="B176" t="s">
        <v>53</v>
      </c>
      <c r="C176" t="s">
        <v>54</v>
      </c>
      <c r="D176" t="s">
        <v>55</v>
      </c>
      <c r="E176" t="s">
        <v>616</v>
      </c>
      <c r="F176" t="s">
        <v>176</v>
      </c>
      <c r="G176" t="s">
        <v>438</v>
      </c>
      <c r="H176" t="s">
        <v>439</v>
      </c>
      <c r="I176" t="s">
        <v>439</v>
      </c>
      <c r="J176" t="s">
        <v>60</v>
      </c>
      <c r="K176" t="s">
        <v>199</v>
      </c>
      <c r="L176" t="s">
        <v>62</v>
      </c>
      <c r="M176" t="s">
        <v>199</v>
      </c>
      <c r="N176" t="s">
        <v>440</v>
      </c>
      <c r="O176" t="s">
        <v>120</v>
      </c>
      <c r="P176">
        <v>-19.642907000000001</v>
      </c>
      <c r="Q176">
        <v>-43.912584000000003</v>
      </c>
      <c r="R176" s="2" t="str">
        <f>HYPERLINK("https://www.google.com/maps?q=-19.6429070,-43.9125840","Abrir no Google Maps")</f>
        <v>Abrir no Google Maps</v>
      </c>
      <c r="S176">
        <v>3</v>
      </c>
      <c r="T176">
        <v>0</v>
      </c>
      <c r="U176">
        <v>3</v>
      </c>
      <c r="V176">
        <v>0.4644154500777718</v>
      </c>
      <c r="W176">
        <v>1</v>
      </c>
      <c r="X176">
        <v>0.4644154500777718</v>
      </c>
      <c r="Y176">
        <v>4</v>
      </c>
      <c r="Z176">
        <v>617.66392653629225</v>
      </c>
      <c r="AA176">
        <v>2</v>
      </c>
      <c r="AB176">
        <v>3</v>
      </c>
      <c r="AC176">
        <v>7</v>
      </c>
      <c r="AD176">
        <v>26.56</v>
      </c>
      <c r="AE176">
        <v>253</v>
      </c>
      <c r="AF176">
        <v>17</v>
      </c>
      <c r="AG176">
        <v>62</v>
      </c>
      <c r="AH176">
        <v>32</v>
      </c>
      <c r="AI176">
        <v>6.72</v>
      </c>
      <c r="AJ176">
        <v>24.51</v>
      </c>
      <c r="AK176">
        <v>12.65</v>
      </c>
      <c r="AL176">
        <v>-19.64265969999996</v>
      </c>
      <c r="AM176">
        <v>-43.912763285666202</v>
      </c>
      <c r="AN176">
        <v>-19.64265969999996</v>
      </c>
      <c r="AO176">
        <v>-43.912763285666202</v>
      </c>
      <c r="AP176">
        <v>-19.642907000000001</v>
      </c>
      <c r="AQ176">
        <v>-43.912584000000003</v>
      </c>
      <c r="AR176">
        <v>33.334435483196202</v>
      </c>
      <c r="AS176" t="s">
        <v>65</v>
      </c>
      <c r="AT176">
        <v>1</v>
      </c>
      <c r="AU176" t="s">
        <v>441</v>
      </c>
      <c r="AV176" t="s">
        <v>442</v>
      </c>
      <c r="AW176" t="s">
        <v>60</v>
      </c>
      <c r="AX176" t="s">
        <v>68</v>
      </c>
      <c r="AY176" t="s">
        <v>69</v>
      </c>
      <c r="AZ176" t="b">
        <v>1</v>
      </c>
    </row>
    <row r="177" spans="1:52" x14ac:dyDescent="0.3">
      <c r="A177" t="s">
        <v>52</v>
      </c>
      <c r="B177" t="s">
        <v>53</v>
      </c>
      <c r="C177" t="s">
        <v>54</v>
      </c>
      <c r="D177" t="s">
        <v>55</v>
      </c>
      <c r="E177" t="s">
        <v>616</v>
      </c>
      <c r="F177" t="s">
        <v>176</v>
      </c>
      <c r="G177" t="s">
        <v>462</v>
      </c>
      <c r="H177" t="s">
        <v>463</v>
      </c>
      <c r="I177" t="s">
        <v>463</v>
      </c>
      <c r="J177" t="s">
        <v>60</v>
      </c>
      <c r="K177" t="s">
        <v>464</v>
      </c>
      <c r="L177" t="s">
        <v>62</v>
      </c>
      <c r="M177" t="s">
        <v>464</v>
      </c>
      <c r="N177" t="s">
        <v>465</v>
      </c>
      <c r="O177" t="s">
        <v>414</v>
      </c>
      <c r="P177">
        <v>-19.655408000000001</v>
      </c>
      <c r="Q177">
        <v>-43.862772999999997</v>
      </c>
      <c r="R177" s="2" t="str">
        <f>HYPERLINK("https://www.google.com/maps?q=-19.6554080,-43.8627730","Abrir no Google Maps")</f>
        <v>Abrir no Google Maps</v>
      </c>
      <c r="S177">
        <v>3</v>
      </c>
      <c r="T177">
        <v>877.50781603676592</v>
      </c>
      <c r="U177">
        <v>3</v>
      </c>
      <c r="V177">
        <v>0.4566593271544882</v>
      </c>
      <c r="W177">
        <v>1</v>
      </c>
      <c r="X177">
        <v>0.4566593271544882</v>
      </c>
      <c r="Y177">
        <v>3</v>
      </c>
      <c r="Z177">
        <v>1005.9680098732809</v>
      </c>
      <c r="AA177">
        <v>2</v>
      </c>
      <c r="AB177">
        <v>3</v>
      </c>
      <c r="AC177">
        <v>7</v>
      </c>
      <c r="AD177">
        <v>26.56</v>
      </c>
      <c r="AE177">
        <v>253</v>
      </c>
      <c r="AF177">
        <v>17</v>
      </c>
      <c r="AG177">
        <v>62</v>
      </c>
      <c r="AH177">
        <v>32</v>
      </c>
      <c r="AI177">
        <v>6.72</v>
      </c>
      <c r="AJ177">
        <v>24.51</v>
      </c>
      <c r="AK177">
        <v>12.65</v>
      </c>
      <c r="AL177">
        <v>-19.655455099999951</v>
      </c>
      <c r="AM177">
        <v>-43.863149342001513</v>
      </c>
      <c r="AN177">
        <v>-19.655455099999951</v>
      </c>
      <c r="AO177">
        <v>-43.863149342001513</v>
      </c>
      <c r="AP177">
        <v>-19.655408000000001</v>
      </c>
      <c r="AQ177">
        <v>-43.862772999999997</v>
      </c>
      <c r="AR177">
        <v>39.800175805630573</v>
      </c>
      <c r="AS177" t="s">
        <v>65</v>
      </c>
      <c r="AT177">
        <v>1</v>
      </c>
      <c r="AU177" t="s">
        <v>466</v>
      </c>
      <c r="AV177" t="s">
        <v>467</v>
      </c>
      <c r="AW177" t="s">
        <v>60</v>
      </c>
      <c r="AX177" t="s">
        <v>68</v>
      </c>
      <c r="AY177" t="s">
        <v>69</v>
      </c>
      <c r="AZ177" t="b">
        <v>1</v>
      </c>
    </row>
    <row r="178" spans="1:52" x14ac:dyDescent="0.3">
      <c r="A178" t="s">
        <v>52</v>
      </c>
      <c r="B178" t="s">
        <v>53</v>
      </c>
      <c r="C178" t="s">
        <v>54</v>
      </c>
      <c r="D178" t="s">
        <v>55</v>
      </c>
      <c r="E178" t="s">
        <v>616</v>
      </c>
      <c r="F178" t="s">
        <v>176</v>
      </c>
      <c r="G178" t="s">
        <v>438</v>
      </c>
      <c r="H178" t="s">
        <v>718</v>
      </c>
      <c r="I178" t="s">
        <v>718</v>
      </c>
      <c r="J178" t="s">
        <v>60</v>
      </c>
      <c r="K178" t="s">
        <v>719</v>
      </c>
      <c r="L178" t="s">
        <v>62</v>
      </c>
      <c r="M178" t="s">
        <v>719</v>
      </c>
      <c r="N178" t="s">
        <v>720</v>
      </c>
      <c r="O178" t="s">
        <v>721</v>
      </c>
      <c r="P178">
        <v>-19.659696</v>
      </c>
      <c r="Q178">
        <v>-43.878183</v>
      </c>
      <c r="R178" s="2" t="str">
        <f>HYPERLINK("https://www.google.com/maps?q=-19.6596960,-43.8781830","Abrir no Google Maps")</f>
        <v>Abrir no Google Maps</v>
      </c>
      <c r="S178">
        <v>3</v>
      </c>
      <c r="T178">
        <v>1123.545826977394</v>
      </c>
      <c r="U178">
        <v>3</v>
      </c>
      <c r="V178">
        <v>0.4408348334833484</v>
      </c>
      <c r="W178">
        <v>1</v>
      </c>
      <c r="X178">
        <v>0.4408348334833484</v>
      </c>
      <c r="Y178">
        <v>3</v>
      </c>
      <c r="Z178">
        <v>1050.5223173666111</v>
      </c>
      <c r="AA178">
        <v>2</v>
      </c>
      <c r="AB178">
        <v>3</v>
      </c>
      <c r="AC178">
        <v>7</v>
      </c>
      <c r="AD178">
        <v>26.56</v>
      </c>
      <c r="AE178">
        <v>253</v>
      </c>
      <c r="AF178">
        <v>17</v>
      </c>
      <c r="AG178">
        <v>62</v>
      </c>
      <c r="AH178">
        <v>32</v>
      </c>
      <c r="AI178">
        <v>6.72</v>
      </c>
      <c r="AJ178">
        <v>24.51</v>
      </c>
      <c r="AK178">
        <v>12.65</v>
      </c>
      <c r="AL178">
        <v>-19.65964904999996</v>
      </c>
      <c r="AM178">
        <v>-43.878129467040978</v>
      </c>
      <c r="AN178">
        <v>-19.65964904999996</v>
      </c>
      <c r="AO178">
        <v>-43.878129467040978</v>
      </c>
      <c r="AP178">
        <v>-19.659696</v>
      </c>
      <c r="AQ178">
        <v>-43.878183</v>
      </c>
      <c r="AR178">
        <v>7.6687382643842978</v>
      </c>
      <c r="AS178" t="s">
        <v>65</v>
      </c>
      <c r="AT178">
        <v>1</v>
      </c>
      <c r="AU178" t="s">
        <v>722</v>
      </c>
      <c r="AV178" t="s">
        <v>723</v>
      </c>
      <c r="AW178" t="s">
        <v>60</v>
      </c>
      <c r="AX178" t="s">
        <v>68</v>
      </c>
      <c r="AY178" t="s">
        <v>69</v>
      </c>
      <c r="AZ178" t="b">
        <v>1</v>
      </c>
    </row>
    <row r="179" spans="1:52" x14ac:dyDescent="0.3">
      <c r="A179" t="s">
        <v>52</v>
      </c>
      <c r="B179" t="s">
        <v>53</v>
      </c>
      <c r="C179" t="s">
        <v>54</v>
      </c>
      <c r="D179" t="s">
        <v>55</v>
      </c>
      <c r="E179" t="s">
        <v>616</v>
      </c>
      <c r="F179" t="s">
        <v>176</v>
      </c>
      <c r="G179" t="s">
        <v>433</v>
      </c>
      <c r="H179" t="s">
        <v>724</v>
      </c>
      <c r="I179" t="s">
        <v>724</v>
      </c>
      <c r="J179" t="s">
        <v>60</v>
      </c>
      <c r="K179" t="s">
        <v>219</v>
      </c>
      <c r="L179" t="s">
        <v>62</v>
      </c>
      <c r="M179" t="s">
        <v>219</v>
      </c>
      <c r="N179" t="s">
        <v>725</v>
      </c>
      <c r="O179" t="s">
        <v>94</v>
      </c>
      <c r="P179">
        <v>-19.667331999999998</v>
      </c>
      <c r="Q179">
        <v>-43.882961999999999</v>
      </c>
      <c r="R179" s="2" t="str">
        <f>HYPERLINK("https://www.google.com/maps?q=-19.6673320,-43.8829620","Abrir no Google Maps")</f>
        <v>Abrir no Google Maps</v>
      </c>
      <c r="S179">
        <v>3</v>
      </c>
      <c r="T179">
        <v>613.33664202269995</v>
      </c>
      <c r="U179">
        <v>3</v>
      </c>
      <c r="V179">
        <v>0.50810810810810814</v>
      </c>
      <c r="W179">
        <v>0.85</v>
      </c>
      <c r="X179">
        <v>0.43189189189189192</v>
      </c>
      <c r="Y179">
        <v>3</v>
      </c>
      <c r="Z179">
        <v>943.74394420174099</v>
      </c>
      <c r="AA179">
        <v>2</v>
      </c>
      <c r="AB179">
        <v>3</v>
      </c>
      <c r="AC179">
        <v>7</v>
      </c>
      <c r="AD179">
        <v>26.56</v>
      </c>
      <c r="AE179">
        <v>253</v>
      </c>
      <c r="AF179">
        <v>17</v>
      </c>
      <c r="AG179">
        <v>62</v>
      </c>
      <c r="AH179">
        <v>32</v>
      </c>
      <c r="AI179">
        <v>6.72</v>
      </c>
      <c r="AJ179">
        <v>24.51</v>
      </c>
      <c r="AK179">
        <v>12.65</v>
      </c>
      <c r="AL179">
        <v>-19.669342649999979</v>
      </c>
      <c r="AM179">
        <v>-43.880131221973677</v>
      </c>
      <c r="AN179">
        <v>-19.669342649999979</v>
      </c>
      <c r="AO179">
        <v>-43.880131221973677</v>
      </c>
      <c r="AP179">
        <v>-19.667331999999998</v>
      </c>
      <c r="AQ179">
        <v>-43.882961999999999</v>
      </c>
      <c r="AR179">
        <v>371.68479256351492</v>
      </c>
      <c r="AS179" t="s">
        <v>65</v>
      </c>
      <c r="AT179">
        <v>1</v>
      </c>
      <c r="AU179" t="s">
        <v>726</v>
      </c>
      <c r="AV179" t="s">
        <v>727</v>
      </c>
      <c r="AW179" t="s">
        <v>60</v>
      </c>
      <c r="AX179" t="s">
        <v>68</v>
      </c>
      <c r="AY179" t="s">
        <v>69</v>
      </c>
      <c r="AZ179" t="b">
        <v>1</v>
      </c>
    </row>
    <row r="180" spans="1:52" x14ac:dyDescent="0.3">
      <c r="A180" t="s">
        <v>52</v>
      </c>
      <c r="B180" t="s">
        <v>53</v>
      </c>
      <c r="C180" t="s">
        <v>54</v>
      </c>
      <c r="D180" t="s">
        <v>55</v>
      </c>
      <c r="E180" t="s">
        <v>616</v>
      </c>
      <c r="F180" t="s">
        <v>176</v>
      </c>
      <c r="G180" t="s">
        <v>331</v>
      </c>
      <c r="H180" t="s">
        <v>332</v>
      </c>
      <c r="I180" t="s">
        <v>332</v>
      </c>
      <c r="J180" t="s">
        <v>60</v>
      </c>
      <c r="K180" t="s">
        <v>333</v>
      </c>
      <c r="L180" t="s">
        <v>62</v>
      </c>
      <c r="M180" t="s">
        <v>333</v>
      </c>
      <c r="N180" t="s">
        <v>334</v>
      </c>
      <c r="O180" t="s">
        <v>335</v>
      </c>
      <c r="P180">
        <v>-19.638455</v>
      </c>
      <c r="Q180">
        <v>-43.911239000000002</v>
      </c>
      <c r="R180" s="2" t="str">
        <f>HYPERLINK("https://www.google.com/maps?q=-19.6384550,-43.9112390","Abrir no Google Maps")</f>
        <v>Abrir no Google Maps</v>
      </c>
      <c r="S180">
        <v>3</v>
      </c>
      <c r="T180">
        <v>488.53051432983438</v>
      </c>
      <c r="U180">
        <v>3</v>
      </c>
      <c r="V180">
        <v>0.44600874166091559</v>
      </c>
      <c r="W180">
        <v>1</v>
      </c>
      <c r="X180">
        <v>0.44600874166091559</v>
      </c>
      <c r="Y180">
        <v>3</v>
      </c>
      <c r="Z180">
        <v>503.17412324010428</v>
      </c>
      <c r="AA180">
        <v>2</v>
      </c>
      <c r="AB180">
        <v>3</v>
      </c>
      <c r="AC180">
        <v>7</v>
      </c>
      <c r="AD180">
        <v>26.56</v>
      </c>
      <c r="AE180">
        <v>253</v>
      </c>
      <c r="AF180">
        <v>17</v>
      </c>
      <c r="AG180">
        <v>62</v>
      </c>
      <c r="AH180">
        <v>32</v>
      </c>
      <c r="AI180">
        <v>6.72</v>
      </c>
      <c r="AJ180">
        <v>24.51</v>
      </c>
      <c r="AK180">
        <v>12.65</v>
      </c>
      <c r="AL180">
        <v>-19.63853704999994</v>
      </c>
      <c r="AM180">
        <v>-43.911098254478723</v>
      </c>
      <c r="AN180">
        <v>-19.63853704999994</v>
      </c>
      <c r="AO180">
        <v>-43.911098254478723</v>
      </c>
      <c r="AP180">
        <v>-19.638455</v>
      </c>
      <c r="AQ180">
        <v>-43.911239000000002</v>
      </c>
      <c r="AR180">
        <v>17.354491692685801</v>
      </c>
      <c r="AS180" t="s">
        <v>65</v>
      </c>
      <c r="AT180">
        <v>1</v>
      </c>
      <c r="AU180" t="s">
        <v>336</v>
      </c>
      <c r="AV180" t="s">
        <v>337</v>
      </c>
      <c r="AW180" t="s">
        <v>60</v>
      </c>
      <c r="AX180" t="s">
        <v>68</v>
      </c>
      <c r="AY180" t="s">
        <v>69</v>
      </c>
      <c r="AZ180" t="b">
        <v>1</v>
      </c>
    </row>
    <row r="181" spans="1:52" x14ac:dyDescent="0.3">
      <c r="A181" t="s">
        <v>52</v>
      </c>
      <c r="B181" t="s">
        <v>53</v>
      </c>
      <c r="C181" t="s">
        <v>54</v>
      </c>
      <c r="D181" t="s">
        <v>55</v>
      </c>
      <c r="E181" t="s">
        <v>616</v>
      </c>
      <c r="F181" t="s">
        <v>176</v>
      </c>
      <c r="G181" t="s">
        <v>344</v>
      </c>
      <c r="H181" t="s">
        <v>345</v>
      </c>
      <c r="I181" t="s">
        <v>345</v>
      </c>
      <c r="J181" t="s">
        <v>60</v>
      </c>
      <c r="K181" t="s">
        <v>326</v>
      </c>
      <c r="L181" t="s">
        <v>62</v>
      </c>
      <c r="M181" t="s">
        <v>326</v>
      </c>
      <c r="N181" t="s">
        <v>346</v>
      </c>
      <c r="O181" t="s">
        <v>347</v>
      </c>
      <c r="P181">
        <v>-19.659784999999999</v>
      </c>
      <c r="Q181">
        <v>-43.868257999999997</v>
      </c>
      <c r="R181" s="2" t="str">
        <f>HYPERLINK("https://www.google.com/maps?q=-19.6597850,-43.8682580","Abrir no Google Maps")</f>
        <v>Abrir no Google Maps</v>
      </c>
      <c r="S181">
        <v>3</v>
      </c>
      <c r="T181">
        <v>887.40196140413514</v>
      </c>
      <c r="U181">
        <v>3</v>
      </c>
      <c r="V181">
        <v>0.44648589428942248</v>
      </c>
      <c r="W181">
        <v>1</v>
      </c>
      <c r="X181">
        <v>0.44648589428942248</v>
      </c>
      <c r="Y181">
        <v>3</v>
      </c>
      <c r="Z181">
        <v>951.67106090939239</v>
      </c>
      <c r="AA181">
        <v>2</v>
      </c>
      <c r="AB181">
        <v>3</v>
      </c>
      <c r="AC181">
        <v>7</v>
      </c>
      <c r="AD181">
        <v>26.56</v>
      </c>
      <c r="AE181">
        <v>253</v>
      </c>
      <c r="AF181">
        <v>17</v>
      </c>
      <c r="AG181">
        <v>62</v>
      </c>
      <c r="AH181">
        <v>32</v>
      </c>
      <c r="AI181">
        <v>6.72</v>
      </c>
      <c r="AJ181">
        <v>24.51</v>
      </c>
      <c r="AK181">
        <v>12.65</v>
      </c>
      <c r="AL181">
        <v>-19.659938849999971</v>
      </c>
      <c r="AM181">
        <v>-43.868426732971933</v>
      </c>
      <c r="AN181">
        <v>-19.659938849999971</v>
      </c>
      <c r="AO181">
        <v>-43.868426732971933</v>
      </c>
      <c r="AP181">
        <v>-19.659784999999999</v>
      </c>
      <c r="AQ181">
        <v>-43.868257999999997</v>
      </c>
      <c r="AR181">
        <v>24.621113441172451</v>
      </c>
      <c r="AS181" t="s">
        <v>65</v>
      </c>
      <c r="AT181">
        <v>1</v>
      </c>
      <c r="AU181" t="s">
        <v>348</v>
      </c>
      <c r="AV181" t="s">
        <v>349</v>
      </c>
      <c r="AW181" t="s">
        <v>60</v>
      </c>
      <c r="AX181" t="s">
        <v>68</v>
      </c>
      <c r="AY181" t="s">
        <v>69</v>
      </c>
      <c r="AZ181" t="b">
        <v>1</v>
      </c>
    </row>
    <row r="182" spans="1:52" x14ac:dyDescent="0.3">
      <c r="A182" t="s">
        <v>52</v>
      </c>
      <c r="B182" t="s">
        <v>53</v>
      </c>
      <c r="C182" t="s">
        <v>54</v>
      </c>
      <c r="D182" t="s">
        <v>55</v>
      </c>
      <c r="E182" t="s">
        <v>616</v>
      </c>
      <c r="F182" t="s">
        <v>176</v>
      </c>
      <c r="G182" t="s">
        <v>479</v>
      </c>
      <c r="H182" t="s">
        <v>480</v>
      </c>
      <c r="I182" t="s">
        <v>480</v>
      </c>
      <c r="J182" t="s">
        <v>60</v>
      </c>
      <c r="K182" t="s">
        <v>286</v>
      </c>
      <c r="L182" t="s">
        <v>62</v>
      </c>
      <c r="M182" t="s">
        <v>286</v>
      </c>
      <c r="N182" t="s">
        <v>481</v>
      </c>
      <c r="O182" t="s">
        <v>159</v>
      </c>
      <c r="P182">
        <v>-19.635337</v>
      </c>
      <c r="Q182">
        <v>-43.884400999999997</v>
      </c>
      <c r="R182" s="2" t="str">
        <f>HYPERLINK("https://www.google.com/maps?q=-19.6353370,-43.8844010","Abrir no Google Maps")</f>
        <v>Abrir no Google Maps</v>
      </c>
      <c r="S182">
        <v>3</v>
      </c>
      <c r="T182">
        <v>697.1404216088763</v>
      </c>
      <c r="U182">
        <v>3</v>
      </c>
      <c r="V182">
        <v>0.4461962365591397</v>
      </c>
      <c r="W182">
        <v>1</v>
      </c>
      <c r="X182">
        <v>0.4461962365591397</v>
      </c>
      <c r="Y182">
        <v>2</v>
      </c>
      <c r="Z182">
        <v>178.9017814618079</v>
      </c>
      <c r="AA182">
        <v>2</v>
      </c>
      <c r="AB182">
        <v>3</v>
      </c>
      <c r="AC182">
        <v>7</v>
      </c>
      <c r="AD182">
        <v>26.56</v>
      </c>
      <c r="AE182">
        <v>253</v>
      </c>
      <c r="AF182">
        <v>17</v>
      </c>
      <c r="AG182">
        <v>62</v>
      </c>
      <c r="AH182">
        <v>32</v>
      </c>
      <c r="AI182">
        <v>6.72</v>
      </c>
      <c r="AJ182">
        <v>24.51</v>
      </c>
      <c r="AK182">
        <v>12.65</v>
      </c>
      <c r="AL182">
        <v>-19.635338699999949</v>
      </c>
      <c r="AM182">
        <v>-43.884486286355838</v>
      </c>
      <c r="AN182">
        <v>-19.635338699999949</v>
      </c>
      <c r="AO182">
        <v>-43.884486286355838</v>
      </c>
      <c r="AP182">
        <v>-19.635337</v>
      </c>
      <c r="AQ182">
        <v>-43.884400999999997</v>
      </c>
      <c r="AR182">
        <v>8.9440024153343494</v>
      </c>
      <c r="AS182" t="s">
        <v>65</v>
      </c>
      <c r="AT182">
        <v>1</v>
      </c>
      <c r="AU182" t="s">
        <v>482</v>
      </c>
      <c r="AV182" t="s">
        <v>483</v>
      </c>
      <c r="AW182" t="s">
        <v>60</v>
      </c>
      <c r="AX182" t="s">
        <v>68</v>
      </c>
      <c r="AY182" t="s">
        <v>69</v>
      </c>
      <c r="AZ182" t="b">
        <v>1</v>
      </c>
    </row>
    <row r="183" spans="1:52" x14ac:dyDescent="0.3">
      <c r="A183" t="s">
        <v>52</v>
      </c>
      <c r="B183" t="s">
        <v>53</v>
      </c>
      <c r="C183" t="s">
        <v>54</v>
      </c>
      <c r="D183" t="s">
        <v>55</v>
      </c>
      <c r="E183" t="s">
        <v>616</v>
      </c>
      <c r="F183" t="s">
        <v>176</v>
      </c>
      <c r="G183" t="s">
        <v>728</v>
      </c>
      <c r="H183" t="s">
        <v>729</v>
      </c>
      <c r="I183" t="s">
        <v>729</v>
      </c>
      <c r="J183" t="s">
        <v>60</v>
      </c>
      <c r="K183" t="s">
        <v>730</v>
      </c>
      <c r="L183" t="s">
        <v>62</v>
      </c>
      <c r="M183" t="s">
        <v>730</v>
      </c>
      <c r="N183" t="s">
        <v>731</v>
      </c>
      <c r="O183" t="s">
        <v>732</v>
      </c>
      <c r="P183">
        <v>-19.598894999999999</v>
      </c>
      <c r="Q183">
        <v>-43.907265000000002</v>
      </c>
      <c r="R183" s="2" t="str">
        <f>HYPERLINK("https://www.google.com/maps?q=-19.5988950,-43.9072650","Abrir no Google Maps")</f>
        <v>Abrir no Google Maps</v>
      </c>
      <c r="S183">
        <v>3</v>
      </c>
      <c r="T183">
        <v>308.81161626838701</v>
      </c>
      <c r="U183">
        <v>3</v>
      </c>
      <c r="V183">
        <v>0.49179331306990881</v>
      </c>
      <c r="W183">
        <v>0.85</v>
      </c>
      <c r="X183">
        <v>0.41802431610942248</v>
      </c>
      <c r="Y183">
        <v>2</v>
      </c>
      <c r="Z183">
        <v>305.65808615712928</v>
      </c>
      <c r="AA183">
        <v>2</v>
      </c>
      <c r="AB183">
        <v>3</v>
      </c>
      <c r="AC183">
        <v>7</v>
      </c>
      <c r="AD183">
        <v>26.56</v>
      </c>
      <c r="AE183">
        <v>253</v>
      </c>
      <c r="AF183">
        <v>17</v>
      </c>
      <c r="AG183">
        <v>62</v>
      </c>
      <c r="AH183">
        <v>32</v>
      </c>
      <c r="AI183">
        <v>6.72</v>
      </c>
      <c r="AJ183">
        <v>24.51</v>
      </c>
      <c r="AK183">
        <v>12.65</v>
      </c>
      <c r="AL183">
        <v>-19.598929649999949</v>
      </c>
      <c r="AM183">
        <v>-43.90720816146667</v>
      </c>
      <c r="AN183">
        <v>-19.598929649999949</v>
      </c>
      <c r="AO183">
        <v>-43.90720816146667</v>
      </c>
      <c r="AP183">
        <v>-19.598894999999999</v>
      </c>
      <c r="AQ183">
        <v>-43.907265000000002</v>
      </c>
      <c r="AR183">
        <v>7.099864647387605</v>
      </c>
      <c r="AS183" t="s">
        <v>65</v>
      </c>
      <c r="AT183">
        <v>1</v>
      </c>
      <c r="AU183" t="s">
        <v>733</v>
      </c>
      <c r="AV183" t="s">
        <v>734</v>
      </c>
      <c r="AW183" t="s">
        <v>60</v>
      </c>
      <c r="AX183" t="s">
        <v>68</v>
      </c>
      <c r="AY183" t="s">
        <v>69</v>
      </c>
      <c r="AZ183" t="b">
        <v>1</v>
      </c>
    </row>
    <row r="184" spans="1:52" x14ac:dyDescent="0.3">
      <c r="A184" t="s">
        <v>52</v>
      </c>
      <c r="B184" t="s">
        <v>53</v>
      </c>
      <c r="C184" t="s">
        <v>54</v>
      </c>
      <c r="D184" t="s">
        <v>55</v>
      </c>
      <c r="E184" t="s">
        <v>616</v>
      </c>
      <c r="F184" t="s">
        <v>176</v>
      </c>
      <c r="G184" t="s">
        <v>357</v>
      </c>
      <c r="H184" t="s">
        <v>358</v>
      </c>
      <c r="I184" t="s">
        <v>358</v>
      </c>
      <c r="J184" t="s">
        <v>60</v>
      </c>
      <c r="K184" t="s">
        <v>359</v>
      </c>
      <c r="L184" t="s">
        <v>62</v>
      </c>
      <c r="M184" t="s">
        <v>359</v>
      </c>
      <c r="N184" t="s">
        <v>360</v>
      </c>
      <c r="O184" t="s">
        <v>201</v>
      </c>
      <c r="P184">
        <v>-19.601168000000001</v>
      </c>
      <c r="Q184">
        <v>-43.896143000000002</v>
      </c>
      <c r="R184" s="2" t="str">
        <f>HYPERLINK("https://www.google.com/maps?q=-19.6011680,-43.8961430","Abrir no Google Maps")</f>
        <v>Abrir no Google Maps</v>
      </c>
      <c r="S184">
        <v>3</v>
      </c>
      <c r="T184">
        <v>886.80074895427902</v>
      </c>
      <c r="U184">
        <v>3</v>
      </c>
      <c r="V184">
        <v>0.45564931855094981</v>
      </c>
      <c r="W184">
        <v>1</v>
      </c>
      <c r="X184">
        <v>0.45564931855094981</v>
      </c>
      <c r="Y184">
        <v>2</v>
      </c>
      <c r="Z184">
        <v>807.27931110193254</v>
      </c>
      <c r="AA184">
        <v>2</v>
      </c>
      <c r="AB184">
        <v>3</v>
      </c>
      <c r="AC184">
        <v>7</v>
      </c>
      <c r="AD184">
        <v>26.56</v>
      </c>
      <c r="AE184">
        <v>253</v>
      </c>
      <c r="AF184">
        <v>17</v>
      </c>
      <c r="AG184">
        <v>62</v>
      </c>
      <c r="AH184">
        <v>32</v>
      </c>
      <c r="AI184">
        <v>6.72</v>
      </c>
      <c r="AJ184">
        <v>24.51</v>
      </c>
      <c r="AK184">
        <v>12.65</v>
      </c>
      <c r="AL184">
        <v>-19.60112959999995</v>
      </c>
      <c r="AM184">
        <v>-43.896049426747439</v>
      </c>
      <c r="AN184">
        <v>-19.60112959999995</v>
      </c>
      <c r="AO184">
        <v>-43.896049426747439</v>
      </c>
      <c r="AP184">
        <v>-19.601168000000001</v>
      </c>
      <c r="AQ184">
        <v>-43.896143000000002</v>
      </c>
      <c r="AR184">
        <v>10.703588298793671</v>
      </c>
      <c r="AS184" t="s">
        <v>65</v>
      </c>
      <c r="AT184">
        <v>1</v>
      </c>
      <c r="AU184" t="s">
        <v>361</v>
      </c>
      <c r="AV184" t="s">
        <v>362</v>
      </c>
      <c r="AW184" t="s">
        <v>60</v>
      </c>
      <c r="AX184" t="s">
        <v>68</v>
      </c>
      <c r="AY184" t="s">
        <v>69</v>
      </c>
      <c r="AZ184" t="b">
        <v>1</v>
      </c>
    </row>
    <row r="185" spans="1:52" x14ac:dyDescent="0.3">
      <c r="A185" t="s">
        <v>52</v>
      </c>
      <c r="B185" t="s">
        <v>53</v>
      </c>
      <c r="C185" t="s">
        <v>54</v>
      </c>
      <c r="D185" t="s">
        <v>55</v>
      </c>
      <c r="E185" t="s">
        <v>616</v>
      </c>
      <c r="F185" t="s">
        <v>176</v>
      </c>
      <c r="G185" t="s">
        <v>735</v>
      </c>
      <c r="H185" t="s">
        <v>736</v>
      </c>
      <c r="I185" t="s">
        <v>736</v>
      </c>
      <c r="J185" t="s">
        <v>60</v>
      </c>
      <c r="K185" t="s">
        <v>352</v>
      </c>
      <c r="L185" t="s">
        <v>62</v>
      </c>
      <c r="M185" t="s">
        <v>352</v>
      </c>
      <c r="N185" t="s">
        <v>737</v>
      </c>
      <c r="O185" t="s">
        <v>738</v>
      </c>
      <c r="P185">
        <v>-19.598569999999999</v>
      </c>
      <c r="Q185">
        <v>-43.884976000000002</v>
      </c>
      <c r="R185" s="2" t="str">
        <f>HYPERLINK("https://www.google.com/maps?q=-19.5985700,-43.8849760","Abrir no Google Maps")</f>
        <v>Abrir no Google Maps</v>
      </c>
      <c r="S185">
        <v>3</v>
      </c>
      <c r="T185">
        <v>2088.975568364679</v>
      </c>
      <c r="U185">
        <v>3</v>
      </c>
      <c r="V185">
        <v>0.50177483443708604</v>
      </c>
      <c r="W185">
        <v>0.85</v>
      </c>
      <c r="X185">
        <v>0.42650860927152312</v>
      </c>
      <c r="Y185">
        <v>2</v>
      </c>
      <c r="Z185">
        <v>1895.3949691608641</v>
      </c>
      <c r="AA185">
        <v>2</v>
      </c>
      <c r="AB185">
        <v>3</v>
      </c>
      <c r="AC185">
        <v>7</v>
      </c>
      <c r="AD185">
        <v>26.56</v>
      </c>
      <c r="AE185">
        <v>253</v>
      </c>
      <c r="AF185">
        <v>17</v>
      </c>
      <c r="AG185">
        <v>62</v>
      </c>
      <c r="AH185">
        <v>32</v>
      </c>
      <c r="AI185">
        <v>6.72</v>
      </c>
      <c r="AJ185">
        <v>24.51</v>
      </c>
      <c r="AK185">
        <v>12.65</v>
      </c>
      <c r="AL185">
        <v>-19.598177199999949</v>
      </c>
      <c r="AM185">
        <v>-43.884435371838791</v>
      </c>
      <c r="AN185">
        <v>-19.598177199999949</v>
      </c>
      <c r="AO185">
        <v>-43.884435371838791</v>
      </c>
      <c r="AP185">
        <v>-19.598569999999999</v>
      </c>
      <c r="AQ185">
        <v>-43.884976000000002</v>
      </c>
      <c r="AR185">
        <v>71.599363100126297</v>
      </c>
      <c r="AS185" t="s">
        <v>65</v>
      </c>
      <c r="AT185">
        <v>1</v>
      </c>
      <c r="AU185" t="s">
        <v>739</v>
      </c>
      <c r="AV185" t="s">
        <v>740</v>
      </c>
      <c r="AW185" t="s">
        <v>60</v>
      </c>
      <c r="AX185" t="s">
        <v>68</v>
      </c>
      <c r="AY185" t="s">
        <v>69</v>
      </c>
      <c r="AZ185" t="b">
        <v>1</v>
      </c>
    </row>
    <row r="186" spans="1:52" x14ac:dyDescent="0.3">
      <c r="A186" t="s">
        <v>52</v>
      </c>
      <c r="B186" t="s">
        <v>53</v>
      </c>
      <c r="C186" t="s">
        <v>54</v>
      </c>
      <c r="D186" t="s">
        <v>55</v>
      </c>
      <c r="E186" t="s">
        <v>616</v>
      </c>
      <c r="F186" t="s">
        <v>176</v>
      </c>
      <c r="G186" t="s">
        <v>741</v>
      </c>
      <c r="H186" t="s">
        <v>742</v>
      </c>
      <c r="I186" t="s">
        <v>742</v>
      </c>
      <c r="J186" t="s">
        <v>60</v>
      </c>
      <c r="K186" t="s">
        <v>683</v>
      </c>
      <c r="L186" t="s">
        <v>62</v>
      </c>
      <c r="M186" t="s">
        <v>683</v>
      </c>
      <c r="N186" t="s">
        <v>743</v>
      </c>
      <c r="O186" t="s">
        <v>744</v>
      </c>
      <c r="P186">
        <v>-19.576246999999999</v>
      </c>
      <c r="Q186">
        <v>-43.955125000000002</v>
      </c>
      <c r="R186" s="2" t="str">
        <f>HYPERLINK("https://www.google.com/maps?q=-19.5762470,-43.9551250","Abrir no Google Maps")</f>
        <v>Abrir no Google Maps</v>
      </c>
      <c r="S186">
        <v>3</v>
      </c>
      <c r="T186">
        <v>1143.885924274435</v>
      </c>
      <c r="U186">
        <v>3</v>
      </c>
      <c r="V186">
        <v>0.50888546481766816</v>
      </c>
      <c r="W186">
        <v>0.85</v>
      </c>
      <c r="X186">
        <v>0.43255264509501801</v>
      </c>
      <c r="Y186">
        <v>1</v>
      </c>
      <c r="Z186">
        <v>744.36678704803273</v>
      </c>
      <c r="AA186">
        <v>2</v>
      </c>
      <c r="AB186">
        <v>3</v>
      </c>
      <c r="AC186">
        <v>7</v>
      </c>
      <c r="AD186">
        <v>26.56</v>
      </c>
      <c r="AE186">
        <v>253</v>
      </c>
      <c r="AF186">
        <v>17</v>
      </c>
      <c r="AG186">
        <v>62</v>
      </c>
      <c r="AH186">
        <v>32</v>
      </c>
      <c r="AI186">
        <v>6.72</v>
      </c>
      <c r="AJ186">
        <v>24.51</v>
      </c>
      <c r="AK186">
        <v>12.65</v>
      </c>
      <c r="AL186">
        <v>-19.57640394999996</v>
      </c>
      <c r="AM186">
        <v>-43.955130280186857</v>
      </c>
      <c r="AN186">
        <v>-19.57640394999996</v>
      </c>
      <c r="AO186">
        <v>-43.955130280186857</v>
      </c>
      <c r="AP186">
        <v>-19.576246999999999</v>
      </c>
      <c r="AQ186">
        <v>-43.955125000000002</v>
      </c>
      <c r="AR186">
        <v>17.48044912434408</v>
      </c>
      <c r="AS186" t="s">
        <v>65</v>
      </c>
      <c r="AT186">
        <v>1</v>
      </c>
      <c r="AU186" t="s">
        <v>745</v>
      </c>
      <c r="AV186" t="s">
        <v>746</v>
      </c>
      <c r="AW186" t="s">
        <v>60</v>
      </c>
      <c r="AX186" t="s">
        <v>68</v>
      </c>
      <c r="AY186" t="s">
        <v>69</v>
      </c>
      <c r="AZ186" t="b">
        <v>1</v>
      </c>
    </row>
    <row r="187" spans="1:52" x14ac:dyDescent="0.3">
      <c r="A187" t="s">
        <v>52</v>
      </c>
      <c r="B187" t="s">
        <v>53</v>
      </c>
      <c r="C187" t="s">
        <v>54</v>
      </c>
      <c r="D187" t="s">
        <v>55</v>
      </c>
      <c r="E187" t="s">
        <v>616</v>
      </c>
      <c r="F187" t="s">
        <v>176</v>
      </c>
      <c r="G187" t="s">
        <v>681</v>
      </c>
      <c r="H187" t="s">
        <v>747</v>
      </c>
      <c r="I187" t="s">
        <v>747</v>
      </c>
      <c r="J187" t="s">
        <v>60</v>
      </c>
      <c r="K187" t="s">
        <v>683</v>
      </c>
      <c r="L187" t="s">
        <v>62</v>
      </c>
      <c r="M187" t="s">
        <v>683</v>
      </c>
      <c r="N187" t="s">
        <v>419</v>
      </c>
      <c r="O187" t="s">
        <v>748</v>
      </c>
      <c r="P187">
        <v>-19.570823000000001</v>
      </c>
      <c r="Q187">
        <v>-43.958823000000002</v>
      </c>
      <c r="R187" s="2" t="str">
        <f>HYPERLINK("https://www.google.com/maps?q=-19.5708230,-43.9588230","Abrir no Google Maps")</f>
        <v>Abrir no Google Maps</v>
      </c>
      <c r="S187">
        <v>3</v>
      </c>
      <c r="T187">
        <v>670.58325756855618</v>
      </c>
      <c r="U187">
        <v>3</v>
      </c>
      <c r="V187">
        <v>0.53666666666666674</v>
      </c>
      <c r="W187">
        <v>0.85</v>
      </c>
      <c r="X187">
        <v>0.45616666666666672</v>
      </c>
      <c r="Y187">
        <v>1</v>
      </c>
      <c r="Z187">
        <v>731.63796944770115</v>
      </c>
      <c r="AA187">
        <v>2</v>
      </c>
      <c r="AB187">
        <v>3</v>
      </c>
      <c r="AC187">
        <v>7</v>
      </c>
      <c r="AD187">
        <v>26.56</v>
      </c>
      <c r="AE187">
        <v>253</v>
      </c>
      <c r="AF187">
        <v>17</v>
      </c>
      <c r="AG187">
        <v>62</v>
      </c>
      <c r="AH187">
        <v>32</v>
      </c>
      <c r="AI187">
        <v>6.72</v>
      </c>
      <c r="AJ187">
        <v>24.51</v>
      </c>
      <c r="AK187">
        <v>12.65</v>
      </c>
      <c r="AL187">
        <v>-19.567904999999939</v>
      </c>
      <c r="AM187">
        <v>-43.959992321285412</v>
      </c>
      <c r="AN187">
        <v>-19.567904999999939</v>
      </c>
      <c r="AO187">
        <v>-43.959992321285412</v>
      </c>
      <c r="AP187">
        <v>-19.570823000000001</v>
      </c>
      <c r="AQ187">
        <v>-43.958823000000002</v>
      </c>
      <c r="AR187">
        <v>347.21597474783073</v>
      </c>
      <c r="AS187" t="s">
        <v>65</v>
      </c>
      <c r="AT187">
        <v>1</v>
      </c>
      <c r="AU187" t="s">
        <v>749</v>
      </c>
      <c r="AV187" t="s">
        <v>750</v>
      </c>
      <c r="AW187" t="s">
        <v>60</v>
      </c>
      <c r="AX187" t="s">
        <v>68</v>
      </c>
      <c r="AY187" t="s">
        <v>69</v>
      </c>
      <c r="AZ187" t="b">
        <v>1</v>
      </c>
    </row>
    <row r="188" spans="1:52" x14ac:dyDescent="0.3">
      <c r="A188" t="s">
        <v>52</v>
      </c>
      <c r="B188" t="s">
        <v>53</v>
      </c>
      <c r="C188" t="s">
        <v>54</v>
      </c>
      <c r="D188" t="s">
        <v>55</v>
      </c>
      <c r="E188" t="s">
        <v>616</v>
      </c>
      <c r="F188" t="s">
        <v>176</v>
      </c>
      <c r="G188" t="s">
        <v>382</v>
      </c>
      <c r="H188" t="s">
        <v>383</v>
      </c>
      <c r="I188" t="s">
        <v>383</v>
      </c>
      <c r="J188" t="s">
        <v>60</v>
      </c>
      <c r="K188" t="s">
        <v>185</v>
      </c>
      <c r="L188" t="s">
        <v>62</v>
      </c>
      <c r="M188" t="s">
        <v>185</v>
      </c>
      <c r="N188" t="s">
        <v>384</v>
      </c>
      <c r="O188" t="s">
        <v>385</v>
      </c>
      <c r="P188">
        <v>-19.623774000000001</v>
      </c>
      <c r="Q188">
        <v>-43.886352000000002</v>
      </c>
      <c r="R188" s="2" t="str">
        <f>HYPERLINK("https://www.google.com/maps?q=-19.6237740,-43.8863520","Abrir no Google Maps")</f>
        <v>Abrir no Google Maps</v>
      </c>
      <c r="S188">
        <v>3</v>
      </c>
      <c r="T188">
        <v>818.17252856383368</v>
      </c>
      <c r="U188">
        <v>3</v>
      </c>
      <c r="V188">
        <v>0.43465463487807487</v>
      </c>
      <c r="W188">
        <v>1</v>
      </c>
      <c r="X188">
        <v>0.43465463487807487</v>
      </c>
      <c r="Y188">
        <v>0</v>
      </c>
      <c r="Z188">
        <v>327.32213182525902</v>
      </c>
      <c r="AA188">
        <v>2</v>
      </c>
      <c r="AB188">
        <v>3</v>
      </c>
      <c r="AC188">
        <v>7</v>
      </c>
      <c r="AD188">
        <v>26.56</v>
      </c>
      <c r="AE188">
        <v>253</v>
      </c>
      <c r="AF188">
        <v>17</v>
      </c>
      <c r="AG188">
        <v>62</v>
      </c>
      <c r="AH188">
        <v>32</v>
      </c>
      <c r="AI188">
        <v>6.72</v>
      </c>
      <c r="AJ188">
        <v>24.51</v>
      </c>
      <c r="AK188">
        <v>12.65</v>
      </c>
      <c r="AL188">
        <v>-19.623056299999941</v>
      </c>
      <c r="AM188">
        <v>-43.886837120297002</v>
      </c>
      <c r="AN188">
        <v>-19.623056299999941</v>
      </c>
      <c r="AO188">
        <v>-43.886837120297002</v>
      </c>
      <c r="AP188">
        <v>-19.623774000000001</v>
      </c>
      <c r="AQ188">
        <v>-43.886352000000002</v>
      </c>
      <c r="AR188">
        <v>94.713149059175393</v>
      </c>
      <c r="AS188" t="s">
        <v>65</v>
      </c>
      <c r="AT188">
        <v>1</v>
      </c>
      <c r="AU188" t="s">
        <v>386</v>
      </c>
      <c r="AV188" t="s">
        <v>387</v>
      </c>
      <c r="AW188" t="s">
        <v>60</v>
      </c>
      <c r="AX188" t="s">
        <v>68</v>
      </c>
      <c r="AY188" t="s">
        <v>69</v>
      </c>
      <c r="AZ188" t="b">
        <v>1</v>
      </c>
    </row>
    <row r="189" spans="1:52" x14ac:dyDescent="0.3">
      <c r="A189" t="s">
        <v>52</v>
      </c>
      <c r="B189" t="s">
        <v>53</v>
      </c>
      <c r="C189" t="s">
        <v>54</v>
      </c>
      <c r="D189" t="s">
        <v>55</v>
      </c>
      <c r="E189" t="s">
        <v>616</v>
      </c>
      <c r="F189" t="s">
        <v>512</v>
      </c>
      <c r="G189" t="s">
        <v>58</v>
      </c>
      <c r="H189" t="s">
        <v>59</v>
      </c>
      <c r="I189" t="s">
        <v>59</v>
      </c>
      <c r="J189" t="s">
        <v>60</v>
      </c>
      <c r="K189" t="s">
        <v>61</v>
      </c>
      <c r="L189" t="s">
        <v>62</v>
      </c>
      <c r="M189" t="s">
        <v>61</v>
      </c>
      <c r="N189" t="s">
        <v>63</v>
      </c>
      <c r="O189" t="s">
        <v>64</v>
      </c>
      <c r="P189">
        <v>-19.631502000000001</v>
      </c>
      <c r="Q189">
        <v>-43.910241999999997</v>
      </c>
      <c r="R189" s="2" t="str">
        <f>HYPERLINK("https://www.google.com/maps?q=-19.6315020,-43.9102420","Abrir no Google Maps")</f>
        <v>Abrir no Google Maps</v>
      </c>
      <c r="S189">
        <v>4</v>
      </c>
      <c r="T189">
        <v>789.20099406682743</v>
      </c>
      <c r="U189">
        <v>4</v>
      </c>
      <c r="V189">
        <v>0.48945717166984137</v>
      </c>
      <c r="W189">
        <v>1</v>
      </c>
      <c r="X189">
        <v>0.48945717166984137</v>
      </c>
      <c r="Y189">
        <v>10</v>
      </c>
      <c r="Z189">
        <v>691.44930074509864</v>
      </c>
      <c r="AA189">
        <v>2</v>
      </c>
      <c r="AB189">
        <v>3</v>
      </c>
      <c r="AC189">
        <v>7</v>
      </c>
      <c r="AD189">
        <v>26.56</v>
      </c>
      <c r="AE189">
        <v>253</v>
      </c>
      <c r="AF189">
        <v>17</v>
      </c>
      <c r="AG189">
        <v>62</v>
      </c>
      <c r="AH189">
        <v>32</v>
      </c>
      <c r="AI189">
        <v>6.72</v>
      </c>
      <c r="AJ189">
        <v>24.51</v>
      </c>
      <c r="AK189">
        <v>12.65</v>
      </c>
      <c r="AL189">
        <v>-19.631719749999949</v>
      </c>
      <c r="AM189">
        <v>-43.910102324517517</v>
      </c>
      <c r="AN189">
        <v>-19.631719749999949</v>
      </c>
      <c r="AO189">
        <v>-43.910102324517517</v>
      </c>
      <c r="AP189">
        <v>-19.631502000000001</v>
      </c>
      <c r="AQ189">
        <v>-43.910241999999997</v>
      </c>
      <c r="AR189">
        <v>28.320416429206599</v>
      </c>
      <c r="AS189" t="s">
        <v>65</v>
      </c>
      <c r="AT189">
        <v>1</v>
      </c>
      <c r="AU189" t="s">
        <v>66</v>
      </c>
      <c r="AV189" t="s">
        <v>67</v>
      </c>
      <c r="AW189" t="s">
        <v>60</v>
      </c>
      <c r="AX189" t="s">
        <v>68</v>
      </c>
      <c r="AY189" t="s">
        <v>69</v>
      </c>
      <c r="AZ189" t="b">
        <v>1</v>
      </c>
    </row>
    <row r="190" spans="1:52" x14ac:dyDescent="0.3">
      <c r="A190" t="s">
        <v>52</v>
      </c>
      <c r="B190" t="s">
        <v>53</v>
      </c>
      <c r="C190" t="s">
        <v>54</v>
      </c>
      <c r="D190" t="s">
        <v>55</v>
      </c>
      <c r="E190" t="s">
        <v>616</v>
      </c>
      <c r="F190" t="s">
        <v>512</v>
      </c>
      <c r="G190" t="s">
        <v>84</v>
      </c>
      <c r="H190" t="s">
        <v>85</v>
      </c>
      <c r="I190" t="s">
        <v>85</v>
      </c>
      <c r="J190" t="s">
        <v>60</v>
      </c>
      <c r="K190" t="s">
        <v>86</v>
      </c>
      <c r="L190" t="s">
        <v>62</v>
      </c>
      <c r="M190" t="s">
        <v>86</v>
      </c>
      <c r="N190" t="s">
        <v>87</v>
      </c>
      <c r="O190" t="s">
        <v>88</v>
      </c>
      <c r="P190">
        <v>-19.629436999999999</v>
      </c>
      <c r="Q190">
        <v>-43.910398999999998</v>
      </c>
      <c r="R190" s="2" t="str">
        <f>HYPERLINK("https://www.google.com/maps?q=-19.6294370,-43.9103990","Abrir no Google Maps")</f>
        <v>Abrir no Google Maps</v>
      </c>
      <c r="S190">
        <v>4</v>
      </c>
      <c r="T190">
        <v>888.82060643108082</v>
      </c>
      <c r="U190">
        <v>4</v>
      </c>
      <c r="V190">
        <v>0.52579595158173131</v>
      </c>
      <c r="W190">
        <v>1</v>
      </c>
      <c r="X190">
        <v>0.52579595158173131</v>
      </c>
      <c r="Y190">
        <v>10</v>
      </c>
      <c r="Z190">
        <v>867.42797341651737</v>
      </c>
      <c r="AA190">
        <v>2</v>
      </c>
      <c r="AB190">
        <v>3</v>
      </c>
      <c r="AC190">
        <v>7</v>
      </c>
      <c r="AD190">
        <v>26.56</v>
      </c>
      <c r="AE190">
        <v>253</v>
      </c>
      <c r="AF190">
        <v>17</v>
      </c>
      <c r="AG190">
        <v>62</v>
      </c>
      <c r="AH190">
        <v>32</v>
      </c>
      <c r="AI190">
        <v>6.72</v>
      </c>
      <c r="AJ190">
        <v>24.51</v>
      </c>
      <c r="AK190">
        <v>12.65</v>
      </c>
      <c r="AL190">
        <v>-19.62934694999996</v>
      </c>
      <c r="AM190">
        <v>-43.910344699357317</v>
      </c>
      <c r="AN190">
        <v>-19.62934694999996</v>
      </c>
      <c r="AO190">
        <v>-43.910344699357331</v>
      </c>
      <c r="AP190">
        <v>-19.629436999999999</v>
      </c>
      <c r="AQ190">
        <v>-43.910398999999998</v>
      </c>
      <c r="AR190">
        <v>11.52837377953678</v>
      </c>
      <c r="AS190" t="s">
        <v>65</v>
      </c>
      <c r="AT190">
        <v>1</v>
      </c>
      <c r="AU190" t="s">
        <v>89</v>
      </c>
      <c r="AV190" t="s">
        <v>90</v>
      </c>
      <c r="AW190" t="s">
        <v>60</v>
      </c>
      <c r="AX190" t="s">
        <v>68</v>
      </c>
      <c r="AY190" t="s">
        <v>69</v>
      </c>
      <c r="AZ190" t="b">
        <v>1</v>
      </c>
    </row>
    <row r="191" spans="1:52" x14ac:dyDescent="0.3">
      <c r="A191" t="s">
        <v>52</v>
      </c>
      <c r="B191" t="s">
        <v>53</v>
      </c>
      <c r="C191" t="s">
        <v>54</v>
      </c>
      <c r="D191" t="s">
        <v>55</v>
      </c>
      <c r="E191" t="s">
        <v>616</v>
      </c>
      <c r="F191" t="s">
        <v>512</v>
      </c>
      <c r="G191" t="s">
        <v>91</v>
      </c>
      <c r="H191" t="s">
        <v>92</v>
      </c>
      <c r="I191" t="s">
        <v>92</v>
      </c>
      <c r="J191" t="s">
        <v>60</v>
      </c>
      <c r="K191" t="s">
        <v>86</v>
      </c>
      <c r="L191" t="s">
        <v>62</v>
      </c>
      <c r="M191" t="s">
        <v>86</v>
      </c>
      <c r="N191" t="s">
        <v>93</v>
      </c>
      <c r="O191" t="s">
        <v>94</v>
      </c>
      <c r="P191">
        <v>-19.630676999999999</v>
      </c>
      <c r="Q191">
        <v>-43.907255999999997</v>
      </c>
      <c r="R191" s="2" t="str">
        <f>HYPERLINK("https://www.google.com/maps?q=-19.6306770,-43.9072560","Abrir no Google Maps")</f>
        <v>Abrir no Google Maps</v>
      </c>
      <c r="S191">
        <v>4</v>
      </c>
      <c r="T191">
        <v>545.39374622597825</v>
      </c>
      <c r="U191">
        <v>4</v>
      </c>
      <c r="V191">
        <v>0.50009569377990426</v>
      </c>
      <c r="W191">
        <v>1</v>
      </c>
      <c r="X191">
        <v>0.50009569377990426</v>
      </c>
      <c r="Y191">
        <v>10</v>
      </c>
      <c r="Z191">
        <v>559.94033759457182</v>
      </c>
      <c r="AA191">
        <v>2</v>
      </c>
      <c r="AB191">
        <v>3</v>
      </c>
      <c r="AC191">
        <v>7</v>
      </c>
      <c r="AD191">
        <v>26.56</v>
      </c>
      <c r="AE191">
        <v>253</v>
      </c>
      <c r="AF191">
        <v>17</v>
      </c>
      <c r="AG191">
        <v>62</v>
      </c>
      <c r="AH191">
        <v>32</v>
      </c>
      <c r="AI191">
        <v>6.72</v>
      </c>
      <c r="AJ191">
        <v>24.51</v>
      </c>
      <c r="AK191">
        <v>12.65</v>
      </c>
      <c r="AL191">
        <v>-19.630448649999941</v>
      </c>
      <c r="AM191">
        <v>-43.907268502495313</v>
      </c>
      <c r="AN191">
        <v>-19.630448649999941</v>
      </c>
      <c r="AO191">
        <v>-43.907268502495313</v>
      </c>
      <c r="AP191">
        <v>-19.630676999999999</v>
      </c>
      <c r="AQ191">
        <v>-43.907255999999997</v>
      </c>
      <c r="AR191">
        <v>25.453700276562468</v>
      </c>
      <c r="AS191" t="s">
        <v>65</v>
      </c>
      <c r="AT191">
        <v>1</v>
      </c>
      <c r="AU191" t="s">
        <v>95</v>
      </c>
      <c r="AV191" t="s">
        <v>96</v>
      </c>
      <c r="AW191" t="s">
        <v>60</v>
      </c>
      <c r="AX191" t="s">
        <v>68</v>
      </c>
      <c r="AY191" t="s">
        <v>69</v>
      </c>
      <c r="AZ191" t="b">
        <v>1</v>
      </c>
    </row>
    <row r="192" spans="1:52" x14ac:dyDescent="0.3">
      <c r="A192" t="s">
        <v>52</v>
      </c>
      <c r="B192" t="s">
        <v>53</v>
      </c>
      <c r="C192" t="s">
        <v>54</v>
      </c>
      <c r="D192" t="s">
        <v>55</v>
      </c>
      <c r="E192" t="s">
        <v>616</v>
      </c>
      <c r="F192" t="s">
        <v>512</v>
      </c>
      <c r="G192" t="s">
        <v>97</v>
      </c>
      <c r="H192" t="s">
        <v>98</v>
      </c>
      <c r="I192" t="s">
        <v>98</v>
      </c>
      <c r="J192" t="s">
        <v>60</v>
      </c>
      <c r="K192" t="s">
        <v>99</v>
      </c>
      <c r="L192" t="s">
        <v>62</v>
      </c>
      <c r="M192" t="s">
        <v>99</v>
      </c>
      <c r="N192" t="s">
        <v>100</v>
      </c>
      <c r="O192" t="s">
        <v>101</v>
      </c>
      <c r="P192">
        <v>-19.629822000000001</v>
      </c>
      <c r="Q192">
        <v>-43.905341</v>
      </c>
      <c r="R192" s="2" t="str">
        <f>HYPERLINK("https://www.google.com/maps?q=-19.6298220,-43.9053410","Abrir no Google Maps")</f>
        <v>Abrir no Google Maps</v>
      </c>
      <c r="S192">
        <v>4</v>
      </c>
      <c r="T192">
        <v>441.30597341744129</v>
      </c>
      <c r="U192">
        <v>3</v>
      </c>
      <c r="V192">
        <v>0.4779859473011232</v>
      </c>
      <c r="W192">
        <v>1</v>
      </c>
      <c r="X192">
        <v>0.4779859473011232</v>
      </c>
      <c r="Y192">
        <v>10</v>
      </c>
      <c r="Z192">
        <v>513.56493751010987</v>
      </c>
      <c r="AA192">
        <v>2</v>
      </c>
      <c r="AB192">
        <v>3</v>
      </c>
      <c r="AC192">
        <v>7</v>
      </c>
      <c r="AD192">
        <v>26.56</v>
      </c>
      <c r="AE192">
        <v>253</v>
      </c>
      <c r="AF192">
        <v>17</v>
      </c>
      <c r="AG192">
        <v>62</v>
      </c>
      <c r="AH192">
        <v>32</v>
      </c>
      <c r="AI192">
        <v>6.72</v>
      </c>
      <c r="AJ192">
        <v>24.51</v>
      </c>
      <c r="AK192">
        <v>12.65</v>
      </c>
      <c r="AL192">
        <v>-19.629671599999941</v>
      </c>
      <c r="AM192">
        <v>-43.905369597920988</v>
      </c>
      <c r="AN192">
        <v>-19.629671599999931</v>
      </c>
      <c r="AO192">
        <v>-43.905369597920988</v>
      </c>
      <c r="AP192">
        <v>-19.629822000000001</v>
      </c>
      <c r="AQ192">
        <v>-43.905341</v>
      </c>
      <c r="AR192">
        <v>17.008917699186132</v>
      </c>
      <c r="AS192" t="s">
        <v>65</v>
      </c>
      <c r="AT192">
        <v>1</v>
      </c>
      <c r="AU192" t="s">
        <v>102</v>
      </c>
      <c r="AV192" t="s">
        <v>103</v>
      </c>
      <c r="AW192" t="s">
        <v>60</v>
      </c>
      <c r="AX192" t="s">
        <v>68</v>
      </c>
      <c r="AY192" t="s">
        <v>69</v>
      </c>
      <c r="AZ192" t="b">
        <v>1</v>
      </c>
    </row>
    <row r="193" spans="1:52" x14ac:dyDescent="0.3">
      <c r="A193" t="s">
        <v>52</v>
      </c>
      <c r="B193" t="s">
        <v>53</v>
      </c>
      <c r="C193" t="s">
        <v>54</v>
      </c>
      <c r="D193" t="s">
        <v>55</v>
      </c>
      <c r="E193" t="s">
        <v>616</v>
      </c>
      <c r="F193" t="s">
        <v>512</v>
      </c>
      <c r="G193" t="s">
        <v>513</v>
      </c>
      <c r="H193" t="s">
        <v>514</v>
      </c>
      <c r="I193" t="s">
        <v>514</v>
      </c>
      <c r="J193" t="s">
        <v>60</v>
      </c>
      <c r="K193" t="s">
        <v>185</v>
      </c>
      <c r="L193" t="s">
        <v>62</v>
      </c>
      <c r="M193" t="s">
        <v>185</v>
      </c>
      <c r="N193" t="s">
        <v>515</v>
      </c>
      <c r="O193" t="s">
        <v>516</v>
      </c>
      <c r="P193">
        <v>-19.63184</v>
      </c>
      <c r="Q193">
        <v>-43.899625999999998</v>
      </c>
      <c r="R193" s="2" t="str">
        <f>HYPERLINK("https://www.google.com/maps?q=-19.6318400,-43.8996260","Abrir no Google Maps")</f>
        <v>Abrir no Google Maps</v>
      </c>
      <c r="S193">
        <v>4</v>
      </c>
      <c r="T193">
        <v>317.05369638212568</v>
      </c>
      <c r="U193">
        <v>2</v>
      </c>
      <c r="V193">
        <v>0.46783332661913007</v>
      </c>
      <c r="W193">
        <v>0.85</v>
      </c>
      <c r="X193">
        <v>0.39765832762626058</v>
      </c>
      <c r="Y193">
        <v>10</v>
      </c>
      <c r="Z193">
        <v>467.39112963581732</v>
      </c>
      <c r="AA193">
        <v>2</v>
      </c>
      <c r="AB193">
        <v>3</v>
      </c>
      <c r="AC193">
        <v>7</v>
      </c>
      <c r="AD193">
        <v>26.56</v>
      </c>
      <c r="AE193">
        <v>253</v>
      </c>
      <c r="AF193">
        <v>17</v>
      </c>
      <c r="AG193">
        <v>62</v>
      </c>
      <c r="AH193">
        <v>32</v>
      </c>
      <c r="AI193">
        <v>6.72</v>
      </c>
      <c r="AJ193">
        <v>24.51</v>
      </c>
      <c r="AK193">
        <v>12.65</v>
      </c>
      <c r="AL193">
        <v>-19.631819699999941</v>
      </c>
      <c r="AM193">
        <v>-43.89977767057065</v>
      </c>
      <c r="AN193">
        <v>-19.631819699999941</v>
      </c>
      <c r="AO193">
        <v>-43.89977767057065</v>
      </c>
      <c r="AP193">
        <v>-19.63184</v>
      </c>
      <c r="AQ193">
        <v>-43.899625999999998</v>
      </c>
      <c r="AR193">
        <v>16.062279375806241</v>
      </c>
      <c r="AS193" t="s">
        <v>65</v>
      </c>
      <c r="AT193">
        <v>1</v>
      </c>
      <c r="AU193" t="s">
        <v>517</v>
      </c>
      <c r="AV193" t="s">
        <v>518</v>
      </c>
      <c r="AW193" t="s">
        <v>60</v>
      </c>
      <c r="AX193" t="s">
        <v>68</v>
      </c>
      <c r="AY193" t="s">
        <v>69</v>
      </c>
      <c r="AZ193" t="b">
        <v>1</v>
      </c>
    </row>
    <row r="194" spans="1:52" x14ac:dyDescent="0.3">
      <c r="A194" t="s">
        <v>52</v>
      </c>
      <c r="B194" t="s">
        <v>53</v>
      </c>
      <c r="C194" t="s">
        <v>54</v>
      </c>
      <c r="D194" t="s">
        <v>55</v>
      </c>
      <c r="E194" t="s">
        <v>616</v>
      </c>
      <c r="F194" t="s">
        <v>512</v>
      </c>
      <c r="G194" t="s">
        <v>70</v>
      </c>
      <c r="H194" t="s">
        <v>71</v>
      </c>
      <c r="I194" t="s">
        <v>71</v>
      </c>
      <c r="J194" t="s">
        <v>60</v>
      </c>
      <c r="K194" t="s">
        <v>72</v>
      </c>
      <c r="L194" t="s">
        <v>62</v>
      </c>
      <c r="M194" t="s">
        <v>72</v>
      </c>
      <c r="N194" t="s">
        <v>73</v>
      </c>
      <c r="O194" t="s">
        <v>74</v>
      </c>
      <c r="P194">
        <v>-19.632581999999999</v>
      </c>
      <c r="Q194">
        <v>-43.902416000000002</v>
      </c>
      <c r="R194" s="2" t="str">
        <f>HYPERLINK("https://www.google.com/maps?q=-19.6325820,-43.9024160","Abrir no Google Maps")</f>
        <v>Abrir no Google Maps</v>
      </c>
      <c r="S194">
        <v>4</v>
      </c>
      <c r="T194">
        <v>0</v>
      </c>
      <c r="U194">
        <v>2</v>
      </c>
      <c r="V194">
        <v>0.362513624091997</v>
      </c>
      <c r="W194">
        <v>1</v>
      </c>
      <c r="X194">
        <v>0.362513624091997</v>
      </c>
      <c r="Y194">
        <v>10</v>
      </c>
      <c r="Z194">
        <v>146.6968158874696</v>
      </c>
      <c r="AA194">
        <v>2</v>
      </c>
      <c r="AB194">
        <v>3</v>
      </c>
      <c r="AC194">
        <v>7</v>
      </c>
      <c r="AD194">
        <v>26.56</v>
      </c>
      <c r="AE194">
        <v>253</v>
      </c>
      <c r="AF194">
        <v>17</v>
      </c>
      <c r="AG194">
        <v>62</v>
      </c>
      <c r="AH194">
        <v>32</v>
      </c>
      <c r="AI194">
        <v>6.72</v>
      </c>
      <c r="AJ194">
        <v>24.51</v>
      </c>
      <c r="AK194">
        <v>12.65</v>
      </c>
      <c r="AL194">
        <v>-19.63271449999996</v>
      </c>
      <c r="AM194">
        <v>-43.902649897389402</v>
      </c>
      <c r="AN194">
        <v>-19.63271449999996</v>
      </c>
      <c r="AO194">
        <v>-43.902649897389402</v>
      </c>
      <c r="AP194">
        <v>-19.632581999999999</v>
      </c>
      <c r="AQ194">
        <v>-43.902416000000002</v>
      </c>
      <c r="AR194">
        <v>28.617753432996459</v>
      </c>
      <c r="AS194" t="s">
        <v>65</v>
      </c>
      <c r="AT194">
        <v>1</v>
      </c>
      <c r="AU194" t="s">
        <v>75</v>
      </c>
      <c r="AV194" t="s">
        <v>76</v>
      </c>
      <c r="AW194" t="s">
        <v>60</v>
      </c>
      <c r="AX194" t="s">
        <v>68</v>
      </c>
      <c r="AY194" t="s">
        <v>69</v>
      </c>
      <c r="AZ194" t="b">
        <v>1</v>
      </c>
    </row>
    <row r="195" spans="1:52" x14ac:dyDescent="0.3">
      <c r="A195" t="s">
        <v>52</v>
      </c>
      <c r="B195" t="s">
        <v>53</v>
      </c>
      <c r="C195" t="s">
        <v>54</v>
      </c>
      <c r="D195" t="s">
        <v>55</v>
      </c>
      <c r="E195" t="s">
        <v>616</v>
      </c>
      <c r="F195" t="s">
        <v>512</v>
      </c>
      <c r="G195" t="s">
        <v>77</v>
      </c>
      <c r="H195" t="s">
        <v>78</v>
      </c>
      <c r="I195" t="s">
        <v>78</v>
      </c>
      <c r="J195" t="s">
        <v>60</v>
      </c>
      <c r="K195" t="s">
        <v>79</v>
      </c>
      <c r="L195" t="s">
        <v>62</v>
      </c>
      <c r="M195" t="s">
        <v>79</v>
      </c>
      <c r="N195" t="s">
        <v>80</v>
      </c>
      <c r="O195" t="s">
        <v>81</v>
      </c>
      <c r="P195">
        <v>-19.632463999999999</v>
      </c>
      <c r="Q195">
        <v>-43.904927999999998</v>
      </c>
      <c r="R195" s="2" t="str">
        <f>HYPERLINK("https://www.google.com/maps?q=-19.6324640,-43.9049280","Abrir no Google Maps")</f>
        <v>Abrir no Google Maps</v>
      </c>
      <c r="S195">
        <v>4</v>
      </c>
      <c r="T195">
        <v>244.1735197453369</v>
      </c>
      <c r="U195">
        <v>2</v>
      </c>
      <c r="V195">
        <v>0.39351083419366911</v>
      </c>
      <c r="W195">
        <v>1</v>
      </c>
      <c r="X195">
        <v>0.39351083419366911</v>
      </c>
      <c r="Y195">
        <v>10</v>
      </c>
      <c r="Z195">
        <v>287.26068152447448</v>
      </c>
      <c r="AA195">
        <v>2</v>
      </c>
      <c r="AB195">
        <v>3</v>
      </c>
      <c r="AC195">
        <v>7</v>
      </c>
      <c r="AD195">
        <v>26.56</v>
      </c>
      <c r="AE195">
        <v>253</v>
      </c>
      <c r="AF195">
        <v>17</v>
      </c>
      <c r="AG195">
        <v>62</v>
      </c>
      <c r="AH195">
        <v>32</v>
      </c>
      <c r="AI195">
        <v>6.72</v>
      </c>
      <c r="AJ195">
        <v>24.51</v>
      </c>
      <c r="AK195">
        <v>12.65</v>
      </c>
      <c r="AL195">
        <v>-19.63247099999996</v>
      </c>
      <c r="AM195">
        <v>-43.904964174285787</v>
      </c>
      <c r="AN195">
        <v>-19.63247099999996</v>
      </c>
      <c r="AO195">
        <v>-43.904964174285787</v>
      </c>
      <c r="AP195">
        <v>-19.632463999999999</v>
      </c>
      <c r="AQ195">
        <v>-43.904927999999998</v>
      </c>
      <c r="AR195">
        <v>3.8720457500200469</v>
      </c>
      <c r="AS195" t="s">
        <v>65</v>
      </c>
      <c r="AT195">
        <v>1</v>
      </c>
      <c r="AU195" t="s">
        <v>82</v>
      </c>
      <c r="AV195" t="s">
        <v>83</v>
      </c>
      <c r="AW195" t="s">
        <v>60</v>
      </c>
      <c r="AX195" t="s">
        <v>68</v>
      </c>
      <c r="AY195" t="s">
        <v>69</v>
      </c>
      <c r="AZ195" t="b">
        <v>1</v>
      </c>
    </row>
    <row r="196" spans="1:52" x14ac:dyDescent="0.3">
      <c r="A196" t="s">
        <v>52</v>
      </c>
      <c r="B196" t="s">
        <v>53</v>
      </c>
      <c r="C196" t="s">
        <v>54</v>
      </c>
      <c r="D196" t="s">
        <v>55</v>
      </c>
      <c r="E196" t="s">
        <v>616</v>
      </c>
      <c r="F196" t="s">
        <v>512</v>
      </c>
      <c r="G196" t="s">
        <v>519</v>
      </c>
      <c r="H196" t="s">
        <v>520</v>
      </c>
      <c r="I196" t="s">
        <v>520</v>
      </c>
      <c r="J196" t="s">
        <v>60</v>
      </c>
      <c r="K196" t="s">
        <v>72</v>
      </c>
      <c r="L196" t="s">
        <v>62</v>
      </c>
      <c r="M196" t="s">
        <v>72</v>
      </c>
      <c r="N196" t="s">
        <v>521</v>
      </c>
      <c r="O196" t="s">
        <v>522</v>
      </c>
      <c r="P196">
        <v>-19.634713000000001</v>
      </c>
      <c r="Q196">
        <v>-43.908909999999999</v>
      </c>
      <c r="R196" s="2" t="str">
        <f>HYPERLINK("https://www.google.com/maps?q=-19.6347130,-43.9089100","Abrir no Google Maps")</f>
        <v>Abrir no Google Maps</v>
      </c>
      <c r="S196">
        <v>4</v>
      </c>
      <c r="T196">
        <v>700.74700083720154</v>
      </c>
      <c r="U196">
        <v>2</v>
      </c>
      <c r="V196">
        <v>0.43381330685203567</v>
      </c>
      <c r="W196">
        <v>0.85</v>
      </c>
      <c r="X196">
        <v>0.36874131082423028</v>
      </c>
      <c r="Y196">
        <v>10</v>
      </c>
      <c r="Z196">
        <v>557.86159429038207</v>
      </c>
      <c r="AA196">
        <v>2</v>
      </c>
      <c r="AB196">
        <v>3</v>
      </c>
      <c r="AC196">
        <v>7</v>
      </c>
      <c r="AD196">
        <v>26.56</v>
      </c>
      <c r="AE196">
        <v>253</v>
      </c>
      <c r="AF196">
        <v>17</v>
      </c>
      <c r="AG196">
        <v>62</v>
      </c>
      <c r="AH196">
        <v>32</v>
      </c>
      <c r="AI196">
        <v>6.72</v>
      </c>
      <c r="AJ196">
        <v>24.51</v>
      </c>
      <c r="AK196">
        <v>12.65</v>
      </c>
      <c r="AL196">
        <v>-19.634626949999959</v>
      </c>
      <c r="AM196">
        <v>-43.909020333181857</v>
      </c>
      <c r="AN196">
        <v>-19.634626949999959</v>
      </c>
      <c r="AO196">
        <v>-43.909020333181857</v>
      </c>
      <c r="AP196">
        <v>-19.634713000000001</v>
      </c>
      <c r="AQ196">
        <v>-43.908909999999999</v>
      </c>
      <c r="AR196">
        <v>15.01933861967664</v>
      </c>
      <c r="AS196" t="s">
        <v>65</v>
      </c>
      <c r="AT196">
        <v>1</v>
      </c>
      <c r="AU196" t="s">
        <v>523</v>
      </c>
      <c r="AV196" t="s">
        <v>524</v>
      </c>
      <c r="AW196" t="s">
        <v>60</v>
      </c>
      <c r="AX196" t="s">
        <v>68</v>
      </c>
      <c r="AY196" t="s">
        <v>69</v>
      </c>
      <c r="AZ196" t="b">
        <v>1</v>
      </c>
    </row>
    <row r="197" spans="1:52" x14ac:dyDescent="0.3">
      <c r="A197" t="s">
        <v>52</v>
      </c>
      <c r="B197" t="s">
        <v>53</v>
      </c>
      <c r="C197" t="s">
        <v>54</v>
      </c>
      <c r="D197" t="s">
        <v>55</v>
      </c>
      <c r="E197" t="s">
        <v>616</v>
      </c>
      <c r="F197" t="s">
        <v>512</v>
      </c>
      <c r="G197" t="s">
        <v>291</v>
      </c>
      <c r="H197" t="s">
        <v>292</v>
      </c>
      <c r="I197" t="s">
        <v>292</v>
      </c>
      <c r="J197" t="s">
        <v>60</v>
      </c>
      <c r="K197" t="s">
        <v>286</v>
      </c>
      <c r="L197" t="s">
        <v>62</v>
      </c>
      <c r="M197" t="s">
        <v>286</v>
      </c>
      <c r="N197" t="s">
        <v>293</v>
      </c>
      <c r="O197" t="s">
        <v>294</v>
      </c>
      <c r="P197">
        <v>-19.640333999999999</v>
      </c>
      <c r="Q197">
        <v>-43.880004999999997</v>
      </c>
      <c r="R197" s="2" t="str">
        <f>HYPERLINK("https://www.google.com/maps?q=-19.6403340,-43.8800050","Abrir no Google Maps")</f>
        <v>Abrir no Google Maps</v>
      </c>
      <c r="S197">
        <v>3</v>
      </c>
      <c r="T197">
        <v>276.80943817309782</v>
      </c>
      <c r="U197">
        <v>4</v>
      </c>
      <c r="V197">
        <v>0.49916253833451291</v>
      </c>
      <c r="W197">
        <v>1</v>
      </c>
      <c r="X197">
        <v>0.49916253833451291</v>
      </c>
      <c r="Y197">
        <v>10</v>
      </c>
      <c r="Z197">
        <v>361.98332038983392</v>
      </c>
      <c r="AA197">
        <v>2</v>
      </c>
      <c r="AB197">
        <v>3</v>
      </c>
      <c r="AC197">
        <v>7</v>
      </c>
      <c r="AD197">
        <v>26.56</v>
      </c>
      <c r="AE197">
        <v>253</v>
      </c>
      <c r="AF197">
        <v>17</v>
      </c>
      <c r="AG197">
        <v>62</v>
      </c>
      <c r="AH197">
        <v>32</v>
      </c>
      <c r="AI197">
        <v>6.72</v>
      </c>
      <c r="AJ197">
        <v>24.51</v>
      </c>
      <c r="AK197">
        <v>12.65</v>
      </c>
      <c r="AL197">
        <v>-19.640260249999951</v>
      </c>
      <c r="AM197">
        <v>-43.880090474326408</v>
      </c>
      <c r="AN197">
        <v>-19.640260249999951</v>
      </c>
      <c r="AO197">
        <v>-43.880090474326408</v>
      </c>
      <c r="AP197">
        <v>-19.640333999999999</v>
      </c>
      <c r="AQ197">
        <v>-43.880004999999997</v>
      </c>
      <c r="AR197">
        <v>12.153556195359609</v>
      </c>
      <c r="AS197" t="s">
        <v>65</v>
      </c>
      <c r="AT197">
        <v>1</v>
      </c>
      <c r="AU197" t="s">
        <v>295</v>
      </c>
      <c r="AV197" t="s">
        <v>296</v>
      </c>
      <c r="AW197" t="s">
        <v>60</v>
      </c>
      <c r="AX197" t="s">
        <v>68</v>
      </c>
      <c r="AY197" t="s">
        <v>69</v>
      </c>
      <c r="AZ197" t="b">
        <v>1</v>
      </c>
    </row>
    <row r="198" spans="1:52" x14ac:dyDescent="0.3">
      <c r="A198" t="s">
        <v>52</v>
      </c>
      <c r="B198" t="s">
        <v>53</v>
      </c>
      <c r="C198" t="s">
        <v>54</v>
      </c>
      <c r="D198" t="s">
        <v>55</v>
      </c>
      <c r="E198" t="s">
        <v>616</v>
      </c>
      <c r="F198" t="s">
        <v>512</v>
      </c>
      <c r="G198" t="s">
        <v>394</v>
      </c>
      <c r="H198" t="s">
        <v>395</v>
      </c>
      <c r="I198" t="s">
        <v>395</v>
      </c>
      <c r="J198" t="s">
        <v>60</v>
      </c>
      <c r="K198" t="s">
        <v>286</v>
      </c>
      <c r="L198" t="s">
        <v>62</v>
      </c>
      <c r="M198" t="s">
        <v>286</v>
      </c>
      <c r="N198" t="s">
        <v>396</v>
      </c>
      <c r="O198" t="s">
        <v>88</v>
      </c>
      <c r="P198">
        <v>-19.636932999999999</v>
      </c>
      <c r="Q198">
        <v>-43.882691999999999</v>
      </c>
      <c r="R198" s="2" t="str">
        <f>HYPERLINK("https://www.google.com/maps?q=-19.6369330,-43.8826920","Abrir no Google Maps")</f>
        <v>Abrir no Google Maps</v>
      </c>
      <c r="S198">
        <v>3</v>
      </c>
      <c r="T198">
        <v>523.52675813688109</v>
      </c>
      <c r="U198">
        <v>3</v>
      </c>
      <c r="V198">
        <v>0.46445699882454161</v>
      </c>
      <c r="W198">
        <v>1</v>
      </c>
      <c r="X198">
        <v>0.46445699882454161</v>
      </c>
      <c r="Y198">
        <v>10</v>
      </c>
      <c r="Z198">
        <v>372.58135532659509</v>
      </c>
      <c r="AA198">
        <v>2</v>
      </c>
      <c r="AB198">
        <v>3</v>
      </c>
      <c r="AC198">
        <v>7</v>
      </c>
      <c r="AD198">
        <v>26.56</v>
      </c>
      <c r="AE198">
        <v>253</v>
      </c>
      <c r="AF198">
        <v>17</v>
      </c>
      <c r="AG198">
        <v>62</v>
      </c>
      <c r="AH198">
        <v>32</v>
      </c>
      <c r="AI198">
        <v>6.72</v>
      </c>
      <c r="AJ198">
        <v>24.51</v>
      </c>
      <c r="AK198">
        <v>12.65</v>
      </c>
      <c r="AL198">
        <v>-19.637159949999951</v>
      </c>
      <c r="AM198">
        <v>-43.882643289441461</v>
      </c>
      <c r="AN198">
        <v>-19.637159949999951</v>
      </c>
      <c r="AO198">
        <v>-43.882643289441461</v>
      </c>
      <c r="AP198">
        <v>-19.636932999999999</v>
      </c>
      <c r="AQ198">
        <v>-43.882691999999999</v>
      </c>
      <c r="AR198">
        <v>25.775099947452478</v>
      </c>
      <c r="AS198" t="s">
        <v>65</v>
      </c>
      <c r="AT198">
        <v>1</v>
      </c>
      <c r="AU198" t="s">
        <v>397</v>
      </c>
      <c r="AV198" t="s">
        <v>398</v>
      </c>
      <c r="AW198" t="s">
        <v>60</v>
      </c>
      <c r="AX198" t="s">
        <v>68</v>
      </c>
      <c r="AY198" t="s">
        <v>69</v>
      </c>
      <c r="AZ198" t="b">
        <v>1</v>
      </c>
    </row>
    <row r="199" spans="1:52" x14ac:dyDescent="0.3">
      <c r="A199" t="s">
        <v>52</v>
      </c>
      <c r="B199" t="s">
        <v>53</v>
      </c>
      <c r="C199" t="s">
        <v>54</v>
      </c>
      <c r="D199" t="s">
        <v>55</v>
      </c>
      <c r="E199" t="s">
        <v>616</v>
      </c>
      <c r="F199" t="s">
        <v>512</v>
      </c>
      <c r="G199" t="s">
        <v>399</v>
      </c>
      <c r="H199" t="s">
        <v>400</v>
      </c>
      <c r="I199" t="s">
        <v>400</v>
      </c>
      <c r="J199" t="s">
        <v>60</v>
      </c>
      <c r="K199" t="s">
        <v>286</v>
      </c>
      <c r="L199" t="s">
        <v>62</v>
      </c>
      <c r="M199" t="s">
        <v>286</v>
      </c>
      <c r="N199" t="s">
        <v>401</v>
      </c>
      <c r="O199" t="s">
        <v>402</v>
      </c>
      <c r="P199">
        <v>-19.639906</v>
      </c>
      <c r="Q199">
        <v>-43.886059000000003</v>
      </c>
      <c r="R199" s="2" t="str">
        <f>HYPERLINK("https://www.google.com/maps?q=-19.6399060,-43.8860590","Abrir no Google Maps")</f>
        <v>Abrir no Google Maps</v>
      </c>
      <c r="S199">
        <v>3</v>
      </c>
      <c r="T199">
        <v>256.0748811302048</v>
      </c>
      <c r="U199">
        <v>3</v>
      </c>
      <c r="V199">
        <v>0.45177814938684502</v>
      </c>
      <c r="W199">
        <v>1</v>
      </c>
      <c r="X199">
        <v>0.45177814938684502</v>
      </c>
      <c r="Y199">
        <v>10</v>
      </c>
      <c r="Z199">
        <v>205.06236700857289</v>
      </c>
      <c r="AA199">
        <v>2</v>
      </c>
      <c r="AB199">
        <v>3</v>
      </c>
      <c r="AC199">
        <v>7</v>
      </c>
      <c r="AD199">
        <v>26.56</v>
      </c>
      <c r="AE199">
        <v>253</v>
      </c>
      <c r="AF199">
        <v>17</v>
      </c>
      <c r="AG199">
        <v>62</v>
      </c>
      <c r="AH199">
        <v>32</v>
      </c>
      <c r="AI199">
        <v>6.72</v>
      </c>
      <c r="AJ199">
        <v>24.51</v>
      </c>
      <c r="AK199">
        <v>12.65</v>
      </c>
      <c r="AL199">
        <v>-19.639789499999949</v>
      </c>
      <c r="AM199">
        <v>-43.885737855031408</v>
      </c>
      <c r="AN199">
        <v>-19.639789499999949</v>
      </c>
      <c r="AO199">
        <v>-43.885737855031408</v>
      </c>
      <c r="AP199">
        <v>-19.639906</v>
      </c>
      <c r="AQ199">
        <v>-43.886059000000003</v>
      </c>
      <c r="AR199">
        <v>36.081349702130403</v>
      </c>
      <c r="AS199" t="s">
        <v>65</v>
      </c>
      <c r="AT199">
        <v>1</v>
      </c>
      <c r="AU199" t="s">
        <v>403</v>
      </c>
      <c r="AV199" t="s">
        <v>404</v>
      </c>
      <c r="AW199" t="s">
        <v>60</v>
      </c>
      <c r="AX199" t="s">
        <v>68</v>
      </c>
      <c r="AY199" t="s">
        <v>69</v>
      </c>
      <c r="AZ199" t="b">
        <v>1</v>
      </c>
    </row>
    <row r="200" spans="1:52" x14ac:dyDescent="0.3">
      <c r="A200" t="s">
        <v>52</v>
      </c>
      <c r="B200" t="s">
        <v>53</v>
      </c>
      <c r="C200" t="s">
        <v>54</v>
      </c>
      <c r="D200" t="s">
        <v>55</v>
      </c>
      <c r="E200" t="s">
        <v>616</v>
      </c>
      <c r="F200" t="s">
        <v>512</v>
      </c>
      <c r="G200" t="s">
        <v>284</v>
      </c>
      <c r="H200" t="s">
        <v>285</v>
      </c>
      <c r="I200" t="s">
        <v>285</v>
      </c>
      <c r="J200" t="s">
        <v>60</v>
      </c>
      <c r="K200" t="s">
        <v>286</v>
      </c>
      <c r="L200" t="s">
        <v>62</v>
      </c>
      <c r="M200" t="s">
        <v>286</v>
      </c>
      <c r="N200" t="s">
        <v>287</v>
      </c>
      <c r="O200" t="s">
        <v>288</v>
      </c>
      <c r="P200">
        <v>-19.639790000000001</v>
      </c>
      <c r="Q200">
        <v>-43.882798999999999</v>
      </c>
      <c r="R200" s="2" t="str">
        <f>HYPERLINK("https://www.google.com/maps?q=-19.6397900,-43.8827990","Abrir no Google Maps")</f>
        <v>Abrir no Google Maps</v>
      </c>
      <c r="S200">
        <v>3</v>
      </c>
      <c r="T200">
        <v>242.7052058134478</v>
      </c>
      <c r="U200">
        <v>3</v>
      </c>
      <c r="V200">
        <v>0.47646516204415468</v>
      </c>
      <c r="W200">
        <v>1</v>
      </c>
      <c r="X200">
        <v>0.47646516204415468</v>
      </c>
      <c r="Y200">
        <v>10</v>
      </c>
      <c r="Z200">
        <v>187.2088809462339</v>
      </c>
      <c r="AA200">
        <v>2</v>
      </c>
      <c r="AB200">
        <v>3</v>
      </c>
      <c r="AC200">
        <v>7</v>
      </c>
      <c r="AD200">
        <v>26.56</v>
      </c>
      <c r="AE200">
        <v>253</v>
      </c>
      <c r="AF200">
        <v>17</v>
      </c>
      <c r="AG200">
        <v>62</v>
      </c>
      <c r="AH200">
        <v>32</v>
      </c>
      <c r="AI200">
        <v>6.72</v>
      </c>
      <c r="AJ200">
        <v>24.51</v>
      </c>
      <c r="AK200">
        <v>12.65</v>
      </c>
      <c r="AL200">
        <v>-19.639855599999951</v>
      </c>
      <c r="AM200">
        <v>-43.882909745178452</v>
      </c>
      <c r="AN200">
        <v>-19.639855599999951</v>
      </c>
      <c r="AO200">
        <v>-43.882909745178452</v>
      </c>
      <c r="AP200">
        <v>-19.639790000000001</v>
      </c>
      <c r="AQ200">
        <v>-43.882798999999999</v>
      </c>
      <c r="AR200">
        <v>13.716486068571211</v>
      </c>
      <c r="AS200" t="s">
        <v>65</v>
      </c>
      <c r="AT200">
        <v>1</v>
      </c>
      <c r="AU200" t="s">
        <v>289</v>
      </c>
      <c r="AV200" t="s">
        <v>290</v>
      </c>
      <c r="AW200" t="s">
        <v>60</v>
      </c>
      <c r="AX200" t="s">
        <v>68</v>
      </c>
      <c r="AY200" t="s">
        <v>69</v>
      </c>
      <c r="AZ200" t="b">
        <v>1</v>
      </c>
    </row>
    <row r="201" spans="1:52" x14ac:dyDescent="0.3">
      <c r="A201" t="s">
        <v>52</v>
      </c>
      <c r="B201" t="s">
        <v>53</v>
      </c>
      <c r="C201" t="s">
        <v>54</v>
      </c>
      <c r="D201" t="s">
        <v>55</v>
      </c>
      <c r="E201" t="s">
        <v>616</v>
      </c>
      <c r="F201" t="s">
        <v>512</v>
      </c>
      <c r="G201" t="s">
        <v>405</v>
      </c>
      <c r="H201" t="s">
        <v>406</v>
      </c>
      <c r="I201" t="s">
        <v>406</v>
      </c>
      <c r="J201" t="s">
        <v>60</v>
      </c>
      <c r="K201" t="s">
        <v>286</v>
      </c>
      <c r="L201" t="s">
        <v>62</v>
      </c>
      <c r="M201" t="s">
        <v>286</v>
      </c>
      <c r="N201" t="s">
        <v>407</v>
      </c>
      <c r="O201" t="s">
        <v>408</v>
      </c>
      <c r="P201">
        <v>-19.646345</v>
      </c>
      <c r="Q201">
        <v>-43.882294999999999</v>
      </c>
      <c r="R201" s="2" t="str">
        <f>HYPERLINK("https://www.google.com/maps?q=-19.6463450,-43.8822950","Abrir no Google Maps")</f>
        <v>Abrir no Google Maps</v>
      </c>
      <c r="S201">
        <v>3</v>
      </c>
      <c r="T201">
        <v>450.3180538635894</v>
      </c>
      <c r="U201">
        <v>3</v>
      </c>
      <c r="V201">
        <v>0.46941596038370231</v>
      </c>
      <c r="W201">
        <v>1</v>
      </c>
      <c r="X201">
        <v>0.46941596038370231</v>
      </c>
      <c r="Y201">
        <v>10</v>
      </c>
      <c r="Z201">
        <v>349.23341775902583</v>
      </c>
      <c r="AA201">
        <v>2</v>
      </c>
      <c r="AB201">
        <v>3</v>
      </c>
      <c r="AC201">
        <v>7</v>
      </c>
      <c r="AD201">
        <v>26.56</v>
      </c>
      <c r="AE201">
        <v>253</v>
      </c>
      <c r="AF201">
        <v>17</v>
      </c>
      <c r="AG201">
        <v>62</v>
      </c>
      <c r="AH201">
        <v>32</v>
      </c>
      <c r="AI201">
        <v>6.72</v>
      </c>
      <c r="AJ201">
        <v>24.51</v>
      </c>
      <c r="AK201">
        <v>12.65</v>
      </c>
      <c r="AL201">
        <v>-19.646391649999941</v>
      </c>
      <c r="AM201">
        <v>-43.882007396993302</v>
      </c>
      <c r="AN201">
        <v>-19.646391649999941</v>
      </c>
      <c r="AO201">
        <v>-43.882007396993302</v>
      </c>
      <c r="AP201">
        <v>-19.646345</v>
      </c>
      <c r="AQ201">
        <v>-43.882294999999999</v>
      </c>
      <c r="AR201">
        <v>30.596105513395301</v>
      </c>
      <c r="AS201" t="s">
        <v>65</v>
      </c>
      <c r="AT201">
        <v>1</v>
      </c>
      <c r="AU201" t="s">
        <v>409</v>
      </c>
      <c r="AV201" t="s">
        <v>410</v>
      </c>
      <c r="AW201" t="s">
        <v>60</v>
      </c>
      <c r="AX201" t="s">
        <v>68</v>
      </c>
      <c r="AY201" t="s">
        <v>69</v>
      </c>
      <c r="AZ201" t="b">
        <v>1</v>
      </c>
    </row>
    <row r="202" spans="1:52" x14ac:dyDescent="0.3">
      <c r="A202" t="s">
        <v>52</v>
      </c>
      <c r="B202" t="s">
        <v>53</v>
      </c>
      <c r="C202" t="s">
        <v>54</v>
      </c>
      <c r="D202" t="s">
        <v>55</v>
      </c>
      <c r="E202" t="s">
        <v>616</v>
      </c>
      <c r="F202" t="s">
        <v>512</v>
      </c>
      <c r="G202" t="s">
        <v>525</v>
      </c>
      <c r="H202" t="s">
        <v>526</v>
      </c>
      <c r="I202" t="s">
        <v>526</v>
      </c>
      <c r="J202" t="s">
        <v>60</v>
      </c>
      <c r="K202" t="s">
        <v>286</v>
      </c>
      <c r="L202" t="s">
        <v>62</v>
      </c>
      <c r="M202" t="s">
        <v>286</v>
      </c>
      <c r="N202" t="s">
        <v>527</v>
      </c>
      <c r="O202" t="s">
        <v>113</v>
      </c>
      <c r="P202">
        <v>-19.629049999999999</v>
      </c>
      <c r="Q202">
        <v>-43.887543000000001</v>
      </c>
      <c r="R202" s="2" t="str">
        <f>HYPERLINK("https://www.google.com/maps?q=-19.6290500,-43.8875430","Abrir no Google Maps")</f>
        <v>Abrir no Google Maps</v>
      </c>
      <c r="S202">
        <v>3</v>
      </c>
      <c r="T202">
        <v>420.9244758141914</v>
      </c>
      <c r="U202">
        <v>2</v>
      </c>
      <c r="V202">
        <v>0.44596397020613199</v>
      </c>
      <c r="W202">
        <v>0.85</v>
      </c>
      <c r="X202">
        <v>0.37906937467521218</v>
      </c>
      <c r="Y202">
        <v>18</v>
      </c>
      <c r="Z202">
        <v>298.16529694300579</v>
      </c>
      <c r="AA202">
        <v>2</v>
      </c>
      <c r="AB202">
        <v>3</v>
      </c>
      <c r="AC202">
        <v>7</v>
      </c>
      <c r="AD202">
        <v>26.56</v>
      </c>
      <c r="AE202">
        <v>253</v>
      </c>
      <c r="AF202">
        <v>17</v>
      </c>
      <c r="AG202">
        <v>62</v>
      </c>
      <c r="AH202">
        <v>32</v>
      </c>
      <c r="AI202">
        <v>6.72</v>
      </c>
      <c r="AJ202">
        <v>24.51</v>
      </c>
      <c r="AK202">
        <v>12.65</v>
      </c>
      <c r="AL202">
        <v>-19.62914789999996</v>
      </c>
      <c r="AM202">
        <v>-43.887659532387332</v>
      </c>
      <c r="AN202">
        <v>-19.62914789999996</v>
      </c>
      <c r="AO202">
        <v>-43.887659532387332</v>
      </c>
      <c r="AP202">
        <v>-19.629049999999999</v>
      </c>
      <c r="AQ202">
        <v>-43.887543000000001</v>
      </c>
      <c r="AR202">
        <v>16.372645779361299</v>
      </c>
      <c r="AS202" t="s">
        <v>65</v>
      </c>
      <c r="AT202">
        <v>1</v>
      </c>
      <c r="AU202" t="s">
        <v>528</v>
      </c>
      <c r="AV202" t="s">
        <v>529</v>
      </c>
      <c r="AW202" t="s">
        <v>60</v>
      </c>
      <c r="AX202" t="s">
        <v>68</v>
      </c>
      <c r="AY202" t="s">
        <v>69</v>
      </c>
      <c r="AZ202" t="b">
        <v>1</v>
      </c>
    </row>
    <row r="203" spans="1:52" x14ac:dyDescent="0.3">
      <c r="A203" t="s">
        <v>52</v>
      </c>
      <c r="B203" t="s">
        <v>53</v>
      </c>
      <c r="C203" t="s">
        <v>54</v>
      </c>
      <c r="D203" t="s">
        <v>55</v>
      </c>
      <c r="E203" t="s">
        <v>616</v>
      </c>
      <c r="F203" t="s">
        <v>512</v>
      </c>
      <c r="G203" t="s">
        <v>530</v>
      </c>
      <c r="H203" t="s">
        <v>531</v>
      </c>
      <c r="I203" t="s">
        <v>531</v>
      </c>
      <c r="J203" t="s">
        <v>60</v>
      </c>
      <c r="K203" t="s">
        <v>185</v>
      </c>
      <c r="L203" t="s">
        <v>62</v>
      </c>
      <c r="M203" t="s">
        <v>185</v>
      </c>
      <c r="N203" t="s">
        <v>532</v>
      </c>
      <c r="O203" t="s">
        <v>533</v>
      </c>
      <c r="P203">
        <v>-19.625264000000001</v>
      </c>
      <c r="Q203">
        <v>-43.889451000000001</v>
      </c>
      <c r="R203" s="2" t="str">
        <f>HYPERLINK("https://www.google.com/maps?q=-19.6252640,-43.8894510","Abrir no Google Maps")</f>
        <v>Abrir no Google Maps</v>
      </c>
      <c r="S203">
        <v>3</v>
      </c>
      <c r="T203">
        <v>466.11340370665903</v>
      </c>
      <c r="U203">
        <v>2</v>
      </c>
      <c r="V203">
        <v>0.42664002664002659</v>
      </c>
      <c r="W203">
        <v>0.85</v>
      </c>
      <c r="X203">
        <v>0.36264402264402262</v>
      </c>
      <c r="Y203">
        <v>18</v>
      </c>
      <c r="Z203">
        <v>320.77337440837812</v>
      </c>
      <c r="AA203">
        <v>2</v>
      </c>
      <c r="AB203">
        <v>3</v>
      </c>
      <c r="AC203">
        <v>7</v>
      </c>
      <c r="AD203">
        <v>26.56</v>
      </c>
      <c r="AE203">
        <v>253</v>
      </c>
      <c r="AF203">
        <v>17</v>
      </c>
      <c r="AG203">
        <v>62</v>
      </c>
      <c r="AH203">
        <v>32</v>
      </c>
      <c r="AI203">
        <v>6.72</v>
      </c>
      <c r="AJ203">
        <v>24.51</v>
      </c>
      <c r="AK203">
        <v>12.65</v>
      </c>
      <c r="AL203">
        <v>-19.62516189999997</v>
      </c>
      <c r="AM203">
        <v>-43.88954614566876</v>
      </c>
      <c r="AN203">
        <v>-19.62516189999997</v>
      </c>
      <c r="AO203">
        <v>-43.88954614566876</v>
      </c>
      <c r="AP203">
        <v>-19.625264000000001</v>
      </c>
      <c r="AQ203">
        <v>-43.889451000000001</v>
      </c>
      <c r="AR203">
        <v>15.12310549834147</v>
      </c>
      <c r="AS203" t="s">
        <v>65</v>
      </c>
      <c r="AT203">
        <v>1</v>
      </c>
      <c r="AU203" t="s">
        <v>534</v>
      </c>
      <c r="AV203" t="s">
        <v>535</v>
      </c>
      <c r="AW203" t="s">
        <v>60</v>
      </c>
      <c r="AX203" t="s">
        <v>68</v>
      </c>
      <c r="AY203" t="s">
        <v>69</v>
      </c>
      <c r="AZ203" t="b">
        <v>1</v>
      </c>
    </row>
    <row r="204" spans="1:52" x14ac:dyDescent="0.3">
      <c r="A204" t="s">
        <v>52</v>
      </c>
      <c r="B204" t="s">
        <v>53</v>
      </c>
      <c r="C204" t="s">
        <v>54</v>
      </c>
      <c r="D204" t="s">
        <v>55</v>
      </c>
      <c r="E204" t="s">
        <v>616</v>
      </c>
      <c r="F204" t="s">
        <v>512</v>
      </c>
      <c r="G204" t="s">
        <v>541</v>
      </c>
      <c r="H204" t="s">
        <v>542</v>
      </c>
      <c r="I204" t="s">
        <v>542</v>
      </c>
      <c r="J204" t="s">
        <v>60</v>
      </c>
      <c r="K204" t="s">
        <v>445</v>
      </c>
      <c r="L204" t="s">
        <v>62</v>
      </c>
      <c r="M204" t="s">
        <v>445</v>
      </c>
      <c r="N204" t="s">
        <v>543</v>
      </c>
      <c r="O204" t="s">
        <v>328</v>
      </c>
      <c r="P204">
        <v>-19.642263</v>
      </c>
      <c r="Q204">
        <v>-43.881428999999997</v>
      </c>
      <c r="R204" s="2" t="str">
        <f>HYPERLINK("https://www.google.com/maps?q=-19.6422630,-43.8814290","Abrir no Google Maps")</f>
        <v>Abrir no Google Maps</v>
      </c>
      <c r="S204">
        <v>3</v>
      </c>
      <c r="T204">
        <v>0</v>
      </c>
      <c r="U204">
        <v>2</v>
      </c>
      <c r="V204">
        <v>0.42444041137326077</v>
      </c>
      <c r="W204">
        <v>0.85</v>
      </c>
      <c r="X204">
        <v>0.36077434966727162</v>
      </c>
      <c r="Y204">
        <v>10</v>
      </c>
      <c r="Z204">
        <v>162.4764384685345</v>
      </c>
      <c r="AA204">
        <v>2</v>
      </c>
      <c r="AB204">
        <v>3</v>
      </c>
      <c r="AC204">
        <v>7</v>
      </c>
      <c r="AD204">
        <v>26.56</v>
      </c>
      <c r="AE204">
        <v>253</v>
      </c>
      <c r="AF204">
        <v>17</v>
      </c>
      <c r="AG204">
        <v>62</v>
      </c>
      <c r="AH204">
        <v>32</v>
      </c>
      <c r="AI204">
        <v>6.72</v>
      </c>
      <c r="AJ204">
        <v>24.51</v>
      </c>
      <c r="AK204">
        <v>12.65</v>
      </c>
      <c r="AL204">
        <v>-19.642346249999949</v>
      </c>
      <c r="AM204">
        <v>-43.881546938715289</v>
      </c>
      <c r="AN204">
        <v>-19.642346249999939</v>
      </c>
      <c r="AO204">
        <v>-43.881546938715289</v>
      </c>
      <c r="AP204">
        <v>-19.642263</v>
      </c>
      <c r="AQ204">
        <v>-43.881428999999997</v>
      </c>
      <c r="AR204">
        <v>15.45239906956777</v>
      </c>
      <c r="AS204" t="s">
        <v>65</v>
      </c>
      <c r="AT204">
        <v>1</v>
      </c>
      <c r="AU204" t="s">
        <v>544</v>
      </c>
      <c r="AV204" t="s">
        <v>545</v>
      </c>
      <c r="AW204" t="s">
        <v>60</v>
      </c>
      <c r="AX204" t="s">
        <v>68</v>
      </c>
      <c r="AY204" t="s">
        <v>69</v>
      </c>
      <c r="AZ204" t="b">
        <v>1</v>
      </c>
    </row>
    <row r="205" spans="1:52" x14ac:dyDescent="0.3">
      <c r="A205" t="s">
        <v>52</v>
      </c>
      <c r="B205" t="s">
        <v>53</v>
      </c>
      <c r="C205" t="s">
        <v>54</v>
      </c>
      <c r="D205" t="s">
        <v>55</v>
      </c>
      <c r="E205" t="s">
        <v>616</v>
      </c>
      <c r="F205" t="s">
        <v>512</v>
      </c>
      <c r="G205" t="s">
        <v>546</v>
      </c>
      <c r="H205" t="s">
        <v>547</v>
      </c>
      <c r="I205" t="s">
        <v>547</v>
      </c>
      <c r="J205" t="s">
        <v>60</v>
      </c>
      <c r="K205" t="s">
        <v>445</v>
      </c>
      <c r="L205" t="s">
        <v>62</v>
      </c>
      <c r="M205" t="s">
        <v>445</v>
      </c>
      <c r="N205" t="s">
        <v>548</v>
      </c>
      <c r="O205" t="s">
        <v>549</v>
      </c>
      <c r="P205">
        <v>-19.642752999999999</v>
      </c>
      <c r="Q205">
        <v>-43.879080999999999</v>
      </c>
      <c r="R205" s="2" t="str">
        <f>HYPERLINK("https://www.google.com/maps?q=-19.6427530,-43.8790810","Abrir no Google Maps")</f>
        <v>Abrir no Google Maps</v>
      </c>
      <c r="S205">
        <v>3</v>
      </c>
      <c r="T205">
        <v>256.19518367376457</v>
      </c>
      <c r="U205">
        <v>2</v>
      </c>
      <c r="V205">
        <v>0.4693893276825275</v>
      </c>
      <c r="W205">
        <v>0.85</v>
      </c>
      <c r="X205">
        <v>0.39898092853014838</v>
      </c>
      <c r="Y205">
        <v>10</v>
      </c>
      <c r="Z205">
        <v>192.73978446408199</v>
      </c>
      <c r="AA205">
        <v>2</v>
      </c>
      <c r="AB205">
        <v>3</v>
      </c>
      <c r="AC205">
        <v>7</v>
      </c>
      <c r="AD205">
        <v>26.56</v>
      </c>
      <c r="AE205">
        <v>253</v>
      </c>
      <c r="AF205">
        <v>17</v>
      </c>
      <c r="AG205">
        <v>62</v>
      </c>
      <c r="AH205">
        <v>32</v>
      </c>
      <c r="AI205">
        <v>6.72</v>
      </c>
      <c r="AJ205">
        <v>24.51</v>
      </c>
      <c r="AK205">
        <v>12.65</v>
      </c>
      <c r="AL205">
        <v>-19.642703749999949</v>
      </c>
      <c r="AM205">
        <v>-43.879132974738582</v>
      </c>
      <c r="AN205">
        <v>-19.642703749999949</v>
      </c>
      <c r="AO205">
        <v>-43.879132974738582</v>
      </c>
      <c r="AP205">
        <v>-19.642752999999999</v>
      </c>
      <c r="AQ205">
        <v>-43.879080999999999</v>
      </c>
      <c r="AR205">
        <v>7.7298757823687696</v>
      </c>
      <c r="AS205" t="s">
        <v>65</v>
      </c>
      <c r="AT205">
        <v>1</v>
      </c>
      <c r="AU205" t="s">
        <v>550</v>
      </c>
      <c r="AV205" t="s">
        <v>551</v>
      </c>
      <c r="AW205" t="s">
        <v>60</v>
      </c>
      <c r="AX205" t="s">
        <v>68</v>
      </c>
      <c r="AY205" t="s">
        <v>69</v>
      </c>
      <c r="AZ205" t="b">
        <v>1</v>
      </c>
    </row>
    <row r="206" spans="1:52" x14ac:dyDescent="0.3">
      <c r="A206" t="s">
        <v>52</v>
      </c>
      <c r="B206" t="s">
        <v>53</v>
      </c>
      <c r="C206" t="s">
        <v>54</v>
      </c>
      <c r="D206" t="s">
        <v>55</v>
      </c>
      <c r="E206" t="s">
        <v>616</v>
      </c>
      <c r="F206" t="s">
        <v>512</v>
      </c>
      <c r="G206" t="s">
        <v>552</v>
      </c>
      <c r="H206" t="s">
        <v>553</v>
      </c>
      <c r="I206" t="s">
        <v>553</v>
      </c>
      <c r="J206" t="s">
        <v>60</v>
      </c>
      <c r="K206" t="s">
        <v>445</v>
      </c>
      <c r="L206" t="s">
        <v>62</v>
      </c>
      <c r="M206" t="s">
        <v>445</v>
      </c>
      <c r="N206" t="s">
        <v>554</v>
      </c>
      <c r="O206" t="s">
        <v>207</v>
      </c>
      <c r="P206">
        <v>-19.641549999999999</v>
      </c>
      <c r="Q206">
        <v>-43.873263999999999</v>
      </c>
      <c r="R206" s="2" t="str">
        <f>HYPERLINK("https://www.google.com/maps?q=-19.6415500,-43.8732640","Abrir no Google Maps")</f>
        <v>Abrir no Google Maps</v>
      </c>
      <c r="S206">
        <v>3</v>
      </c>
      <c r="T206">
        <v>879.45465995735231</v>
      </c>
      <c r="U206">
        <v>2</v>
      </c>
      <c r="V206">
        <v>0.42747029846421319</v>
      </c>
      <c r="W206">
        <v>0.85</v>
      </c>
      <c r="X206">
        <v>0.36334975369458122</v>
      </c>
      <c r="Y206">
        <v>10</v>
      </c>
      <c r="Z206">
        <v>830.70905214077095</v>
      </c>
      <c r="AA206">
        <v>2</v>
      </c>
      <c r="AB206">
        <v>3</v>
      </c>
      <c r="AC206">
        <v>7</v>
      </c>
      <c r="AD206">
        <v>26.56</v>
      </c>
      <c r="AE206">
        <v>253</v>
      </c>
      <c r="AF206">
        <v>17</v>
      </c>
      <c r="AG206">
        <v>62</v>
      </c>
      <c r="AH206">
        <v>32</v>
      </c>
      <c r="AI206">
        <v>6.72</v>
      </c>
      <c r="AJ206">
        <v>24.51</v>
      </c>
      <c r="AK206">
        <v>12.65</v>
      </c>
      <c r="AL206">
        <v>-19.641459949999959</v>
      </c>
      <c r="AM206">
        <v>-43.873212145688711</v>
      </c>
      <c r="AN206">
        <v>-19.641459949999959</v>
      </c>
      <c r="AO206">
        <v>-43.873212145688711</v>
      </c>
      <c r="AP206">
        <v>-19.641549999999999</v>
      </c>
      <c r="AQ206">
        <v>-43.873263999999999</v>
      </c>
      <c r="AR206">
        <v>11.40368340137019</v>
      </c>
      <c r="AS206" t="s">
        <v>65</v>
      </c>
      <c r="AT206">
        <v>1</v>
      </c>
      <c r="AU206" t="s">
        <v>555</v>
      </c>
      <c r="AV206" t="s">
        <v>556</v>
      </c>
      <c r="AW206" t="s">
        <v>60</v>
      </c>
      <c r="AX206" t="s">
        <v>68</v>
      </c>
      <c r="AY206" t="s">
        <v>69</v>
      </c>
      <c r="AZ206" t="b">
        <v>1</v>
      </c>
    </row>
    <row r="207" spans="1:52" x14ac:dyDescent="0.3">
      <c r="A207" t="s">
        <v>52</v>
      </c>
      <c r="B207" t="s">
        <v>53</v>
      </c>
      <c r="C207" t="s">
        <v>54</v>
      </c>
      <c r="D207" t="s">
        <v>55</v>
      </c>
      <c r="E207" t="s">
        <v>616</v>
      </c>
      <c r="F207" t="s">
        <v>512</v>
      </c>
      <c r="G207" t="s">
        <v>557</v>
      </c>
      <c r="H207" t="s">
        <v>558</v>
      </c>
      <c r="I207" t="s">
        <v>558</v>
      </c>
      <c r="J207" t="s">
        <v>60</v>
      </c>
      <c r="K207" t="s">
        <v>445</v>
      </c>
      <c r="L207" t="s">
        <v>62</v>
      </c>
      <c r="M207" t="s">
        <v>445</v>
      </c>
      <c r="N207" t="s">
        <v>559</v>
      </c>
      <c r="O207" t="s">
        <v>560</v>
      </c>
      <c r="P207">
        <v>-19.641839000000001</v>
      </c>
      <c r="Q207">
        <v>-43.876227</v>
      </c>
      <c r="R207" s="2" t="str">
        <f>HYPERLINK("https://www.google.com/maps?q=-19.6418390,-43.8762270","Abrir no Google Maps")</f>
        <v>Abrir no Google Maps</v>
      </c>
      <c r="S207">
        <v>3</v>
      </c>
      <c r="T207">
        <v>564.50471877254449</v>
      </c>
      <c r="U207">
        <v>2</v>
      </c>
      <c r="V207">
        <v>0.45846184729471218</v>
      </c>
      <c r="W207">
        <v>0.85</v>
      </c>
      <c r="X207">
        <v>0.38969257020050541</v>
      </c>
      <c r="Y207">
        <v>10</v>
      </c>
      <c r="Z207">
        <v>490.40238336341412</v>
      </c>
      <c r="AA207">
        <v>2</v>
      </c>
      <c r="AB207">
        <v>3</v>
      </c>
      <c r="AC207">
        <v>7</v>
      </c>
      <c r="AD207">
        <v>26.56</v>
      </c>
      <c r="AE207">
        <v>253</v>
      </c>
      <c r="AF207">
        <v>17</v>
      </c>
      <c r="AG207">
        <v>62</v>
      </c>
      <c r="AH207">
        <v>32</v>
      </c>
      <c r="AI207">
        <v>6.72</v>
      </c>
      <c r="AJ207">
        <v>24.51</v>
      </c>
      <c r="AK207">
        <v>12.65</v>
      </c>
      <c r="AL207">
        <v>-19.641880699999941</v>
      </c>
      <c r="AM207">
        <v>-43.876185869580858</v>
      </c>
      <c r="AN207">
        <v>-19.641880699999941</v>
      </c>
      <c r="AO207">
        <v>-43.876185869580858</v>
      </c>
      <c r="AP207">
        <v>-19.641839000000001</v>
      </c>
      <c r="AQ207">
        <v>-43.876227</v>
      </c>
      <c r="AR207">
        <v>6.3359121862683301</v>
      </c>
      <c r="AS207" t="s">
        <v>65</v>
      </c>
      <c r="AT207">
        <v>1</v>
      </c>
      <c r="AU207" t="s">
        <v>561</v>
      </c>
      <c r="AV207" t="s">
        <v>562</v>
      </c>
      <c r="AW207" t="s">
        <v>60</v>
      </c>
      <c r="AX207" t="s">
        <v>68</v>
      </c>
      <c r="AY207" t="s">
        <v>69</v>
      </c>
      <c r="AZ207" t="b">
        <v>1</v>
      </c>
    </row>
    <row r="208" spans="1:52" x14ac:dyDescent="0.3">
      <c r="A208" t="s">
        <v>52</v>
      </c>
      <c r="B208" t="s">
        <v>53</v>
      </c>
      <c r="C208" t="s">
        <v>54</v>
      </c>
      <c r="D208" t="s">
        <v>55</v>
      </c>
      <c r="E208" t="s">
        <v>616</v>
      </c>
      <c r="F208" t="s">
        <v>512</v>
      </c>
      <c r="G208" t="s">
        <v>563</v>
      </c>
      <c r="H208" t="s">
        <v>564</v>
      </c>
      <c r="I208" t="s">
        <v>564</v>
      </c>
      <c r="J208" t="s">
        <v>60</v>
      </c>
      <c r="K208" t="s">
        <v>445</v>
      </c>
      <c r="L208" t="s">
        <v>62</v>
      </c>
      <c r="M208" t="s">
        <v>445</v>
      </c>
      <c r="N208" t="s">
        <v>565</v>
      </c>
      <c r="O208" t="s">
        <v>566</v>
      </c>
      <c r="P208">
        <v>-19.645859000000002</v>
      </c>
      <c r="Q208">
        <v>-43.878008000000001</v>
      </c>
      <c r="R208" s="2" t="str">
        <f>HYPERLINK("https://www.google.com/maps?q=-19.6458590,-43.8780080","Abrir no Google Maps")</f>
        <v>Abrir no Google Maps</v>
      </c>
      <c r="S208">
        <v>3</v>
      </c>
      <c r="T208">
        <v>535.60651658514928</v>
      </c>
      <c r="U208">
        <v>2</v>
      </c>
      <c r="V208">
        <v>0.44488594554819721</v>
      </c>
      <c r="W208">
        <v>0.85</v>
      </c>
      <c r="X208">
        <v>0.37815305371596758</v>
      </c>
      <c r="Y208">
        <v>10</v>
      </c>
      <c r="Z208">
        <v>356.77070476702067</v>
      </c>
      <c r="AA208">
        <v>2</v>
      </c>
      <c r="AB208">
        <v>3</v>
      </c>
      <c r="AC208">
        <v>7</v>
      </c>
      <c r="AD208">
        <v>26.56</v>
      </c>
      <c r="AE208">
        <v>253</v>
      </c>
      <c r="AF208">
        <v>17</v>
      </c>
      <c r="AG208">
        <v>62</v>
      </c>
      <c r="AH208">
        <v>32</v>
      </c>
      <c r="AI208">
        <v>6.72</v>
      </c>
      <c r="AJ208">
        <v>24.51</v>
      </c>
      <c r="AK208">
        <v>12.65</v>
      </c>
      <c r="AL208">
        <v>-19.645894599999959</v>
      </c>
      <c r="AM208">
        <v>-43.878073476665591</v>
      </c>
      <c r="AN208">
        <v>-19.645894599999959</v>
      </c>
      <c r="AO208">
        <v>-43.878073476665591</v>
      </c>
      <c r="AP208">
        <v>-19.645859000000002</v>
      </c>
      <c r="AQ208">
        <v>-43.878008000000001</v>
      </c>
      <c r="AR208">
        <v>7.9263849189726594</v>
      </c>
      <c r="AS208" t="s">
        <v>65</v>
      </c>
      <c r="AT208">
        <v>1</v>
      </c>
      <c r="AU208" t="s">
        <v>567</v>
      </c>
      <c r="AV208" t="s">
        <v>568</v>
      </c>
      <c r="AW208" t="s">
        <v>60</v>
      </c>
      <c r="AX208" t="s">
        <v>68</v>
      </c>
      <c r="AY208" t="s">
        <v>69</v>
      </c>
      <c r="AZ208" t="b">
        <v>1</v>
      </c>
    </row>
    <row r="209" spans="1:52" x14ac:dyDescent="0.3">
      <c r="A209" t="s">
        <v>52</v>
      </c>
      <c r="B209" t="s">
        <v>53</v>
      </c>
      <c r="C209" t="s">
        <v>54</v>
      </c>
      <c r="D209" t="s">
        <v>55</v>
      </c>
      <c r="E209" t="s">
        <v>616</v>
      </c>
      <c r="F209" t="s">
        <v>512</v>
      </c>
      <c r="G209" t="s">
        <v>569</v>
      </c>
      <c r="H209" t="s">
        <v>570</v>
      </c>
      <c r="I209" t="s">
        <v>570</v>
      </c>
      <c r="J209" t="s">
        <v>60</v>
      </c>
      <c r="K209" t="s">
        <v>445</v>
      </c>
      <c r="L209" t="s">
        <v>62</v>
      </c>
      <c r="M209" t="s">
        <v>445</v>
      </c>
      <c r="N209" t="s">
        <v>571</v>
      </c>
      <c r="O209" t="s">
        <v>572</v>
      </c>
      <c r="P209">
        <v>-19.646602999999999</v>
      </c>
      <c r="Q209">
        <v>-43.879826000000001</v>
      </c>
      <c r="R209" s="2" t="str">
        <f>HYPERLINK("https://www.google.com/maps?q=-19.6466030,-43.8798260","Abrir no Google Maps")</f>
        <v>Abrir no Google Maps</v>
      </c>
      <c r="S209">
        <v>3</v>
      </c>
      <c r="T209">
        <v>497.89126003830972</v>
      </c>
      <c r="U209">
        <v>2</v>
      </c>
      <c r="V209">
        <v>0.47446643919246662</v>
      </c>
      <c r="W209">
        <v>0.85</v>
      </c>
      <c r="X209">
        <v>0.40329647331359658</v>
      </c>
      <c r="Y209">
        <v>10</v>
      </c>
      <c r="Z209">
        <v>228.69190976735251</v>
      </c>
      <c r="AA209">
        <v>2</v>
      </c>
      <c r="AB209">
        <v>3</v>
      </c>
      <c r="AC209">
        <v>7</v>
      </c>
      <c r="AD209">
        <v>26.56</v>
      </c>
      <c r="AE209">
        <v>253</v>
      </c>
      <c r="AF209">
        <v>17</v>
      </c>
      <c r="AG209">
        <v>62</v>
      </c>
      <c r="AH209">
        <v>32</v>
      </c>
      <c r="AI209">
        <v>6.72</v>
      </c>
      <c r="AJ209">
        <v>24.51</v>
      </c>
      <c r="AK209">
        <v>12.65</v>
      </c>
      <c r="AL209">
        <v>-19.646577499999982</v>
      </c>
      <c r="AM209">
        <v>-43.879934131171261</v>
      </c>
      <c r="AN209">
        <v>-19.646577499999971</v>
      </c>
      <c r="AO209">
        <v>-43.879934131171261</v>
      </c>
      <c r="AP209">
        <v>-19.646602999999999</v>
      </c>
      <c r="AQ209">
        <v>-43.879826000000001</v>
      </c>
      <c r="AR209">
        <v>11.68641198848764</v>
      </c>
      <c r="AS209" t="s">
        <v>65</v>
      </c>
      <c r="AT209">
        <v>1</v>
      </c>
      <c r="AU209" t="s">
        <v>573</v>
      </c>
      <c r="AV209" t="s">
        <v>574</v>
      </c>
      <c r="AW209" t="s">
        <v>60</v>
      </c>
      <c r="AX209" t="s">
        <v>68</v>
      </c>
      <c r="AY209" t="s">
        <v>69</v>
      </c>
      <c r="AZ209" t="b">
        <v>1</v>
      </c>
    </row>
    <row r="210" spans="1:52" x14ac:dyDescent="0.3">
      <c r="A210" t="s">
        <v>52</v>
      </c>
      <c r="B210" t="s">
        <v>53</v>
      </c>
      <c r="C210" t="s">
        <v>54</v>
      </c>
      <c r="D210" t="s">
        <v>55</v>
      </c>
      <c r="E210" t="s">
        <v>616</v>
      </c>
      <c r="F210" t="s">
        <v>512</v>
      </c>
      <c r="G210" t="s">
        <v>580</v>
      </c>
      <c r="H210" t="s">
        <v>581</v>
      </c>
      <c r="I210" t="s">
        <v>581</v>
      </c>
      <c r="J210" t="s">
        <v>60</v>
      </c>
      <c r="K210" t="s">
        <v>179</v>
      </c>
      <c r="L210" t="s">
        <v>62</v>
      </c>
      <c r="M210" t="s">
        <v>179</v>
      </c>
      <c r="N210" t="s">
        <v>582</v>
      </c>
      <c r="O210" t="s">
        <v>583</v>
      </c>
      <c r="P210">
        <v>-19.651917999999998</v>
      </c>
      <c r="Q210">
        <v>-43.888081</v>
      </c>
      <c r="R210" s="2" t="str">
        <f>HYPERLINK("https://www.google.com/maps?q=-19.6519180,-43.8880810","Abrir no Google Maps")</f>
        <v>Abrir no Google Maps</v>
      </c>
      <c r="S210">
        <v>3</v>
      </c>
      <c r="T210">
        <v>1192.758363020145</v>
      </c>
      <c r="U210">
        <v>2</v>
      </c>
      <c r="V210">
        <v>0.45367875647668399</v>
      </c>
      <c r="W210">
        <v>0.85</v>
      </c>
      <c r="X210">
        <v>0.38562694300518141</v>
      </c>
      <c r="Y210">
        <v>10</v>
      </c>
      <c r="Z210">
        <v>1164.020417046748</v>
      </c>
      <c r="AA210">
        <v>2</v>
      </c>
      <c r="AB210">
        <v>3</v>
      </c>
      <c r="AC210">
        <v>7</v>
      </c>
      <c r="AD210">
        <v>26.56</v>
      </c>
      <c r="AE210">
        <v>253</v>
      </c>
      <c r="AF210">
        <v>17</v>
      </c>
      <c r="AG210">
        <v>62</v>
      </c>
      <c r="AH210">
        <v>32</v>
      </c>
      <c r="AI210">
        <v>6.72</v>
      </c>
      <c r="AJ210">
        <v>24.51</v>
      </c>
      <c r="AK210">
        <v>12.65</v>
      </c>
      <c r="AL210">
        <v>-19.65182809999996</v>
      </c>
      <c r="AM210">
        <v>-43.887955347266519</v>
      </c>
      <c r="AN210">
        <v>-19.65182809999996</v>
      </c>
      <c r="AO210">
        <v>-43.887955347266519</v>
      </c>
      <c r="AP210">
        <v>-19.651917999999998</v>
      </c>
      <c r="AQ210">
        <v>-43.888081</v>
      </c>
      <c r="AR210">
        <v>16.543262936495491</v>
      </c>
      <c r="AS210" t="s">
        <v>65</v>
      </c>
      <c r="AT210">
        <v>1</v>
      </c>
      <c r="AU210" t="s">
        <v>584</v>
      </c>
      <c r="AV210" t="s">
        <v>585</v>
      </c>
      <c r="AW210" t="s">
        <v>60</v>
      </c>
      <c r="AX210" t="s">
        <v>68</v>
      </c>
      <c r="AY210" t="s">
        <v>69</v>
      </c>
      <c r="AZ210" t="b">
        <v>1</v>
      </c>
    </row>
    <row r="211" spans="1:52" x14ac:dyDescent="0.3">
      <c r="A211" t="s">
        <v>52</v>
      </c>
      <c r="B211" t="s">
        <v>53</v>
      </c>
      <c r="C211" t="s">
        <v>54</v>
      </c>
      <c r="D211" t="s">
        <v>55</v>
      </c>
      <c r="E211" t="s">
        <v>616</v>
      </c>
      <c r="F211" t="s">
        <v>512</v>
      </c>
      <c r="G211" t="s">
        <v>586</v>
      </c>
      <c r="H211" t="s">
        <v>587</v>
      </c>
      <c r="I211" t="s">
        <v>587</v>
      </c>
      <c r="J211" t="s">
        <v>60</v>
      </c>
      <c r="K211" t="s">
        <v>286</v>
      </c>
      <c r="L211" t="s">
        <v>62</v>
      </c>
      <c r="M211" t="s">
        <v>286</v>
      </c>
      <c r="N211" t="s">
        <v>588</v>
      </c>
      <c r="O211" t="s">
        <v>589</v>
      </c>
      <c r="P211">
        <v>-19.638362999999998</v>
      </c>
      <c r="Q211">
        <v>-43.887081000000002</v>
      </c>
      <c r="R211" s="2" t="str">
        <f>HYPERLINK("https://www.google.com/maps?q=-19.6383630,-43.8870810","Abrir no Google Maps")</f>
        <v>Abrir no Google Maps</v>
      </c>
      <c r="S211">
        <v>3</v>
      </c>
      <c r="T211">
        <v>521.16909902210193</v>
      </c>
      <c r="U211">
        <v>2</v>
      </c>
      <c r="V211">
        <v>0.44562015503875968</v>
      </c>
      <c r="W211">
        <v>0.85</v>
      </c>
      <c r="X211">
        <v>0.3787771317829457</v>
      </c>
      <c r="Y211">
        <v>10</v>
      </c>
      <c r="Z211">
        <v>416.66355243950221</v>
      </c>
      <c r="AA211">
        <v>2</v>
      </c>
      <c r="AB211">
        <v>3</v>
      </c>
      <c r="AC211">
        <v>7</v>
      </c>
      <c r="AD211">
        <v>26.56</v>
      </c>
      <c r="AE211">
        <v>253</v>
      </c>
      <c r="AF211">
        <v>17</v>
      </c>
      <c r="AG211">
        <v>62</v>
      </c>
      <c r="AH211">
        <v>32</v>
      </c>
      <c r="AI211">
        <v>6.72</v>
      </c>
      <c r="AJ211">
        <v>24.51</v>
      </c>
      <c r="AK211">
        <v>12.65</v>
      </c>
      <c r="AL211">
        <v>-19.638074649999961</v>
      </c>
      <c r="AM211">
        <v>-43.887517684870552</v>
      </c>
      <c r="AN211">
        <v>-19.638074649999961</v>
      </c>
      <c r="AO211">
        <v>-43.887517684870552</v>
      </c>
      <c r="AP211">
        <v>-19.638362999999998</v>
      </c>
      <c r="AQ211">
        <v>-43.887081000000002</v>
      </c>
      <c r="AR211">
        <v>55.915550702564907</v>
      </c>
      <c r="AS211" t="s">
        <v>65</v>
      </c>
      <c r="AT211">
        <v>1</v>
      </c>
      <c r="AU211" t="s">
        <v>590</v>
      </c>
      <c r="AV211" t="s">
        <v>591</v>
      </c>
      <c r="AW211" t="s">
        <v>60</v>
      </c>
      <c r="AX211" t="s">
        <v>68</v>
      </c>
      <c r="AY211" t="s">
        <v>69</v>
      </c>
      <c r="AZ211" t="b">
        <v>1</v>
      </c>
    </row>
    <row r="212" spans="1:52" x14ac:dyDescent="0.3">
      <c r="A212" t="s">
        <v>52</v>
      </c>
      <c r="B212" t="s">
        <v>53</v>
      </c>
      <c r="C212" t="s">
        <v>54</v>
      </c>
      <c r="D212" t="s">
        <v>55</v>
      </c>
      <c r="E212" t="s">
        <v>616</v>
      </c>
      <c r="F212" t="s">
        <v>512</v>
      </c>
      <c r="G212" t="s">
        <v>411</v>
      </c>
      <c r="H212" t="s">
        <v>412</v>
      </c>
      <c r="I212" t="s">
        <v>412</v>
      </c>
      <c r="J212" t="s">
        <v>60</v>
      </c>
      <c r="K212" t="s">
        <v>179</v>
      </c>
      <c r="L212" t="s">
        <v>62</v>
      </c>
      <c r="M212" t="s">
        <v>179</v>
      </c>
      <c r="N212" t="s">
        <v>413</v>
      </c>
      <c r="O212" t="s">
        <v>414</v>
      </c>
      <c r="P212">
        <v>-19.650079000000002</v>
      </c>
      <c r="Q212">
        <v>-43.884253999999999</v>
      </c>
      <c r="R212" s="2" t="str">
        <f>HYPERLINK("https://www.google.com/maps?q=-19.6500790,-43.8842540","Abrir no Google Maps")</f>
        <v>Abrir no Google Maps</v>
      </c>
      <c r="S212">
        <v>3</v>
      </c>
      <c r="T212">
        <v>797.21430129715498</v>
      </c>
      <c r="U212">
        <v>2</v>
      </c>
      <c r="V212">
        <v>0.39303728070175431</v>
      </c>
      <c r="W212">
        <v>1</v>
      </c>
      <c r="X212">
        <v>0.39303728070175431</v>
      </c>
      <c r="Y212">
        <v>10</v>
      </c>
      <c r="Z212">
        <v>774.04145012702554</v>
      </c>
      <c r="AA212">
        <v>2</v>
      </c>
      <c r="AB212">
        <v>3</v>
      </c>
      <c r="AC212">
        <v>7</v>
      </c>
      <c r="AD212">
        <v>26.56</v>
      </c>
      <c r="AE212">
        <v>253</v>
      </c>
      <c r="AF212">
        <v>17</v>
      </c>
      <c r="AG212">
        <v>62</v>
      </c>
      <c r="AH212">
        <v>32</v>
      </c>
      <c r="AI212">
        <v>6.72</v>
      </c>
      <c r="AJ212">
        <v>24.51</v>
      </c>
      <c r="AK212">
        <v>12.65</v>
      </c>
      <c r="AL212">
        <v>-19.649199399999961</v>
      </c>
      <c r="AM212">
        <v>-43.883888390043637</v>
      </c>
      <c r="AN212">
        <v>-19.649199399999961</v>
      </c>
      <c r="AO212">
        <v>-43.883888390043637</v>
      </c>
      <c r="AP212">
        <v>-19.650079000000002</v>
      </c>
      <c r="AQ212">
        <v>-43.884253999999999</v>
      </c>
      <c r="AR212">
        <v>105.1518915696123</v>
      </c>
      <c r="AS212" t="s">
        <v>65</v>
      </c>
      <c r="AT212">
        <v>1</v>
      </c>
      <c r="AU212" t="s">
        <v>415</v>
      </c>
      <c r="AV212" t="s">
        <v>416</v>
      </c>
      <c r="AW212" t="s">
        <v>60</v>
      </c>
      <c r="AX212" t="s">
        <v>68</v>
      </c>
      <c r="AY212" t="s">
        <v>69</v>
      </c>
      <c r="AZ212" t="b">
        <v>1</v>
      </c>
    </row>
    <row r="213" spans="1:52" x14ac:dyDescent="0.3">
      <c r="A213" t="s">
        <v>52</v>
      </c>
      <c r="B213" t="s">
        <v>53</v>
      </c>
      <c r="C213" t="s">
        <v>54</v>
      </c>
      <c r="D213" t="s">
        <v>55</v>
      </c>
      <c r="E213" t="s">
        <v>616</v>
      </c>
      <c r="F213" t="s">
        <v>512</v>
      </c>
      <c r="G213" t="s">
        <v>575</v>
      </c>
      <c r="H213" t="s">
        <v>576</v>
      </c>
      <c r="I213" t="s">
        <v>576</v>
      </c>
      <c r="J213" t="s">
        <v>60</v>
      </c>
      <c r="K213" t="s">
        <v>445</v>
      </c>
      <c r="L213" t="s">
        <v>62</v>
      </c>
      <c r="M213" t="s">
        <v>445</v>
      </c>
      <c r="N213" t="s">
        <v>577</v>
      </c>
      <c r="O213" t="s">
        <v>214</v>
      </c>
      <c r="P213">
        <v>-19.639865</v>
      </c>
      <c r="Q213">
        <v>-43.877858000000003</v>
      </c>
      <c r="R213" s="2" t="str">
        <f>HYPERLINK("https://www.google.com/maps?q=-19.6398650,-43.8778580","Abrir no Google Maps")</f>
        <v>Abrir no Google Maps</v>
      </c>
      <c r="S213">
        <v>3</v>
      </c>
      <c r="T213">
        <v>497.47318171010488</v>
      </c>
      <c r="U213">
        <v>2</v>
      </c>
      <c r="V213">
        <v>0.47799640946337468</v>
      </c>
      <c r="W213">
        <v>0.85</v>
      </c>
      <c r="X213">
        <v>0.40629694804386851</v>
      </c>
      <c r="Y213">
        <v>10</v>
      </c>
      <c r="Z213">
        <v>547.08184956634818</v>
      </c>
      <c r="AA213">
        <v>2</v>
      </c>
      <c r="AB213">
        <v>3</v>
      </c>
      <c r="AC213">
        <v>7</v>
      </c>
      <c r="AD213">
        <v>26.56</v>
      </c>
      <c r="AE213">
        <v>253</v>
      </c>
      <c r="AF213">
        <v>17</v>
      </c>
      <c r="AG213">
        <v>62</v>
      </c>
      <c r="AH213">
        <v>32</v>
      </c>
      <c r="AI213">
        <v>6.72</v>
      </c>
      <c r="AJ213">
        <v>24.51</v>
      </c>
      <c r="AK213">
        <v>12.65</v>
      </c>
      <c r="AL213">
        <v>-19.639907499999961</v>
      </c>
      <c r="AM213">
        <v>-43.877561677180587</v>
      </c>
      <c r="AN213">
        <v>-19.639907499999961</v>
      </c>
      <c r="AO213">
        <v>-43.877561677180587</v>
      </c>
      <c r="AP213">
        <v>-19.639865</v>
      </c>
      <c r="AQ213">
        <v>-43.877858000000003</v>
      </c>
      <c r="AR213">
        <v>31.4257813556037</v>
      </c>
      <c r="AS213" t="s">
        <v>65</v>
      </c>
      <c r="AT213">
        <v>1</v>
      </c>
      <c r="AU213" t="s">
        <v>578</v>
      </c>
      <c r="AV213" t="s">
        <v>579</v>
      </c>
      <c r="AW213" t="s">
        <v>60</v>
      </c>
      <c r="AX213" t="s">
        <v>68</v>
      </c>
      <c r="AY213" t="s">
        <v>69</v>
      </c>
      <c r="AZ213" t="b">
        <v>1</v>
      </c>
    </row>
    <row r="214" spans="1:52" x14ac:dyDescent="0.3">
      <c r="A214" t="s">
        <v>52</v>
      </c>
      <c r="B214" t="s">
        <v>53</v>
      </c>
      <c r="C214" t="s">
        <v>54</v>
      </c>
      <c r="D214" t="s">
        <v>55</v>
      </c>
      <c r="E214" t="s">
        <v>616</v>
      </c>
      <c r="F214" t="s">
        <v>512</v>
      </c>
      <c r="G214" t="s">
        <v>388</v>
      </c>
      <c r="H214" t="s">
        <v>389</v>
      </c>
      <c r="I214" t="s">
        <v>389</v>
      </c>
      <c r="J214" t="s">
        <v>60</v>
      </c>
      <c r="K214" t="s">
        <v>185</v>
      </c>
      <c r="L214" t="s">
        <v>62</v>
      </c>
      <c r="M214" t="s">
        <v>185</v>
      </c>
      <c r="N214" t="s">
        <v>390</v>
      </c>
      <c r="O214" t="s">
        <v>391</v>
      </c>
      <c r="P214">
        <v>-19.628802</v>
      </c>
      <c r="Q214">
        <v>-43.891649000000001</v>
      </c>
      <c r="R214" s="2" t="str">
        <f>HYPERLINK("https://www.google.com/maps?q=-19.6288020,-43.8916490","Abrir no Google Maps")</f>
        <v>Abrir no Google Maps</v>
      </c>
      <c r="S214">
        <v>3</v>
      </c>
      <c r="T214">
        <v>0</v>
      </c>
      <c r="U214">
        <v>1</v>
      </c>
      <c r="V214">
        <v>0.35757575757575749</v>
      </c>
      <c r="W214">
        <v>0.85</v>
      </c>
      <c r="X214">
        <v>0.30393939393939379</v>
      </c>
      <c r="Y214">
        <v>18</v>
      </c>
      <c r="Z214">
        <v>117.5064585283839</v>
      </c>
      <c r="AA214">
        <v>2</v>
      </c>
      <c r="AB214">
        <v>3</v>
      </c>
      <c r="AC214">
        <v>7</v>
      </c>
      <c r="AD214">
        <v>26.56</v>
      </c>
      <c r="AE214">
        <v>253</v>
      </c>
      <c r="AF214">
        <v>17</v>
      </c>
      <c r="AG214">
        <v>62</v>
      </c>
      <c r="AH214">
        <v>32</v>
      </c>
      <c r="AI214">
        <v>6.72</v>
      </c>
      <c r="AJ214">
        <v>24.51</v>
      </c>
      <c r="AK214">
        <v>12.65</v>
      </c>
      <c r="AL214">
        <v>-19.628865499999961</v>
      </c>
      <c r="AM214">
        <v>-43.891662391334172</v>
      </c>
      <c r="AN214">
        <v>-19.628865499999961</v>
      </c>
      <c r="AO214">
        <v>-43.891662391334172</v>
      </c>
      <c r="AP214">
        <v>-19.628802</v>
      </c>
      <c r="AQ214">
        <v>-43.891649000000001</v>
      </c>
      <c r="AR214">
        <v>7.2069201904448459</v>
      </c>
      <c r="AS214" t="s">
        <v>65</v>
      </c>
      <c r="AT214">
        <v>1</v>
      </c>
      <c r="AU214" t="s">
        <v>392</v>
      </c>
      <c r="AV214" t="s">
        <v>393</v>
      </c>
      <c r="AW214" t="s">
        <v>60</v>
      </c>
      <c r="AX214" t="s">
        <v>68</v>
      </c>
      <c r="AY214" t="s">
        <v>69</v>
      </c>
      <c r="AZ214" t="b">
        <v>1</v>
      </c>
    </row>
    <row r="215" spans="1:52" x14ac:dyDescent="0.3">
      <c r="A215" t="s">
        <v>52</v>
      </c>
      <c r="B215" t="s">
        <v>53</v>
      </c>
      <c r="C215" t="s">
        <v>54</v>
      </c>
      <c r="D215" t="s">
        <v>55</v>
      </c>
      <c r="E215" t="s">
        <v>616</v>
      </c>
      <c r="F215" t="s">
        <v>512</v>
      </c>
      <c r="G215" t="s">
        <v>536</v>
      </c>
      <c r="H215" t="s">
        <v>537</v>
      </c>
      <c r="I215" t="s">
        <v>537</v>
      </c>
      <c r="J215" t="s">
        <v>60</v>
      </c>
      <c r="K215" t="s">
        <v>185</v>
      </c>
      <c r="L215" t="s">
        <v>62</v>
      </c>
      <c r="M215" t="s">
        <v>185</v>
      </c>
      <c r="N215" t="s">
        <v>538</v>
      </c>
      <c r="O215" t="s">
        <v>408</v>
      </c>
      <c r="P215">
        <v>-19.630147999999998</v>
      </c>
      <c r="Q215">
        <v>-43.893844000000001</v>
      </c>
      <c r="R215" s="2" t="str">
        <f>HYPERLINK("https://www.google.com/maps?q=-19.6301480,-43.8938440","Abrir no Google Maps")</f>
        <v>Abrir no Google Maps</v>
      </c>
      <c r="S215">
        <v>3</v>
      </c>
      <c r="T215">
        <v>262.94285160220159</v>
      </c>
      <c r="U215">
        <v>1</v>
      </c>
      <c r="V215">
        <v>0.3716653872100868</v>
      </c>
      <c r="W215">
        <v>0.85</v>
      </c>
      <c r="X215">
        <v>0.31591557912857382</v>
      </c>
      <c r="Y215">
        <v>18</v>
      </c>
      <c r="Z215">
        <v>351.25774094845309</v>
      </c>
      <c r="AA215">
        <v>2</v>
      </c>
      <c r="AB215">
        <v>3</v>
      </c>
      <c r="AC215">
        <v>7</v>
      </c>
      <c r="AD215">
        <v>26.56</v>
      </c>
      <c r="AE215">
        <v>253</v>
      </c>
      <c r="AF215">
        <v>17</v>
      </c>
      <c r="AG215">
        <v>62</v>
      </c>
      <c r="AH215">
        <v>32</v>
      </c>
      <c r="AI215">
        <v>6.72</v>
      </c>
      <c r="AJ215">
        <v>24.51</v>
      </c>
      <c r="AK215">
        <v>12.65</v>
      </c>
      <c r="AL215">
        <v>-19.630177599999939</v>
      </c>
      <c r="AM215">
        <v>-43.893752755034278</v>
      </c>
      <c r="AN215">
        <v>-19.630177599999939</v>
      </c>
      <c r="AO215">
        <v>-43.893752755034278</v>
      </c>
      <c r="AP215">
        <v>-19.630147999999998</v>
      </c>
      <c r="AQ215">
        <v>-43.893844000000001</v>
      </c>
      <c r="AR215">
        <v>10.1185927114604</v>
      </c>
      <c r="AS215" t="s">
        <v>65</v>
      </c>
      <c r="AT215">
        <v>1</v>
      </c>
      <c r="AU215" t="s">
        <v>539</v>
      </c>
      <c r="AV215" t="s">
        <v>540</v>
      </c>
      <c r="AW215" t="s">
        <v>60</v>
      </c>
      <c r="AX215" t="s">
        <v>68</v>
      </c>
      <c r="AY215" t="s">
        <v>69</v>
      </c>
      <c r="AZ215" t="b">
        <v>1</v>
      </c>
    </row>
    <row r="216" spans="1:52" x14ac:dyDescent="0.3">
      <c r="A216" t="s">
        <v>52</v>
      </c>
      <c r="B216" t="s">
        <v>53</v>
      </c>
      <c r="C216" t="s">
        <v>54</v>
      </c>
      <c r="D216" t="s">
        <v>55</v>
      </c>
      <c r="E216" t="s">
        <v>616</v>
      </c>
      <c r="F216" t="s">
        <v>512</v>
      </c>
      <c r="G216" t="s">
        <v>592</v>
      </c>
      <c r="H216" t="s">
        <v>593</v>
      </c>
      <c r="I216" t="s">
        <v>593</v>
      </c>
      <c r="J216" t="s">
        <v>60</v>
      </c>
      <c r="K216" t="s">
        <v>445</v>
      </c>
      <c r="L216" t="s">
        <v>62</v>
      </c>
      <c r="M216" t="s">
        <v>445</v>
      </c>
      <c r="N216" t="s">
        <v>594</v>
      </c>
      <c r="O216" t="s">
        <v>477</v>
      </c>
      <c r="P216">
        <v>-19.640709000000001</v>
      </c>
      <c r="Q216">
        <v>-43.868687999999999</v>
      </c>
      <c r="R216" s="2" t="str">
        <f>HYPERLINK("https://www.google.com/maps?q=-19.6407090,-43.8686880","Abrir no Google Maps")</f>
        <v>Abrir no Google Maps</v>
      </c>
      <c r="S216">
        <v>1</v>
      </c>
      <c r="T216">
        <v>1174.9679995958841</v>
      </c>
      <c r="U216">
        <v>3</v>
      </c>
      <c r="V216">
        <v>0.44827032369656539</v>
      </c>
      <c r="W216">
        <v>1</v>
      </c>
      <c r="X216">
        <v>0.44827032369656539</v>
      </c>
      <c r="Y216">
        <v>10</v>
      </c>
      <c r="Z216">
        <v>1230.8029594060461</v>
      </c>
      <c r="AA216">
        <v>2</v>
      </c>
      <c r="AB216">
        <v>3</v>
      </c>
      <c r="AC216">
        <v>7</v>
      </c>
      <c r="AD216">
        <v>26.56</v>
      </c>
      <c r="AE216">
        <v>253</v>
      </c>
      <c r="AF216">
        <v>17</v>
      </c>
      <c r="AG216">
        <v>62</v>
      </c>
      <c r="AH216">
        <v>32</v>
      </c>
      <c r="AI216">
        <v>6.72</v>
      </c>
      <c r="AJ216">
        <v>24.51</v>
      </c>
      <c r="AK216">
        <v>12.65</v>
      </c>
      <c r="AL216">
        <v>-19.641057949999979</v>
      </c>
      <c r="AM216">
        <v>-43.868800137485707</v>
      </c>
      <c r="AN216">
        <v>-19.641057949999979</v>
      </c>
      <c r="AO216">
        <v>-43.868800137485707</v>
      </c>
      <c r="AP216">
        <v>-19.640709000000001</v>
      </c>
      <c r="AQ216">
        <v>-43.868687999999999</v>
      </c>
      <c r="AR216">
        <v>40.585293798071682</v>
      </c>
      <c r="AS216" t="s">
        <v>65</v>
      </c>
      <c r="AT216">
        <v>1</v>
      </c>
      <c r="AU216" t="s">
        <v>595</v>
      </c>
      <c r="AV216" t="s">
        <v>596</v>
      </c>
      <c r="AW216" t="s">
        <v>60</v>
      </c>
      <c r="AX216" t="s">
        <v>68</v>
      </c>
      <c r="AY216" t="s">
        <v>69</v>
      </c>
      <c r="AZ216" t="b">
        <v>1</v>
      </c>
    </row>
    <row r="217" spans="1:52" x14ac:dyDescent="0.3">
      <c r="A217" t="s">
        <v>52</v>
      </c>
      <c r="B217" t="s">
        <v>53</v>
      </c>
      <c r="C217" t="s">
        <v>54</v>
      </c>
      <c r="D217" t="s">
        <v>55</v>
      </c>
      <c r="E217" t="s">
        <v>616</v>
      </c>
      <c r="F217" t="s">
        <v>512</v>
      </c>
      <c r="G217" t="s">
        <v>597</v>
      </c>
      <c r="H217" t="s">
        <v>598</v>
      </c>
      <c r="I217" t="s">
        <v>598</v>
      </c>
      <c r="J217" t="s">
        <v>60</v>
      </c>
      <c r="K217" t="s">
        <v>445</v>
      </c>
      <c r="L217" t="s">
        <v>62</v>
      </c>
      <c r="M217" t="s">
        <v>445</v>
      </c>
      <c r="N217" t="s">
        <v>599</v>
      </c>
      <c r="O217" t="s">
        <v>391</v>
      </c>
      <c r="P217">
        <v>-19.637060999999999</v>
      </c>
      <c r="Q217">
        <v>-43.871026000000001</v>
      </c>
      <c r="R217" s="2" t="str">
        <f>HYPERLINK("https://www.google.com/maps?q=-19.6370610,-43.8710260","Abrir no Google Maps")</f>
        <v>Abrir no Google Maps</v>
      </c>
      <c r="S217">
        <v>1</v>
      </c>
      <c r="T217">
        <v>737.61884389282102</v>
      </c>
      <c r="U217">
        <v>3</v>
      </c>
      <c r="V217">
        <v>0.44183083529890482</v>
      </c>
      <c r="W217">
        <v>1</v>
      </c>
      <c r="X217">
        <v>0.44183083529890482</v>
      </c>
      <c r="Y217">
        <v>10</v>
      </c>
      <c r="Z217">
        <v>1331.4501394006061</v>
      </c>
      <c r="AA217">
        <v>2</v>
      </c>
      <c r="AB217">
        <v>3</v>
      </c>
      <c r="AC217">
        <v>7</v>
      </c>
      <c r="AD217">
        <v>26.56</v>
      </c>
      <c r="AE217">
        <v>253</v>
      </c>
      <c r="AF217">
        <v>17</v>
      </c>
      <c r="AG217">
        <v>62</v>
      </c>
      <c r="AH217">
        <v>32</v>
      </c>
      <c r="AI217">
        <v>6.72</v>
      </c>
      <c r="AJ217">
        <v>24.51</v>
      </c>
      <c r="AK217">
        <v>12.65</v>
      </c>
      <c r="AL217">
        <v>-19.637111899999951</v>
      </c>
      <c r="AM217">
        <v>-43.870888931681193</v>
      </c>
      <c r="AN217">
        <v>-19.637111899999951</v>
      </c>
      <c r="AO217">
        <v>-43.870888931681193</v>
      </c>
      <c r="AP217">
        <v>-19.637060999999999</v>
      </c>
      <c r="AQ217">
        <v>-43.871026000000001</v>
      </c>
      <c r="AR217">
        <v>15.44770924391884</v>
      </c>
      <c r="AS217" t="s">
        <v>65</v>
      </c>
      <c r="AT217">
        <v>1</v>
      </c>
      <c r="AU217" t="s">
        <v>600</v>
      </c>
      <c r="AV217" t="s">
        <v>601</v>
      </c>
      <c r="AW217" t="s">
        <v>60</v>
      </c>
      <c r="AX217" t="s">
        <v>68</v>
      </c>
      <c r="AY217" t="s">
        <v>69</v>
      </c>
      <c r="AZ217" t="b">
        <v>1</v>
      </c>
    </row>
    <row r="218" spans="1:52" x14ac:dyDescent="0.3">
      <c r="A218" t="s">
        <v>52</v>
      </c>
      <c r="B218" t="s">
        <v>53</v>
      </c>
      <c r="C218" t="s">
        <v>54</v>
      </c>
      <c r="D218" t="s">
        <v>55</v>
      </c>
      <c r="E218" t="s">
        <v>616</v>
      </c>
      <c r="F218" t="s">
        <v>512</v>
      </c>
      <c r="G218" t="s">
        <v>611</v>
      </c>
      <c r="H218" t="s">
        <v>612</v>
      </c>
      <c r="I218" t="s">
        <v>612</v>
      </c>
      <c r="J218" t="s">
        <v>60</v>
      </c>
      <c r="K218" t="s">
        <v>445</v>
      </c>
      <c r="L218" t="s">
        <v>62</v>
      </c>
      <c r="M218" t="s">
        <v>445</v>
      </c>
      <c r="N218" t="s">
        <v>613</v>
      </c>
      <c r="O218" t="s">
        <v>94</v>
      </c>
      <c r="P218">
        <v>-19.639271999999998</v>
      </c>
      <c r="Q218">
        <v>-43.875624000000002</v>
      </c>
      <c r="R218" s="2" t="str">
        <f>HYPERLINK("https://www.google.com/maps?q=-19.6392720,-43.8756240","Abrir no Google Maps")</f>
        <v>Abrir no Google Maps</v>
      </c>
      <c r="S218">
        <v>1</v>
      </c>
      <c r="T218">
        <v>618.4798639458262</v>
      </c>
      <c r="U218">
        <v>3</v>
      </c>
      <c r="V218">
        <v>0.49660326086956519</v>
      </c>
      <c r="W218">
        <v>0.85</v>
      </c>
      <c r="X218">
        <v>0.42211277173913042</v>
      </c>
      <c r="Y218">
        <v>10</v>
      </c>
      <c r="Z218">
        <v>724.62991660382431</v>
      </c>
      <c r="AA218">
        <v>2</v>
      </c>
      <c r="AB218">
        <v>3</v>
      </c>
      <c r="AC218">
        <v>7</v>
      </c>
      <c r="AD218">
        <v>26.56</v>
      </c>
      <c r="AE218">
        <v>253</v>
      </c>
      <c r="AF218">
        <v>17</v>
      </c>
      <c r="AG218">
        <v>62</v>
      </c>
      <c r="AH218">
        <v>32</v>
      </c>
      <c r="AI218">
        <v>6.72</v>
      </c>
      <c r="AJ218">
        <v>24.51</v>
      </c>
      <c r="AK218">
        <v>12.65</v>
      </c>
      <c r="AL218">
        <v>-19.639239899999978</v>
      </c>
      <c r="AM218">
        <v>-43.875497463228079</v>
      </c>
      <c r="AN218">
        <v>-19.639239899999978</v>
      </c>
      <c r="AO218">
        <v>-43.875497463228079</v>
      </c>
      <c r="AP218">
        <v>-19.639271999999998</v>
      </c>
      <c r="AQ218">
        <v>-43.875624000000002</v>
      </c>
      <c r="AR218">
        <v>13.73946951590594</v>
      </c>
      <c r="AS218" t="s">
        <v>65</v>
      </c>
      <c r="AT218">
        <v>1</v>
      </c>
      <c r="AU218" t="s">
        <v>614</v>
      </c>
      <c r="AV218" t="s">
        <v>615</v>
      </c>
      <c r="AW218" t="s">
        <v>60</v>
      </c>
      <c r="AX218" t="s">
        <v>68</v>
      </c>
      <c r="AY218" t="s">
        <v>69</v>
      </c>
      <c r="AZ218" t="b">
        <v>1</v>
      </c>
    </row>
    <row r="219" spans="1:52" x14ac:dyDescent="0.3">
      <c r="A219" t="s">
        <v>52</v>
      </c>
      <c r="B219" t="s">
        <v>53</v>
      </c>
      <c r="C219" t="s">
        <v>54</v>
      </c>
      <c r="D219" t="s">
        <v>55</v>
      </c>
      <c r="E219" t="s">
        <v>616</v>
      </c>
      <c r="F219" t="s">
        <v>512</v>
      </c>
      <c r="G219" t="s">
        <v>602</v>
      </c>
      <c r="H219" t="s">
        <v>603</v>
      </c>
      <c r="I219" t="s">
        <v>603</v>
      </c>
      <c r="J219" t="s">
        <v>60</v>
      </c>
      <c r="K219" t="s">
        <v>185</v>
      </c>
      <c r="L219" t="s">
        <v>62</v>
      </c>
      <c r="M219" t="s">
        <v>185</v>
      </c>
      <c r="N219" t="s">
        <v>604</v>
      </c>
      <c r="O219" t="s">
        <v>341</v>
      </c>
      <c r="P219">
        <v>-19.624801999999999</v>
      </c>
      <c r="Q219">
        <v>-43.891128999999999</v>
      </c>
      <c r="R219" s="2" t="str">
        <f>HYPERLINK("https://www.google.com/maps?q=-19.6248020,-43.8911290","Abrir no Google Maps")</f>
        <v>Abrir no Google Maps</v>
      </c>
      <c r="S219">
        <v>1</v>
      </c>
      <c r="T219">
        <v>340.53720321500958</v>
      </c>
      <c r="U219">
        <v>2</v>
      </c>
      <c r="V219">
        <v>0.41951754385964912</v>
      </c>
      <c r="W219">
        <v>0.85</v>
      </c>
      <c r="X219">
        <v>0.35658991228070169</v>
      </c>
      <c r="Y219">
        <v>18</v>
      </c>
      <c r="Z219">
        <v>362.68114540183888</v>
      </c>
      <c r="AA219">
        <v>2</v>
      </c>
      <c r="AB219">
        <v>3</v>
      </c>
      <c r="AC219">
        <v>7</v>
      </c>
      <c r="AD219">
        <v>26.56</v>
      </c>
      <c r="AE219">
        <v>253</v>
      </c>
      <c r="AF219">
        <v>17</v>
      </c>
      <c r="AG219">
        <v>62</v>
      </c>
      <c r="AH219">
        <v>32</v>
      </c>
      <c r="AI219">
        <v>6.72</v>
      </c>
      <c r="AJ219">
        <v>24.51</v>
      </c>
      <c r="AK219">
        <v>12.65</v>
      </c>
      <c r="AL219">
        <v>-19.625033299999959</v>
      </c>
      <c r="AM219">
        <v>-43.891084256403538</v>
      </c>
      <c r="AN219">
        <v>-19.625033299999959</v>
      </c>
      <c r="AO219">
        <v>-43.891084256403538</v>
      </c>
      <c r="AP219">
        <v>-19.624801999999999</v>
      </c>
      <c r="AQ219">
        <v>-43.891128999999999</v>
      </c>
      <c r="AR219">
        <v>26.172240371022362</v>
      </c>
      <c r="AS219" t="s">
        <v>65</v>
      </c>
      <c r="AT219">
        <v>1</v>
      </c>
      <c r="AU219" t="s">
        <v>605</v>
      </c>
      <c r="AV219" t="s">
        <v>606</v>
      </c>
      <c r="AW219" t="s">
        <v>60</v>
      </c>
      <c r="AX219" t="s">
        <v>68</v>
      </c>
      <c r="AY219" t="s">
        <v>69</v>
      </c>
      <c r="AZ219" t="b">
        <v>1</v>
      </c>
    </row>
    <row r="220" spans="1:52" x14ac:dyDescent="0.3">
      <c r="A220" t="s">
        <v>52</v>
      </c>
      <c r="B220" t="s">
        <v>53</v>
      </c>
      <c r="C220" t="s">
        <v>54</v>
      </c>
      <c r="D220" t="s">
        <v>55</v>
      </c>
      <c r="E220" t="s">
        <v>616</v>
      </c>
      <c r="F220" t="s">
        <v>512</v>
      </c>
      <c r="G220" t="s">
        <v>123</v>
      </c>
      <c r="H220" t="s">
        <v>607</v>
      </c>
      <c r="I220" t="s">
        <v>607</v>
      </c>
      <c r="J220" t="s">
        <v>60</v>
      </c>
      <c r="K220" t="s">
        <v>333</v>
      </c>
      <c r="L220" t="s">
        <v>62</v>
      </c>
      <c r="M220" t="s">
        <v>333</v>
      </c>
      <c r="N220" t="s">
        <v>125</v>
      </c>
      <c r="O220" t="s">
        <v>608</v>
      </c>
      <c r="P220">
        <v>-19.636002999999999</v>
      </c>
      <c r="Q220">
        <v>-43.908445</v>
      </c>
      <c r="R220" s="2" t="str">
        <f>HYPERLINK("https://www.google.com/maps?q=-19.6360030,-43.9084450","Abrir no Google Maps")</f>
        <v>Abrir no Google Maps</v>
      </c>
      <c r="S220">
        <v>1</v>
      </c>
      <c r="T220">
        <v>612.64850802557942</v>
      </c>
      <c r="U220">
        <v>2</v>
      </c>
      <c r="V220">
        <v>0.40268256333830099</v>
      </c>
      <c r="W220">
        <v>0.85</v>
      </c>
      <c r="X220">
        <v>0.34228017883755579</v>
      </c>
      <c r="Y220">
        <v>10</v>
      </c>
      <c r="Z220">
        <v>606.91793961222209</v>
      </c>
      <c r="AA220">
        <v>2</v>
      </c>
      <c r="AB220">
        <v>3</v>
      </c>
      <c r="AC220">
        <v>7</v>
      </c>
      <c r="AD220">
        <v>26.56</v>
      </c>
      <c r="AE220">
        <v>253</v>
      </c>
      <c r="AF220">
        <v>17</v>
      </c>
      <c r="AG220">
        <v>62</v>
      </c>
      <c r="AH220">
        <v>32</v>
      </c>
      <c r="AI220">
        <v>6.72</v>
      </c>
      <c r="AJ220">
        <v>24.51</v>
      </c>
      <c r="AK220">
        <v>12.65</v>
      </c>
      <c r="AL220">
        <v>-19.63618049999997</v>
      </c>
      <c r="AM220">
        <v>-43.908471095478113</v>
      </c>
      <c r="AN220">
        <v>-19.63618049999997</v>
      </c>
      <c r="AO220">
        <v>-43.908471095478113</v>
      </c>
      <c r="AP220">
        <v>-19.636002999999999</v>
      </c>
      <c r="AQ220">
        <v>-43.908445</v>
      </c>
      <c r="AR220">
        <v>19.947824476218141</v>
      </c>
      <c r="AS220" t="s">
        <v>65</v>
      </c>
      <c r="AT220">
        <v>1</v>
      </c>
      <c r="AU220" t="s">
        <v>609</v>
      </c>
      <c r="AV220" t="s">
        <v>610</v>
      </c>
      <c r="AW220" t="s">
        <v>60</v>
      </c>
      <c r="AX220" t="s">
        <v>68</v>
      </c>
      <c r="AY220" t="s">
        <v>69</v>
      </c>
      <c r="AZ220" t="b">
        <v>1</v>
      </c>
    </row>
    <row r="221" spans="1:52" x14ac:dyDescent="0.3">
      <c r="A221" t="s">
        <v>52</v>
      </c>
      <c r="B221" t="s">
        <v>53</v>
      </c>
      <c r="C221" t="s">
        <v>54</v>
      </c>
      <c r="D221" t="s">
        <v>55</v>
      </c>
      <c r="E221" t="s">
        <v>751</v>
      </c>
      <c r="F221" t="s">
        <v>57</v>
      </c>
      <c r="G221" t="s">
        <v>58</v>
      </c>
      <c r="H221" t="s">
        <v>59</v>
      </c>
      <c r="I221" t="s">
        <v>59</v>
      </c>
      <c r="J221" t="s">
        <v>60</v>
      </c>
      <c r="K221" t="s">
        <v>61</v>
      </c>
      <c r="L221" t="s">
        <v>62</v>
      </c>
      <c r="M221" t="s">
        <v>61</v>
      </c>
      <c r="N221" t="s">
        <v>63</v>
      </c>
      <c r="O221" t="s">
        <v>64</v>
      </c>
      <c r="P221">
        <v>-19.631502000000001</v>
      </c>
      <c r="Q221">
        <v>-43.910241999999997</v>
      </c>
      <c r="R221" s="2" t="str">
        <f>HYPERLINK("https://www.google.com/maps?q=-19.6315020,-43.9102420","Abrir no Google Maps")</f>
        <v>Abrir no Google Maps</v>
      </c>
      <c r="S221">
        <v>4</v>
      </c>
      <c r="T221">
        <v>789.20099406682743</v>
      </c>
      <c r="U221">
        <v>4</v>
      </c>
      <c r="V221">
        <v>26</v>
      </c>
      <c r="W221">
        <v>1</v>
      </c>
      <c r="X221">
        <v>26</v>
      </c>
      <c r="Y221">
        <v>10</v>
      </c>
      <c r="Z221">
        <v>691.44930074509864</v>
      </c>
      <c r="AA221">
        <v>2</v>
      </c>
      <c r="AB221">
        <v>3</v>
      </c>
      <c r="AC221">
        <v>7</v>
      </c>
      <c r="AD221">
        <v>24.62</v>
      </c>
      <c r="AE221">
        <v>253</v>
      </c>
      <c r="AF221">
        <v>11</v>
      </c>
      <c r="AG221">
        <v>67</v>
      </c>
      <c r="AH221">
        <v>32</v>
      </c>
      <c r="AI221">
        <v>4.3499999999999996</v>
      </c>
      <c r="AJ221">
        <v>26.48</v>
      </c>
      <c r="AK221">
        <v>12.65</v>
      </c>
      <c r="AL221">
        <v>-19.631719749999949</v>
      </c>
      <c r="AM221">
        <v>-43.910102324517517</v>
      </c>
      <c r="AN221">
        <v>-19.631719749999949</v>
      </c>
      <c r="AO221">
        <v>-43.910102324517517</v>
      </c>
      <c r="AP221">
        <v>-19.631502000000001</v>
      </c>
      <c r="AQ221">
        <v>-43.910241999999997</v>
      </c>
      <c r="AR221">
        <v>28.320416429206599</v>
      </c>
      <c r="AS221" t="s">
        <v>65</v>
      </c>
      <c r="AT221">
        <v>1</v>
      </c>
      <c r="AU221" t="s">
        <v>66</v>
      </c>
      <c r="AV221" t="s">
        <v>67</v>
      </c>
      <c r="AW221" t="s">
        <v>60</v>
      </c>
      <c r="AX221" t="s">
        <v>68</v>
      </c>
      <c r="AY221" t="s">
        <v>69</v>
      </c>
      <c r="AZ221" t="b">
        <v>1</v>
      </c>
    </row>
    <row r="222" spans="1:52" x14ac:dyDescent="0.3">
      <c r="A222" t="s">
        <v>52</v>
      </c>
      <c r="B222" t="s">
        <v>53</v>
      </c>
      <c r="C222" t="s">
        <v>54</v>
      </c>
      <c r="D222" t="s">
        <v>55</v>
      </c>
      <c r="E222" t="s">
        <v>751</v>
      </c>
      <c r="F222" t="s">
        <v>57</v>
      </c>
      <c r="G222" t="s">
        <v>77</v>
      </c>
      <c r="H222" t="s">
        <v>78</v>
      </c>
      <c r="I222" t="s">
        <v>78</v>
      </c>
      <c r="J222" t="s">
        <v>60</v>
      </c>
      <c r="K222" t="s">
        <v>79</v>
      </c>
      <c r="L222" t="s">
        <v>62</v>
      </c>
      <c r="M222" t="s">
        <v>79</v>
      </c>
      <c r="N222" t="s">
        <v>80</v>
      </c>
      <c r="O222" t="s">
        <v>81</v>
      </c>
      <c r="P222">
        <v>-19.632463999999999</v>
      </c>
      <c r="Q222">
        <v>-43.904927999999998</v>
      </c>
      <c r="R222" s="2" t="str">
        <f>HYPERLINK("https://www.google.com/maps?q=-19.6324640,-43.9049280","Abrir no Google Maps")</f>
        <v>Abrir no Google Maps</v>
      </c>
      <c r="S222">
        <v>4</v>
      </c>
      <c r="T222">
        <v>244.1735197453369</v>
      </c>
      <c r="U222">
        <v>4</v>
      </c>
      <c r="V222">
        <v>15</v>
      </c>
      <c r="W222">
        <v>1</v>
      </c>
      <c r="X222">
        <v>15</v>
      </c>
      <c r="Y222">
        <v>10</v>
      </c>
      <c r="Z222">
        <v>287.26068152447448</v>
      </c>
      <c r="AA222">
        <v>2</v>
      </c>
      <c r="AB222">
        <v>3</v>
      </c>
      <c r="AC222">
        <v>7</v>
      </c>
      <c r="AD222">
        <v>24.62</v>
      </c>
      <c r="AE222">
        <v>253</v>
      </c>
      <c r="AF222">
        <v>11</v>
      </c>
      <c r="AG222">
        <v>67</v>
      </c>
      <c r="AH222">
        <v>32</v>
      </c>
      <c r="AI222">
        <v>4.3499999999999996</v>
      </c>
      <c r="AJ222">
        <v>26.48</v>
      </c>
      <c r="AK222">
        <v>12.65</v>
      </c>
      <c r="AL222">
        <v>-19.63247099999996</v>
      </c>
      <c r="AM222">
        <v>-43.904964174285787</v>
      </c>
      <c r="AN222">
        <v>-19.63247099999996</v>
      </c>
      <c r="AO222">
        <v>-43.904964174285787</v>
      </c>
      <c r="AP222">
        <v>-19.632463999999999</v>
      </c>
      <c r="AQ222">
        <v>-43.904927999999998</v>
      </c>
      <c r="AR222">
        <v>3.8720457500200469</v>
      </c>
      <c r="AS222" t="s">
        <v>65</v>
      </c>
      <c r="AT222">
        <v>1</v>
      </c>
      <c r="AU222" t="s">
        <v>82</v>
      </c>
      <c r="AV222" t="s">
        <v>83</v>
      </c>
      <c r="AW222" t="s">
        <v>60</v>
      </c>
      <c r="AX222" t="s">
        <v>68</v>
      </c>
      <c r="AY222" t="s">
        <v>69</v>
      </c>
      <c r="AZ222" t="b">
        <v>1</v>
      </c>
    </row>
    <row r="223" spans="1:52" x14ac:dyDescent="0.3">
      <c r="A223" t="s">
        <v>52</v>
      </c>
      <c r="B223" t="s">
        <v>53</v>
      </c>
      <c r="C223" t="s">
        <v>54</v>
      </c>
      <c r="D223" t="s">
        <v>55</v>
      </c>
      <c r="E223" t="s">
        <v>751</v>
      </c>
      <c r="F223" t="s">
        <v>57</v>
      </c>
      <c r="G223" t="s">
        <v>91</v>
      </c>
      <c r="H223" t="s">
        <v>92</v>
      </c>
      <c r="I223" t="s">
        <v>92</v>
      </c>
      <c r="J223" t="s">
        <v>60</v>
      </c>
      <c r="K223" t="s">
        <v>86</v>
      </c>
      <c r="L223" t="s">
        <v>62</v>
      </c>
      <c r="M223" t="s">
        <v>86</v>
      </c>
      <c r="N223" t="s">
        <v>93</v>
      </c>
      <c r="O223" t="s">
        <v>94</v>
      </c>
      <c r="P223">
        <v>-19.630676999999999</v>
      </c>
      <c r="Q223">
        <v>-43.907255999999997</v>
      </c>
      <c r="R223" s="2" t="str">
        <f>HYPERLINK("https://www.google.com/maps?q=-19.6306770,-43.9072560","Abrir no Google Maps")</f>
        <v>Abrir no Google Maps</v>
      </c>
      <c r="S223">
        <v>4</v>
      </c>
      <c r="T223">
        <v>545.39374622597825</v>
      </c>
      <c r="U223">
        <v>4</v>
      </c>
      <c r="V223">
        <v>15</v>
      </c>
      <c r="W223">
        <v>1</v>
      </c>
      <c r="X223">
        <v>15</v>
      </c>
      <c r="Y223">
        <v>10</v>
      </c>
      <c r="Z223">
        <v>559.94033759457182</v>
      </c>
      <c r="AA223">
        <v>2</v>
      </c>
      <c r="AB223">
        <v>3</v>
      </c>
      <c r="AC223">
        <v>7</v>
      </c>
      <c r="AD223">
        <v>24.62</v>
      </c>
      <c r="AE223">
        <v>253</v>
      </c>
      <c r="AF223">
        <v>11</v>
      </c>
      <c r="AG223">
        <v>67</v>
      </c>
      <c r="AH223">
        <v>32</v>
      </c>
      <c r="AI223">
        <v>4.3499999999999996</v>
      </c>
      <c r="AJ223">
        <v>26.48</v>
      </c>
      <c r="AK223">
        <v>12.65</v>
      </c>
      <c r="AL223">
        <v>-19.630448649999941</v>
      </c>
      <c r="AM223">
        <v>-43.907268502495313</v>
      </c>
      <c r="AN223">
        <v>-19.630448649999941</v>
      </c>
      <c r="AO223">
        <v>-43.907268502495313</v>
      </c>
      <c r="AP223">
        <v>-19.630676999999999</v>
      </c>
      <c r="AQ223">
        <v>-43.907255999999997</v>
      </c>
      <c r="AR223">
        <v>25.453700276562468</v>
      </c>
      <c r="AS223" t="s">
        <v>65</v>
      </c>
      <c r="AT223">
        <v>1</v>
      </c>
      <c r="AU223" t="s">
        <v>95</v>
      </c>
      <c r="AV223" t="s">
        <v>96</v>
      </c>
      <c r="AW223" t="s">
        <v>60</v>
      </c>
      <c r="AX223" t="s">
        <v>68</v>
      </c>
      <c r="AY223" t="s">
        <v>69</v>
      </c>
      <c r="AZ223" t="b">
        <v>1</v>
      </c>
    </row>
    <row r="224" spans="1:52" x14ac:dyDescent="0.3">
      <c r="A224" t="s">
        <v>52</v>
      </c>
      <c r="B224" t="s">
        <v>53</v>
      </c>
      <c r="C224" t="s">
        <v>54</v>
      </c>
      <c r="D224" t="s">
        <v>55</v>
      </c>
      <c r="E224" t="s">
        <v>751</v>
      </c>
      <c r="F224" t="s">
        <v>57</v>
      </c>
      <c r="G224" t="s">
        <v>177</v>
      </c>
      <c r="H224" t="s">
        <v>178</v>
      </c>
      <c r="I224" t="s">
        <v>178</v>
      </c>
      <c r="J224" t="s">
        <v>60</v>
      </c>
      <c r="K224" t="s">
        <v>179</v>
      </c>
      <c r="L224" t="s">
        <v>62</v>
      </c>
      <c r="M224" t="s">
        <v>179</v>
      </c>
      <c r="N224" t="s">
        <v>180</v>
      </c>
      <c r="O224" t="s">
        <v>120</v>
      </c>
      <c r="P224">
        <v>-19.651526</v>
      </c>
      <c r="Q224">
        <v>-43.891382999999998</v>
      </c>
      <c r="R224" s="2" t="str">
        <f>HYPERLINK("https://www.google.com/maps?q=-19.6515260,-43.8913830","Abrir no Google Maps")</f>
        <v>Abrir no Google Maps</v>
      </c>
      <c r="S224">
        <v>4</v>
      </c>
      <c r="T224">
        <v>925.67779296789433</v>
      </c>
      <c r="U224">
        <v>4</v>
      </c>
      <c r="V224">
        <v>21</v>
      </c>
      <c r="W224">
        <v>1</v>
      </c>
      <c r="X224">
        <v>21</v>
      </c>
      <c r="Y224">
        <v>7</v>
      </c>
      <c r="Z224">
        <v>1193.102297436121</v>
      </c>
      <c r="AA224">
        <v>2</v>
      </c>
      <c r="AB224">
        <v>3</v>
      </c>
      <c r="AC224">
        <v>7</v>
      </c>
      <c r="AD224">
        <v>24.62</v>
      </c>
      <c r="AE224">
        <v>253</v>
      </c>
      <c r="AF224">
        <v>11</v>
      </c>
      <c r="AG224">
        <v>67</v>
      </c>
      <c r="AH224">
        <v>32</v>
      </c>
      <c r="AI224">
        <v>4.3499999999999996</v>
      </c>
      <c r="AJ224">
        <v>26.48</v>
      </c>
      <c r="AK224">
        <v>12.65</v>
      </c>
      <c r="AL224">
        <v>-19.651590199999958</v>
      </c>
      <c r="AM224">
        <v>-43.891399191449963</v>
      </c>
      <c r="AN224">
        <v>-19.651590199999958</v>
      </c>
      <c r="AO224">
        <v>-43.891399191449963</v>
      </c>
      <c r="AP224">
        <v>-19.651526</v>
      </c>
      <c r="AQ224">
        <v>-43.891382999999998</v>
      </c>
      <c r="AR224">
        <v>7.3455622550785931</v>
      </c>
      <c r="AS224" t="s">
        <v>65</v>
      </c>
      <c r="AT224">
        <v>1</v>
      </c>
      <c r="AU224" t="s">
        <v>181</v>
      </c>
      <c r="AV224" t="s">
        <v>182</v>
      </c>
      <c r="AW224" t="s">
        <v>60</v>
      </c>
      <c r="AX224" t="s">
        <v>68</v>
      </c>
      <c r="AY224" t="s">
        <v>69</v>
      </c>
      <c r="AZ224" t="b">
        <v>1</v>
      </c>
    </row>
    <row r="225" spans="1:52" x14ac:dyDescent="0.3">
      <c r="A225" t="s">
        <v>52</v>
      </c>
      <c r="B225" t="s">
        <v>53</v>
      </c>
      <c r="C225" t="s">
        <v>54</v>
      </c>
      <c r="D225" t="s">
        <v>55</v>
      </c>
      <c r="E225" t="s">
        <v>751</v>
      </c>
      <c r="F225" t="s">
        <v>57</v>
      </c>
      <c r="G225" t="s">
        <v>104</v>
      </c>
      <c r="H225" t="s">
        <v>105</v>
      </c>
      <c r="I225" t="s">
        <v>105</v>
      </c>
      <c r="J225" t="s">
        <v>60</v>
      </c>
      <c r="K225" t="s">
        <v>99</v>
      </c>
      <c r="L225" t="s">
        <v>62</v>
      </c>
      <c r="M225" t="s">
        <v>99</v>
      </c>
      <c r="N225" t="s">
        <v>106</v>
      </c>
      <c r="O225" t="s">
        <v>107</v>
      </c>
      <c r="P225">
        <v>-19.627993</v>
      </c>
      <c r="Q225">
        <v>-43.904820000000001</v>
      </c>
      <c r="R225" s="2" t="str">
        <f>HYPERLINK("https://www.google.com/maps?q=-19.6279930,-43.9048200","Abrir no Google Maps")</f>
        <v>Abrir no Google Maps</v>
      </c>
      <c r="S225">
        <v>4</v>
      </c>
      <c r="T225">
        <v>573.16526621674666</v>
      </c>
      <c r="U225">
        <v>4</v>
      </c>
      <c r="V225">
        <v>26</v>
      </c>
      <c r="W225">
        <v>1</v>
      </c>
      <c r="X225">
        <v>26</v>
      </c>
      <c r="Y225">
        <v>7</v>
      </c>
      <c r="Z225">
        <v>659.04372306144853</v>
      </c>
      <c r="AA225">
        <v>2</v>
      </c>
      <c r="AB225">
        <v>3</v>
      </c>
      <c r="AC225">
        <v>7</v>
      </c>
      <c r="AD225">
        <v>24.62</v>
      </c>
      <c r="AE225">
        <v>253</v>
      </c>
      <c r="AF225">
        <v>11</v>
      </c>
      <c r="AG225">
        <v>67</v>
      </c>
      <c r="AH225">
        <v>32</v>
      </c>
      <c r="AI225">
        <v>4.3499999999999996</v>
      </c>
      <c r="AJ225">
        <v>26.48</v>
      </c>
      <c r="AK225">
        <v>12.65</v>
      </c>
      <c r="AL225">
        <v>-19.627956249999951</v>
      </c>
      <c r="AM225">
        <v>-43.904807634206207</v>
      </c>
      <c r="AN225">
        <v>-19.627956249999951</v>
      </c>
      <c r="AO225">
        <v>-43.904807634206207</v>
      </c>
      <c r="AP225">
        <v>-19.627993</v>
      </c>
      <c r="AQ225">
        <v>-43.904820000000001</v>
      </c>
      <c r="AR225">
        <v>4.291557430205998</v>
      </c>
      <c r="AS225" t="s">
        <v>65</v>
      </c>
      <c r="AT225">
        <v>1</v>
      </c>
      <c r="AU225" t="s">
        <v>108</v>
      </c>
      <c r="AV225" t="s">
        <v>103</v>
      </c>
      <c r="AW225" t="s">
        <v>60</v>
      </c>
      <c r="AX225" t="s">
        <v>68</v>
      </c>
      <c r="AY225" t="s">
        <v>69</v>
      </c>
      <c r="AZ225" t="b">
        <v>1</v>
      </c>
    </row>
    <row r="226" spans="1:52" x14ac:dyDescent="0.3">
      <c r="A226" t="s">
        <v>52</v>
      </c>
      <c r="B226" t="s">
        <v>53</v>
      </c>
      <c r="C226" t="s">
        <v>54</v>
      </c>
      <c r="D226" t="s">
        <v>55</v>
      </c>
      <c r="E226" t="s">
        <v>751</v>
      </c>
      <c r="F226" t="s">
        <v>57</v>
      </c>
      <c r="G226" t="s">
        <v>109</v>
      </c>
      <c r="H226" t="s">
        <v>110</v>
      </c>
      <c r="I226" t="s">
        <v>110</v>
      </c>
      <c r="J226" t="s">
        <v>60</v>
      </c>
      <c r="K226" t="s">
        <v>111</v>
      </c>
      <c r="L226" t="s">
        <v>62</v>
      </c>
      <c r="M226" t="s">
        <v>111</v>
      </c>
      <c r="N226" t="s">
        <v>112</v>
      </c>
      <c r="O226" t="s">
        <v>113</v>
      </c>
      <c r="P226">
        <v>-19.654686000000002</v>
      </c>
      <c r="Q226">
        <v>-43.907240000000002</v>
      </c>
      <c r="R226" s="2" t="str">
        <f>HYPERLINK("https://www.google.com/maps?q=-19.6546860,-43.9072400","Abrir no Google Maps")</f>
        <v>Abrir no Google Maps</v>
      </c>
      <c r="S226">
        <v>4</v>
      </c>
      <c r="T226">
        <v>824.24450564548704</v>
      </c>
      <c r="U226">
        <v>4</v>
      </c>
      <c r="V226">
        <v>21</v>
      </c>
      <c r="W226">
        <v>1</v>
      </c>
      <c r="X226">
        <v>21</v>
      </c>
      <c r="Y226">
        <v>4</v>
      </c>
      <c r="Z226">
        <v>524.70106879290392</v>
      </c>
      <c r="AA226">
        <v>2</v>
      </c>
      <c r="AB226">
        <v>3</v>
      </c>
      <c r="AC226">
        <v>7</v>
      </c>
      <c r="AD226">
        <v>24.62</v>
      </c>
      <c r="AE226">
        <v>253</v>
      </c>
      <c r="AF226">
        <v>11</v>
      </c>
      <c r="AG226">
        <v>67</v>
      </c>
      <c r="AH226">
        <v>32</v>
      </c>
      <c r="AI226">
        <v>4.3499999999999996</v>
      </c>
      <c r="AJ226">
        <v>26.48</v>
      </c>
      <c r="AK226">
        <v>12.65</v>
      </c>
      <c r="AL226">
        <v>-19.65511684999996</v>
      </c>
      <c r="AM226">
        <v>-43.905662999837993</v>
      </c>
      <c r="AN226">
        <v>-19.65511684999996</v>
      </c>
      <c r="AO226">
        <v>-43.905662999837993</v>
      </c>
      <c r="AP226">
        <v>-19.654686000000002</v>
      </c>
      <c r="AQ226">
        <v>-43.907240000000002</v>
      </c>
      <c r="AR226">
        <v>172.13969981835351</v>
      </c>
      <c r="AS226" t="s">
        <v>65</v>
      </c>
      <c r="AT226">
        <v>1</v>
      </c>
      <c r="AU226" t="s">
        <v>114</v>
      </c>
      <c r="AV226" t="s">
        <v>115</v>
      </c>
      <c r="AW226" t="s">
        <v>60</v>
      </c>
      <c r="AX226" t="s">
        <v>68</v>
      </c>
      <c r="AY226" t="s">
        <v>69</v>
      </c>
      <c r="AZ226" t="b">
        <v>1</v>
      </c>
    </row>
    <row r="227" spans="1:52" x14ac:dyDescent="0.3">
      <c r="A227" t="s">
        <v>52</v>
      </c>
      <c r="B227" t="s">
        <v>53</v>
      </c>
      <c r="C227" t="s">
        <v>54</v>
      </c>
      <c r="D227" t="s">
        <v>55</v>
      </c>
      <c r="E227" t="s">
        <v>751</v>
      </c>
      <c r="F227" t="s">
        <v>57</v>
      </c>
      <c r="G227" t="s">
        <v>204</v>
      </c>
      <c r="H227" t="s">
        <v>205</v>
      </c>
      <c r="I227" t="s">
        <v>205</v>
      </c>
      <c r="J227" t="s">
        <v>60</v>
      </c>
      <c r="K227" t="s">
        <v>171</v>
      </c>
      <c r="L227" t="s">
        <v>62</v>
      </c>
      <c r="M227" t="s">
        <v>171</v>
      </c>
      <c r="N227" t="s">
        <v>206</v>
      </c>
      <c r="O227" t="s">
        <v>207</v>
      </c>
      <c r="P227">
        <v>-19.674109000000001</v>
      </c>
      <c r="Q227">
        <v>-43.890711000000003</v>
      </c>
      <c r="R227" s="2" t="str">
        <f>HYPERLINK("https://www.google.com/maps?q=-19.6741090,-43.8907110","Abrir no Google Maps")</f>
        <v>Abrir no Google Maps</v>
      </c>
      <c r="S227">
        <v>4</v>
      </c>
      <c r="T227">
        <v>396.53059443764772</v>
      </c>
      <c r="U227">
        <v>4</v>
      </c>
      <c r="V227">
        <v>41</v>
      </c>
      <c r="W227">
        <v>1</v>
      </c>
      <c r="X227">
        <v>41</v>
      </c>
      <c r="Y227">
        <v>3</v>
      </c>
      <c r="Z227">
        <v>499.22520255557538</v>
      </c>
      <c r="AA227">
        <v>2</v>
      </c>
      <c r="AB227">
        <v>3</v>
      </c>
      <c r="AC227">
        <v>7</v>
      </c>
      <c r="AD227">
        <v>24.62</v>
      </c>
      <c r="AE227">
        <v>253</v>
      </c>
      <c r="AF227">
        <v>11</v>
      </c>
      <c r="AG227">
        <v>67</v>
      </c>
      <c r="AH227">
        <v>32</v>
      </c>
      <c r="AI227">
        <v>4.3499999999999996</v>
      </c>
      <c r="AJ227">
        <v>26.48</v>
      </c>
      <c r="AK227">
        <v>12.65</v>
      </c>
      <c r="AL227">
        <v>-19.67362479999997</v>
      </c>
      <c r="AM227">
        <v>-43.89068378253377</v>
      </c>
      <c r="AN227">
        <v>-19.67362479999997</v>
      </c>
      <c r="AO227">
        <v>-43.89068378253377</v>
      </c>
      <c r="AP227">
        <v>-19.674109000000001</v>
      </c>
      <c r="AQ227">
        <v>-43.890711000000003</v>
      </c>
      <c r="AR227">
        <v>53.976595260276227</v>
      </c>
      <c r="AS227" t="s">
        <v>65</v>
      </c>
      <c r="AT227">
        <v>1</v>
      </c>
      <c r="AU227" t="s">
        <v>208</v>
      </c>
      <c r="AV227" t="s">
        <v>209</v>
      </c>
      <c r="AW227" t="s">
        <v>60</v>
      </c>
      <c r="AX227" t="s">
        <v>68</v>
      </c>
      <c r="AY227" t="s">
        <v>69</v>
      </c>
      <c r="AZ227" t="b">
        <v>1</v>
      </c>
    </row>
    <row r="228" spans="1:52" x14ac:dyDescent="0.3">
      <c r="A228" t="s">
        <v>52</v>
      </c>
      <c r="B228" t="s">
        <v>53</v>
      </c>
      <c r="C228" t="s">
        <v>54</v>
      </c>
      <c r="D228" t="s">
        <v>55</v>
      </c>
      <c r="E228" t="s">
        <v>751</v>
      </c>
      <c r="F228" t="s">
        <v>57</v>
      </c>
      <c r="G228" t="s">
        <v>156</v>
      </c>
      <c r="H228" t="s">
        <v>157</v>
      </c>
      <c r="I228" t="s">
        <v>157</v>
      </c>
      <c r="J228" t="s">
        <v>60</v>
      </c>
      <c r="K228" t="s">
        <v>79</v>
      </c>
      <c r="L228" t="s">
        <v>62</v>
      </c>
      <c r="M228" t="s">
        <v>79</v>
      </c>
      <c r="N228" t="s">
        <v>158</v>
      </c>
      <c r="O228" t="s">
        <v>159</v>
      </c>
      <c r="P228">
        <v>-19.634687</v>
      </c>
      <c r="Q228">
        <v>-43.912925999999999</v>
      </c>
      <c r="R228" s="2" t="str">
        <f>HYPERLINK("https://www.google.com/maps?q=-19.6346870,-43.9129260","Abrir no Google Maps")</f>
        <v>Abrir no Google Maps</v>
      </c>
      <c r="S228">
        <v>4</v>
      </c>
      <c r="T228">
        <v>363.69725005634331</v>
      </c>
      <c r="U228">
        <v>4</v>
      </c>
      <c r="V228">
        <v>14</v>
      </c>
      <c r="W228">
        <v>1</v>
      </c>
      <c r="X228">
        <v>14</v>
      </c>
      <c r="Y228">
        <v>3</v>
      </c>
      <c r="Z228">
        <v>343.04088334900467</v>
      </c>
      <c r="AA228">
        <v>2</v>
      </c>
      <c r="AB228">
        <v>3</v>
      </c>
      <c r="AC228">
        <v>7</v>
      </c>
      <c r="AD228">
        <v>24.62</v>
      </c>
      <c r="AE228">
        <v>253</v>
      </c>
      <c r="AF228">
        <v>11</v>
      </c>
      <c r="AG228">
        <v>67</v>
      </c>
      <c r="AH228">
        <v>32</v>
      </c>
      <c r="AI228">
        <v>4.3499999999999996</v>
      </c>
      <c r="AJ228">
        <v>26.48</v>
      </c>
      <c r="AK228">
        <v>12.65</v>
      </c>
      <c r="AL228">
        <v>-19.635145849999962</v>
      </c>
      <c r="AM228">
        <v>-43.913103387269381</v>
      </c>
      <c r="AN228">
        <v>-19.635145849999962</v>
      </c>
      <c r="AO228">
        <v>-43.913103387269381</v>
      </c>
      <c r="AP228">
        <v>-19.634687</v>
      </c>
      <c r="AQ228">
        <v>-43.912925999999999</v>
      </c>
      <c r="AR228">
        <v>54.359794849827942</v>
      </c>
      <c r="AS228" t="s">
        <v>65</v>
      </c>
      <c r="AT228">
        <v>1</v>
      </c>
      <c r="AU228" t="s">
        <v>160</v>
      </c>
      <c r="AV228" t="s">
        <v>161</v>
      </c>
      <c r="AW228" t="s">
        <v>60</v>
      </c>
      <c r="AX228" t="s">
        <v>68</v>
      </c>
      <c r="AY228" t="s">
        <v>69</v>
      </c>
      <c r="AZ228" t="b">
        <v>1</v>
      </c>
    </row>
    <row r="229" spans="1:52" x14ac:dyDescent="0.3">
      <c r="A229" t="s">
        <v>52</v>
      </c>
      <c r="B229" t="s">
        <v>53</v>
      </c>
      <c r="C229" t="s">
        <v>54</v>
      </c>
      <c r="D229" t="s">
        <v>55</v>
      </c>
      <c r="E229" t="s">
        <v>751</v>
      </c>
      <c r="F229" t="s">
        <v>57</v>
      </c>
      <c r="G229" t="s">
        <v>239</v>
      </c>
      <c r="H229" t="s">
        <v>240</v>
      </c>
      <c r="I229" t="s">
        <v>240</v>
      </c>
      <c r="J229" t="s">
        <v>60</v>
      </c>
      <c r="K229" t="s">
        <v>241</v>
      </c>
      <c r="L229" t="s">
        <v>62</v>
      </c>
      <c r="M229" t="s">
        <v>241</v>
      </c>
      <c r="N229" t="s">
        <v>242</v>
      </c>
      <c r="O229" t="s">
        <v>243</v>
      </c>
      <c r="P229">
        <v>-19.64987</v>
      </c>
      <c r="Q229">
        <v>-43.901328999999997</v>
      </c>
      <c r="R229" s="2" t="str">
        <f>HYPERLINK("https://www.google.com/maps?q=-19.6498700,-43.9013290","Abrir no Google Maps")</f>
        <v>Abrir no Google Maps</v>
      </c>
      <c r="S229">
        <v>4</v>
      </c>
      <c r="T229">
        <v>379.88574886534309</v>
      </c>
      <c r="U229">
        <v>4</v>
      </c>
      <c r="V229">
        <v>17</v>
      </c>
      <c r="W229">
        <v>1</v>
      </c>
      <c r="X229">
        <v>17</v>
      </c>
      <c r="Y229">
        <v>1</v>
      </c>
      <c r="Z229">
        <v>442.33649591135162</v>
      </c>
      <c r="AA229">
        <v>2</v>
      </c>
      <c r="AB229">
        <v>3</v>
      </c>
      <c r="AC229">
        <v>7</v>
      </c>
      <c r="AD229">
        <v>24.62</v>
      </c>
      <c r="AE229">
        <v>253</v>
      </c>
      <c r="AF229">
        <v>11</v>
      </c>
      <c r="AG229">
        <v>67</v>
      </c>
      <c r="AH229">
        <v>32</v>
      </c>
      <c r="AI229">
        <v>4.3499999999999996</v>
      </c>
      <c r="AJ229">
        <v>26.48</v>
      </c>
      <c r="AK229">
        <v>12.65</v>
      </c>
      <c r="AL229">
        <v>-19.64971674999995</v>
      </c>
      <c r="AM229">
        <v>-43.901441574655102</v>
      </c>
      <c r="AN229">
        <v>-19.64971674999995</v>
      </c>
      <c r="AO229">
        <v>-43.901441574655102</v>
      </c>
      <c r="AP229">
        <v>-19.64987</v>
      </c>
      <c r="AQ229">
        <v>-43.901328999999997</v>
      </c>
      <c r="AR229">
        <v>20.744262514610401</v>
      </c>
      <c r="AS229" t="s">
        <v>65</v>
      </c>
      <c r="AT229">
        <v>1</v>
      </c>
      <c r="AU229" t="s">
        <v>244</v>
      </c>
      <c r="AV229" t="s">
        <v>245</v>
      </c>
      <c r="AW229" t="s">
        <v>60</v>
      </c>
      <c r="AX229" t="s">
        <v>68</v>
      </c>
      <c r="AY229" t="s">
        <v>69</v>
      </c>
      <c r="AZ229" t="b">
        <v>1</v>
      </c>
    </row>
    <row r="230" spans="1:52" x14ac:dyDescent="0.3">
      <c r="A230" t="s">
        <v>52</v>
      </c>
      <c r="B230" t="s">
        <v>53</v>
      </c>
      <c r="C230" t="s">
        <v>54</v>
      </c>
      <c r="D230" t="s">
        <v>55</v>
      </c>
      <c r="E230" t="s">
        <v>751</v>
      </c>
      <c r="F230" t="s">
        <v>57</v>
      </c>
      <c r="G230" t="s">
        <v>622</v>
      </c>
      <c r="H230" t="s">
        <v>623</v>
      </c>
      <c r="I230" t="s">
        <v>623</v>
      </c>
      <c r="J230" t="s">
        <v>60</v>
      </c>
      <c r="K230" t="s">
        <v>219</v>
      </c>
      <c r="L230" t="s">
        <v>62</v>
      </c>
      <c r="M230" t="s">
        <v>219</v>
      </c>
      <c r="N230" t="s">
        <v>624</v>
      </c>
      <c r="O230" t="s">
        <v>113</v>
      </c>
      <c r="P230">
        <v>-19.670276999999999</v>
      </c>
      <c r="Q230">
        <v>-43.893808</v>
      </c>
      <c r="R230" s="2" t="str">
        <f>HYPERLINK("https://www.google.com/maps?q=-19.6702770,-43.8938080","Abrir no Google Maps")</f>
        <v>Abrir no Google Maps</v>
      </c>
      <c r="S230">
        <v>4</v>
      </c>
      <c r="T230">
        <v>846.9753608437735</v>
      </c>
      <c r="U230">
        <v>4</v>
      </c>
      <c r="V230">
        <v>17</v>
      </c>
      <c r="W230">
        <v>1</v>
      </c>
      <c r="X230">
        <v>17</v>
      </c>
      <c r="Y230">
        <v>1</v>
      </c>
      <c r="Z230">
        <v>600.43160852236622</v>
      </c>
      <c r="AA230">
        <v>2</v>
      </c>
      <c r="AB230">
        <v>3</v>
      </c>
      <c r="AC230">
        <v>7</v>
      </c>
      <c r="AD230">
        <v>24.62</v>
      </c>
      <c r="AE230">
        <v>253</v>
      </c>
      <c r="AF230">
        <v>11</v>
      </c>
      <c r="AG230">
        <v>67</v>
      </c>
      <c r="AH230">
        <v>32</v>
      </c>
      <c r="AI230">
        <v>4.3499999999999996</v>
      </c>
      <c r="AJ230">
        <v>26.48</v>
      </c>
      <c r="AK230">
        <v>12.65</v>
      </c>
      <c r="AL230">
        <v>-19.670319349999971</v>
      </c>
      <c r="AM230">
        <v>-43.893716431206371</v>
      </c>
      <c r="AN230">
        <v>-19.670319349999971</v>
      </c>
      <c r="AO230">
        <v>-43.893716431206371</v>
      </c>
      <c r="AP230">
        <v>-19.670276999999999</v>
      </c>
      <c r="AQ230">
        <v>-43.893808</v>
      </c>
      <c r="AR230">
        <v>10.693863517034069</v>
      </c>
      <c r="AS230" t="s">
        <v>65</v>
      </c>
      <c r="AT230">
        <v>1</v>
      </c>
      <c r="AU230" t="s">
        <v>625</v>
      </c>
      <c r="AV230" t="s">
        <v>626</v>
      </c>
      <c r="AW230" t="s">
        <v>60</v>
      </c>
      <c r="AX230" t="s">
        <v>68</v>
      </c>
      <c r="AY230" t="s">
        <v>69</v>
      </c>
      <c r="AZ230" t="b">
        <v>1</v>
      </c>
    </row>
    <row r="231" spans="1:52" x14ac:dyDescent="0.3">
      <c r="A231" t="s">
        <v>52</v>
      </c>
      <c r="B231" t="s">
        <v>53</v>
      </c>
      <c r="C231" t="s">
        <v>54</v>
      </c>
      <c r="D231" t="s">
        <v>55</v>
      </c>
      <c r="E231" t="s">
        <v>751</v>
      </c>
      <c r="F231" t="s">
        <v>57</v>
      </c>
      <c r="G231" t="s">
        <v>273</v>
      </c>
      <c r="H231" t="s">
        <v>274</v>
      </c>
      <c r="I231" t="s">
        <v>274</v>
      </c>
      <c r="J231" t="s">
        <v>60</v>
      </c>
      <c r="K231" t="s">
        <v>171</v>
      </c>
      <c r="L231" t="s">
        <v>62</v>
      </c>
      <c r="M231" t="s">
        <v>171</v>
      </c>
      <c r="N231" t="s">
        <v>275</v>
      </c>
      <c r="O231" t="s">
        <v>276</v>
      </c>
      <c r="P231">
        <v>-19.679956000000001</v>
      </c>
      <c r="Q231">
        <v>-43.888520999999997</v>
      </c>
      <c r="R231" s="2" t="str">
        <f>HYPERLINK("https://www.google.com/maps?q=-19.6799560,-43.8885210","Abrir no Google Maps")</f>
        <v>Abrir no Google Maps</v>
      </c>
      <c r="S231">
        <v>4</v>
      </c>
      <c r="T231">
        <v>346.2974251077423</v>
      </c>
      <c r="U231">
        <v>4</v>
      </c>
      <c r="V231">
        <v>17</v>
      </c>
      <c r="W231">
        <v>1</v>
      </c>
      <c r="X231">
        <v>17</v>
      </c>
      <c r="Y231">
        <v>0</v>
      </c>
      <c r="Z231">
        <v>223.68420981797229</v>
      </c>
      <c r="AA231">
        <v>2</v>
      </c>
      <c r="AB231">
        <v>3</v>
      </c>
      <c r="AC231">
        <v>7</v>
      </c>
      <c r="AD231">
        <v>24.62</v>
      </c>
      <c r="AE231">
        <v>253</v>
      </c>
      <c r="AF231">
        <v>11</v>
      </c>
      <c r="AG231">
        <v>67</v>
      </c>
      <c r="AH231">
        <v>32</v>
      </c>
      <c r="AI231">
        <v>4.3499999999999996</v>
      </c>
      <c r="AJ231">
        <v>26.48</v>
      </c>
      <c r="AK231">
        <v>12.65</v>
      </c>
      <c r="AL231">
        <v>-19.67989189999998</v>
      </c>
      <c r="AM231">
        <v>-43.888485157753777</v>
      </c>
      <c r="AN231">
        <v>-19.67989189999998</v>
      </c>
      <c r="AO231">
        <v>-43.888485157753777</v>
      </c>
      <c r="AP231">
        <v>-19.679956000000001</v>
      </c>
      <c r="AQ231">
        <v>-43.888520999999997</v>
      </c>
      <c r="AR231">
        <v>8.0641961934087583</v>
      </c>
      <c r="AS231" t="s">
        <v>65</v>
      </c>
      <c r="AT231">
        <v>1</v>
      </c>
      <c r="AU231" t="s">
        <v>277</v>
      </c>
      <c r="AV231" t="s">
        <v>278</v>
      </c>
      <c r="AW231" t="s">
        <v>60</v>
      </c>
      <c r="AX231" t="s">
        <v>68</v>
      </c>
      <c r="AY231" t="s">
        <v>69</v>
      </c>
      <c r="AZ231" t="b">
        <v>1</v>
      </c>
    </row>
    <row r="232" spans="1:52" x14ac:dyDescent="0.3">
      <c r="A232" t="s">
        <v>52</v>
      </c>
      <c r="B232" t="s">
        <v>53</v>
      </c>
      <c r="C232" t="s">
        <v>54</v>
      </c>
      <c r="D232" t="s">
        <v>55</v>
      </c>
      <c r="E232" t="s">
        <v>751</v>
      </c>
      <c r="F232" t="s">
        <v>176</v>
      </c>
      <c r="G232" t="s">
        <v>70</v>
      </c>
      <c r="H232" t="s">
        <v>71</v>
      </c>
      <c r="I232" t="s">
        <v>71</v>
      </c>
      <c r="J232" t="s">
        <v>60</v>
      </c>
      <c r="K232" t="s">
        <v>72</v>
      </c>
      <c r="L232" t="s">
        <v>62</v>
      </c>
      <c r="M232" t="s">
        <v>72</v>
      </c>
      <c r="N232" t="s">
        <v>73</v>
      </c>
      <c r="O232" t="s">
        <v>74</v>
      </c>
      <c r="P232">
        <v>-19.632581999999999</v>
      </c>
      <c r="Q232">
        <v>-43.902416000000002</v>
      </c>
      <c r="R232" s="2" t="str">
        <f>HYPERLINK("https://www.google.com/maps?q=-19.6325820,-43.9024160","Abrir no Google Maps")</f>
        <v>Abrir no Google Maps</v>
      </c>
      <c r="S232">
        <v>4</v>
      </c>
      <c r="T232">
        <v>0</v>
      </c>
      <c r="U232">
        <v>3</v>
      </c>
      <c r="V232">
        <v>8</v>
      </c>
      <c r="W232">
        <v>1</v>
      </c>
      <c r="X232">
        <v>8</v>
      </c>
      <c r="Y232">
        <v>10</v>
      </c>
      <c r="Z232">
        <v>146.6968158874696</v>
      </c>
      <c r="AA232">
        <v>2</v>
      </c>
      <c r="AB232">
        <v>3</v>
      </c>
      <c r="AC232">
        <v>7</v>
      </c>
      <c r="AD232">
        <v>24.62</v>
      </c>
      <c r="AE232">
        <v>253</v>
      </c>
      <c r="AF232">
        <v>11</v>
      </c>
      <c r="AG232">
        <v>67</v>
      </c>
      <c r="AH232">
        <v>32</v>
      </c>
      <c r="AI232">
        <v>4.3499999999999996</v>
      </c>
      <c r="AJ232">
        <v>26.48</v>
      </c>
      <c r="AK232">
        <v>12.65</v>
      </c>
      <c r="AL232">
        <v>-19.63271449999996</v>
      </c>
      <c r="AM232">
        <v>-43.902649897389402</v>
      </c>
      <c r="AN232">
        <v>-19.63271449999996</v>
      </c>
      <c r="AO232">
        <v>-43.902649897389402</v>
      </c>
      <c r="AP232">
        <v>-19.632581999999999</v>
      </c>
      <c r="AQ232">
        <v>-43.902416000000002</v>
      </c>
      <c r="AR232">
        <v>28.617753432996459</v>
      </c>
      <c r="AS232" t="s">
        <v>65</v>
      </c>
      <c r="AT232">
        <v>1</v>
      </c>
      <c r="AU232" t="s">
        <v>75</v>
      </c>
      <c r="AV232" t="s">
        <v>76</v>
      </c>
      <c r="AW232" t="s">
        <v>60</v>
      </c>
      <c r="AX232" t="s">
        <v>68</v>
      </c>
      <c r="AY232" t="s">
        <v>69</v>
      </c>
      <c r="AZ232" t="b">
        <v>1</v>
      </c>
    </row>
    <row r="233" spans="1:52" x14ac:dyDescent="0.3">
      <c r="A233" t="s">
        <v>52</v>
      </c>
      <c r="B233" t="s">
        <v>53</v>
      </c>
      <c r="C233" t="s">
        <v>54</v>
      </c>
      <c r="D233" t="s">
        <v>55</v>
      </c>
      <c r="E233" t="s">
        <v>751</v>
      </c>
      <c r="F233" t="s">
        <v>176</v>
      </c>
      <c r="G233" t="s">
        <v>84</v>
      </c>
      <c r="H233" t="s">
        <v>85</v>
      </c>
      <c r="I233" t="s">
        <v>85</v>
      </c>
      <c r="J233" t="s">
        <v>60</v>
      </c>
      <c r="K233" t="s">
        <v>86</v>
      </c>
      <c r="L233" t="s">
        <v>62</v>
      </c>
      <c r="M233" t="s">
        <v>86</v>
      </c>
      <c r="N233" t="s">
        <v>87</v>
      </c>
      <c r="O233" t="s">
        <v>88</v>
      </c>
      <c r="P233">
        <v>-19.629436999999999</v>
      </c>
      <c r="Q233">
        <v>-43.910398999999998</v>
      </c>
      <c r="R233" s="2" t="str">
        <f>HYPERLINK("https://www.google.com/maps?q=-19.6294370,-43.9103990","Abrir no Google Maps")</f>
        <v>Abrir no Google Maps</v>
      </c>
      <c r="S233">
        <v>4</v>
      </c>
      <c r="T233">
        <v>888.82060643108082</v>
      </c>
      <c r="U233">
        <v>3</v>
      </c>
      <c r="V233">
        <v>9</v>
      </c>
      <c r="W233">
        <v>1</v>
      </c>
      <c r="X233">
        <v>9</v>
      </c>
      <c r="Y233">
        <v>10</v>
      </c>
      <c r="Z233">
        <v>867.42797341651737</v>
      </c>
      <c r="AA233">
        <v>2</v>
      </c>
      <c r="AB233">
        <v>3</v>
      </c>
      <c r="AC233">
        <v>7</v>
      </c>
      <c r="AD233">
        <v>24.62</v>
      </c>
      <c r="AE233">
        <v>253</v>
      </c>
      <c r="AF233">
        <v>11</v>
      </c>
      <c r="AG233">
        <v>67</v>
      </c>
      <c r="AH233">
        <v>32</v>
      </c>
      <c r="AI233">
        <v>4.3499999999999996</v>
      </c>
      <c r="AJ233">
        <v>26.48</v>
      </c>
      <c r="AK233">
        <v>12.65</v>
      </c>
      <c r="AL233">
        <v>-19.62934694999996</v>
      </c>
      <c r="AM233">
        <v>-43.910344699357317</v>
      </c>
      <c r="AN233">
        <v>-19.62934694999996</v>
      </c>
      <c r="AO233">
        <v>-43.910344699357331</v>
      </c>
      <c r="AP233">
        <v>-19.629436999999999</v>
      </c>
      <c r="AQ233">
        <v>-43.910398999999998</v>
      </c>
      <c r="AR233">
        <v>11.52837377953678</v>
      </c>
      <c r="AS233" t="s">
        <v>65</v>
      </c>
      <c r="AT233">
        <v>1</v>
      </c>
      <c r="AU233" t="s">
        <v>89</v>
      </c>
      <c r="AV233" t="s">
        <v>90</v>
      </c>
      <c r="AW233" t="s">
        <v>60</v>
      </c>
      <c r="AX233" t="s">
        <v>68</v>
      </c>
      <c r="AY233" t="s">
        <v>69</v>
      </c>
      <c r="AZ233" t="b">
        <v>1</v>
      </c>
    </row>
    <row r="234" spans="1:52" x14ac:dyDescent="0.3">
      <c r="A234" t="s">
        <v>52</v>
      </c>
      <c r="B234" t="s">
        <v>53</v>
      </c>
      <c r="C234" t="s">
        <v>54</v>
      </c>
      <c r="D234" t="s">
        <v>55</v>
      </c>
      <c r="E234" t="s">
        <v>751</v>
      </c>
      <c r="F234" t="s">
        <v>176</v>
      </c>
      <c r="G234" t="s">
        <v>97</v>
      </c>
      <c r="H234" t="s">
        <v>98</v>
      </c>
      <c r="I234" t="s">
        <v>98</v>
      </c>
      <c r="J234" t="s">
        <v>60</v>
      </c>
      <c r="K234" t="s">
        <v>99</v>
      </c>
      <c r="L234" t="s">
        <v>62</v>
      </c>
      <c r="M234" t="s">
        <v>99</v>
      </c>
      <c r="N234" t="s">
        <v>100</v>
      </c>
      <c r="O234" t="s">
        <v>101</v>
      </c>
      <c r="P234">
        <v>-19.629822000000001</v>
      </c>
      <c r="Q234">
        <v>-43.905341</v>
      </c>
      <c r="R234" s="2" t="str">
        <f>HYPERLINK("https://www.google.com/maps?q=-19.6298220,-43.9053410","Abrir no Google Maps")</f>
        <v>Abrir no Google Maps</v>
      </c>
      <c r="S234">
        <v>4</v>
      </c>
      <c r="T234">
        <v>441.30597341744129</v>
      </c>
      <c r="U234">
        <v>3</v>
      </c>
      <c r="V234">
        <v>11</v>
      </c>
      <c r="W234">
        <v>1</v>
      </c>
      <c r="X234">
        <v>11</v>
      </c>
      <c r="Y234">
        <v>10</v>
      </c>
      <c r="Z234">
        <v>513.56493751010987</v>
      </c>
      <c r="AA234">
        <v>2</v>
      </c>
      <c r="AB234">
        <v>3</v>
      </c>
      <c r="AC234">
        <v>7</v>
      </c>
      <c r="AD234">
        <v>24.62</v>
      </c>
      <c r="AE234">
        <v>253</v>
      </c>
      <c r="AF234">
        <v>11</v>
      </c>
      <c r="AG234">
        <v>67</v>
      </c>
      <c r="AH234">
        <v>32</v>
      </c>
      <c r="AI234">
        <v>4.3499999999999996</v>
      </c>
      <c r="AJ234">
        <v>26.48</v>
      </c>
      <c r="AK234">
        <v>12.65</v>
      </c>
      <c r="AL234">
        <v>-19.629671599999941</v>
      </c>
      <c r="AM234">
        <v>-43.905369597920988</v>
      </c>
      <c r="AN234">
        <v>-19.629671599999931</v>
      </c>
      <c r="AO234">
        <v>-43.905369597920988</v>
      </c>
      <c r="AP234">
        <v>-19.629822000000001</v>
      </c>
      <c r="AQ234">
        <v>-43.905341</v>
      </c>
      <c r="AR234">
        <v>17.008917699186132</v>
      </c>
      <c r="AS234" t="s">
        <v>65</v>
      </c>
      <c r="AT234">
        <v>1</v>
      </c>
      <c r="AU234" t="s">
        <v>102</v>
      </c>
      <c r="AV234" t="s">
        <v>103</v>
      </c>
      <c r="AW234" t="s">
        <v>60</v>
      </c>
      <c r="AX234" t="s">
        <v>68</v>
      </c>
      <c r="AY234" t="s">
        <v>69</v>
      </c>
      <c r="AZ234" t="b">
        <v>1</v>
      </c>
    </row>
    <row r="235" spans="1:52" x14ac:dyDescent="0.3">
      <c r="A235" t="s">
        <v>52</v>
      </c>
      <c r="B235" t="s">
        <v>53</v>
      </c>
      <c r="C235" t="s">
        <v>54</v>
      </c>
      <c r="D235" t="s">
        <v>55</v>
      </c>
      <c r="E235" t="s">
        <v>751</v>
      </c>
      <c r="F235" t="s">
        <v>176</v>
      </c>
      <c r="G235" t="s">
        <v>197</v>
      </c>
      <c r="H235" t="s">
        <v>198</v>
      </c>
      <c r="I235" t="s">
        <v>198</v>
      </c>
      <c r="J235" t="s">
        <v>60</v>
      </c>
      <c r="K235" t="s">
        <v>199</v>
      </c>
      <c r="L235" t="s">
        <v>62</v>
      </c>
      <c r="M235" t="s">
        <v>199</v>
      </c>
      <c r="N235" t="s">
        <v>200</v>
      </c>
      <c r="O235" t="s">
        <v>201</v>
      </c>
      <c r="P235">
        <v>-19.639250000000001</v>
      </c>
      <c r="Q235">
        <v>-43.916449999999998</v>
      </c>
      <c r="R235" s="2" t="str">
        <f>HYPERLINK("https://www.google.com/maps?q=-19.6392500,-43.9164500","Abrir no Google Maps")</f>
        <v>Abrir no Google Maps</v>
      </c>
      <c r="S235">
        <v>4</v>
      </c>
      <c r="T235">
        <v>249.46350881074861</v>
      </c>
      <c r="U235">
        <v>3</v>
      </c>
      <c r="V235">
        <v>13</v>
      </c>
      <c r="W235">
        <v>1</v>
      </c>
      <c r="X235">
        <v>13</v>
      </c>
      <c r="Y235">
        <v>3</v>
      </c>
      <c r="Z235">
        <v>267.54148787490578</v>
      </c>
      <c r="AA235">
        <v>2</v>
      </c>
      <c r="AB235">
        <v>3</v>
      </c>
      <c r="AC235">
        <v>7</v>
      </c>
      <c r="AD235">
        <v>24.62</v>
      </c>
      <c r="AE235">
        <v>253</v>
      </c>
      <c r="AF235">
        <v>11</v>
      </c>
      <c r="AG235">
        <v>67</v>
      </c>
      <c r="AH235">
        <v>32</v>
      </c>
      <c r="AI235">
        <v>4.3499999999999996</v>
      </c>
      <c r="AJ235">
        <v>26.48</v>
      </c>
      <c r="AK235">
        <v>12.65</v>
      </c>
      <c r="AL235">
        <v>-19.639331149999951</v>
      </c>
      <c r="AM235">
        <v>-43.916434187886892</v>
      </c>
      <c r="AN235">
        <v>-19.639331149999951</v>
      </c>
      <c r="AO235">
        <v>-43.916434187886892</v>
      </c>
      <c r="AP235">
        <v>-19.639250000000001</v>
      </c>
      <c r="AQ235">
        <v>-43.916449999999998</v>
      </c>
      <c r="AR235">
        <v>9.1844750188843953</v>
      </c>
      <c r="AS235" t="s">
        <v>65</v>
      </c>
      <c r="AT235">
        <v>1</v>
      </c>
      <c r="AU235" t="s">
        <v>202</v>
      </c>
      <c r="AV235" t="s">
        <v>203</v>
      </c>
      <c r="AW235" t="s">
        <v>60</v>
      </c>
      <c r="AX235" t="s">
        <v>68</v>
      </c>
      <c r="AY235" t="s">
        <v>69</v>
      </c>
      <c r="AZ235" t="b">
        <v>1</v>
      </c>
    </row>
    <row r="236" spans="1:52" x14ac:dyDescent="0.3">
      <c r="A236" t="s">
        <v>52</v>
      </c>
      <c r="B236" t="s">
        <v>53</v>
      </c>
      <c r="C236" t="s">
        <v>54</v>
      </c>
      <c r="D236" t="s">
        <v>55</v>
      </c>
      <c r="E236" t="s">
        <v>751</v>
      </c>
      <c r="F236" t="s">
        <v>176</v>
      </c>
      <c r="G236" t="s">
        <v>123</v>
      </c>
      <c r="H236" t="s">
        <v>124</v>
      </c>
      <c r="I236" t="s">
        <v>124</v>
      </c>
      <c r="J236" t="s">
        <v>60</v>
      </c>
      <c r="K236" t="s">
        <v>72</v>
      </c>
      <c r="L236" t="s">
        <v>62</v>
      </c>
      <c r="M236" t="s">
        <v>72</v>
      </c>
      <c r="N236" t="s">
        <v>125</v>
      </c>
      <c r="O236" t="s">
        <v>126</v>
      </c>
      <c r="P236">
        <v>-19.634015000000002</v>
      </c>
      <c r="Q236">
        <v>-43.918776000000001</v>
      </c>
      <c r="R236" s="2" t="str">
        <f>HYPERLINK("https://www.google.com/maps?q=-19.6340150,-43.9187760","Abrir no Google Maps")</f>
        <v>Abrir no Google Maps</v>
      </c>
      <c r="S236">
        <v>4</v>
      </c>
      <c r="T236">
        <v>525.62818365919122</v>
      </c>
      <c r="U236">
        <v>3</v>
      </c>
      <c r="V236">
        <v>9</v>
      </c>
      <c r="W236">
        <v>1</v>
      </c>
      <c r="X236">
        <v>9</v>
      </c>
      <c r="Y236">
        <v>3</v>
      </c>
      <c r="Z236">
        <v>474.91441433808131</v>
      </c>
      <c r="AA236">
        <v>2</v>
      </c>
      <c r="AB236">
        <v>3</v>
      </c>
      <c r="AC236">
        <v>7</v>
      </c>
      <c r="AD236">
        <v>24.62</v>
      </c>
      <c r="AE236">
        <v>253</v>
      </c>
      <c r="AF236">
        <v>11</v>
      </c>
      <c r="AG236">
        <v>67</v>
      </c>
      <c r="AH236">
        <v>32</v>
      </c>
      <c r="AI236">
        <v>4.3499999999999996</v>
      </c>
      <c r="AJ236">
        <v>26.48</v>
      </c>
      <c r="AK236">
        <v>12.65</v>
      </c>
      <c r="AL236">
        <v>-19.63405809999994</v>
      </c>
      <c r="AM236">
        <v>-43.919666391328043</v>
      </c>
      <c r="AN236">
        <v>-19.63405809999994</v>
      </c>
      <c r="AO236">
        <v>-43.919666391328029</v>
      </c>
      <c r="AP236">
        <v>-19.634015000000002</v>
      </c>
      <c r="AQ236">
        <v>-43.918776000000001</v>
      </c>
      <c r="AR236">
        <v>93.478621134470259</v>
      </c>
      <c r="AS236" t="s">
        <v>65</v>
      </c>
      <c r="AT236">
        <v>1</v>
      </c>
      <c r="AU236" t="s">
        <v>127</v>
      </c>
      <c r="AV236" t="s">
        <v>128</v>
      </c>
      <c r="AW236" t="s">
        <v>60</v>
      </c>
      <c r="AX236" t="s">
        <v>68</v>
      </c>
      <c r="AY236" t="s">
        <v>69</v>
      </c>
      <c r="AZ236" t="b">
        <v>1</v>
      </c>
    </row>
    <row r="237" spans="1:52" x14ac:dyDescent="0.3">
      <c r="A237" t="s">
        <v>52</v>
      </c>
      <c r="B237" t="s">
        <v>53</v>
      </c>
      <c r="C237" t="s">
        <v>54</v>
      </c>
      <c r="D237" t="s">
        <v>55</v>
      </c>
      <c r="E237" t="s">
        <v>751</v>
      </c>
      <c r="F237" t="s">
        <v>176</v>
      </c>
      <c r="G237" t="s">
        <v>210</v>
      </c>
      <c r="H237" t="s">
        <v>211</v>
      </c>
      <c r="I237" t="s">
        <v>211</v>
      </c>
      <c r="J237" t="s">
        <v>60</v>
      </c>
      <c r="K237" t="s">
        <v>212</v>
      </c>
      <c r="L237" t="s">
        <v>62</v>
      </c>
      <c r="M237" t="s">
        <v>212</v>
      </c>
      <c r="N237" t="s">
        <v>213</v>
      </c>
      <c r="O237" t="s">
        <v>214</v>
      </c>
      <c r="P237">
        <v>-19.632814</v>
      </c>
      <c r="Q237">
        <v>-43.930782000000001</v>
      </c>
      <c r="R237" s="2" t="str">
        <f>HYPERLINK("https://www.google.com/maps?q=-19.6328140,-43.9307820","Abrir no Google Maps")</f>
        <v>Abrir no Google Maps</v>
      </c>
      <c r="S237">
        <v>4</v>
      </c>
      <c r="T237">
        <v>1643.2659380538339</v>
      </c>
      <c r="U237">
        <v>3</v>
      </c>
      <c r="V237">
        <v>9</v>
      </c>
      <c r="W237">
        <v>1</v>
      </c>
      <c r="X237">
        <v>9</v>
      </c>
      <c r="Y237">
        <v>3</v>
      </c>
      <c r="Z237">
        <v>1661.7410651481421</v>
      </c>
      <c r="AA237">
        <v>2</v>
      </c>
      <c r="AB237">
        <v>3</v>
      </c>
      <c r="AC237">
        <v>7</v>
      </c>
      <c r="AD237">
        <v>24.62</v>
      </c>
      <c r="AE237">
        <v>253</v>
      </c>
      <c r="AF237">
        <v>11</v>
      </c>
      <c r="AG237">
        <v>67</v>
      </c>
      <c r="AH237">
        <v>32</v>
      </c>
      <c r="AI237">
        <v>4.3499999999999996</v>
      </c>
      <c r="AJ237">
        <v>26.48</v>
      </c>
      <c r="AK237">
        <v>12.65</v>
      </c>
      <c r="AL237">
        <v>-19.633145799999941</v>
      </c>
      <c r="AM237">
        <v>-43.930948481999309</v>
      </c>
      <c r="AN237">
        <v>-19.633145799999941</v>
      </c>
      <c r="AO237">
        <v>-43.930948481999309</v>
      </c>
      <c r="AP237">
        <v>-19.632814</v>
      </c>
      <c r="AQ237">
        <v>-43.930782000000001</v>
      </c>
      <c r="AR237">
        <v>40.852848555758172</v>
      </c>
      <c r="AS237" t="s">
        <v>65</v>
      </c>
      <c r="AT237">
        <v>1</v>
      </c>
      <c r="AU237" t="s">
        <v>215</v>
      </c>
      <c r="AV237" t="s">
        <v>216</v>
      </c>
      <c r="AW237" t="s">
        <v>60</v>
      </c>
      <c r="AX237" t="s">
        <v>68</v>
      </c>
      <c r="AY237" t="s">
        <v>69</v>
      </c>
      <c r="AZ237" t="b">
        <v>1</v>
      </c>
    </row>
    <row r="238" spans="1:52" x14ac:dyDescent="0.3">
      <c r="A238" t="s">
        <v>52</v>
      </c>
      <c r="B238" t="s">
        <v>53</v>
      </c>
      <c r="C238" t="s">
        <v>54</v>
      </c>
      <c r="D238" t="s">
        <v>55</v>
      </c>
      <c r="E238" t="s">
        <v>751</v>
      </c>
      <c r="F238" t="s">
        <v>176</v>
      </c>
      <c r="G238" t="s">
        <v>145</v>
      </c>
      <c r="H238" t="s">
        <v>146</v>
      </c>
      <c r="I238" t="s">
        <v>146</v>
      </c>
      <c r="J238" t="s">
        <v>60</v>
      </c>
      <c r="K238" t="s">
        <v>147</v>
      </c>
      <c r="L238" t="s">
        <v>62</v>
      </c>
      <c r="M238" t="s">
        <v>147</v>
      </c>
      <c r="N238" t="s">
        <v>148</v>
      </c>
      <c r="O238" t="s">
        <v>81</v>
      </c>
      <c r="P238">
        <v>-19.629356999999999</v>
      </c>
      <c r="Q238">
        <v>-43.916857</v>
      </c>
      <c r="R238" s="2" t="str">
        <f>HYPERLINK("https://www.google.com/maps?q=-19.6293570,-43.9168570","Abrir no Google Maps")</f>
        <v>Abrir no Google Maps</v>
      </c>
      <c r="S238">
        <v>4</v>
      </c>
      <c r="T238">
        <v>834.49898564045827</v>
      </c>
      <c r="U238">
        <v>3</v>
      </c>
      <c r="V238">
        <v>9</v>
      </c>
      <c r="W238">
        <v>1</v>
      </c>
      <c r="X238">
        <v>9</v>
      </c>
      <c r="Y238">
        <v>3</v>
      </c>
      <c r="Z238">
        <v>774.2841152512085</v>
      </c>
      <c r="AA238">
        <v>2</v>
      </c>
      <c r="AB238">
        <v>3</v>
      </c>
      <c r="AC238">
        <v>7</v>
      </c>
      <c r="AD238">
        <v>24.62</v>
      </c>
      <c r="AE238">
        <v>253</v>
      </c>
      <c r="AF238">
        <v>11</v>
      </c>
      <c r="AG238">
        <v>67</v>
      </c>
      <c r="AH238">
        <v>32</v>
      </c>
      <c r="AI238">
        <v>4.3499999999999996</v>
      </c>
      <c r="AJ238">
        <v>26.48</v>
      </c>
      <c r="AK238">
        <v>12.65</v>
      </c>
      <c r="AL238">
        <v>-19.62962324999998</v>
      </c>
      <c r="AM238">
        <v>-43.916419823634037</v>
      </c>
      <c r="AN238">
        <v>-19.62962324999998</v>
      </c>
      <c r="AO238">
        <v>-43.916419823634051</v>
      </c>
      <c r="AP238">
        <v>-19.629356999999999</v>
      </c>
      <c r="AQ238">
        <v>-43.916857</v>
      </c>
      <c r="AR238">
        <v>54.585757388798442</v>
      </c>
      <c r="AS238" t="s">
        <v>65</v>
      </c>
      <c r="AT238">
        <v>1</v>
      </c>
      <c r="AU238" t="s">
        <v>149</v>
      </c>
      <c r="AV238" t="s">
        <v>150</v>
      </c>
      <c r="AW238" t="s">
        <v>60</v>
      </c>
      <c r="AX238" t="s">
        <v>68</v>
      </c>
      <c r="AY238" t="s">
        <v>69</v>
      </c>
      <c r="AZ238" t="b">
        <v>1</v>
      </c>
    </row>
    <row r="239" spans="1:52" x14ac:dyDescent="0.3">
      <c r="A239" t="s">
        <v>52</v>
      </c>
      <c r="B239" t="s">
        <v>53</v>
      </c>
      <c r="C239" t="s">
        <v>54</v>
      </c>
      <c r="D239" t="s">
        <v>55</v>
      </c>
      <c r="E239" t="s">
        <v>751</v>
      </c>
      <c r="F239" t="s">
        <v>176</v>
      </c>
      <c r="G239" t="s">
        <v>217</v>
      </c>
      <c r="H239" t="s">
        <v>218</v>
      </c>
      <c r="I239" t="s">
        <v>218</v>
      </c>
      <c r="J239" t="s">
        <v>60</v>
      </c>
      <c r="K239" t="s">
        <v>219</v>
      </c>
      <c r="L239" t="s">
        <v>62</v>
      </c>
      <c r="M239" t="s">
        <v>219</v>
      </c>
      <c r="N239" t="s">
        <v>220</v>
      </c>
      <c r="O239" t="s">
        <v>221</v>
      </c>
      <c r="P239">
        <v>-19.668924000000001</v>
      </c>
      <c r="Q239">
        <v>-43.888824</v>
      </c>
      <c r="R239" s="2" t="str">
        <f>HYPERLINK("https://www.google.com/maps?q=-19.6689240,-43.8888240","Abrir no Google Maps")</f>
        <v>Abrir no Google Maps</v>
      </c>
      <c r="S239">
        <v>4</v>
      </c>
      <c r="T239">
        <v>911.82770913869297</v>
      </c>
      <c r="U239">
        <v>3</v>
      </c>
      <c r="V239">
        <v>8</v>
      </c>
      <c r="W239">
        <v>1</v>
      </c>
      <c r="X239">
        <v>8</v>
      </c>
      <c r="Y239">
        <v>3</v>
      </c>
      <c r="Z239">
        <v>306.43809582423751</v>
      </c>
      <c r="AA239">
        <v>2</v>
      </c>
      <c r="AB239">
        <v>3</v>
      </c>
      <c r="AC239">
        <v>7</v>
      </c>
      <c r="AD239">
        <v>24.62</v>
      </c>
      <c r="AE239">
        <v>253</v>
      </c>
      <c r="AF239">
        <v>11</v>
      </c>
      <c r="AG239">
        <v>67</v>
      </c>
      <c r="AH239">
        <v>32</v>
      </c>
      <c r="AI239">
        <v>4.3499999999999996</v>
      </c>
      <c r="AJ239">
        <v>26.48</v>
      </c>
      <c r="AK239">
        <v>12.65</v>
      </c>
      <c r="AL239">
        <v>-19.669015399999981</v>
      </c>
      <c r="AM239">
        <v>-43.88883436988452</v>
      </c>
      <c r="AN239">
        <v>-19.669015399999971</v>
      </c>
      <c r="AO239">
        <v>-43.88883436988452</v>
      </c>
      <c r="AP239">
        <v>-19.668924000000001</v>
      </c>
      <c r="AQ239">
        <v>-43.888824</v>
      </c>
      <c r="AR239">
        <v>10.23254983885769</v>
      </c>
      <c r="AS239" t="s">
        <v>65</v>
      </c>
      <c r="AT239">
        <v>1</v>
      </c>
      <c r="AU239" t="s">
        <v>222</v>
      </c>
      <c r="AV239" t="s">
        <v>223</v>
      </c>
      <c r="AW239" t="s">
        <v>60</v>
      </c>
      <c r="AX239" t="s">
        <v>68</v>
      </c>
      <c r="AY239" t="s">
        <v>69</v>
      </c>
      <c r="AZ239" t="b">
        <v>1</v>
      </c>
    </row>
    <row r="240" spans="1:52" x14ac:dyDescent="0.3">
      <c r="A240" t="s">
        <v>52</v>
      </c>
      <c r="B240" t="s">
        <v>53</v>
      </c>
      <c r="C240" t="s">
        <v>54</v>
      </c>
      <c r="D240" t="s">
        <v>55</v>
      </c>
      <c r="E240" t="s">
        <v>751</v>
      </c>
      <c r="F240" t="s">
        <v>176</v>
      </c>
      <c r="G240" t="s">
        <v>197</v>
      </c>
      <c r="H240" t="s">
        <v>224</v>
      </c>
      <c r="I240" t="s">
        <v>224</v>
      </c>
      <c r="J240" t="s">
        <v>60</v>
      </c>
      <c r="K240" t="s">
        <v>199</v>
      </c>
      <c r="L240" t="s">
        <v>62</v>
      </c>
      <c r="M240" t="s">
        <v>199</v>
      </c>
      <c r="N240" t="s">
        <v>200</v>
      </c>
      <c r="O240" t="s">
        <v>225</v>
      </c>
      <c r="P240">
        <v>-19.637217</v>
      </c>
      <c r="Q240">
        <v>-43.916117</v>
      </c>
      <c r="R240" s="2" t="str">
        <f>HYPERLINK("https://www.google.com/maps?q=-19.6372170,-43.9161170","Abrir no Google Maps")</f>
        <v>Abrir no Google Maps</v>
      </c>
      <c r="S240">
        <v>4</v>
      </c>
      <c r="T240">
        <v>0</v>
      </c>
      <c r="U240">
        <v>3</v>
      </c>
      <c r="V240">
        <v>10</v>
      </c>
      <c r="W240">
        <v>1</v>
      </c>
      <c r="X240">
        <v>10</v>
      </c>
      <c r="Y240">
        <v>3</v>
      </c>
      <c r="Z240">
        <v>94.289538231800577</v>
      </c>
      <c r="AA240">
        <v>2</v>
      </c>
      <c r="AB240">
        <v>3</v>
      </c>
      <c r="AC240">
        <v>7</v>
      </c>
      <c r="AD240">
        <v>24.62</v>
      </c>
      <c r="AE240">
        <v>253</v>
      </c>
      <c r="AF240">
        <v>11</v>
      </c>
      <c r="AG240">
        <v>67</v>
      </c>
      <c r="AH240">
        <v>32</v>
      </c>
      <c r="AI240">
        <v>4.3499999999999996</v>
      </c>
      <c r="AJ240">
        <v>26.48</v>
      </c>
      <c r="AK240">
        <v>12.65</v>
      </c>
      <c r="AL240">
        <v>-19.63714454999996</v>
      </c>
      <c r="AM240">
        <v>-43.915856532303224</v>
      </c>
      <c r="AN240">
        <v>-19.63714454999996</v>
      </c>
      <c r="AO240">
        <v>-43.915856532303224</v>
      </c>
      <c r="AP240">
        <v>-19.637217</v>
      </c>
      <c r="AQ240">
        <v>-43.916117</v>
      </c>
      <c r="AR240">
        <v>28.47493692061667</v>
      </c>
      <c r="AS240" t="s">
        <v>65</v>
      </c>
      <c r="AT240">
        <v>1</v>
      </c>
      <c r="AU240" t="s">
        <v>226</v>
      </c>
      <c r="AV240" t="s">
        <v>227</v>
      </c>
      <c r="AW240" t="s">
        <v>60</v>
      </c>
      <c r="AX240" t="s">
        <v>68</v>
      </c>
      <c r="AY240" t="s">
        <v>69</v>
      </c>
      <c r="AZ240" t="b">
        <v>1</v>
      </c>
    </row>
    <row r="241" spans="1:52" x14ac:dyDescent="0.3">
      <c r="A241" t="s">
        <v>52</v>
      </c>
      <c r="B241" t="s">
        <v>53</v>
      </c>
      <c r="C241" t="s">
        <v>54</v>
      </c>
      <c r="D241" t="s">
        <v>55</v>
      </c>
      <c r="E241" t="s">
        <v>751</v>
      </c>
      <c r="F241" t="s">
        <v>176</v>
      </c>
      <c r="G241" t="s">
        <v>228</v>
      </c>
      <c r="H241" t="s">
        <v>229</v>
      </c>
      <c r="I241" t="s">
        <v>229</v>
      </c>
      <c r="J241" t="s">
        <v>60</v>
      </c>
      <c r="K241" t="s">
        <v>199</v>
      </c>
      <c r="L241" t="s">
        <v>62</v>
      </c>
      <c r="M241" t="s">
        <v>199</v>
      </c>
      <c r="N241" t="s">
        <v>230</v>
      </c>
      <c r="O241" t="s">
        <v>88</v>
      </c>
      <c r="P241">
        <v>-19.637703999999999</v>
      </c>
      <c r="Q241">
        <v>-43.913817999999999</v>
      </c>
      <c r="R241" s="2" t="str">
        <f>HYPERLINK("https://www.google.com/maps?q=-19.6377040,-43.9138180","Abrir no Google Maps")</f>
        <v>Abrir no Google Maps</v>
      </c>
      <c r="S241">
        <v>4</v>
      </c>
      <c r="T241">
        <v>216.67225021659709</v>
      </c>
      <c r="U241">
        <v>3</v>
      </c>
      <c r="V241">
        <v>13</v>
      </c>
      <c r="W241">
        <v>1</v>
      </c>
      <c r="X241">
        <v>13</v>
      </c>
      <c r="Y241">
        <v>3</v>
      </c>
      <c r="Z241">
        <v>250.25912407368671</v>
      </c>
      <c r="AA241">
        <v>2</v>
      </c>
      <c r="AB241">
        <v>3</v>
      </c>
      <c r="AC241">
        <v>7</v>
      </c>
      <c r="AD241">
        <v>24.62</v>
      </c>
      <c r="AE241">
        <v>253</v>
      </c>
      <c r="AF241">
        <v>11</v>
      </c>
      <c r="AG241">
        <v>67</v>
      </c>
      <c r="AH241">
        <v>32</v>
      </c>
      <c r="AI241">
        <v>4.3499999999999996</v>
      </c>
      <c r="AJ241">
        <v>26.48</v>
      </c>
      <c r="AK241">
        <v>12.65</v>
      </c>
      <c r="AL241">
        <v>-19.637548049999939</v>
      </c>
      <c r="AM241">
        <v>-43.91383458447649</v>
      </c>
      <c r="AN241">
        <v>-19.637548049999939</v>
      </c>
      <c r="AO241">
        <v>-43.91383458447649</v>
      </c>
      <c r="AP241">
        <v>-19.637703999999999</v>
      </c>
      <c r="AQ241">
        <v>-43.913817999999999</v>
      </c>
      <c r="AR241">
        <v>17.44721566371809</v>
      </c>
      <c r="AS241" t="s">
        <v>65</v>
      </c>
      <c r="AT241">
        <v>1</v>
      </c>
      <c r="AU241" t="s">
        <v>231</v>
      </c>
      <c r="AV241" t="s">
        <v>232</v>
      </c>
      <c r="AW241" t="s">
        <v>60</v>
      </c>
      <c r="AX241" t="s">
        <v>68</v>
      </c>
      <c r="AY241" t="s">
        <v>69</v>
      </c>
      <c r="AZ241" t="b">
        <v>1</v>
      </c>
    </row>
    <row r="242" spans="1:52" x14ac:dyDescent="0.3">
      <c r="A242" t="s">
        <v>52</v>
      </c>
      <c r="B242" t="s">
        <v>53</v>
      </c>
      <c r="C242" t="s">
        <v>54</v>
      </c>
      <c r="D242" t="s">
        <v>55</v>
      </c>
      <c r="E242" t="s">
        <v>751</v>
      </c>
      <c r="F242" t="s">
        <v>176</v>
      </c>
      <c r="G242" t="s">
        <v>151</v>
      </c>
      <c r="H242" t="s">
        <v>152</v>
      </c>
      <c r="I242" t="s">
        <v>152</v>
      </c>
      <c r="J242" t="s">
        <v>60</v>
      </c>
      <c r="K242" t="s">
        <v>72</v>
      </c>
      <c r="L242" t="s">
        <v>62</v>
      </c>
      <c r="M242" t="s">
        <v>72</v>
      </c>
      <c r="N242" t="s">
        <v>153</v>
      </c>
      <c r="O242" t="s">
        <v>81</v>
      </c>
      <c r="P242">
        <v>-19.635065999999998</v>
      </c>
      <c r="Q242">
        <v>-43.916640000000001</v>
      </c>
      <c r="R242" s="2" t="str">
        <f>HYPERLINK("https://www.google.com/maps?q=-19.6350660,-43.9166400","Abrir no Google Maps")</f>
        <v>Abrir no Google Maps</v>
      </c>
      <c r="S242">
        <v>4</v>
      </c>
      <c r="T242">
        <v>245.09875796292749</v>
      </c>
      <c r="U242">
        <v>3</v>
      </c>
      <c r="V242">
        <v>11</v>
      </c>
      <c r="W242">
        <v>1</v>
      </c>
      <c r="X242">
        <v>11</v>
      </c>
      <c r="Y242">
        <v>3</v>
      </c>
      <c r="Z242">
        <v>207.74356419317499</v>
      </c>
      <c r="AA242">
        <v>2</v>
      </c>
      <c r="AB242">
        <v>3</v>
      </c>
      <c r="AC242">
        <v>7</v>
      </c>
      <c r="AD242">
        <v>24.62</v>
      </c>
      <c r="AE242">
        <v>253</v>
      </c>
      <c r="AF242">
        <v>11</v>
      </c>
      <c r="AG242">
        <v>67</v>
      </c>
      <c r="AH242">
        <v>32</v>
      </c>
      <c r="AI242">
        <v>4.3499999999999996</v>
      </c>
      <c r="AJ242">
        <v>26.48</v>
      </c>
      <c r="AK242">
        <v>12.65</v>
      </c>
      <c r="AL242">
        <v>-19.63505579999995</v>
      </c>
      <c r="AM242">
        <v>-43.916633303072622</v>
      </c>
      <c r="AN242">
        <v>-19.63505579999995</v>
      </c>
      <c r="AO242">
        <v>-43.916633303072622</v>
      </c>
      <c r="AP242">
        <v>-19.635065999999998</v>
      </c>
      <c r="AQ242">
        <v>-43.916640000000001</v>
      </c>
      <c r="AR242">
        <v>1.335026849412978</v>
      </c>
      <c r="AS242" t="s">
        <v>65</v>
      </c>
      <c r="AT242">
        <v>1</v>
      </c>
      <c r="AU242" t="s">
        <v>154</v>
      </c>
      <c r="AV242" t="s">
        <v>155</v>
      </c>
      <c r="AW242" t="s">
        <v>60</v>
      </c>
      <c r="AX242" t="s">
        <v>68</v>
      </c>
      <c r="AY242" t="s">
        <v>69</v>
      </c>
      <c r="AZ242" t="b">
        <v>1</v>
      </c>
    </row>
    <row r="243" spans="1:52" x14ac:dyDescent="0.3">
      <c r="A243" t="s">
        <v>52</v>
      </c>
      <c r="B243" t="s">
        <v>53</v>
      </c>
      <c r="C243" t="s">
        <v>54</v>
      </c>
      <c r="D243" t="s">
        <v>55</v>
      </c>
      <c r="E243" t="s">
        <v>751</v>
      </c>
      <c r="F243" t="s">
        <v>176</v>
      </c>
      <c r="G243" t="s">
        <v>233</v>
      </c>
      <c r="H243" t="s">
        <v>234</v>
      </c>
      <c r="I243" t="s">
        <v>234</v>
      </c>
      <c r="J243" t="s">
        <v>60</v>
      </c>
      <c r="K243" t="s">
        <v>235</v>
      </c>
      <c r="L243" t="s">
        <v>62</v>
      </c>
      <c r="M243" t="s">
        <v>235</v>
      </c>
      <c r="N243" t="s">
        <v>236</v>
      </c>
      <c r="O243" t="s">
        <v>120</v>
      </c>
      <c r="P243">
        <v>-19.621310000000001</v>
      </c>
      <c r="Q243">
        <v>-43.919790999999996</v>
      </c>
      <c r="R243" s="2" t="str">
        <f>HYPERLINK("https://www.google.com/maps?q=-19.6213100,-43.9197910","Abrir no Google Maps")</f>
        <v>Abrir no Google Maps</v>
      </c>
      <c r="S243">
        <v>4</v>
      </c>
      <c r="T243">
        <v>1927.7454867197271</v>
      </c>
      <c r="U243">
        <v>3</v>
      </c>
      <c r="V243">
        <v>9</v>
      </c>
      <c r="W243">
        <v>1</v>
      </c>
      <c r="X243">
        <v>9</v>
      </c>
      <c r="Y243">
        <v>3</v>
      </c>
      <c r="Z243">
        <v>1860.010741524231</v>
      </c>
      <c r="AA243">
        <v>2</v>
      </c>
      <c r="AB243">
        <v>3</v>
      </c>
      <c r="AC243">
        <v>7</v>
      </c>
      <c r="AD243">
        <v>24.62</v>
      </c>
      <c r="AE243">
        <v>253</v>
      </c>
      <c r="AF243">
        <v>11</v>
      </c>
      <c r="AG243">
        <v>67</v>
      </c>
      <c r="AH243">
        <v>32</v>
      </c>
      <c r="AI243">
        <v>4.3499999999999996</v>
      </c>
      <c r="AJ243">
        <v>26.48</v>
      </c>
      <c r="AK243">
        <v>12.65</v>
      </c>
      <c r="AL243">
        <v>-19.620273649999941</v>
      </c>
      <c r="AM243">
        <v>-43.920429283389112</v>
      </c>
      <c r="AN243">
        <v>-19.620273649999941</v>
      </c>
      <c r="AO243">
        <v>-43.920429283389112</v>
      </c>
      <c r="AP243">
        <v>-19.621310000000001</v>
      </c>
      <c r="AQ243">
        <v>-43.919790999999996</v>
      </c>
      <c r="AR243">
        <v>133.3747125733897</v>
      </c>
      <c r="AS243" t="s">
        <v>65</v>
      </c>
      <c r="AT243">
        <v>1</v>
      </c>
      <c r="AU243" t="s">
        <v>237</v>
      </c>
      <c r="AV243" t="s">
        <v>238</v>
      </c>
      <c r="AW243" t="s">
        <v>60</v>
      </c>
      <c r="AX243" t="s">
        <v>68</v>
      </c>
      <c r="AY243" t="s">
        <v>69</v>
      </c>
      <c r="AZ243" t="b">
        <v>1</v>
      </c>
    </row>
    <row r="244" spans="1:52" x14ac:dyDescent="0.3">
      <c r="A244" t="s">
        <v>52</v>
      </c>
      <c r="B244" t="s">
        <v>53</v>
      </c>
      <c r="C244" t="s">
        <v>54</v>
      </c>
      <c r="D244" t="s">
        <v>55</v>
      </c>
      <c r="E244" t="s">
        <v>751</v>
      </c>
      <c r="F244" t="s">
        <v>176</v>
      </c>
      <c r="G244" t="s">
        <v>632</v>
      </c>
      <c r="H244" t="s">
        <v>633</v>
      </c>
      <c r="I244" t="s">
        <v>633</v>
      </c>
      <c r="J244" t="s">
        <v>60</v>
      </c>
      <c r="K244" t="s">
        <v>164</v>
      </c>
      <c r="L244" t="s">
        <v>62</v>
      </c>
      <c r="M244" t="s">
        <v>164</v>
      </c>
      <c r="N244" t="s">
        <v>287</v>
      </c>
      <c r="O244" t="s">
        <v>634</v>
      </c>
      <c r="P244">
        <v>-19.647012</v>
      </c>
      <c r="Q244">
        <v>-43.903843000000002</v>
      </c>
      <c r="R244" s="2" t="str">
        <f>HYPERLINK("https://www.google.com/maps?q=-19.6470120,-43.9038430","Abrir no Google Maps")</f>
        <v>Abrir no Google Maps</v>
      </c>
      <c r="S244">
        <v>4</v>
      </c>
      <c r="T244">
        <v>0</v>
      </c>
      <c r="U244">
        <v>3</v>
      </c>
      <c r="V244">
        <v>9</v>
      </c>
      <c r="W244">
        <v>0.85</v>
      </c>
      <c r="X244">
        <v>7.6499999999999986</v>
      </c>
      <c r="Y244">
        <v>1</v>
      </c>
      <c r="Z244">
        <v>126.45608798330009</v>
      </c>
      <c r="AA244">
        <v>2</v>
      </c>
      <c r="AB244">
        <v>3</v>
      </c>
      <c r="AC244">
        <v>7</v>
      </c>
      <c r="AD244">
        <v>24.62</v>
      </c>
      <c r="AE244">
        <v>253</v>
      </c>
      <c r="AF244">
        <v>11</v>
      </c>
      <c r="AG244">
        <v>67</v>
      </c>
      <c r="AH244">
        <v>32</v>
      </c>
      <c r="AI244">
        <v>4.3499999999999996</v>
      </c>
      <c r="AJ244">
        <v>26.48</v>
      </c>
      <c r="AK244">
        <v>12.65</v>
      </c>
      <c r="AL244">
        <v>-19.647072199999968</v>
      </c>
      <c r="AM244">
        <v>-43.903751273681941</v>
      </c>
      <c r="AN244">
        <v>-19.647072199999968</v>
      </c>
      <c r="AO244">
        <v>-43.903751273681941</v>
      </c>
      <c r="AP244">
        <v>-19.647012</v>
      </c>
      <c r="AQ244">
        <v>-43.903843000000002</v>
      </c>
      <c r="AR244">
        <v>11.72121231224985</v>
      </c>
      <c r="AS244" t="s">
        <v>65</v>
      </c>
      <c r="AT244">
        <v>1</v>
      </c>
      <c r="AU244" t="s">
        <v>635</v>
      </c>
      <c r="AV244" t="s">
        <v>636</v>
      </c>
      <c r="AW244" t="s">
        <v>60</v>
      </c>
      <c r="AX244" t="s">
        <v>68</v>
      </c>
      <c r="AY244" t="s">
        <v>69</v>
      </c>
      <c r="AZ244" t="b">
        <v>1</v>
      </c>
    </row>
    <row r="245" spans="1:52" x14ac:dyDescent="0.3">
      <c r="A245" t="s">
        <v>52</v>
      </c>
      <c r="B245" t="s">
        <v>53</v>
      </c>
      <c r="C245" t="s">
        <v>54</v>
      </c>
      <c r="D245" t="s">
        <v>55</v>
      </c>
      <c r="E245" t="s">
        <v>751</v>
      </c>
      <c r="F245" t="s">
        <v>176</v>
      </c>
      <c r="G245" t="s">
        <v>637</v>
      </c>
      <c r="H245" t="s">
        <v>638</v>
      </c>
      <c r="I245" t="s">
        <v>638</v>
      </c>
      <c r="J245" t="s">
        <v>60</v>
      </c>
      <c r="K245" t="s">
        <v>164</v>
      </c>
      <c r="L245" t="s">
        <v>62</v>
      </c>
      <c r="M245" t="s">
        <v>164</v>
      </c>
      <c r="N245" t="s">
        <v>515</v>
      </c>
      <c r="O245" t="s">
        <v>639</v>
      </c>
      <c r="P245">
        <v>-19.649045000000001</v>
      </c>
      <c r="Q245">
        <v>-43.906213000000001</v>
      </c>
      <c r="R245" s="2" t="str">
        <f>HYPERLINK("https://www.google.com/maps?q=-19.6490450,-43.9062130","Abrir no Google Maps")</f>
        <v>Abrir no Google Maps</v>
      </c>
      <c r="S245">
        <v>4</v>
      </c>
      <c r="T245">
        <v>354.5775313741824</v>
      </c>
      <c r="U245">
        <v>3</v>
      </c>
      <c r="V245">
        <v>13</v>
      </c>
      <c r="W245">
        <v>0.85</v>
      </c>
      <c r="X245">
        <v>11.05</v>
      </c>
      <c r="Y245">
        <v>1</v>
      </c>
      <c r="Z245">
        <v>313.4728845052731</v>
      </c>
      <c r="AA245">
        <v>2</v>
      </c>
      <c r="AB245">
        <v>3</v>
      </c>
      <c r="AC245">
        <v>7</v>
      </c>
      <c r="AD245">
        <v>24.62</v>
      </c>
      <c r="AE245">
        <v>253</v>
      </c>
      <c r="AF245">
        <v>11</v>
      </c>
      <c r="AG245">
        <v>67</v>
      </c>
      <c r="AH245">
        <v>32</v>
      </c>
      <c r="AI245">
        <v>4.3499999999999996</v>
      </c>
      <c r="AJ245">
        <v>26.48</v>
      </c>
      <c r="AK245">
        <v>12.65</v>
      </c>
      <c r="AL245">
        <v>-19.64957229999996</v>
      </c>
      <c r="AM245">
        <v>-43.905865971426437</v>
      </c>
      <c r="AN245">
        <v>-19.64957229999996</v>
      </c>
      <c r="AO245">
        <v>-43.905865971426437</v>
      </c>
      <c r="AP245">
        <v>-19.649045000000001</v>
      </c>
      <c r="AQ245">
        <v>-43.906213000000001</v>
      </c>
      <c r="AR245">
        <v>69.059379686882949</v>
      </c>
      <c r="AS245" t="s">
        <v>65</v>
      </c>
      <c r="AT245">
        <v>1</v>
      </c>
      <c r="AU245" t="s">
        <v>640</v>
      </c>
      <c r="AV245" t="s">
        <v>641</v>
      </c>
      <c r="AW245" t="s">
        <v>60</v>
      </c>
      <c r="AX245" t="s">
        <v>68</v>
      </c>
      <c r="AY245" t="s">
        <v>69</v>
      </c>
      <c r="AZ245" t="b">
        <v>1</v>
      </c>
    </row>
    <row r="246" spans="1:52" x14ac:dyDescent="0.3">
      <c r="A246" t="s">
        <v>52</v>
      </c>
      <c r="B246" t="s">
        <v>53</v>
      </c>
      <c r="C246" t="s">
        <v>54</v>
      </c>
      <c r="D246" t="s">
        <v>55</v>
      </c>
      <c r="E246" t="s">
        <v>751</v>
      </c>
      <c r="F246" t="s">
        <v>176</v>
      </c>
      <c r="G246" t="s">
        <v>438</v>
      </c>
      <c r="H246" t="s">
        <v>752</v>
      </c>
      <c r="I246" t="s">
        <v>752</v>
      </c>
      <c r="J246" t="s">
        <v>60</v>
      </c>
      <c r="K246" t="s">
        <v>753</v>
      </c>
      <c r="L246" t="s">
        <v>62</v>
      </c>
      <c r="M246" t="s">
        <v>753</v>
      </c>
      <c r="N246" t="s">
        <v>754</v>
      </c>
      <c r="O246" t="s">
        <v>755</v>
      </c>
      <c r="P246">
        <v>-19.659098</v>
      </c>
      <c r="Q246">
        <v>-43.888488000000002</v>
      </c>
      <c r="R246" s="2" t="str">
        <f>HYPERLINK("https://www.google.com/maps?q=-19.6590980,-43.8884880","Abrir no Google Maps")</f>
        <v>Abrir no Google Maps</v>
      </c>
      <c r="S246">
        <v>4</v>
      </c>
      <c r="T246">
        <v>1037.769377643863</v>
      </c>
      <c r="U246">
        <v>3</v>
      </c>
      <c r="V246">
        <v>9</v>
      </c>
      <c r="W246">
        <v>0.85</v>
      </c>
      <c r="X246">
        <v>7.6499999999999986</v>
      </c>
      <c r="Y246">
        <v>1</v>
      </c>
      <c r="Z246">
        <v>847.56431815704627</v>
      </c>
      <c r="AA246">
        <v>2</v>
      </c>
      <c r="AB246">
        <v>3</v>
      </c>
      <c r="AC246">
        <v>7</v>
      </c>
      <c r="AD246">
        <v>24.62</v>
      </c>
      <c r="AE246">
        <v>253</v>
      </c>
      <c r="AF246">
        <v>11</v>
      </c>
      <c r="AG246">
        <v>67</v>
      </c>
      <c r="AH246">
        <v>32</v>
      </c>
      <c r="AI246">
        <v>4.3499999999999996</v>
      </c>
      <c r="AJ246">
        <v>26.48</v>
      </c>
      <c r="AK246">
        <v>12.65</v>
      </c>
      <c r="AL246">
        <v>-19.659176099999971</v>
      </c>
      <c r="AM246">
        <v>-43.888431463374943</v>
      </c>
      <c r="AN246">
        <v>-19.659176099999971</v>
      </c>
      <c r="AO246">
        <v>-43.888431463374943</v>
      </c>
      <c r="AP246">
        <v>-19.659098</v>
      </c>
      <c r="AQ246">
        <v>-43.888488000000002</v>
      </c>
      <c r="AR246">
        <v>10.5220828934303</v>
      </c>
      <c r="AS246" t="s">
        <v>65</v>
      </c>
      <c r="AT246">
        <v>1</v>
      </c>
      <c r="AU246" t="s">
        <v>756</v>
      </c>
      <c r="AV246" t="s">
        <v>757</v>
      </c>
      <c r="AW246" t="s">
        <v>60</v>
      </c>
      <c r="AX246" t="s">
        <v>68</v>
      </c>
      <c r="AY246" t="s">
        <v>69</v>
      </c>
      <c r="AZ246" t="b">
        <v>1</v>
      </c>
    </row>
    <row r="247" spans="1:52" x14ac:dyDescent="0.3">
      <c r="A247" t="s">
        <v>52</v>
      </c>
      <c r="B247" t="s">
        <v>53</v>
      </c>
      <c r="C247" t="s">
        <v>54</v>
      </c>
      <c r="D247" t="s">
        <v>55</v>
      </c>
      <c r="E247" t="s">
        <v>751</v>
      </c>
      <c r="F247" t="s">
        <v>176</v>
      </c>
      <c r="G247" t="s">
        <v>246</v>
      </c>
      <c r="H247" t="s">
        <v>247</v>
      </c>
      <c r="I247" t="s">
        <v>247</v>
      </c>
      <c r="J247" t="s">
        <v>60</v>
      </c>
      <c r="K247" t="s">
        <v>164</v>
      </c>
      <c r="L247" t="s">
        <v>62</v>
      </c>
      <c r="M247" t="s">
        <v>164</v>
      </c>
      <c r="N247" t="s">
        <v>248</v>
      </c>
      <c r="O247" t="s">
        <v>249</v>
      </c>
      <c r="P247">
        <v>-19.6448</v>
      </c>
      <c r="Q247">
        <v>-43.901600999999999</v>
      </c>
      <c r="R247" s="2" t="str">
        <f>HYPERLINK("https://www.google.com/maps?q=-19.6448000,-43.9016010","Abrir no Google Maps")</f>
        <v>Abrir no Google Maps</v>
      </c>
      <c r="S247">
        <v>4</v>
      </c>
      <c r="T247">
        <v>317.869447308274</v>
      </c>
      <c r="U247">
        <v>3</v>
      </c>
      <c r="V247">
        <v>13</v>
      </c>
      <c r="W247">
        <v>1</v>
      </c>
      <c r="X247">
        <v>13</v>
      </c>
      <c r="Y247">
        <v>1</v>
      </c>
      <c r="Z247">
        <v>349.42631749673592</v>
      </c>
      <c r="AA247">
        <v>2</v>
      </c>
      <c r="AB247">
        <v>3</v>
      </c>
      <c r="AC247">
        <v>7</v>
      </c>
      <c r="AD247">
        <v>24.62</v>
      </c>
      <c r="AE247">
        <v>253</v>
      </c>
      <c r="AF247">
        <v>11</v>
      </c>
      <c r="AG247">
        <v>67</v>
      </c>
      <c r="AH247">
        <v>32</v>
      </c>
      <c r="AI247">
        <v>4.3499999999999996</v>
      </c>
      <c r="AJ247">
        <v>26.48</v>
      </c>
      <c r="AK247">
        <v>12.65</v>
      </c>
      <c r="AL247">
        <v>-19.644877249999951</v>
      </c>
      <c r="AM247">
        <v>-43.901796079893373</v>
      </c>
      <c r="AN247">
        <v>-19.644877249999951</v>
      </c>
      <c r="AO247">
        <v>-43.901796079893373</v>
      </c>
      <c r="AP247">
        <v>-19.6448</v>
      </c>
      <c r="AQ247">
        <v>-43.901600999999999</v>
      </c>
      <c r="AR247">
        <v>22.186635956426102</v>
      </c>
      <c r="AS247" t="s">
        <v>65</v>
      </c>
      <c r="AT247">
        <v>1</v>
      </c>
      <c r="AU247" t="s">
        <v>250</v>
      </c>
      <c r="AV247" t="s">
        <v>251</v>
      </c>
      <c r="AW247" t="s">
        <v>60</v>
      </c>
      <c r="AX247" t="s">
        <v>68</v>
      </c>
      <c r="AY247" t="s">
        <v>69</v>
      </c>
      <c r="AZ247" t="b">
        <v>1</v>
      </c>
    </row>
    <row r="248" spans="1:52" x14ac:dyDescent="0.3">
      <c r="A248" t="s">
        <v>52</v>
      </c>
      <c r="B248" t="s">
        <v>53</v>
      </c>
      <c r="C248" t="s">
        <v>54</v>
      </c>
      <c r="D248" t="s">
        <v>55</v>
      </c>
      <c r="E248" t="s">
        <v>751</v>
      </c>
      <c r="F248" t="s">
        <v>176</v>
      </c>
      <c r="G248" t="s">
        <v>252</v>
      </c>
      <c r="H248" t="s">
        <v>253</v>
      </c>
      <c r="I248" t="s">
        <v>253</v>
      </c>
      <c r="J248" t="s">
        <v>60</v>
      </c>
      <c r="K248" t="s">
        <v>164</v>
      </c>
      <c r="L248" t="s">
        <v>62</v>
      </c>
      <c r="M248" t="s">
        <v>164</v>
      </c>
      <c r="N248" t="s">
        <v>254</v>
      </c>
      <c r="O248" t="s">
        <v>255</v>
      </c>
      <c r="P248">
        <v>-19.652244</v>
      </c>
      <c r="Q248">
        <v>-43.906869</v>
      </c>
      <c r="R248" s="2" t="str">
        <f>HYPERLINK("https://www.google.com/maps?q=-19.6522440,-43.9068690","Abrir no Google Maps")</f>
        <v>Abrir no Google Maps</v>
      </c>
      <c r="S248">
        <v>4</v>
      </c>
      <c r="T248">
        <v>659.98887289357856</v>
      </c>
      <c r="U248">
        <v>3</v>
      </c>
      <c r="V248">
        <v>13</v>
      </c>
      <c r="W248">
        <v>1</v>
      </c>
      <c r="X248">
        <v>13</v>
      </c>
      <c r="Y248">
        <v>1</v>
      </c>
      <c r="Z248">
        <v>607.69009953455907</v>
      </c>
      <c r="AA248">
        <v>2</v>
      </c>
      <c r="AB248">
        <v>3</v>
      </c>
      <c r="AC248">
        <v>7</v>
      </c>
      <c r="AD248">
        <v>24.62</v>
      </c>
      <c r="AE248">
        <v>253</v>
      </c>
      <c r="AF248">
        <v>11</v>
      </c>
      <c r="AG248">
        <v>67</v>
      </c>
      <c r="AH248">
        <v>32</v>
      </c>
      <c r="AI248">
        <v>4.3499999999999996</v>
      </c>
      <c r="AJ248">
        <v>26.48</v>
      </c>
      <c r="AK248">
        <v>12.65</v>
      </c>
      <c r="AL248">
        <v>-19.65225609999996</v>
      </c>
      <c r="AM248">
        <v>-43.906862663911163</v>
      </c>
      <c r="AN248">
        <v>-19.65225609999996</v>
      </c>
      <c r="AO248">
        <v>-43.906862663911149</v>
      </c>
      <c r="AP248">
        <v>-19.652244</v>
      </c>
      <c r="AQ248">
        <v>-43.906869</v>
      </c>
      <c r="AR248">
        <v>1.501852076897872</v>
      </c>
      <c r="AS248" t="s">
        <v>65</v>
      </c>
      <c r="AT248">
        <v>1</v>
      </c>
      <c r="AU248" t="s">
        <v>256</v>
      </c>
      <c r="AV248" t="s">
        <v>257</v>
      </c>
      <c r="AW248" t="s">
        <v>60</v>
      </c>
      <c r="AX248" t="s">
        <v>68</v>
      </c>
      <c r="AY248" t="s">
        <v>69</v>
      </c>
      <c r="AZ248" t="b">
        <v>1</v>
      </c>
    </row>
    <row r="249" spans="1:52" x14ac:dyDescent="0.3">
      <c r="A249" t="s">
        <v>52</v>
      </c>
      <c r="B249" t="s">
        <v>53</v>
      </c>
      <c r="C249" t="s">
        <v>54</v>
      </c>
      <c r="D249" t="s">
        <v>55</v>
      </c>
      <c r="E249" t="s">
        <v>751</v>
      </c>
      <c r="F249" t="s">
        <v>176</v>
      </c>
      <c r="G249" t="s">
        <v>258</v>
      </c>
      <c r="H249" t="s">
        <v>259</v>
      </c>
      <c r="I249" t="s">
        <v>259</v>
      </c>
      <c r="J249" t="s">
        <v>60</v>
      </c>
      <c r="K249" t="s">
        <v>192</v>
      </c>
      <c r="L249" t="s">
        <v>62</v>
      </c>
      <c r="M249" t="s">
        <v>192</v>
      </c>
      <c r="N249" t="s">
        <v>260</v>
      </c>
      <c r="O249" t="s">
        <v>261</v>
      </c>
      <c r="P249">
        <v>-19.651322</v>
      </c>
      <c r="Q249">
        <v>-43.909526999999997</v>
      </c>
      <c r="R249" s="2" t="str">
        <f>HYPERLINK("https://www.google.com/maps?q=-19.6513220,-43.9095270","Abrir no Google Maps")</f>
        <v>Abrir no Google Maps</v>
      </c>
      <c r="S249">
        <v>4</v>
      </c>
      <c r="T249">
        <v>818.75599819160288</v>
      </c>
      <c r="U249">
        <v>3</v>
      </c>
      <c r="V249">
        <v>13</v>
      </c>
      <c r="W249">
        <v>1</v>
      </c>
      <c r="X249">
        <v>13</v>
      </c>
      <c r="Y249">
        <v>1</v>
      </c>
      <c r="Z249">
        <v>730.53961508554767</v>
      </c>
      <c r="AA249">
        <v>2</v>
      </c>
      <c r="AB249">
        <v>3</v>
      </c>
      <c r="AC249">
        <v>7</v>
      </c>
      <c r="AD249">
        <v>24.62</v>
      </c>
      <c r="AE249">
        <v>253</v>
      </c>
      <c r="AF249">
        <v>11</v>
      </c>
      <c r="AG249">
        <v>67</v>
      </c>
      <c r="AH249">
        <v>32</v>
      </c>
      <c r="AI249">
        <v>4.3499999999999996</v>
      </c>
      <c r="AJ249">
        <v>26.48</v>
      </c>
      <c r="AK249">
        <v>12.65</v>
      </c>
      <c r="AL249">
        <v>-19.65143184999997</v>
      </c>
      <c r="AM249">
        <v>-43.910059983056307</v>
      </c>
      <c r="AN249">
        <v>-19.65143184999997</v>
      </c>
      <c r="AO249">
        <v>-43.910059983056307</v>
      </c>
      <c r="AP249">
        <v>-19.651322</v>
      </c>
      <c r="AQ249">
        <v>-43.909526999999997</v>
      </c>
      <c r="AR249">
        <v>57.198416395481701</v>
      </c>
      <c r="AS249" t="s">
        <v>65</v>
      </c>
      <c r="AT249">
        <v>1</v>
      </c>
      <c r="AU249" t="s">
        <v>262</v>
      </c>
      <c r="AV249" t="s">
        <v>263</v>
      </c>
      <c r="AW249" t="s">
        <v>60</v>
      </c>
      <c r="AX249" t="s">
        <v>68</v>
      </c>
      <c r="AY249" t="s">
        <v>69</v>
      </c>
      <c r="AZ249" t="b">
        <v>1</v>
      </c>
    </row>
    <row r="250" spans="1:52" x14ac:dyDescent="0.3">
      <c r="A250" t="s">
        <v>52</v>
      </c>
      <c r="B250" t="s">
        <v>53</v>
      </c>
      <c r="C250" t="s">
        <v>54</v>
      </c>
      <c r="D250" t="s">
        <v>55</v>
      </c>
      <c r="E250" t="s">
        <v>751</v>
      </c>
      <c r="F250" t="s">
        <v>176</v>
      </c>
      <c r="G250" t="s">
        <v>642</v>
      </c>
      <c r="H250" t="s">
        <v>643</v>
      </c>
      <c r="I250" t="s">
        <v>643</v>
      </c>
      <c r="J250" t="s">
        <v>60</v>
      </c>
      <c r="K250" t="s">
        <v>164</v>
      </c>
      <c r="L250" t="s">
        <v>62</v>
      </c>
      <c r="M250" t="s">
        <v>164</v>
      </c>
      <c r="N250" t="s">
        <v>644</v>
      </c>
      <c r="O250" t="s">
        <v>81</v>
      </c>
      <c r="P250">
        <v>-19.644956000000001</v>
      </c>
      <c r="Q250">
        <v>-43.901023000000002</v>
      </c>
      <c r="R250" s="2" t="str">
        <f>HYPERLINK("https://www.google.com/maps?q=-19.6449560,-43.9010230","Abrir no Google Maps")</f>
        <v>Abrir no Google Maps</v>
      </c>
      <c r="S250">
        <v>4</v>
      </c>
      <c r="T250">
        <v>378.64754976511352</v>
      </c>
      <c r="U250">
        <v>3</v>
      </c>
      <c r="V250">
        <v>11</v>
      </c>
      <c r="W250">
        <v>0.85</v>
      </c>
      <c r="X250">
        <v>9.35</v>
      </c>
      <c r="Y250">
        <v>1</v>
      </c>
      <c r="Z250">
        <v>510.11108946713603</v>
      </c>
      <c r="AA250">
        <v>2</v>
      </c>
      <c r="AB250">
        <v>3</v>
      </c>
      <c r="AC250">
        <v>7</v>
      </c>
      <c r="AD250">
        <v>24.62</v>
      </c>
      <c r="AE250">
        <v>253</v>
      </c>
      <c r="AF250">
        <v>11</v>
      </c>
      <c r="AG250">
        <v>67</v>
      </c>
      <c r="AH250">
        <v>32</v>
      </c>
      <c r="AI250">
        <v>4.3499999999999996</v>
      </c>
      <c r="AJ250">
        <v>26.48</v>
      </c>
      <c r="AK250">
        <v>12.65</v>
      </c>
      <c r="AL250">
        <v>-19.644933249999951</v>
      </c>
      <c r="AM250">
        <v>-43.900932838618871</v>
      </c>
      <c r="AN250">
        <v>-19.644933249999951</v>
      </c>
      <c r="AO250">
        <v>-43.900932838618871</v>
      </c>
      <c r="AP250">
        <v>-19.644956000000001</v>
      </c>
      <c r="AQ250">
        <v>-43.901023000000002</v>
      </c>
      <c r="AR250">
        <v>9.7859445473101285</v>
      </c>
      <c r="AS250" t="s">
        <v>65</v>
      </c>
      <c r="AT250">
        <v>1</v>
      </c>
      <c r="AU250" t="s">
        <v>645</v>
      </c>
      <c r="AV250" t="s">
        <v>646</v>
      </c>
      <c r="AW250" t="s">
        <v>60</v>
      </c>
      <c r="AX250" t="s">
        <v>68</v>
      </c>
      <c r="AY250" t="s">
        <v>69</v>
      </c>
      <c r="AZ250" t="b">
        <v>1</v>
      </c>
    </row>
    <row r="251" spans="1:52" x14ac:dyDescent="0.3">
      <c r="A251" t="s">
        <v>52</v>
      </c>
      <c r="B251" t="s">
        <v>53</v>
      </c>
      <c r="C251" t="s">
        <v>54</v>
      </c>
      <c r="D251" t="s">
        <v>55</v>
      </c>
      <c r="E251" t="s">
        <v>751</v>
      </c>
      <c r="F251" t="s">
        <v>176</v>
      </c>
      <c r="G251" t="s">
        <v>217</v>
      </c>
      <c r="H251" t="s">
        <v>264</v>
      </c>
      <c r="I251" t="s">
        <v>264</v>
      </c>
      <c r="J251" t="s">
        <v>60</v>
      </c>
      <c r="K251" t="s">
        <v>219</v>
      </c>
      <c r="L251" t="s">
        <v>62</v>
      </c>
      <c r="M251" t="s">
        <v>219</v>
      </c>
      <c r="N251" t="s">
        <v>220</v>
      </c>
      <c r="O251" t="s">
        <v>265</v>
      </c>
      <c r="P251">
        <v>-19.668958</v>
      </c>
      <c r="Q251">
        <v>-43.890619999999998</v>
      </c>
      <c r="R251" s="2" t="str">
        <f>HYPERLINK("https://www.google.com/maps?q=-19.6689580,-43.8906200","Abrir no Google Maps")</f>
        <v>Abrir no Google Maps</v>
      </c>
      <c r="S251">
        <v>4</v>
      </c>
      <c r="T251">
        <v>893.53138484322108</v>
      </c>
      <c r="U251">
        <v>3</v>
      </c>
      <c r="V251">
        <v>11</v>
      </c>
      <c r="W251">
        <v>1</v>
      </c>
      <c r="X251">
        <v>11</v>
      </c>
      <c r="Y251">
        <v>1</v>
      </c>
      <c r="Z251">
        <v>336.68220024294959</v>
      </c>
      <c r="AA251">
        <v>2</v>
      </c>
      <c r="AB251">
        <v>3</v>
      </c>
      <c r="AC251">
        <v>7</v>
      </c>
      <c r="AD251">
        <v>24.62</v>
      </c>
      <c r="AE251">
        <v>253</v>
      </c>
      <c r="AF251">
        <v>11</v>
      </c>
      <c r="AG251">
        <v>67</v>
      </c>
      <c r="AH251">
        <v>32</v>
      </c>
      <c r="AI251">
        <v>4.3499999999999996</v>
      </c>
      <c r="AJ251">
        <v>26.48</v>
      </c>
      <c r="AK251">
        <v>12.65</v>
      </c>
      <c r="AL251">
        <v>-19.669114549999961</v>
      </c>
      <c r="AM251">
        <v>-43.890740893526242</v>
      </c>
      <c r="AN251">
        <v>-19.669114549999961</v>
      </c>
      <c r="AO251">
        <v>-43.890740893526242</v>
      </c>
      <c r="AP251">
        <v>-19.668958</v>
      </c>
      <c r="AQ251">
        <v>-43.890619999999998</v>
      </c>
      <c r="AR251">
        <v>21.54764375256557</v>
      </c>
      <c r="AS251" t="s">
        <v>65</v>
      </c>
      <c r="AT251">
        <v>1</v>
      </c>
      <c r="AU251" t="s">
        <v>266</v>
      </c>
      <c r="AV251" t="s">
        <v>267</v>
      </c>
      <c r="AW251" t="s">
        <v>60</v>
      </c>
      <c r="AX251" t="s">
        <v>68</v>
      </c>
      <c r="AY251" t="s">
        <v>69</v>
      </c>
      <c r="AZ251" t="b">
        <v>1</v>
      </c>
    </row>
    <row r="252" spans="1:52" x14ac:dyDescent="0.3">
      <c r="A252" t="s">
        <v>52</v>
      </c>
      <c r="B252" t="s">
        <v>53</v>
      </c>
      <c r="C252" t="s">
        <v>54</v>
      </c>
      <c r="D252" t="s">
        <v>55</v>
      </c>
      <c r="E252" t="s">
        <v>751</v>
      </c>
      <c r="F252" t="s">
        <v>176</v>
      </c>
      <c r="G252" t="s">
        <v>658</v>
      </c>
      <c r="H252" t="s">
        <v>659</v>
      </c>
      <c r="I252" t="s">
        <v>659</v>
      </c>
      <c r="J252" t="s">
        <v>60</v>
      </c>
      <c r="K252" t="s">
        <v>219</v>
      </c>
      <c r="L252" t="s">
        <v>62</v>
      </c>
      <c r="M252" t="s">
        <v>219</v>
      </c>
      <c r="N252" t="s">
        <v>660</v>
      </c>
      <c r="O252" t="s">
        <v>661</v>
      </c>
      <c r="P252">
        <v>-19.666937999999998</v>
      </c>
      <c r="Q252">
        <v>-43.888468000000003</v>
      </c>
      <c r="R252" s="2" t="str">
        <f>HYPERLINK("https://www.google.com/maps?q=-19.6669380,-43.8884680","Abrir no Google Maps")</f>
        <v>Abrir no Google Maps</v>
      </c>
      <c r="S252">
        <v>4</v>
      </c>
      <c r="T252">
        <v>1154.601486572938</v>
      </c>
      <c r="U252">
        <v>3</v>
      </c>
      <c r="V252">
        <v>10</v>
      </c>
      <c r="W252">
        <v>0.85</v>
      </c>
      <c r="X252">
        <v>8.5</v>
      </c>
      <c r="Y252">
        <v>1</v>
      </c>
      <c r="Z252">
        <v>129.9648546404961</v>
      </c>
      <c r="AA252">
        <v>2</v>
      </c>
      <c r="AB252">
        <v>3</v>
      </c>
      <c r="AC252">
        <v>7</v>
      </c>
      <c r="AD252">
        <v>24.62</v>
      </c>
      <c r="AE252">
        <v>253</v>
      </c>
      <c r="AF252">
        <v>11</v>
      </c>
      <c r="AG252">
        <v>67</v>
      </c>
      <c r="AH252">
        <v>32</v>
      </c>
      <c r="AI252">
        <v>4.3499999999999996</v>
      </c>
      <c r="AJ252">
        <v>26.48</v>
      </c>
      <c r="AK252">
        <v>12.65</v>
      </c>
      <c r="AL252">
        <v>-19.666844549999951</v>
      </c>
      <c r="AM252">
        <v>-43.888501800017913</v>
      </c>
      <c r="AN252">
        <v>-19.666844549999951</v>
      </c>
      <c r="AO252">
        <v>-43.888501800017913</v>
      </c>
      <c r="AP252">
        <v>-19.666937999999998</v>
      </c>
      <c r="AQ252">
        <v>-43.888468000000003</v>
      </c>
      <c r="AR252">
        <v>10.9896825754148</v>
      </c>
      <c r="AS252" t="s">
        <v>65</v>
      </c>
      <c r="AT252">
        <v>1</v>
      </c>
      <c r="AU252" t="s">
        <v>662</v>
      </c>
      <c r="AV252" t="s">
        <v>663</v>
      </c>
      <c r="AW252" t="s">
        <v>60</v>
      </c>
      <c r="AX252" t="s">
        <v>68</v>
      </c>
      <c r="AY252" t="s">
        <v>69</v>
      </c>
      <c r="AZ252" t="b">
        <v>1</v>
      </c>
    </row>
    <row r="253" spans="1:52" x14ac:dyDescent="0.3">
      <c r="A253" t="s">
        <v>52</v>
      </c>
      <c r="B253" t="s">
        <v>53</v>
      </c>
      <c r="C253" t="s">
        <v>54</v>
      </c>
      <c r="D253" t="s">
        <v>55</v>
      </c>
      <c r="E253" t="s">
        <v>751</v>
      </c>
      <c r="F253" t="s">
        <v>176</v>
      </c>
      <c r="G253" t="s">
        <v>268</v>
      </c>
      <c r="H253" t="s">
        <v>269</v>
      </c>
      <c r="I253" t="s">
        <v>269</v>
      </c>
      <c r="J253" t="s">
        <v>60</v>
      </c>
      <c r="K253" t="s">
        <v>164</v>
      </c>
      <c r="L253" t="s">
        <v>62</v>
      </c>
      <c r="M253" t="s">
        <v>164</v>
      </c>
      <c r="N253" t="s">
        <v>270</v>
      </c>
      <c r="O253" t="s">
        <v>113</v>
      </c>
      <c r="P253">
        <v>-19.648771</v>
      </c>
      <c r="Q253">
        <v>-43.903640000000003</v>
      </c>
      <c r="R253" s="2" t="str">
        <f>HYPERLINK("https://www.google.com/maps?q=-19.6487710,-43.9036400","Abrir no Google Maps")</f>
        <v>Abrir no Google Maps</v>
      </c>
      <c r="S253">
        <v>4</v>
      </c>
      <c r="T253">
        <v>206.63717887005251</v>
      </c>
      <c r="U253">
        <v>3</v>
      </c>
      <c r="V253">
        <v>10</v>
      </c>
      <c r="W253">
        <v>1</v>
      </c>
      <c r="X253">
        <v>10</v>
      </c>
      <c r="Y253">
        <v>1</v>
      </c>
      <c r="Z253">
        <v>200.80459056276209</v>
      </c>
      <c r="AA253">
        <v>2</v>
      </c>
      <c r="AB253">
        <v>3</v>
      </c>
      <c r="AC253">
        <v>7</v>
      </c>
      <c r="AD253">
        <v>24.62</v>
      </c>
      <c r="AE253">
        <v>253</v>
      </c>
      <c r="AF253">
        <v>11</v>
      </c>
      <c r="AG253">
        <v>67</v>
      </c>
      <c r="AH253">
        <v>32</v>
      </c>
      <c r="AI253">
        <v>4.3499999999999996</v>
      </c>
      <c r="AJ253">
        <v>26.48</v>
      </c>
      <c r="AK253">
        <v>12.65</v>
      </c>
      <c r="AL253">
        <v>-19.648938299999969</v>
      </c>
      <c r="AM253">
        <v>-43.903687287450857</v>
      </c>
      <c r="AN253">
        <v>-19.648938299999969</v>
      </c>
      <c r="AO253">
        <v>-43.903687287450857</v>
      </c>
      <c r="AP253">
        <v>-19.648771</v>
      </c>
      <c r="AQ253">
        <v>-43.903640000000003</v>
      </c>
      <c r="AR253">
        <v>19.272369946853829</v>
      </c>
      <c r="AS253" t="s">
        <v>65</v>
      </c>
      <c r="AT253">
        <v>1</v>
      </c>
      <c r="AU253" t="s">
        <v>271</v>
      </c>
      <c r="AV253" t="s">
        <v>272</v>
      </c>
      <c r="AW253" t="s">
        <v>60</v>
      </c>
      <c r="AX253" t="s">
        <v>68</v>
      </c>
      <c r="AY253" t="s">
        <v>69</v>
      </c>
      <c r="AZ253" t="b">
        <v>1</v>
      </c>
    </row>
    <row r="254" spans="1:52" x14ac:dyDescent="0.3">
      <c r="A254" t="s">
        <v>52</v>
      </c>
      <c r="B254" t="s">
        <v>53</v>
      </c>
      <c r="C254" t="s">
        <v>54</v>
      </c>
      <c r="D254" t="s">
        <v>55</v>
      </c>
      <c r="E254" t="s">
        <v>751</v>
      </c>
      <c r="F254" t="s">
        <v>176</v>
      </c>
      <c r="G254" t="s">
        <v>162</v>
      </c>
      <c r="H254" t="s">
        <v>163</v>
      </c>
      <c r="I254" t="s">
        <v>163</v>
      </c>
      <c r="J254" t="s">
        <v>60</v>
      </c>
      <c r="K254" t="s">
        <v>164</v>
      </c>
      <c r="L254" t="s">
        <v>62</v>
      </c>
      <c r="M254" t="s">
        <v>164</v>
      </c>
      <c r="N254" t="s">
        <v>165</v>
      </c>
      <c r="O254" t="s">
        <v>166</v>
      </c>
      <c r="P254">
        <v>-19.650033000000001</v>
      </c>
      <c r="Q254">
        <v>-43.904634000000001</v>
      </c>
      <c r="R254" s="2" t="str">
        <f>HYPERLINK("https://www.google.com/maps?q=-19.6500330,-43.9046340","Abrir no Google Maps")</f>
        <v>Abrir no Google Maps</v>
      </c>
      <c r="S254">
        <v>4</v>
      </c>
      <c r="T254">
        <v>343.61469317865811</v>
      </c>
      <c r="U254">
        <v>3</v>
      </c>
      <c r="V254">
        <v>11</v>
      </c>
      <c r="W254">
        <v>1</v>
      </c>
      <c r="X254">
        <v>11</v>
      </c>
      <c r="Y254">
        <v>1</v>
      </c>
      <c r="Z254">
        <v>351.81960241626399</v>
      </c>
      <c r="AA254">
        <v>2</v>
      </c>
      <c r="AB254">
        <v>3</v>
      </c>
      <c r="AC254">
        <v>7</v>
      </c>
      <c r="AD254">
        <v>24.62</v>
      </c>
      <c r="AE254">
        <v>253</v>
      </c>
      <c r="AF254">
        <v>11</v>
      </c>
      <c r="AG254">
        <v>67</v>
      </c>
      <c r="AH254">
        <v>32</v>
      </c>
      <c r="AI254">
        <v>4.3499999999999996</v>
      </c>
      <c r="AJ254">
        <v>26.48</v>
      </c>
      <c r="AK254">
        <v>12.65</v>
      </c>
      <c r="AL254">
        <v>-19.650065899999959</v>
      </c>
      <c r="AM254">
        <v>-43.904619920569793</v>
      </c>
      <c r="AN254">
        <v>-19.650065899999959</v>
      </c>
      <c r="AO254">
        <v>-43.904619920569793</v>
      </c>
      <c r="AP254">
        <v>-19.650033000000001</v>
      </c>
      <c r="AQ254">
        <v>-43.904634000000001</v>
      </c>
      <c r="AR254">
        <v>3.9486827164921792</v>
      </c>
      <c r="AS254" t="s">
        <v>65</v>
      </c>
      <c r="AT254">
        <v>1</v>
      </c>
      <c r="AU254" t="s">
        <v>167</v>
      </c>
      <c r="AV254" t="s">
        <v>168</v>
      </c>
      <c r="AW254" t="s">
        <v>60</v>
      </c>
      <c r="AX254" t="s">
        <v>68</v>
      </c>
      <c r="AY254" t="s">
        <v>69</v>
      </c>
      <c r="AZ254" t="b">
        <v>1</v>
      </c>
    </row>
    <row r="255" spans="1:52" x14ac:dyDescent="0.3">
      <c r="A255" t="s">
        <v>52</v>
      </c>
      <c r="B255" t="s">
        <v>53</v>
      </c>
      <c r="C255" t="s">
        <v>54</v>
      </c>
      <c r="D255" t="s">
        <v>55</v>
      </c>
      <c r="E255" t="s">
        <v>751</v>
      </c>
      <c r="F255" t="s">
        <v>176</v>
      </c>
      <c r="G255" t="s">
        <v>169</v>
      </c>
      <c r="H255" t="s">
        <v>170</v>
      </c>
      <c r="I255" t="s">
        <v>170</v>
      </c>
      <c r="J255" t="s">
        <v>60</v>
      </c>
      <c r="K255" t="s">
        <v>171</v>
      </c>
      <c r="L255" t="s">
        <v>62</v>
      </c>
      <c r="M255" t="s">
        <v>171</v>
      </c>
      <c r="N255" t="s">
        <v>172</v>
      </c>
      <c r="O255" t="s">
        <v>173</v>
      </c>
      <c r="P255">
        <v>-19.676233</v>
      </c>
      <c r="Q255">
        <v>-43.88861</v>
      </c>
      <c r="R255" s="2" t="str">
        <f>HYPERLINK("https://www.google.com/maps?q=-19.6762330,-43.8886100","Abrir no Google Maps")</f>
        <v>Abrir no Google Maps</v>
      </c>
      <c r="S255">
        <v>4</v>
      </c>
      <c r="T255">
        <v>209.5772620412292</v>
      </c>
      <c r="U255">
        <v>3</v>
      </c>
      <c r="V255">
        <v>10</v>
      </c>
      <c r="W255">
        <v>1</v>
      </c>
      <c r="X255">
        <v>10</v>
      </c>
      <c r="Y255">
        <v>0</v>
      </c>
      <c r="Z255">
        <v>194.26571923644971</v>
      </c>
      <c r="AA255">
        <v>2</v>
      </c>
      <c r="AB255">
        <v>3</v>
      </c>
      <c r="AC255">
        <v>7</v>
      </c>
      <c r="AD255">
        <v>24.62</v>
      </c>
      <c r="AE255">
        <v>253</v>
      </c>
      <c r="AF255">
        <v>11</v>
      </c>
      <c r="AG255">
        <v>67</v>
      </c>
      <c r="AH255">
        <v>32</v>
      </c>
      <c r="AI255">
        <v>4.3499999999999996</v>
      </c>
      <c r="AJ255">
        <v>26.48</v>
      </c>
      <c r="AK255">
        <v>12.65</v>
      </c>
      <c r="AL255">
        <v>-19.676097449999961</v>
      </c>
      <c r="AM255">
        <v>-43.888455613153738</v>
      </c>
      <c r="AN255">
        <v>-19.676097449999961</v>
      </c>
      <c r="AO255">
        <v>-43.888455613153738</v>
      </c>
      <c r="AP255">
        <v>-19.676233</v>
      </c>
      <c r="AQ255">
        <v>-43.88861</v>
      </c>
      <c r="AR255">
        <v>22.126352434234079</v>
      </c>
      <c r="AS255" t="s">
        <v>65</v>
      </c>
      <c r="AT255">
        <v>1</v>
      </c>
      <c r="AU255" t="s">
        <v>174</v>
      </c>
      <c r="AV255" t="s">
        <v>175</v>
      </c>
      <c r="AW255" t="s">
        <v>60</v>
      </c>
      <c r="AX255" t="s">
        <v>68</v>
      </c>
      <c r="AY255" t="s">
        <v>69</v>
      </c>
      <c r="AZ255" t="b">
        <v>1</v>
      </c>
    </row>
    <row r="256" spans="1:52" x14ac:dyDescent="0.3">
      <c r="A256" t="s">
        <v>52</v>
      </c>
      <c r="B256" t="s">
        <v>53</v>
      </c>
      <c r="C256" t="s">
        <v>54</v>
      </c>
      <c r="D256" t="s">
        <v>55</v>
      </c>
      <c r="E256" t="s">
        <v>751</v>
      </c>
      <c r="F256" t="s">
        <v>176</v>
      </c>
      <c r="G256" t="s">
        <v>279</v>
      </c>
      <c r="H256" t="s">
        <v>280</v>
      </c>
      <c r="I256" t="s">
        <v>280</v>
      </c>
      <c r="J256" t="s">
        <v>60</v>
      </c>
      <c r="K256" t="s">
        <v>171</v>
      </c>
      <c r="L256" t="s">
        <v>62</v>
      </c>
      <c r="M256" t="s">
        <v>171</v>
      </c>
      <c r="N256" t="s">
        <v>281</v>
      </c>
      <c r="O256" t="s">
        <v>282</v>
      </c>
      <c r="P256">
        <v>-19.677088000000001</v>
      </c>
      <c r="Q256">
        <v>-43.890014000000001</v>
      </c>
      <c r="R256" s="2" t="str">
        <f>HYPERLINK("https://www.google.com/maps?q=-19.6770880,-43.8900140","Abrir no Google Maps")</f>
        <v>Abrir no Google Maps</v>
      </c>
      <c r="S256">
        <v>4</v>
      </c>
      <c r="T256">
        <v>0</v>
      </c>
      <c r="U256">
        <v>3</v>
      </c>
      <c r="V256">
        <v>10</v>
      </c>
      <c r="W256">
        <v>1</v>
      </c>
      <c r="X256">
        <v>10</v>
      </c>
      <c r="Y256">
        <v>0</v>
      </c>
      <c r="Z256">
        <v>151.75635194559609</v>
      </c>
      <c r="AA256">
        <v>2</v>
      </c>
      <c r="AB256">
        <v>3</v>
      </c>
      <c r="AC256">
        <v>7</v>
      </c>
      <c r="AD256">
        <v>24.62</v>
      </c>
      <c r="AE256">
        <v>253</v>
      </c>
      <c r="AF256">
        <v>11</v>
      </c>
      <c r="AG256">
        <v>67</v>
      </c>
      <c r="AH256">
        <v>32</v>
      </c>
      <c r="AI256">
        <v>4.3499999999999996</v>
      </c>
      <c r="AJ256">
        <v>26.48</v>
      </c>
      <c r="AK256">
        <v>12.65</v>
      </c>
      <c r="AL256">
        <v>-19.677165649999949</v>
      </c>
      <c r="AM256">
        <v>-43.890106299611283</v>
      </c>
      <c r="AN256">
        <v>-19.677165649999949</v>
      </c>
      <c r="AO256">
        <v>-43.890106299611283</v>
      </c>
      <c r="AP256">
        <v>-19.677088000000001</v>
      </c>
      <c r="AQ256">
        <v>-43.890014000000001</v>
      </c>
      <c r="AR256">
        <v>12.973833126778279</v>
      </c>
      <c r="AS256" t="s">
        <v>65</v>
      </c>
      <c r="AT256">
        <v>1</v>
      </c>
      <c r="AU256" t="s">
        <v>283</v>
      </c>
      <c r="AV256" t="s">
        <v>175</v>
      </c>
      <c r="AW256" t="s">
        <v>60</v>
      </c>
      <c r="AX256" t="s">
        <v>68</v>
      </c>
      <c r="AY256" t="s">
        <v>69</v>
      </c>
      <c r="AZ256" t="b">
        <v>1</v>
      </c>
    </row>
    <row r="257" spans="1:52" x14ac:dyDescent="0.3">
      <c r="A257" t="s">
        <v>52</v>
      </c>
      <c r="B257" t="s">
        <v>53</v>
      </c>
      <c r="C257" t="s">
        <v>54</v>
      </c>
      <c r="D257" t="s">
        <v>55</v>
      </c>
      <c r="E257" t="s">
        <v>751</v>
      </c>
      <c r="F257" t="s">
        <v>176</v>
      </c>
      <c r="G257" t="s">
        <v>394</v>
      </c>
      <c r="H257" t="s">
        <v>395</v>
      </c>
      <c r="I257" t="s">
        <v>395</v>
      </c>
      <c r="J257" t="s">
        <v>60</v>
      </c>
      <c r="K257" t="s">
        <v>286</v>
      </c>
      <c r="L257" t="s">
        <v>62</v>
      </c>
      <c r="M257" t="s">
        <v>286</v>
      </c>
      <c r="N257" t="s">
        <v>396</v>
      </c>
      <c r="O257" t="s">
        <v>88</v>
      </c>
      <c r="P257">
        <v>-19.636932999999999</v>
      </c>
      <c r="Q257">
        <v>-43.882691999999999</v>
      </c>
      <c r="R257" s="2" t="str">
        <f>HYPERLINK("https://www.google.com/maps?q=-19.6369330,-43.8826920","Abrir no Google Maps")</f>
        <v>Abrir no Google Maps</v>
      </c>
      <c r="S257">
        <v>3</v>
      </c>
      <c r="T257">
        <v>523.52675813688109</v>
      </c>
      <c r="U257">
        <v>4</v>
      </c>
      <c r="V257">
        <v>21</v>
      </c>
      <c r="W257">
        <v>1</v>
      </c>
      <c r="X257">
        <v>21</v>
      </c>
      <c r="Y257">
        <v>10</v>
      </c>
      <c r="Z257">
        <v>372.58135532659509</v>
      </c>
      <c r="AA257">
        <v>2</v>
      </c>
      <c r="AB257">
        <v>3</v>
      </c>
      <c r="AC257">
        <v>7</v>
      </c>
      <c r="AD257">
        <v>24.62</v>
      </c>
      <c r="AE257">
        <v>253</v>
      </c>
      <c r="AF257">
        <v>11</v>
      </c>
      <c r="AG257">
        <v>67</v>
      </c>
      <c r="AH257">
        <v>32</v>
      </c>
      <c r="AI257">
        <v>4.3499999999999996</v>
      </c>
      <c r="AJ257">
        <v>26.48</v>
      </c>
      <c r="AK257">
        <v>12.65</v>
      </c>
      <c r="AL257">
        <v>-19.637159949999951</v>
      </c>
      <c r="AM257">
        <v>-43.882643289441461</v>
      </c>
      <c r="AN257">
        <v>-19.637159949999951</v>
      </c>
      <c r="AO257">
        <v>-43.882643289441461</v>
      </c>
      <c r="AP257">
        <v>-19.636932999999999</v>
      </c>
      <c r="AQ257">
        <v>-43.882691999999999</v>
      </c>
      <c r="AR257">
        <v>25.775099947452478</v>
      </c>
      <c r="AS257" t="s">
        <v>65</v>
      </c>
      <c r="AT257">
        <v>1</v>
      </c>
      <c r="AU257" t="s">
        <v>397</v>
      </c>
      <c r="AV257" t="s">
        <v>398</v>
      </c>
      <c r="AW257" t="s">
        <v>60</v>
      </c>
      <c r="AX257" t="s">
        <v>68</v>
      </c>
      <c r="AY257" t="s">
        <v>69</v>
      </c>
      <c r="AZ257" t="b">
        <v>1</v>
      </c>
    </row>
    <row r="258" spans="1:52" x14ac:dyDescent="0.3">
      <c r="A258" t="s">
        <v>52</v>
      </c>
      <c r="B258" t="s">
        <v>53</v>
      </c>
      <c r="C258" t="s">
        <v>54</v>
      </c>
      <c r="D258" t="s">
        <v>55</v>
      </c>
      <c r="E258" t="s">
        <v>751</v>
      </c>
      <c r="F258" t="s">
        <v>176</v>
      </c>
      <c r="G258" t="s">
        <v>284</v>
      </c>
      <c r="H258" t="s">
        <v>285</v>
      </c>
      <c r="I258" t="s">
        <v>285</v>
      </c>
      <c r="J258" t="s">
        <v>60</v>
      </c>
      <c r="K258" t="s">
        <v>286</v>
      </c>
      <c r="L258" t="s">
        <v>62</v>
      </c>
      <c r="M258" t="s">
        <v>286</v>
      </c>
      <c r="N258" t="s">
        <v>287</v>
      </c>
      <c r="O258" t="s">
        <v>288</v>
      </c>
      <c r="P258">
        <v>-19.639790000000001</v>
      </c>
      <c r="Q258">
        <v>-43.882798999999999</v>
      </c>
      <c r="R258" s="2" t="str">
        <f>HYPERLINK("https://www.google.com/maps?q=-19.6397900,-43.8827990","Abrir no Google Maps")</f>
        <v>Abrir no Google Maps</v>
      </c>
      <c r="S258">
        <v>3</v>
      </c>
      <c r="T258">
        <v>242.7052058134478</v>
      </c>
      <c r="U258">
        <v>4</v>
      </c>
      <c r="V258">
        <v>19</v>
      </c>
      <c r="W258">
        <v>1</v>
      </c>
      <c r="X258">
        <v>19</v>
      </c>
      <c r="Y258">
        <v>10</v>
      </c>
      <c r="Z258">
        <v>187.2088809462339</v>
      </c>
      <c r="AA258">
        <v>2</v>
      </c>
      <c r="AB258">
        <v>3</v>
      </c>
      <c r="AC258">
        <v>7</v>
      </c>
      <c r="AD258">
        <v>24.62</v>
      </c>
      <c r="AE258">
        <v>253</v>
      </c>
      <c r="AF258">
        <v>11</v>
      </c>
      <c r="AG258">
        <v>67</v>
      </c>
      <c r="AH258">
        <v>32</v>
      </c>
      <c r="AI258">
        <v>4.3499999999999996</v>
      </c>
      <c r="AJ258">
        <v>26.48</v>
      </c>
      <c r="AK258">
        <v>12.65</v>
      </c>
      <c r="AL258">
        <v>-19.639855599999951</v>
      </c>
      <c r="AM258">
        <v>-43.882909745178452</v>
      </c>
      <c r="AN258">
        <v>-19.639855599999951</v>
      </c>
      <c r="AO258">
        <v>-43.882909745178452</v>
      </c>
      <c r="AP258">
        <v>-19.639790000000001</v>
      </c>
      <c r="AQ258">
        <v>-43.882798999999999</v>
      </c>
      <c r="AR258">
        <v>13.716486068571211</v>
      </c>
      <c r="AS258" t="s">
        <v>65</v>
      </c>
      <c r="AT258">
        <v>1</v>
      </c>
      <c r="AU258" t="s">
        <v>289</v>
      </c>
      <c r="AV258" t="s">
        <v>290</v>
      </c>
      <c r="AW258" t="s">
        <v>60</v>
      </c>
      <c r="AX258" t="s">
        <v>68</v>
      </c>
      <c r="AY258" t="s">
        <v>69</v>
      </c>
      <c r="AZ258" t="b">
        <v>1</v>
      </c>
    </row>
    <row r="259" spans="1:52" x14ac:dyDescent="0.3">
      <c r="A259" t="s">
        <v>52</v>
      </c>
      <c r="B259" t="s">
        <v>53</v>
      </c>
      <c r="C259" t="s">
        <v>54</v>
      </c>
      <c r="D259" t="s">
        <v>55</v>
      </c>
      <c r="E259" t="s">
        <v>751</v>
      </c>
      <c r="F259" t="s">
        <v>176</v>
      </c>
      <c r="G259" t="s">
        <v>417</v>
      </c>
      <c r="H259" t="s">
        <v>418</v>
      </c>
      <c r="I259" t="s">
        <v>418</v>
      </c>
      <c r="J259" t="s">
        <v>60</v>
      </c>
      <c r="K259" t="s">
        <v>179</v>
      </c>
      <c r="L259" t="s">
        <v>62</v>
      </c>
      <c r="M259" t="s">
        <v>179</v>
      </c>
      <c r="N259" t="s">
        <v>419</v>
      </c>
      <c r="O259" t="s">
        <v>420</v>
      </c>
      <c r="P259">
        <v>-19.646516999999999</v>
      </c>
      <c r="Q259">
        <v>-43.889716</v>
      </c>
      <c r="R259" s="2" t="str">
        <f>HYPERLINK("https://www.google.com/maps?q=-19.6465170,-43.8897160","Abrir no Google Maps")</f>
        <v>Abrir no Google Maps</v>
      </c>
      <c r="S259">
        <v>3</v>
      </c>
      <c r="T259">
        <v>796.8355517653099</v>
      </c>
      <c r="U259">
        <v>4</v>
      </c>
      <c r="V259">
        <v>23</v>
      </c>
      <c r="W259">
        <v>1</v>
      </c>
      <c r="X259">
        <v>23</v>
      </c>
      <c r="Y259">
        <v>7</v>
      </c>
      <c r="Z259">
        <v>749.72812632947034</v>
      </c>
      <c r="AA259">
        <v>2</v>
      </c>
      <c r="AB259">
        <v>3</v>
      </c>
      <c r="AC259">
        <v>7</v>
      </c>
      <c r="AD259">
        <v>24.62</v>
      </c>
      <c r="AE259">
        <v>253</v>
      </c>
      <c r="AF259">
        <v>11</v>
      </c>
      <c r="AG259">
        <v>67</v>
      </c>
      <c r="AH259">
        <v>32</v>
      </c>
      <c r="AI259">
        <v>4.3499999999999996</v>
      </c>
      <c r="AJ259">
        <v>26.48</v>
      </c>
      <c r="AK259">
        <v>12.65</v>
      </c>
      <c r="AL259">
        <v>-19.646452649999961</v>
      </c>
      <c r="AM259">
        <v>-43.88991036523079</v>
      </c>
      <c r="AN259">
        <v>-19.646452649999961</v>
      </c>
      <c r="AO259">
        <v>-43.88991036523079</v>
      </c>
      <c r="AP259">
        <v>-19.646516999999999</v>
      </c>
      <c r="AQ259">
        <v>-43.889716</v>
      </c>
      <c r="AR259">
        <v>21.599617922669939</v>
      </c>
      <c r="AS259" t="s">
        <v>65</v>
      </c>
      <c r="AT259">
        <v>1</v>
      </c>
      <c r="AU259" t="s">
        <v>421</v>
      </c>
      <c r="AV259" t="s">
        <v>422</v>
      </c>
      <c r="AW259" t="s">
        <v>60</v>
      </c>
      <c r="AX259" t="s">
        <v>68</v>
      </c>
      <c r="AY259" t="s">
        <v>69</v>
      </c>
      <c r="AZ259" t="b">
        <v>1</v>
      </c>
    </row>
    <row r="260" spans="1:52" x14ac:dyDescent="0.3">
      <c r="A260" t="s">
        <v>52</v>
      </c>
      <c r="B260" t="s">
        <v>53</v>
      </c>
      <c r="C260" t="s">
        <v>54</v>
      </c>
      <c r="D260" t="s">
        <v>55</v>
      </c>
      <c r="E260" t="s">
        <v>751</v>
      </c>
      <c r="F260" t="s">
        <v>176</v>
      </c>
      <c r="G260" t="s">
        <v>670</v>
      </c>
      <c r="H260" t="s">
        <v>671</v>
      </c>
      <c r="I260" t="s">
        <v>671</v>
      </c>
      <c r="J260" t="s">
        <v>60</v>
      </c>
      <c r="K260" t="s">
        <v>672</v>
      </c>
      <c r="L260" t="s">
        <v>62</v>
      </c>
      <c r="M260" t="s">
        <v>672</v>
      </c>
      <c r="N260" t="s">
        <v>673</v>
      </c>
      <c r="O260" t="s">
        <v>424</v>
      </c>
      <c r="P260">
        <v>-19.574909999999999</v>
      </c>
      <c r="Q260">
        <v>-43.906655999999998</v>
      </c>
      <c r="R260" s="2" t="str">
        <f>HYPERLINK("https://www.google.com/maps?q=-19.5749100,-43.9066560","Abrir no Google Maps")</f>
        <v>Abrir no Google Maps</v>
      </c>
      <c r="S260">
        <v>3</v>
      </c>
      <c r="T260">
        <v>1366.716412286687</v>
      </c>
      <c r="U260">
        <v>4</v>
      </c>
      <c r="V260">
        <v>39</v>
      </c>
      <c r="W260">
        <v>1</v>
      </c>
      <c r="X260">
        <v>39</v>
      </c>
      <c r="Y260">
        <v>7</v>
      </c>
      <c r="Z260">
        <v>1153.3004962806151</v>
      </c>
      <c r="AA260">
        <v>2</v>
      </c>
      <c r="AB260">
        <v>3</v>
      </c>
      <c r="AC260">
        <v>7</v>
      </c>
      <c r="AD260">
        <v>24.62</v>
      </c>
      <c r="AE260">
        <v>253</v>
      </c>
      <c r="AF260">
        <v>11</v>
      </c>
      <c r="AG260">
        <v>67</v>
      </c>
      <c r="AH260">
        <v>32</v>
      </c>
      <c r="AI260">
        <v>4.3499999999999996</v>
      </c>
      <c r="AJ260">
        <v>26.48</v>
      </c>
      <c r="AK260">
        <v>12.65</v>
      </c>
      <c r="AL260">
        <v>-19.574026899999978</v>
      </c>
      <c r="AM260">
        <v>-43.907476033591983</v>
      </c>
      <c r="AN260">
        <v>-19.574026899999978</v>
      </c>
      <c r="AO260">
        <v>-43.907476033591983</v>
      </c>
      <c r="AP260">
        <v>-19.574909999999999</v>
      </c>
      <c r="AQ260">
        <v>-43.906655999999998</v>
      </c>
      <c r="AR260">
        <v>130.62174183264671</v>
      </c>
      <c r="AS260" t="s">
        <v>65</v>
      </c>
      <c r="AT260">
        <v>1</v>
      </c>
      <c r="AU260" t="s">
        <v>674</v>
      </c>
      <c r="AV260" t="s">
        <v>675</v>
      </c>
      <c r="AW260" t="s">
        <v>60</v>
      </c>
      <c r="AX260" t="s">
        <v>68</v>
      </c>
      <c r="AY260" t="s">
        <v>69</v>
      </c>
      <c r="AZ260" t="b">
        <v>1</v>
      </c>
    </row>
    <row r="261" spans="1:52" x14ac:dyDescent="0.3">
      <c r="A261" t="s">
        <v>52</v>
      </c>
      <c r="B261" t="s">
        <v>53</v>
      </c>
      <c r="C261" t="s">
        <v>54</v>
      </c>
      <c r="D261" t="s">
        <v>55</v>
      </c>
      <c r="E261" t="s">
        <v>751</v>
      </c>
      <c r="F261" t="s">
        <v>176</v>
      </c>
      <c r="G261" t="s">
        <v>297</v>
      </c>
      <c r="H261" t="s">
        <v>298</v>
      </c>
      <c r="I261" t="s">
        <v>298</v>
      </c>
      <c r="J261" t="s">
        <v>60</v>
      </c>
      <c r="K261" t="s">
        <v>299</v>
      </c>
      <c r="L261" t="s">
        <v>62</v>
      </c>
      <c r="M261" t="s">
        <v>299</v>
      </c>
      <c r="N261" t="s">
        <v>300</v>
      </c>
      <c r="O261" t="s">
        <v>301</v>
      </c>
      <c r="P261">
        <v>-19.679597000000001</v>
      </c>
      <c r="Q261">
        <v>-43.912095000000001</v>
      </c>
      <c r="R261" s="2" t="str">
        <f>HYPERLINK("https://www.google.com/maps?q=-19.6795970,-43.9120950","Abrir no Google Maps")</f>
        <v>Abrir no Google Maps</v>
      </c>
      <c r="S261">
        <v>3</v>
      </c>
      <c r="T261">
        <v>1581.3368267219889</v>
      </c>
      <c r="U261">
        <v>4</v>
      </c>
      <c r="V261">
        <v>14</v>
      </c>
      <c r="W261">
        <v>1</v>
      </c>
      <c r="X261">
        <v>14</v>
      </c>
      <c r="Y261">
        <v>5</v>
      </c>
      <c r="Z261">
        <v>2051.2590436749392</v>
      </c>
      <c r="AA261">
        <v>2</v>
      </c>
      <c r="AB261">
        <v>3</v>
      </c>
      <c r="AC261">
        <v>7</v>
      </c>
      <c r="AD261">
        <v>24.62</v>
      </c>
      <c r="AE261">
        <v>253</v>
      </c>
      <c r="AF261">
        <v>11</v>
      </c>
      <c r="AG261">
        <v>67</v>
      </c>
      <c r="AH261">
        <v>32</v>
      </c>
      <c r="AI261">
        <v>4.3499999999999996</v>
      </c>
      <c r="AJ261">
        <v>26.48</v>
      </c>
      <c r="AK261">
        <v>12.65</v>
      </c>
      <c r="AL261">
        <v>-19.679572799999931</v>
      </c>
      <c r="AM261">
        <v>-43.912071775440793</v>
      </c>
      <c r="AN261">
        <v>-19.679572799999931</v>
      </c>
      <c r="AO261">
        <v>-43.912071775440793</v>
      </c>
      <c r="AP261">
        <v>-19.679597000000001</v>
      </c>
      <c r="AQ261">
        <v>-43.912095000000001</v>
      </c>
      <c r="AR261">
        <v>3.6308936744190978</v>
      </c>
      <c r="AS261" t="s">
        <v>65</v>
      </c>
      <c r="AT261">
        <v>1</v>
      </c>
      <c r="AU261" t="s">
        <v>302</v>
      </c>
      <c r="AV261" t="s">
        <v>303</v>
      </c>
      <c r="AW261" t="s">
        <v>60</v>
      </c>
      <c r="AX261" t="s">
        <v>68</v>
      </c>
      <c r="AY261" t="s">
        <v>69</v>
      </c>
      <c r="AZ261" t="b">
        <v>1</v>
      </c>
    </row>
    <row r="262" spans="1:52" x14ac:dyDescent="0.3">
      <c r="A262" t="s">
        <v>52</v>
      </c>
      <c r="B262" t="s">
        <v>53</v>
      </c>
      <c r="C262" t="s">
        <v>54</v>
      </c>
      <c r="D262" t="s">
        <v>55</v>
      </c>
      <c r="E262" t="s">
        <v>751</v>
      </c>
      <c r="F262" t="s">
        <v>176</v>
      </c>
      <c r="G262" t="s">
        <v>309</v>
      </c>
      <c r="H262" t="s">
        <v>676</v>
      </c>
      <c r="I262" t="s">
        <v>676</v>
      </c>
      <c r="J262" t="s">
        <v>60</v>
      </c>
      <c r="K262" t="s">
        <v>311</v>
      </c>
      <c r="L262" t="s">
        <v>62</v>
      </c>
      <c r="M262" t="s">
        <v>311</v>
      </c>
      <c r="N262" t="s">
        <v>677</v>
      </c>
      <c r="O262" t="s">
        <v>678</v>
      </c>
      <c r="P262">
        <v>-19.567574</v>
      </c>
      <c r="Q262">
        <v>-43.916691</v>
      </c>
      <c r="R262" s="2" t="str">
        <f>HYPERLINK("https://www.google.com/maps?q=-19.5675740,-43.9166910","Abrir no Google Maps")</f>
        <v>Abrir no Google Maps</v>
      </c>
      <c r="S262">
        <v>3</v>
      </c>
      <c r="T262">
        <v>964.07840012317956</v>
      </c>
      <c r="U262">
        <v>4</v>
      </c>
      <c r="V262">
        <v>15</v>
      </c>
      <c r="W262">
        <v>1</v>
      </c>
      <c r="X262">
        <v>15</v>
      </c>
      <c r="Y262">
        <v>5</v>
      </c>
      <c r="Z262">
        <v>848.74171565955544</v>
      </c>
      <c r="AA262">
        <v>2</v>
      </c>
      <c r="AB262">
        <v>3</v>
      </c>
      <c r="AC262">
        <v>7</v>
      </c>
      <c r="AD262">
        <v>24.62</v>
      </c>
      <c r="AE262">
        <v>253</v>
      </c>
      <c r="AF262">
        <v>11</v>
      </c>
      <c r="AG262">
        <v>67</v>
      </c>
      <c r="AH262">
        <v>32</v>
      </c>
      <c r="AI262">
        <v>4.3499999999999996</v>
      </c>
      <c r="AJ262">
        <v>26.48</v>
      </c>
      <c r="AK262">
        <v>12.65</v>
      </c>
      <c r="AL262">
        <v>-19.568204099999971</v>
      </c>
      <c r="AM262">
        <v>-43.914085447159053</v>
      </c>
      <c r="AN262">
        <v>-19.568204099999971</v>
      </c>
      <c r="AO262">
        <v>-43.914085447159053</v>
      </c>
      <c r="AP262">
        <v>-19.567574</v>
      </c>
      <c r="AQ262">
        <v>-43.916691</v>
      </c>
      <c r="AR262">
        <v>282.15548573552991</v>
      </c>
      <c r="AS262" t="s">
        <v>65</v>
      </c>
      <c r="AT262">
        <v>1</v>
      </c>
      <c r="AU262" t="s">
        <v>679</v>
      </c>
      <c r="AV262" t="s">
        <v>680</v>
      </c>
      <c r="AW262" t="s">
        <v>60</v>
      </c>
      <c r="AX262" t="s">
        <v>68</v>
      </c>
      <c r="AY262" t="s">
        <v>69</v>
      </c>
      <c r="AZ262" t="b">
        <v>1</v>
      </c>
    </row>
    <row r="263" spans="1:52" x14ac:dyDescent="0.3">
      <c r="A263" t="s">
        <v>52</v>
      </c>
      <c r="B263" t="s">
        <v>53</v>
      </c>
      <c r="C263" t="s">
        <v>54</v>
      </c>
      <c r="D263" t="s">
        <v>55</v>
      </c>
      <c r="E263" t="s">
        <v>751</v>
      </c>
      <c r="F263" t="s">
        <v>176</v>
      </c>
      <c r="G263" t="s">
        <v>309</v>
      </c>
      <c r="H263" t="s">
        <v>316</v>
      </c>
      <c r="I263" t="s">
        <v>316</v>
      </c>
      <c r="J263" t="s">
        <v>60</v>
      </c>
      <c r="K263" t="s">
        <v>311</v>
      </c>
      <c r="L263" t="s">
        <v>62</v>
      </c>
      <c r="M263" t="s">
        <v>311</v>
      </c>
      <c r="N263" t="s">
        <v>317</v>
      </c>
      <c r="O263" t="s">
        <v>313</v>
      </c>
      <c r="P263">
        <v>-19.580131999999999</v>
      </c>
      <c r="Q263">
        <v>-43.918303000000002</v>
      </c>
      <c r="R263" s="2" t="str">
        <f>HYPERLINK("https://www.google.com/maps?q=-19.5801320,-43.9183030","Abrir no Google Maps")</f>
        <v>Abrir no Google Maps</v>
      </c>
      <c r="S263">
        <v>3</v>
      </c>
      <c r="T263">
        <v>665.05989403461285</v>
      </c>
      <c r="U263">
        <v>4</v>
      </c>
      <c r="V263">
        <v>15</v>
      </c>
      <c r="W263">
        <v>1</v>
      </c>
      <c r="X263">
        <v>15</v>
      </c>
      <c r="Y263">
        <v>5</v>
      </c>
      <c r="Z263">
        <v>743.64474333505098</v>
      </c>
      <c r="AA263">
        <v>2</v>
      </c>
      <c r="AB263">
        <v>3</v>
      </c>
      <c r="AC263">
        <v>7</v>
      </c>
      <c r="AD263">
        <v>24.62</v>
      </c>
      <c r="AE263">
        <v>253</v>
      </c>
      <c r="AF263">
        <v>11</v>
      </c>
      <c r="AG263">
        <v>67</v>
      </c>
      <c r="AH263">
        <v>32</v>
      </c>
      <c r="AI263">
        <v>4.3499999999999996</v>
      </c>
      <c r="AJ263">
        <v>26.48</v>
      </c>
      <c r="AK263">
        <v>12.65</v>
      </c>
      <c r="AL263">
        <v>-19.58010349999995</v>
      </c>
      <c r="AM263">
        <v>-43.918363319288602</v>
      </c>
      <c r="AN263">
        <v>-19.58010349999995</v>
      </c>
      <c r="AO263">
        <v>-43.918363319288602</v>
      </c>
      <c r="AP263">
        <v>-19.580131999999999</v>
      </c>
      <c r="AQ263">
        <v>-43.918303000000002</v>
      </c>
      <c r="AR263">
        <v>7.0773977790944862</v>
      </c>
      <c r="AS263" t="s">
        <v>65</v>
      </c>
      <c r="AT263">
        <v>1</v>
      </c>
      <c r="AU263" t="s">
        <v>318</v>
      </c>
      <c r="AV263" t="s">
        <v>319</v>
      </c>
      <c r="AW263" t="s">
        <v>60</v>
      </c>
      <c r="AX263" t="s">
        <v>68</v>
      </c>
      <c r="AY263" t="s">
        <v>69</v>
      </c>
      <c r="AZ263" t="b">
        <v>1</v>
      </c>
    </row>
    <row r="264" spans="1:52" x14ac:dyDescent="0.3">
      <c r="A264" t="s">
        <v>52</v>
      </c>
      <c r="B264" t="s">
        <v>53</v>
      </c>
      <c r="C264" t="s">
        <v>54</v>
      </c>
      <c r="D264" t="s">
        <v>55</v>
      </c>
      <c r="E264" t="s">
        <v>751</v>
      </c>
      <c r="F264" t="s">
        <v>176</v>
      </c>
      <c r="G264" t="s">
        <v>450</v>
      </c>
      <c r="H264" t="s">
        <v>451</v>
      </c>
      <c r="I264" t="s">
        <v>451</v>
      </c>
      <c r="J264" t="s">
        <v>60</v>
      </c>
      <c r="K264" t="s">
        <v>452</v>
      </c>
      <c r="L264" t="s">
        <v>62</v>
      </c>
      <c r="M264" t="s">
        <v>452</v>
      </c>
      <c r="N264" t="s">
        <v>453</v>
      </c>
      <c r="O264" t="s">
        <v>454</v>
      </c>
      <c r="P264">
        <v>-19.649691000000001</v>
      </c>
      <c r="Q264">
        <v>-43.873970999999997</v>
      </c>
      <c r="R264" s="2" t="str">
        <f>HYPERLINK("https://www.google.com/maps?q=-19.6496910,-43.8739710","Abrir no Google Maps")</f>
        <v>Abrir no Google Maps</v>
      </c>
      <c r="S264">
        <v>3</v>
      </c>
      <c r="T264">
        <v>433.54329587849469</v>
      </c>
      <c r="U264">
        <v>4</v>
      </c>
      <c r="V264">
        <v>21</v>
      </c>
      <c r="W264">
        <v>1</v>
      </c>
      <c r="X264">
        <v>21</v>
      </c>
      <c r="Y264">
        <v>3</v>
      </c>
      <c r="Z264">
        <v>298.71042308886041</v>
      </c>
      <c r="AA264">
        <v>2</v>
      </c>
      <c r="AB264">
        <v>3</v>
      </c>
      <c r="AC264">
        <v>7</v>
      </c>
      <c r="AD264">
        <v>24.62</v>
      </c>
      <c r="AE264">
        <v>253</v>
      </c>
      <c r="AF264">
        <v>11</v>
      </c>
      <c r="AG264">
        <v>67</v>
      </c>
      <c r="AH264">
        <v>32</v>
      </c>
      <c r="AI264">
        <v>4.3499999999999996</v>
      </c>
      <c r="AJ264">
        <v>26.48</v>
      </c>
      <c r="AK264">
        <v>12.65</v>
      </c>
      <c r="AL264">
        <v>-19.64973869999994</v>
      </c>
      <c r="AM264">
        <v>-43.873980587601103</v>
      </c>
      <c r="AN264">
        <v>-19.64973869999994</v>
      </c>
      <c r="AO264">
        <v>-43.873980587601103</v>
      </c>
      <c r="AP264">
        <v>-19.649691000000001</v>
      </c>
      <c r="AQ264">
        <v>-43.873970999999997</v>
      </c>
      <c r="AR264">
        <v>5.4042596125531333</v>
      </c>
      <c r="AS264" t="s">
        <v>65</v>
      </c>
      <c r="AT264">
        <v>1</v>
      </c>
      <c r="AU264" t="s">
        <v>455</v>
      </c>
      <c r="AV264" t="s">
        <v>456</v>
      </c>
      <c r="AW264" t="s">
        <v>60</v>
      </c>
      <c r="AX264" t="s">
        <v>68</v>
      </c>
      <c r="AY264" t="s">
        <v>69</v>
      </c>
      <c r="AZ264" t="b">
        <v>1</v>
      </c>
    </row>
    <row r="265" spans="1:52" x14ac:dyDescent="0.3">
      <c r="A265" t="s">
        <v>52</v>
      </c>
      <c r="B265" t="s">
        <v>53</v>
      </c>
      <c r="C265" t="s">
        <v>54</v>
      </c>
      <c r="D265" t="s">
        <v>55</v>
      </c>
      <c r="E265" t="s">
        <v>751</v>
      </c>
      <c r="F265" t="s">
        <v>176</v>
      </c>
      <c r="G265" t="s">
        <v>324</v>
      </c>
      <c r="H265" t="s">
        <v>325</v>
      </c>
      <c r="I265" t="s">
        <v>325</v>
      </c>
      <c r="J265" t="s">
        <v>60</v>
      </c>
      <c r="K265" t="s">
        <v>326</v>
      </c>
      <c r="L265" t="s">
        <v>62</v>
      </c>
      <c r="M265" t="s">
        <v>326</v>
      </c>
      <c r="N265" t="s">
        <v>327</v>
      </c>
      <c r="O265" t="s">
        <v>328</v>
      </c>
      <c r="P265">
        <v>-19.654454000000001</v>
      </c>
      <c r="Q265">
        <v>-43.874654</v>
      </c>
      <c r="R265" s="2" t="str">
        <f>HYPERLINK("https://www.google.com/maps?q=-19.6544540,-43.8746540","Abrir no Google Maps")</f>
        <v>Abrir no Google Maps</v>
      </c>
      <c r="S265">
        <v>3</v>
      </c>
      <c r="T265">
        <v>461.71515786258828</v>
      </c>
      <c r="U265">
        <v>4</v>
      </c>
      <c r="V265">
        <v>17</v>
      </c>
      <c r="W265">
        <v>1</v>
      </c>
      <c r="X265">
        <v>17</v>
      </c>
      <c r="Y265">
        <v>3</v>
      </c>
      <c r="Z265">
        <v>321.42492762576637</v>
      </c>
      <c r="AA265">
        <v>2</v>
      </c>
      <c r="AB265">
        <v>3</v>
      </c>
      <c r="AC265">
        <v>7</v>
      </c>
      <c r="AD265">
        <v>24.62</v>
      </c>
      <c r="AE265">
        <v>253</v>
      </c>
      <c r="AF265">
        <v>11</v>
      </c>
      <c r="AG265">
        <v>67</v>
      </c>
      <c r="AH265">
        <v>32</v>
      </c>
      <c r="AI265">
        <v>4.3499999999999996</v>
      </c>
      <c r="AJ265">
        <v>26.48</v>
      </c>
      <c r="AK265">
        <v>12.65</v>
      </c>
      <c r="AL265">
        <v>-19.654399599999941</v>
      </c>
      <c r="AM265">
        <v>-43.87457008070222</v>
      </c>
      <c r="AN265">
        <v>-19.654399599999941</v>
      </c>
      <c r="AO265">
        <v>-43.87457008070222</v>
      </c>
      <c r="AP265">
        <v>-19.654454000000001</v>
      </c>
      <c r="AQ265">
        <v>-43.874654</v>
      </c>
      <c r="AR265">
        <v>10.68040226290562</v>
      </c>
      <c r="AS265" t="s">
        <v>65</v>
      </c>
      <c r="AT265">
        <v>1</v>
      </c>
      <c r="AU265" t="s">
        <v>329</v>
      </c>
      <c r="AV265" t="s">
        <v>330</v>
      </c>
      <c r="AW265" t="s">
        <v>60</v>
      </c>
      <c r="AX265" t="s">
        <v>68</v>
      </c>
      <c r="AY265" t="s">
        <v>69</v>
      </c>
      <c r="AZ265" t="b">
        <v>1</v>
      </c>
    </row>
    <row r="266" spans="1:52" x14ac:dyDescent="0.3">
      <c r="A266" t="s">
        <v>52</v>
      </c>
      <c r="B266" t="s">
        <v>53</v>
      </c>
      <c r="C266" t="s">
        <v>54</v>
      </c>
      <c r="D266" t="s">
        <v>55</v>
      </c>
      <c r="E266" t="s">
        <v>751</v>
      </c>
      <c r="F266" t="s">
        <v>176</v>
      </c>
      <c r="G266" t="s">
        <v>468</v>
      </c>
      <c r="H266" t="s">
        <v>469</v>
      </c>
      <c r="I266" t="s">
        <v>469</v>
      </c>
      <c r="J266" t="s">
        <v>60</v>
      </c>
      <c r="K266" t="s">
        <v>326</v>
      </c>
      <c r="L266" t="s">
        <v>62</v>
      </c>
      <c r="M266" t="s">
        <v>326</v>
      </c>
      <c r="N266" t="s">
        <v>470</v>
      </c>
      <c r="O266" t="s">
        <v>471</v>
      </c>
      <c r="P266">
        <v>-19.655975999999999</v>
      </c>
      <c r="Q266">
        <v>-43.870057000000003</v>
      </c>
      <c r="R266" s="2" t="str">
        <f>HYPERLINK("https://www.google.com/maps?q=-19.6559760,-43.8700570","Abrir no Google Maps")</f>
        <v>Abrir no Google Maps</v>
      </c>
      <c r="S266">
        <v>3</v>
      </c>
      <c r="T266">
        <v>409.25016374145417</v>
      </c>
      <c r="U266">
        <v>4</v>
      </c>
      <c r="V266">
        <v>22</v>
      </c>
      <c r="W266">
        <v>1</v>
      </c>
      <c r="X266">
        <v>22</v>
      </c>
      <c r="Y266">
        <v>3</v>
      </c>
      <c r="Z266">
        <v>484.59511175905197</v>
      </c>
      <c r="AA266">
        <v>2</v>
      </c>
      <c r="AB266">
        <v>3</v>
      </c>
      <c r="AC266">
        <v>7</v>
      </c>
      <c r="AD266">
        <v>24.62</v>
      </c>
      <c r="AE266">
        <v>253</v>
      </c>
      <c r="AF266">
        <v>11</v>
      </c>
      <c r="AG266">
        <v>67</v>
      </c>
      <c r="AH266">
        <v>32</v>
      </c>
      <c r="AI266">
        <v>4.3499999999999996</v>
      </c>
      <c r="AJ266">
        <v>26.48</v>
      </c>
      <c r="AK266">
        <v>12.65</v>
      </c>
      <c r="AL266">
        <v>-19.655869499999969</v>
      </c>
      <c r="AM266">
        <v>-43.870040006843681</v>
      </c>
      <c r="AN266">
        <v>-19.655869499999969</v>
      </c>
      <c r="AO266">
        <v>-43.870040006843681</v>
      </c>
      <c r="AP266">
        <v>-19.655975999999999</v>
      </c>
      <c r="AQ266">
        <v>-43.870057000000003</v>
      </c>
      <c r="AR266">
        <v>11.98867552929476</v>
      </c>
      <c r="AS266" t="s">
        <v>65</v>
      </c>
      <c r="AT266">
        <v>1</v>
      </c>
      <c r="AU266" t="s">
        <v>472</v>
      </c>
      <c r="AV266" t="s">
        <v>473</v>
      </c>
      <c r="AW266" t="s">
        <v>60</v>
      </c>
      <c r="AX266" t="s">
        <v>68</v>
      </c>
      <c r="AY266" t="s">
        <v>69</v>
      </c>
      <c r="AZ266" t="b">
        <v>1</v>
      </c>
    </row>
    <row r="267" spans="1:52" x14ac:dyDescent="0.3">
      <c r="A267" t="s">
        <v>52</v>
      </c>
      <c r="B267" t="s">
        <v>53</v>
      </c>
      <c r="C267" t="s">
        <v>54</v>
      </c>
      <c r="D267" t="s">
        <v>55</v>
      </c>
      <c r="E267" t="s">
        <v>751</v>
      </c>
      <c r="F267" t="s">
        <v>176</v>
      </c>
      <c r="G267" t="s">
        <v>438</v>
      </c>
      <c r="H267" t="s">
        <v>718</v>
      </c>
      <c r="I267" t="s">
        <v>718</v>
      </c>
      <c r="J267" t="s">
        <v>60</v>
      </c>
      <c r="K267" t="s">
        <v>719</v>
      </c>
      <c r="L267" t="s">
        <v>62</v>
      </c>
      <c r="M267" t="s">
        <v>719</v>
      </c>
      <c r="N267" t="s">
        <v>720</v>
      </c>
      <c r="O267" t="s">
        <v>721</v>
      </c>
      <c r="P267">
        <v>-19.659696</v>
      </c>
      <c r="Q267">
        <v>-43.878183</v>
      </c>
      <c r="R267" s="2" t="str">
        <f>HYPERLINK("https://www.google.com/maps?q=-19.6596960,-43.8781830","Abrir no Google Maps")</f>
        <v>Abrir no Google Maps</v>
      </c>
      <c r="S267">
        <v>3</v>
      </c>
      <c r="T267">
        <v>1123.545826977394</v>
      </c>
      <c r="U267">
        <v>4</v>
      </c>
      <c r="V267">
        <v>15</v>
      </c>
      <c r="W267">
        <v>1</v>
      </c>
      <c r="X267">
        <v>15</v>
      </c>
      <c r="Y267">
        <v>3</v>
      </c>
      <c r="Z267">
        <v>1050.5223173666111</v>
      </c>
      <c r="AA267">
        <v>2</v>
      </c>
      <c r="AB267">
        <v>3</v>
      </c>
      <c r="AC267">
        <v>7</v>
      </c>
      <c r="AD267">
        <v>24.62</v>
      </c>
      <c r="AE267">
        <v>253</v>
      </c>
      <c r="AF267">
        <v>11</v>
      </c>
      <c r="AG267">
        <v>67</v>
      </c>
      <c r="AH267">
        <v>32</v>
      </c>
      <c r="AI267">
        <v>4.3499999999999996</v>
      </c>
      <c r="AJ267">
        <v>26.48</v>
      </c>
      <c r="AK267">
        <v>12.65</v>
      </c>
      <c r="AL267">
        <v>-19.65964904999996</v>
      </c>
      <c r="AM267">
        <v>-43.878129467040978</v>
      </c>
      <c r="AN267">
        <v>-19.65964904999996</v>
      </c>
      <c r="AO267">
        <v>-43.878129467040978</v>
      </c>
      <c r="AP267">
        <v>-19.659696</v>
      </c>
      <c r="AQ267">
        <v>-43.878183</v>
      </c>
      <c r="AR267">
        <v>7.6687382643842978</v>
      </c>
      <c r="AS267" t="s">
        <v>65</v>
      </c>
      <c r="AT267">
        <v>1</v>
      </c>
      <c r="AU267" t="s">
        <v>722</v>
      </c>
      <c r="AV267" t="s">
        <v>723</v>
      </c>
      <c r="AW267" t="s">
        <v>60</v>
      </c>
      <c r="AX267" t="s">
        <v>68</v>
      </c>
      <c r="AY267" t="s">
        <v>69</v>
      </c>
      <c r="AZ267" t="b">
        <v>1</v>
      </c>
    </row>
    <row r="268" spans="1:52" x14ac:dyDescent="0.3">
      <c r="A268" t="s">
        <v>52</v>
      </c>
      <c r="B268" t="s">
        <v>53</v>
      </c>
      <c r="C268" t="s">
        <v>54</v>
      </c>
      <c r="D268" t="s">
        <v>55</v>
      </c>
      <c r="E268" t="s">
        <v>751</v>
      </c>
      <c r="F268" t="s">
        <v>176</v>
      </c>
      <c r="G268" t="s">
        <v>484</v>
      </c>
      <c r="H268" t="s">
        <v>485</v>
      </c>
      <c r="I268" t="s">
        <v>485</v>
      </c>
      <c r="J268" t="s">
        <v>60</v>
      </c>
      <c r="K268" t="s">
        <v>486</v>
      </c>
      <c r="L268" t="s">
        <v>62</v>
      </c>
      <c r="M268" t="s">
        <v>486</v>
      </c>
      <c r="N268" t="s">
        <v>487</v>
      </c>
      <c r="O268" t="s">
        <v>488</v>
      </c>
      <c r="P268">
        <v>-19.599471999999999</v>
      </c>
      <c r="Q268">
        <v>-43.904423999999999</v>
      </c>
      <c r="R268" s="2" t="str">
        <f>HYPERLINK("https://www.google.com/maps?q=-19.5994720,-43.9044240","Abrir no Google Maps")</f>
        <v>Abrir no Google Maps</v>
      </c>
      <c r="S268">
        <v>3</v>
      </c>
      <c r="T268">
        <v>0</v>
      </c>
      <c r="U268">
        <v>4</v>
      </c>
      <c r="V268">
        <v>20</v>
      </c>
      <c r="W268">
        <v>1</v>
      </c>
      <c r="X268">
        <v>20</v>
      </c>
      <c r="Y268">
        <v>2</v>
      </c>
      <c r="Z268">
        <v>112.207711482489</v>
      </c>
      <c r="AA268">
        <v>2</v>
      </c>
      <c r="AB268">
        <v>3</v>
      </c>
      <c r="AC268">
        <v>7</v>
      </c>
      <c r="AD268">
        <v>24.62</v>
      </c>
      <c r="AE268">
        <v>253</v>
      </c>
      <c r="AF268">
        <v>11</v>
      </c>
      <c r="AG268">
        <v>67</v>
      </c>
      <c r="AH268">
        <v>32</v>
      </c>
      <c r="AI268">
        <v>4.3499999999999996</v>
      </c>
      <c r="AJ268">
        <v>26.48</v>
      </c>
      <c r="AK268">
        <v>12.65</v>
      </c>
      <c r="AL268">
        <v>-19.599417149999969</v>
      </c>
      <c r="AM268">
        <v>-43.904309145074677</v>
      </c>
      <c r="AN268">
        <v>-19.599417149999969</v>
      </c>
      <c r="AO268">
        <v>-43.904309145074677</v>
      </c>
      <c r="AP268">
        <v>-19.599471999999999</v>
      </c>
      <c r="AQ268">
        <v>-43.904423999999999</v>
      </c>
      <c r="AR268">
        <v>13.50409975769734</v>
      </c>
      <c r="AS268" t="s">
        <v>65</v>
      </c>
      <c r="AT268">
        <v>1</v>
      </c>
      <c r="AU268" t="s">
        <v>489</v>
      </c>
      <c r="AV268" t="s">
        <v>490</v>
      </c>
      <c r="AW268" t="s">
        <v>60</v>
      </c>
      <c r="AX268" t="s">
        <v>68</v>
      </c>
      <c r="AY268" t="s">
        <v>69</v>
      </c>
      <c r="AZ268" t="b">
        <v>1</v>
      </c>
    </row>
    <row r="269" spans="1:52" x14ac:dyDescent="0.3">
      <c r="A269" t="s">
        <v>52</v>
      </c>
      <c r="B269" t="s">
        <v>53</v>
      </c>
      <c r="C269" t="s">
        <v>54</v>
      </c>
      <c r="D269" t="s">
        <v>55</v>
      </c>
      <c r="E269" t="s">
        <v>751</v>
      </c>
      <c r="F269" t="s">
        <v>176</v>
      </c>
      <c r="G269" t="s">
        <v>438</v>
      </c>
      <c r="H269" t="s">
        <v>491</v>
      </c>
      <c r="I269" t="s">
        <v>491</v>
      </c>
      <c r="J269" t="s">
        <v>60</v>
      </c>
      <c r="K269" t="s">
        <v>492</v>
      </c>
      <c r="L269" t="s">
        <v>62</v>
      </c>
      <c r="M269" t="s">
        <v>492</v>
      </c>
      <c r="N269" t="s">
        <v>493</v>
      </c>
      <c r="O269" t="s">
        <v>81</v>
      </c>
      <c r="P269">
        <v>-19.599810999999999</v>
      </c>
      <c r="Q269">
        <v>-43.906267</v>
      </c>
      <c r="R269" s="2" t="str">
        <f>HYPERLINK("https://www.google.com/maps?q=-19.5998110,-43.9062670","Abrir no Google Maps")</f>
        <v>Abrir no Google Maps</v>
      </c>
      <c r="S269">
        <v>3</v>
      </c>
      <c r="T269">
        <v>214.87460546260371</v>
      </c>
      <c r="U269">
        <v>4</v>
      </c>
      <c r="V269">
        <v>17</v>
      </c>
      <c r="W269">
        <v>1</v>
      </c>
      <c r="X269">
        <v>17</v>
      </c>
      <c r="Y269">
        <v>2</v>
      </c>
      <c r="Z269">
        <v>211.0648412523515</v>
      </c>
      <c r="AA269">
        <v>2</v>
      </c>
      <c r="AB269">
        <v>3</v>
      </c>
      <c r="AC269">
        <v>7</v>
      </c>
      <c r="AD269">
        <v>24.62</v>
      </c>
      <c r="AE269">
        <v>253</v>
      </c>
      <c r="AF269">
        <v>11</v>
      </c>
      <c r="AG269">
        <v>67</v>
      </c>
      <c r="AH269">
        <v>32</v>
      </c>
      <c r="AI269">
        <v>4.3499999999999996</v>
      </c>
      <c r="AJ269">
        <v>26.48</v>
      </c>
      <c r="AK269">
        <v>12.65</v>
      </c>
      <c r="AL269">
        <v>-19.600032099999961</v>
      </c>
      <c r="AM269">
        <v>-43.906252350845229</v>
      </c>
      <c r="AN269">
        <v>-19.600032099999961</v>
      </c>
      <c r="AO269">
        <v>-43.906252350845229</v>
      </c>
      <c r="AP269">
        <v>-19.599810999999999</v>
      </c>
      <c r="AQ269">
        <v>-43.906267</v>
      </c>
      <c r="AR269">
        <v>24.660749384148179</v>
      </c>
      <c r="AS269" t="s">
        <v>65</v>
      </c>
      <c r="AT269">
        <v>1</v>
      </c>
      <c r="AU269" t="s">
        <v>494</v>
      </c>
      <c r="AV269" t="s">
        <v>495</v>
      </c>
      <c r="AW269" t="s">
        <v>60</v>
      </c>
      <c r="AX269" t="s">
        <v>68</v>
      </c>
      <c r="AY269" t="s">
        <v>69</v>
      </c>
      <c r="AZ269" t="b">
        <v>1</v>
      </c>
    </row>
    <row r="270" spans="1:52" x14ac:dyDescent="0.3">
      <c r="A270" t="s">
        <v>52</v>
      </c>
      <c r="B270" t="s">
        <v>53</v>
      </c>
      <c r="C270" t="s">
        <v>54</v>
      </c>
      <c r="D270" t="s">
        <v>55</v>
      </c>
      <c r="E270" t="s">
        <v>751</v>
      </c>
      <c r="F270" t="s">
        <v>176</v>
      </c>
      <c r="G270" t="s">
        <v>357</v>
      </c>
      <c r="H270" t="s">
        <v>358</v>
      </c>
      <c r="I270" t="s">
        <v>358</v>
      </c>
      <c r="J270" t="s">
        <v>60</v>
      </c>
      <c r="K270" t="s">
        <v>359</v>
      </c>
      <c r="L270" t="s">
        <v>62</v>
      </c>
      <c r="M270" t="s">
        <v>359</v>
      </c>
      <c r="N270" t="s">
        <v>360</v>
      </c>
      <c r="O270" t="s">
        <v>201</v>
      </c>
      <c r="P270">
        <v>-19.601168000000001</v>
      </c>
      <c r="Q270">
        <v>-43.896143000000002</v>
      </c>
      <c r="R270" s="2" t="str">
        <f>HYPERLINK("https://www.google.com/maps?q=-19.6011680,-43.8961430","Abrir no Google Maps")</f>
        <v>Abrir no Google Maps</v>
      </c>
      <c r="S270">
        <v>3</v>
      </c>
      <c r="T270">
        <v>886.80074895427902</v>
      </c>
      <c r="U270">
        <v>4</v>
      </c>
      <c r="V270">
        <v>16</v>
      </c>
      <c r="W270">
        <v>1</v>
      </c>
      <c r="X270">
        <v>16</v>
      </c>
      <c r="Y270">
        <v>2</v>
      </c>
      <c r="Z270">
        <v>807.27931110193254</v>
      </c>
      <c r="AA270">
        <v>2</v>
      </c>
      <c r="AB270">
        <v>3</v>
      </c>
      <c r="AC270">
        <v>7</v>
      </c>
      <c r="AD270">
        <v>24.62</v>
      </c>
      <c r="AE270">
        <v>253</v>
      </c>
      <c r="AF270">
        <v>11</v>
      </c>
      <c r="AG270">
        <v>67</v>
      </c>
      <c r="AH270">
        <v>32</v>
      </c>
      <c r="AI270">
        <v>4.3499999999999996</v>
      </c>
      <c r="AJ270">
        <v>26.48</v>
      </c>
      <c r="AK270">
        <v>12.65</v>
      </c>
      <c r="AL270">
        <v>-19.60112959999995</v>
      </c>
      <c r="AM270">
        <v>-43.896049426747439</v>
      </c>
      <c r="AN270">
        <v>-19.60112959999995</v>
      </c>
      <c r="AO270">
        <v>-43.896049426747439</v>
      </c>
      <c r="AP270">
        <v>-19.601168000000001</v>
      </c>
      <c r="AQ270">
        <v>-43.896143000000002</v>
      </c>
      <c r="AR270">
        <v>10.703588298793671</v>
      </c>
      <c r="AS270" t="s">
        <v>65</v>
      </c>
      <c r="AT270">
        <v>1</v>
      </c>
      <c r="AU270" t="s">
        <v>361</v>
      </c>
      <c r="AV270" t="s">
        <v>362</v>
      </c>
      <c r="AW270" t="s">
        <v>60</v>
      </c>
      <c r="AX270" t="s">
        <v>68</v>
      </c>
      <c r="AY270" t="s">
        <v>69</v>
      </c>
      <c r="AZ270" t="b">
        <v>1</v>
      </c>
    </row>
    <row r="271" spans="1:52" x14ac:dyDescent="0.3">
      <c r="A271" t="s">
        <v>52</v>
      </c>
      <c r="B271" t="s">
        <v>53</v>
      </c>
      <c r="C271" t="s">
        <v>54</v>
      </c>
      <c r="D271" t="s">
        <v>55</v>
      </c>
      <c r="E271" t="s">
        <v>751</v>
      </c>
      <c r="F271" t="s">
        <v>176</v>
      </c>
      <c r="G271" t="s">
        <v>500</v>
      </c>
      <c r="H271" t="s">
        <v>501</v>
      </c>
      <c r="I271" t="s">
        <v>501</v>
      </c>
      <c r="J271" t="s">
        <v>60</v>
      </c>
      <c r="K271" t="s">
        <v>164</v>
      </c>
      <c r="L271" t="s">
        <v>62</v>
      </c>
      <c r="M271" t="s">
        <v>164</v>
      </c>
      <c r="N271" t="s">
        <v>502</v>
      </c>
      <c r="O271" t="s">
        <v>503</v>
      </c>
      <c r="P271">
        <v>-19.665816</v>
      </c>
      <c r="Q271">
        <v>-43.886322999999997</v>
      </c>
      <c r="R271" s="2" t="str">
        <f>HYPERLINK("https://www.google.com/maps?q=-19.6658160,-43.8863230","Abrir no Google Maps")</f>
        <v>Abrir no Google Maps</v>
      </c>
      <c r="S271">
        <v>3</v>
      </c>
      <c r="T271">
        <v>1149.957610345353</v>
      </c>
      <c r="U271">
        <v>4</v>
      </c>
      <c r="V271">
        <v>18</v>
      </c>
      <c r="W271">
        <v>1</v>
      </c>
      <c r="X271">
        <v>18</v>
      </c>
      <c r="Y271">
        <v>1</v>
      </c>
      <c r="Z271">
        <v>381.605286477493</v>
      </c>
      <c r="AA271">
        <v>2</v>
      </c>
      <c r="AB271">
        <v>3</v>
      </c>
      <c r="AC271">
        <v>7</v>
      </c>
      <c r="AD271">
        <v>24.62</v>
      </c>
      <c r="AE271">
        <v>253</v>
      </c>
      <c r="AF271">
        <v>11</v>
      </c>
      <c r="AG271">
        <v>67</v>
      </c>
      <c r="AH271">
        <v>32</v>
      </c>
      <c r="AI271">
        <v>4.3499999999999996</v>
      </c>
      <c r="AJ271">
        <v>26.48</v>
      </c>
      <c r="AK271">
        <v>12.65</v>
      </c>
      <c r="AL271">
        <v>-19.665844049999951</v>
      </c>
      <c r="AM271">
        <v>-43.886344205728712</v>
      </c>
      <c r="AN271">
        <v>-19.665844049999951</v>
      </c>
      <c r="AO271">
        <v>-43.886344205728712</v>
      </c>
      <c r="AP271">
        <v>-19.665816</v>
      </c>
      <c r="AQ271">
        <v>-43.886322999999997</v>
      </c>
      <c r="AR271">
        <v>3.8329604058735098</v>
      </c>
      <c r="AS271" t="s">
        <v>65</v>
      </c>
      <c r="AT271">
        <v>1</v>
      </c>
      <c r="AU271" t="s">
        <v>504</v>
      </c>
      <c r="AV271" t="s">
        <v>505</v>
      </c>
      <c r="AW271" t="s">
        <v>60</v>
      </c>
      <c r="AX271" t="s">
        <v>68</v>
      </c>
      <c r="AY271" t="s">
        <v>69</v>
      </c>
      <c r="AZ271" t="b">
        <v>1</v>
      </c>
    </row>
    <row r="272" spans="1:52" x14ac:dyDescent="0.3">
      <c r="A272" t="s">
        <v>52</v>
      </c>
      <c r="B272" t="s">
        <v>53</v>
      </c>
      <c r="C272" t="s">
        <v>54</v>
      </c>
      <c r="D272" t="s">
        <v>55</v>
      </c>
      <c r="E272" t="s">
        <v>751</v>
      </c>
      <c r="F272" t="s">
        <v>176</v>
      </c>
      <c r="G272" t="s">
        <v>681</v>
      </c>
      <c r="H272" t="s">
        <v>682</v>
      </c>
      <c r="I272" t="s">
        <v>682</v>
      </c>
      <c r="J272" t="s">
        <v>60</v>
      </c>
      <c r="K272" t="s">
        <v>683</v>
      </c>
      <c r="L272" t="s">
        <v>62</v>
      </c>
      <c r="M272" t="s">
        <v>683</v>
      </c>
      <c r="N272" t="s">
        <v>684</v>
      </c>
      <c r="O272" t="s">
        <v>589</v>
      </c>
      <c r="P272">
        <v>-19.569573999999999</v>
      </c>
      <c r="Q272">
        <v>-43.948939000000003</v>
      </c>
      <c r="R272" s="2" t="str">
        <f>HYPERLINK("https://www.google.com/maps?q=-19.5695740,-43.9489390","Abrir no Google Maps")</f>
        <v>Abrir no Google Maps</v>
      </c>
      <c r="S272">
        <v>3</v>
      </c>
      <c r="T272">
        <v>710.01170441209865</v>
      </c>
      <c r="U272">
        <v>4</v>
      </c>
      <c r="V272">
        <v>21</v>
      </c>
      <c r="W272">
        <v>1</v>
      </c>
      <c r="X272">
        <v>21</v>
      </c>
      <c r="Y272">
        <v>1</v>
      </c>
      <c r="Z272">
        <v>528.51196257580398</v>
      </c>
      <c r="AA272">
        <v>2</v>
      </c>
      <c r="AB272">
        <v>3</v>
      </c>
      <c r="AC272">
        <v>7</v>
      </c>
      <c r="AD272">
        <v>24.62</v>
      </c>
      <c r="AE272">
        <v>253</v>
      </c>
      <c r="AF272">
        <v>11</v>
      </c>
      <c r="AG272">
        <v>67</v>
      </c>
      <c r="AH272">
        <v>32</v>
      </c>
      <c r="AI272">
        <v>4.3499999999999996</v>
      </c>
      <c r="AJ272">
        <v>26.48</v>
      </c>
      <c r="AK272">
        <v>12.65</v>
      </c>
      <c r="AL272">
        <v>-19.570777549999971</v>
      </c>
      <c r="AM272">
        <v>-43.949205504203732</v>
      </c>
      <c r="AN272">
        <v>-19.570777549999981</v>
      </c>
      <c r="AO272">
        <v>-43.949205504203732</v>
      </c>
      <c r="AP272">
        <v>-19.569573999999999</v>
      </c>
      <c r="AQ272">
        <v>-43.948939000000003</v>
      </c>
      <c r="AR272">
        <v>136.86420500821191</v>
      </c>
      <c r="AS272" t="s">
        <v>65</v>
      </c>
      <c r="AT272">
        <v>1</v>
      </c>
      <c r="AU272" t="s">
        <v>685</v>
      </c>
      <c r="AV272" t="s">
        <v>686</v>
      </c>
      <c r="AW272" t="s">
        <v>60</v>
      </c>
      <c r="AX272" t="s">
        <v>68</v>
      </c>
      <c r="AY272" t="s">
        <v>69</v>
      </c>
      <c r="AZ272" t="b">
        <v>1</v>
      </c>
    </row>
    <row r="273" spans="1:52" x14ac:dyDescent="0.3">
      <c r="A273" t="s">
        <v>52</v>
      </c>
      <c r="B273" t="s">
        <v>53</v>
      </c>
      <c r="C273" t="s">
        <v>54</v>
      </c>
      <c r="D273" t="s">
        <v>55</v>
      </c>
      <c r="E273" t="s">
        <v>751</v>
      </c>
      <c r="F273" t="s">
        <v>176</v>
      </c>
      <c r="G273" t="s">
        <v>664</v>
      </c>
      <c r="H273" t="s">
        <v>687</v>
      </c>
      <c r="I273" t="s">
        <v>687</v>
      </c>
      <c r="J273" t="s">
        <v>60</v>
      </c>
      <c r="K273" t="s">
        <v>683</v>
      </c>
      <c r="L273" t="s">
        <v>62</v>
      </c>
      <c r="M273" t="s">
        <v>683</v>
      </c>
      <c r="N273" t="s">
        <v>688</v>
      </c>
      <c r="O273" t="s">
        <v>354</v>
      </c>
      <c r="P273">
        <v>-19.564990999999999</v>
      </c>
      <c r="Q273">
        <v>-43.947169000000002</v>
      </c>
      <c r="R273" s="2" t="str">
        <f>HYPERLINK("https://www.google.com/maps?q=-19.5649910,-43.9471690","Abrir no Google Maps")</f>
        <v>Abrir no Google Maps</v>
      </c>
      <c r="S273">
        <v>3</v>
      </c>
      <c r="T273">
        <v>686.62887321451433</v>
      </c>
      <c r="U273">
        <v>4</v>
      </c>
      <c r="V273">
        <v>14</v>
      </c>
      <c r="W273">
        <v>1</v>
      </c>
      <c r="X273">
        <v>14</v>
      </c>
      <c r="Y273">
        <v>1</v>
      </c>
      <c r="Z273">
        <v>848.87718642784125</v>
      </c>
      <c r="AA273">
        <v>2</v>
      </c>
      <c r="AB273">
        <v>3</v>
      </c>
      <c r="AC273">
        <v>7</v>
      </c>
      <c r="AD273">
        <v>24.62</v>
      </c>
      <c r="AE273">
        <v>253</v>
      </c>
      <c r="AF273">
        <v>11</v>
      </c>
      <c r="AG273">
        <v>67</v>
      </c>
      <c r="AH273">
        <v>32</v>
      </c>
      <c r="AI273">
        <v>4.3499999999999996</v>
      </c>
      <c r="AJ273">
        <v>26.48</v>
      </c>
      <c r="AK273">
        <v>12.65</v>
      </c>
      <c r="AL273">
        <v>-19.564904949999971</v>
      </c>
      <c r="AM273">
        <v>-43.94746329903581</v>
      </c>
      <c r="AN273">
        <v>-19.564904949999971</v>
      </c>
      <c r="AO273">
        <v>-43.94746329903581</v>
      </c>
      <c r="AP273">
        <v>-19.564990999999999</v>
      </c>
      <c r="AQ273">
        <v>-43.947169000000002</v>
      </c>
      <c r="AR273">
        <v>32.321888980844889</v>
      </c>
      <c r="AS273" t="s">
        <v>65</v>
      </c>
      <c r="AT273">
        <v>1</v>
      </c>
      <c r="AU273" t="s">
        <v>689</v>
      </c>
      <c r="AV273" t="s">
        <v>690</v>
      </c>
      <c r="AW273" t="s">
        <v>60</v>
      </c>
      <c r="AX273" t="s">
        <v>68</v>
      </c>
      <c r="AY273" t="s">
        <v>69</v>
      </c>
      <c r="AZ273" t="b">
        <v>1</v>
      </c>
    </row>
    <row r="274" spans="1:52" x14ac:dyDescent="0.3">
      <c r="A274" t="s">
        <v>52</v>
      </c>
      <c r="B274" t="s">
        <v>53</v>
      </c>
      <c r="C274" t="s">
        <v>54</v>
      </c>
      <c r="D274" t="s">
        <v>55</v>
      </c>
      <c r="E274" t="s">
        <v>751</v>
      </c>
      <c r="F274" t="s">
        <v>176</v>
      </c>
      <c r="G274" t="s">
        <v>388</v>
      </c>
      <c r="H274" t="s">
        <v>389</v>
      </c>
      <c r="I274" t="s">
        <v>389</v>
      </c>
      <c r="J274" t="s">
        <v>60</v>
      </c>
      <c r="K274" t="s">
        <v>185</v>
      </c>
      <c r="L274" t="s">
        <v>62</v>
      </c>
      <c r="M274" t="s">
        <v>185</v>
      </c>
      <c r="N274" t="s">
        <v>390</v>
      </c>
      <c r="O274" t="s">
        <v>391</v>
      </c>
      <c r="P274">
        <v>-19.628802</v>
      </c>
      <c r="Q274">
        <v>-43.891649000000001</v>
      </c>
      <c r="R274" s="2" t="str">
        <f>HYPERLINK("https://www.google.com/maps?q=-19.6288020,-43.8916490","Abrir no Google Maps")</f>
        <v>Abrir no Google Maps</v>
      </c>
      <c r="S274">
        <v>3</v>
      </c>
      <c r="T274">
        <v>0</v>
      </c>
      <c r="U274">
        <v>3</v>
      </c>
      <c r="V274">
        <v>12</v>
      </c>
      <c r="W274">
        <v>0.85</v>
      </c>
      <c r="X274">
        <v>10.199999999999999</v>
      </c>
      <c r="Y274">
        <v>18</v>
      </c>
      <c r="Z274">
        <v>117.5064585283839</v>
      </c>
      <c r="AA274">
        <v>2</v>
      </c>
      <c r="AB274">
        <v>3</v>
      </c>
      <c r="AC274">
        <v>7</v>
      </c>
      <c r="AD274">
        <v>24.62</v>
      </c>
      <c r="AE274">
        <v>253</v>
      </c>
      <c r="AF274">
        <v>11</v>
      </c>
      <c r="AG274">
        <v>67</v>
      </c>
      <c r="AH274">
        <v>32</v>
      </c>
      <c r="AI274">
        <v>4.3499999999999996</v>
      </c>
      <c r="AJ274">
        <v>26.48</v>
      </c>
      <c r="AK274">
        <v>12.65</v>
      </c>
      <c r="AL274">
        <v>-19.628865499999961</v>
      </c>
      <c r="AM274">
        <v>-43.891662391334172</v>
      </c>
      <c r="AN274">
        <v>-19.628865499999961</v>
      </c>
      <c r="AO274">
        <v>-43.891662391334172</v>
      </c>
      <c r="AP274">
        <v>-19.628802</v>
      </c>
      <c r="AQ274">
        <v>-43.891649000000001</v>
      </c>
      <c r="AR274">
        <v>7.2069201904448459</v>
      </c>
      <c r="AS274" t="s">
        <v>65</v>
      </c>
      <c r="AT274">
        <v>1</v>
      </c>
      <c r="AU274" t="s">
        <v>392</v>
      </c>
      <c r="AV274" t="s">
        <v>393</v>
      </c>
      <c r="AW274" t="s">
        <v>60</v>
      </c>
      <c r="AX274" t="s">
        <v>68</v>
      </c>
      <c r="AY274" t="s">
        <v>69</v>
      </c>
      <c r="AZ274" t="b">
        <v>1</v>
      </c>
    </row>
    <row r="275" spans="1:52" x14ac:dyDescent="0.3">
      <c r="A275" t="s">
        <v>52</v>
      </c>
      <c r="B275" t="s">
        <v>53</v>
      </c>
      <c r="C275" t="s">
        <v>54</v>
      </c>
      <c r="D275" t="s">
        <v>55</v>
      </c>
      <c r="E275" t="s">
        <v>751</v>
      </c>
      <c r="F275" t="s">
        <v>176</v>
      </c>
      <c r="G275" t="s">
        <v>399</v>
      </c>
      <c r="H275" t="s">
        <v>400</v>
      </c>
      <c r="I275" t="s">
        <v>400</v>
      </c>
      <c r="J275" t="s">
        <v>60</v>
      </c>
      <c r="K275" t="s">
        <v>286</v>
      </c>
      <c r="L275" t="s">
        <v>62</v>
      </c>
      <c r="M275" t="s">
        <v>286</v>
      </c>
      <c r="N275" t="s">
        <v>401</v>
      </c>
      <c r="O275" t="s">
        <v>402</v>
      </c>
      <c r="P275">
        <v>-19.639906</v>
      </c>
      <c r="Q275">
        <v>-43.886059000000003</v>
      </c>
      <c r="R275" s="2" t="str">
        <f>HYPERLINK("https://www.google.com/maps?q=-19.6399060,-43.8860590","Abrir no Google Maps")</f>
        <v>Abrir no Google Maps</v>
      </c>
      <c r="S275">
        <v>3</v>
      </c>
      <c r="T275">
        <v>256.0748811302048</v>
      </c>
      <c r="U275">
        <v>3</v>
      </c>
      <c r="V275">
        <v>13</v>
      </c>
      <c r="W275">
        <v>1</v>
      </c>
      <c r="X275">
        <v>13</v>
      </c>
      <c r="Y275">
        <v>10</v>
      </c>
      <c r="Z275">
        <v>205.06236700857289</v>
      </c>
      <c r="AA275">
        <v>2</v>
      </c>
      <c r="AB275">
        <v>3</v>
      </c>
      <c r="AC275">
        <v>7</v>
      </c>
      <c r="AD275">
        <v>24.62</v>
      </c>
      <c r="AE275">
        <v>253</v>
      </c>
      <c r="AF275">
        <v>11</v>
      </c>
      <c r="AG275">
        <v>67</v>
      </c>
      <c r="AH275">
        <v>32</v>
      </c>
      <c r="AI275">
        <v>4.3499999999999996</v>
      </c>
      <c r="AJ275">
        <v>26.48</v>
      </c>
      <c r="AK275">
        <v>12.65</v>
      </c>
      <c r="AL275">
        <v>-19.639789499999949</v>
      </c>
      <c r="AM275">
        <v>-43.885737855031408</v>
      </c>
      <c r="AN275">
        <v>-19.639789499999949</v>
      </c>
      <c r="AO275">
        <v>-43.885737855031408</v>
      </c>
      <c r="AP275">
        <v>-19.639906</v>
      </c>
      <c r="AQ275">
        <v>-43.886059000000003</v>
      </c>
      <c r="AR275">
        <v>36.081349702130403</v>
      </c>
      <c r="AS275" t="s">
        <v>65</v>
      </c>
      <c r="AT275">
        <v>1</v>
      </c>
      <c r="AU275" t="s">
        <v>403</v>
      </c>
      <c r="AV275" t="s">
        <v>404</v>
      </c>
      <c r="AW275" t="s">
        <v>60</v>
      </c>
      <c r="AX275" t="s">
        <v>68</v>
      </c>
      <c r="AY275" t="s">
        <v>69</v>
      </c>
      <c r="AZ275" t="b">
        <v>1</v>
      </c>
    </row>
    <row r="276" spans="1:52" x14ac:dyDescent="0.3">
      <c r="A276" t="s">
        <v>52</v>
      </c>
      <c r="B276" t="s">
        <v>53</v>
      </c>
      <c r="C276" t="s">
        <v>54</v>
      </c>
      <c r="D276" t="s">
        <v>55</v>
      </c>
      <c r="E276" t="s">
        <v>751</v>
      </c>
      <c r="F276" t="s">
        <v>176</v>
      </c>
      <c r="G276" t="s">
        <v>546</v>
      </c>
      <c r="H276" t="s">
        <v>547</v>
      </c>
      <c r="I276" t="s">
        <v>547</v>
      </c>
      <c r="J276" t="s">
        <v>60</v>
      </c>
      <c r="K276" t="s">
        <v>445</v>
      </c>
      <c r="L276" t="s">
        <v>62</v>
      </c>
      <c r="M276" t="s">
        <v>445</v>
      </c>
      <c r="N276" t="s">
        <v>548</v>
      </c>
      <c r="O276" t="s">
        <v>549</v>
      </c>
      <c r="P276">
        <v>-19.642752999999999</v>
      </c>
      <c r="Q276">
        <v>-43.879080999999999</v>
      </c>
      <c r="R276" s="2" t="str">
        <f>HYPERLINK("https://www.google.com/maps?q=-19.6427530,-43.8790810","Abrir no Google Maps")</f>
        <v>Abrir no Google Maps</v>
      </c>
      <c r="S276">
        <v>3</v>
      </c>
      <c r="T276">
        <v>256.19518367376457</v>
      </c>
      <c r="U276">
        <v>3</v>
      </c>
      <c r="V276">
        <v>9</v>
      </c>
      <c r="W276">
        <v>0.85</v>
      </c>
      <c r="X276">
        <v>7.6499999999999986</v>
      </c>
      <c r="Y276">
        <v>10</v>
      </c>
      <c r="Z276">
        <v>192.73978446408199</v>
      </c>
      <c r="AA276">
        <v>2</v>
      </c>
      <c r="AB276">
        <v>3</v>
      </c>
      <c r="AC276">
        <v>7</v>
      </c>
      <c r="AD276">
        <v>24.62</v>
      </c>
      <c r="AE276">
        <v>253</v>
      </c>
      <c r="AF276">
        <v>11</v>
      </c>
      <c r="AG276">
        <v>67</v>
      </c>
      <c r="AH276">
        <v>32</v>
      </c>
      <c r="AI276">
        <v>4.3499999999999996</v>
      </c>
      <c r="AJ276">
        <v>26.48</v>
      </c>
      <c r="AK276">
        <v>12.65</v>
      </c>
      <c r="AL276">
        <v>-19.642703749999949</v>
      </c>
      <c r="AM276">
        <v>-43.879132974738582</v>
      </c>
      <c r="AN276">
        <v>-19.642703749999949</v>
      </c>
      <c r="AO276">
        <v>-43.879132974738582</v>
      </c>
      <c r="AP276">
        <v>-19.642752999999999</v>
      </c>
      <c r="AQ276">
        <v>-43.879080999999999</v>
      </c>
      <c r="AR276">
        <v>7.7298757823687696</v>
      </c>
      <c r="AS276" t="s">
        <v>65</v>
      </c>
      <c r="AT276">
        <v>1</v>
      </c>
      <c r="AU276" t="s">
        <v>550</v>
      </c>
      <c r="AV276" t="s">
        <v>551</v>
      </c>
      <c r="AW276" t="s">
        <v>60</v>
      </c>
      <c r="AX276" t="s">
        <v>68</v>
      </c>
      <c r="AY276" t="s">
        <v>69</v>
      </c>
      <c r="AZ276" t="b">
        <v>1</v>
      </c>
    </row>
    <row r="277" spans="1:52" x14ac:dyDescent="0.3">
      <c r="A277" t="s">
        <v>52</v>
      </c>
      <c r="B277" t="s">
        <v>53</v>
      </c>
      <c r="C277" t="s">
        <v>54</v>
      </c>
      <c r="D277" t="s">
        <v>55</v>
      </c>
      <c r="E277" t="s">
        <v>751</v>
      </c>
      <c r="F277" t="s">
        <v>176</v>
      </c>
      <c r="G277" t="s">
        <v>291</v>
      </c>
      <c r="H277" t="s">
        <v>292</v>
      </c>
      <c r="I277" t="s">
        <v>292</v>
      </c>
      <c r="J277" t="s">
        <v>60</v>
      </c>
      <c r="K277" t="s">
        <v>286</v>
      </c>
      <c r="L277" t="s">
        <v>62</v>
      </c>
      <c r="M277" t="s">
        <v>286</v>
      </c>
      <c r="N277" t="s">
        <v>293</v>
      </c>
      <c r="O277" t="s">
        <v>294</v>
      </c>
      <c r="P277">
        <v>-19.640333999999999</v>
      </c>
      <c r="Q277">
        <v>-43.880004999999997</v>
      </c>
      <c r="R277" s="2" t="str">
        <f>HYPERLINK("https://www.google.com/maps?q=-19.6403340,-43.8800050","Abrir no Google Maps")</f>
        <v>Abrir no Google Maps</v>
      </c>
      <c r="S277">
        <v>3</v>
      </c>
      <c r="T277">
        <v>276.80943817309782</v>
      </c>
      <c r="U277">
        <v>3</v>
      </c>
      <c r="V277">
        <v>8</v>
      </c>
      <c r="W277">
        <v>1</v>
      </c>
      <c r="X277">
        <v>8</v>
      </c>
      <c r="Y277">
        <v>10</v>
      </c>
      <c r="Z277">
        <v>361.98332038983392</v>
      </c>
      <c r="AA277">
        <v>2</v>
      </c>
      <c r="AB277">
        <v>3</v>
      </c>
      <c r="AC277">
        <v>7</v>
      </c>
      <c r="AD277">
        <v>24.62</v>
      </c>
      <c r="AE277">
        <v>253</v>
      </c>
      <c r="AF277">
        <v>11</v>
      </c>
      <c r="AG277">
        <v>67</v>
      </c>
      <c r="AH277">
        <v>32</v>
      </c>
      <c r="AI277">
        <v>4.3499999999999996</v>
      </c>
      <c r="AJ277">
        <v>26.48</v>
      </c>
      <c r="AK277">
        <v>12.65</v>
      </c>
      <c r="AL277">
        <v>-19.640260249999951</v>
      </c>
      <c r="AM277">
        <v>-43.880090474326408</v>
      </c>
      <c r="AN277">
        <v>-19.640260249999951</v>
      </c>
      <c r="AO277">
        <v>-43.880090474326408</v>
      </c>
      <c r="AP277">
        <v>-19.640333999999999</v>
      </c>
      <c r="AQ277">
        <v>-43.880004999999997</v>
      </c>
      <c r="AR277">
        <v>12.153556195359609</v>
      </c>
      <c r="AS277" t="s">
        <v>65</v>
      </c>
      <c r="AT277">
        <v>1</v>
      </c>
      <c r="AU277" t="s">
        <v>295</v>
      </c>
      <c r="AV277" t="s">
        <v>296</v>
      </c>
      <c r="AW277" t="s">
        <v>60</v>
      </c>
      <c r="AX277" t="s">
        <v>68</v>
      </c>
      <c r="AY277" t="s">
        <v>69</v>
      </c>
      <c r="AZ277" t="b">
        <v>1</v>
      </c>
    </row>
    <row r="278" spans="1:52" x14ac:dyDescent="0.3">
      <c r="A278" t="s">
        <v>52</v>
      </c>
      <c r="B278" t="s">
        <v>53</v>
      </c>
      <c r="C278" t="s">
        <v>54</v>
      </c>
      <c r="D278" t="s">
        <v>55</v>
      </c>
      <c r="E278" t="s">
        <v>751</v>
      </c>
      <c r="F278" t="s">
        <v>176</v>
      </c>
      <c r="G278" t="s">
        <v>228</v>
      </c>
      <c r="H278" t="s">
        <v>423</v>
      </c>
      <c r="I278" t="s">
        <v>423</v>
      </c>
      <c r="J278" t="s">
        <v>60</v>
      </c>
      <c r="K278" t="s">
        <v>286</v>
      </c>
      <c r="L278" t="s">
        <v>62</v>
      </c>
      <c r="M278" t="s">
        <v>286</v>
      </c>
      <c r="N278" t="s">
        <v>230</v>
      </c>
      <c r="O278" t="s">
        <v>424</v>
      </c>
      <c r="P278">
        <v>-19.641656999999999</v>
      </c>
      <c r="Q278">
        <v>-43.884228999999998</v>
      </c>
      <c r="R278" s="2" t="str">
        <f>HYPERLINK("https://www.google.com/maps?q=-19.6416570,-43.8842290","Abrir no Google Maps")</f>
        <v>Abrir no Google Maps</v>
      </c>
      <c r="S278">
        <v>3</v>
      </c>
      <c r="T278">
        <v>0</v>
      </c>
      <c r="U278">
        <v>3</v>
      </c>
      <c r="V278">
        <v>9</v>
      </c>
      <c r="W278">
        <v>1</v>
      </c>
      <c r="X278">
        <v>9</v>
      </c>
      <c r="Y278">
        <v>7</v>
      </c>
      <c r="Z278">
        <v>67.727401070752876</v>
      </c>
      <c r="AA278">
        <v>2</v>
      </c>
      <c r="AB278">
        <v>3</v>
      </c>
      <c r="AC278">
        <v>7</v>
      </c>
      <c r="AD278">
        <v>24.62</v>
      </c>
      <c r="AE278">
        <v>253</v>
      </c>
      <c r="AF278">
        <v>11</v>
      </c>
      <c r="AG278">
        <v>67</v>
      </c>
      <c r="AH278">
        <v>32</v>
      </c>
      <c r="AI278">
        <v>4.3499999999999996</v>
      </c>
      <c r="AJ278">
        <v>26.48</v>
      </c>
      <c r="AK278">
        <v>12.65</v>
      </c>
      <c r="AL278">
        <v>-19.641634199999942</v>
      </c>
      <c r="AM278">
        <v>-43.884263743972831</v>
      </c>
      <c r="AN278">
        <v>-19.641634199999942</v>
      </c>
      <c r="AO278">
        <v>-43.884263743972831</v>
      </c>
      <c r="AP278">
        <v>-19.641656999999999</v>
      </c>
      <c r="AQ278">
        <v>-43.884228999999998</v>
      </c>
      <c r="AR278">
        <v>4.4396888961435659</v>
      </c>
      <c r="AS278" t="s">
        <v>65</v>
      </c>
      <c r="AT278">
        <v>1</v>
      </c>
      <c r="AU278" t="s">
        <v>425</v>
      </c>
      <c r="AV278" t="s">
        <v>426</v>
      </c>
      <c r="AW278" t="s">
        <v>60</v>
      </c>
      <c r="AX278" t="s">
        <v>68</v>
      </c>
      <c r="AY278" t="s">
        <v>69</v>
      </c>
      <c r="AZ278" t="b">
        <v>1</v>
      </c>
    </row>
    <row r="279" spans="1:52" x14ac:dyDescent="0.3">
      <c r="A279" t="s">
        <v>52</v>
      </c>
      <c r="B279" t="s">
        <v>53</v>
      </c>
      <c r="C279" t="s">
        <v>54</v>
      </c>
      <c r="D279" t="s">
        <v>55</v>
      </c>
      <c r="E279" t="s">
        <v>751</v>
      </c>
      <c r="F279" t="s">
        <v>176</v>
      </c>
      <c r="G279" t="s">
        <v>304</v>
      </c>
      <c r="H279" t="s">
        <v>305</v>
      </c>
      <c r="I279" t="s">
        <v>305</v>
      </c>
      <c r="J279" t="s">
        <v>60</v>
      </c>
      <c r="K279" t="s">
        <v>299</v>
      </c>
      <c r="L279" t="s">
        <v>62</v>
      </c>
      <c r="M279" t="s">
        <v>299</v>
      </c>
      <c r="N279" t="s">
        <v>306</v>
      </c>
      <c r="O279" t="s">
        <v>307</v>
      </c>
      <c r="P279">
        <v>-19.681051</v>
      </c>
      <c r="Q279">
        <v>-43.914375</v>
      </c>
      <c r="R279" s="2" t="str">
        <f>HYPERLINK("https://www.google.com/maps?q=-19.6810510,-43.9143750","Abrir no Google Maps")</f>
        <v>Abrir no Google Maps</v>
      </c>
      <c r="S279">
        <v>3</v>
      </c>
      <c r="T279">
        <v>1793.507056919605</v>
      </c>
      <c r="U279">
        <v>3</v>
      </c>
      <c r="V279">
        <v>12</v>
      </c>
      <c r="W279">
        <v>1</v>
      </c>
      <c r="X279">
        <v>12</v>
      </c>
      <c r="Y279">
        <v>5</v>
      </c>
      <c r="Z279">
        <v>2183.7125920783069</v>
      </c>
      <c r="AA279">
        <v>2</v>
      </c>
      <c r="AB279">
        <v>3</v>
      </c>
      <c r="AC279">
        <v>7</v>
      </c>
      <c r="AD279">
        <v>24.62</v>
      </c>
      <c r="AE279">
        <v>253</v>
      </c>
      <c r="AF279">
        <v>11</v>
      </c>
      <c r="AG279">
        <v>67</v>
      </c>
      <c r="AH279">
        <v>32</v>
      </c>
      <c r="AI279">
        <v>4.3499999999999996</v>
      </c>
      <c r="AJ279">
        <v>26.48</v>
      </c>
      <c r="AK279">
        <v>12.65</v>
      </c>
      <c r="AL279">
        <v>-19.680967149999962</v>
      </c>
      <c r="AM279">
        <v>-43.914383884426663</v>
      </c>
      <c r="AN279">
        <v>-19.680967149999962</v>
      </c>
      <c r="AO279">
        <v>-43.914383884426663</v>
      </c>
      <c r="AP279">
        <v>-19.681051</v>
      </c>
      <c r="AQ279">
        <v>-43.914375</v>
      </c>
      <c r="AR279">
        <v>9.3805201894968722</v>
      </c>
      <c r="AS279" t="s">
        <v>65</v>
      </c>
      <c r="AT279">
        <v>1</v>
      </c>
      <c r="AU279" t="s">
        <v>308</v>
      </c>
      <c r="AV279" t="s">
        <v>303</v>
      </c>
      <c r="AW279" t="s">
        <v>60</v>
      </c>
      <c r="AX279" t="s">
        <v>68</v>
      </c>
      <c r="AY279" t="s">
        <v>69</v>
      </c>
      <c r="AZ279" t="b">
        <v>1</v>
      </c>
    </row>
    <row r="280" spans="1:52" x14ac:dyDescent="0.3">
      <c r="A280" t="s">
        <v>52</v>
      </c>
      <c r="B280" t="s">
        <v>53</v>
      </c>
      <c r="C280" t="s">
        <v>54</v>
      </c>
      <c r="D280" t="s">
        <v>55</v>
      </c>
      <c r="E280" t="s">
        <v>751</v>
      </c>
      <c r="F280" t="s">
        <v>176</v>
      </c>
      <c r="G280" t="s">
        <v>309</v>
      </c>
      <c r="H280" t="s">
        <v>310</v>
      </c>
      <c r="I280" t="s">
        <v>310</v>
      </c>
      <c r="J280" t="s">
        <v>60</v>
      </c>
      <c r="K280" t="s">
        <v>311</v>
      </c>
      <c r="L280" t="s">
        <v>62</v>
      </c>
      <c r="M280" t="s">
        <v>311</v>
      </c>
      <c r="N280" t="s">
        <v>312</v>
      </c>
      <c r="O280" t="s">
        <v>313</v>
      </c>
      <c r="P280">
        <v>-19.576996999999999</v>
      </c>
      <c r="Q280">
        <v>-43.919024999999998</v>
      </c>
      <c r="R280" s="2" t="str">
        <f>HYPERLINK("https://www.google.com/maps?q=-19.5769970,-43.9190250","Abrir no Google Maps")</f>
        <v>Abrir no Google Maps</v>
      </c>
      <c r="S280">
        <v>3</v>
      </c>
      <c r="T280">
        <v>316.64266747869789</v>
      </c>
      <c r="U280">
        <v>3</v>
      </c>
      <c r="V280">
        <v>10</v>
      </c>
      <c r="W280">
        <v>0.85</v>
      </c>
      <c r="X280">
        <v>8.5</v>
      </c>
      <c r="Y280">
        <v>5</v>
      </c>
      <c r="Z280">
        <v>411.74435151529269</v>
      </c>
      <c r="AA280">
        <v>2</v>
      </c>
      <c r="AB280">
        <v>3</v>
      </c>
      <c r="AC280">
        <v>7</v>
      </c>
      <c r="AD280">
        <v>24.62</v>
      </c>
      <c r="AE280">
        <v>253</v>
      </c>
      <c r="AF280">
        <v>11</v>
      </c>
      <c r="AG280">
        <v>67</v>
      </c>
      <c r="AH280">
        <v>32</v>
      </c>
      <c r="AI280">
        <v>4.3499999999999996</v>
      </c>
      <c r="AJ280">
        <v>26.48</v>
      </c>
      <c r="AK280">
        <v>12.65</v>
      </c>
      <c r="AL280">
        <v>-19.576964999999941</v>
      </c>
      <c r="AM280">
        <v>-43.919068241233632</v>
      </c>
      <c r="AN280">
        <v>-19.576964999999941</v>
      </c>
      <c r="AO280">
        <v>-43.919068241233632</v>
      </c>
      <c r="AP280">
        <v>-19.576996999999999</v>
      </c>
      <c r="AQ280">
        <v>-43.919024999999998</v>
      </c>
      <c r="AR280">
        <v>5.7670575161946216</v>
      </c>
      <c r="AS280" t="s">
        <v>65</v>
      </c>
      <c r="AT280">
        <v>1</v>
      </c>
      <c r="AU280" t="s">
        <v>314</v>
      </c>
      <c r="AV280" t="s">
        <v>315</v>
      </c>
      <c r="AW280" t="s">
        <v>60</v>
      </c>
      <c r="AX280" t="s">
        <v>68</v>
      </c>
      <c r="AY280" t="s">
        <v>69</v>
      </c>
      <c r="AZ280" t="b">
        <v>1</v>
      </c>
    </row>
    <row r="281" spans="1:52" x14ac:dyDescent="0.3">
      <c r="A281" t="s">
        <v>52</v>
      </c>
      <c r="B281" t="s">
        <v>53</v>
      </c>
      <c r="C281" t="s">
        <v>54</v>
      </c>
      <c r="D281" t="s">
        <v>55</v>
      </c>
      <c r="E281" t="s">
        <v>751</v>
      </c>
      <c r="F281" t="s">
        <v>176</v>
      </c>
      <c r="G281" t="s">
        <v>309</v>
      </c>
      <c r="H281" t="s">
        <v>320</v>
      </c>
      <c r="I281" t="s">
        <v>320</v>
      </c>
      <c r="J281" t="s">
        <v>60</v>
      </c>
      <c r="K281" t="s">
        <v>311</v>
      </c>
      <c r="L281" t="s">
        <v>62</v>
      </c>
      <c r="M281" t="s">
        <v>311</v>
      </c>
      <c r="N281" t="s">
        <v>321</v>
      </c>
      <c r="O281" t="s">
        <v>313</v>
      </c>
      <c r="P281">
        <v>-19.578469999999999</v>
      </c>
      <c r="Q281">
        <v>-43.918922000000002</v>
      </c>
      <c r="R281" s="2" t="str">
        <f>HYPERLINK("https://www.google.com/maps?q=-19.5784700,-43.9189220","Abrir no Google Maps")</f>
        <v>Abrir no Google Maps</v>
      </c>
      <c r="S281">
        <v>3</v>
      </c>
      <c r="T281">
        <v>474.92456146278471</v>
      </c>
      <c r="U281">
        <v>3</v>
      </c>
      <c r="V281">
        <v>13</v>
      </c>
      <c r="W281">
        <v>0.85</v>
      </c>
      <c r="X281">
        <v>11.05</v>
      </c>
      <c r="Y281">
        <v>5</v>
      </c>
      <c r="Z281">
        <v>562.61594151292854</v>
      </c>
      <c r="AA281">
        <v>2</v>
      </c>
      <c r="AB281">
        <v>3</v>
      </c>
      <c r="AC281">
        <v>7</v>
      </c>
      <c r="AD281">
        <v>24.62</v>
      </c>
      <c r="AE281">
        <v>253</v>
      </c>
      <c r="AF281">
        <v>11</v>
      </c>
      <c r="AG281">
        <v>67</v>
      </c>
      <c r="AH281">
        <v>32</v>
      </c>
      <c r="AI281">
        <v>4.3499999999999996</v>
      </c>
      <c r="AJ281">
        <v>26.48</v>
      </c>
      <c r="AK281">
        <v>12.65</v>
      </c>
      <c r="AL281">
        <v>-19.578483899999959</v>
      </c>
      <c r="AM281">
        <v>-43.918967993509547</v>
      </c>
      <c r="AN281">
        <v>-19.578483899999959</v>
      </c>
      <c r="AO281">
        <v>-43.918967993509547</v>
      </c>
      <c r="AP281">
        <v>-19.578469999999999</v>
      </c>
      <c r="AQ281">
        <v>-43.918922000000002</v>
      </c>
      <c r="AR281">
        <v>5.0660669465561501</v>
      </c>
      <c r="AS281" t="s">
        <v>65</v>
      </c>
      <c r="AT281">
        <v>1</v>
      </c>
      <c r="AU281" t="s">
        <v>322</v>
      </c>
      <c r="AV281" t="s">
        <v>323</v>
      </c>
      <c r="AW281" t="s">
        <v>60</v>
      </c>
      <c r="AX281" t="s">
        <v>68</v>
      </c>
      <c r="AY281" t="s">
        <v>69</v>
      </c>
      <c r="AZ281" t="b">
        <v>1</v>
      </c>
    </row>
    <row r="282" spans="1:52" x14ac:dyDescent="0.3">
      <c r="A282" t="s">
        <v>52</v>
      </c>
      <c r="B282" t="s">
        <v>53</v>
      </c>
      <c r="C282" t="s">
        <v>54</v>
      </c>
      <c r="D282" t="s">
        <v>55</v>
      </c>
      <c r="E282" t="s">
        <v>751</v>
      </c>
      <c r="F282" t="s">
        <v>176</v>
      </c>
      <c r="G282" t="s">
        <v>427</v>
      </c>
      <c r="H282" t="s">
        <v>428</v>
      </c>
      <c r="I282" t="s">
        <v>428</v>
      </c>
      <c r="J282" t="s">
        <v>60</v>
      </c>
      <c r="K282" t="s">
        <v>311</v>
      </c>
      <c r="L282" t="s">
        <v>62</v>
      </c>
      <c r="M282" t="s">
        <v>311</v>
      </c>
      <c r="N282" t="s">
        <v>429</v>
      </c>
      <c r="O282" t="s">
        <v>430</v>
      </c>
      <c r="P282">
        <v>-19.574636999999999</v>
      </c>
      <c r="Q282">
        <v>-43.919919999999998</v>
      </c>
      <c r="R282" s="2" t="str">
        <f>HYPERLINK("https://www.google.com/maps?q=-19.5746370,-43.9199200","Abrir no Google Maps")</f>
        <v>Abrir no Google Maps</v>
      </c>
      <c r="S282">
        <v>3</v>
      </c>
      <c r="T282">
        <v>0</v>
      </c>
      <c r="U282">
        <v>3</v>
      </c>
      <c r="V282">
        <v>8</v>
      </c>
      <c r="W282">
        <v>1</v>
      </c>
      <c r="X282">
        <v>8</v>
      </c>
      <c r="Y282">
        <v>5</v>
      </c>
      <c r="Z282">
        <v>161.2304444692663</v>
      </c>
      <c r="AA282">
        <v>2</v>
      </c>
      <c r="AB282">
        <v>3</v>
      </c>
      <c r="AC282">
        <v>7</v>
      </c>
      <c r="AD282">
        <v>24.62</v>
      </c>
      <c r="AE282">
        <v>253</v>
      </c>
      <c r="AF282">
        <v>11</v>
      </c>
      <c r="AG282">
        <v>67</v>
      </c>
      <c r="AH282">
        <v>32</v>
      </c>
      <c r="AI282">
        <v>4.3499999999999996</v>
      </c>
      <c r="AJ282">
        <v>26.48</v>
      </c>
      <c r="AK282">
        <v>12.65</v>
      </c>
      <c r="AL282">
        <v>-19.57444484999996</v>
      </c>
      <c r="AM282">
        <v>-43.920497272225433</v>
      </c>
      <c r="AN282">
        <v>-19.57444484999996</v>
      </c>
      <c r="AO282">
        <v>-43.920497272225433</v>
      </c>
      <c r="AP282">
        <v>-19.574636999999999</v>
      </c>
      <c r="AQ282">
        <v>-43.919919999999998</v>
      </c>
      <c r="AR282">
        <v>64.215298992893679</v>
      </c>
      <c r="AS282" t="s">
        <v>65</v>
      </c>
      <c r="AT282">
        <v>1</v>
      </c>
      <c r="AU282" t="s">
        <v>431</v>
      </c>
      <c r="AV282" t="s">
        <v>432</v>
      </c>
      <c r="AW282" t="s">
        <v>60</v>
      </c>
      <c r="AX282" t="s">
        <v>68</v>
      </c>
      <c r="AY282" t="s">
        <v>69</v>
      </c>
      <c r="AZ282" t="b">
        <v>1</v>
      </c>
    </row>
    <row r="283" spans="1:52" x14ac:dyDescent="0.3">
      <c r="A283" t="s">
        <v>52</v>
      </c>
      <c r="B283" t="s">
        <v>53</v>
      </c>
      <c r="C283" t="s">
        <v>54</v>
      </c>
      <c r="D283" t="s">
        <v>55</v>
      </c>
      <c r="E283" t="s">
        <v>751</v>
      </c>
      <c r="F283" t="s">
        <v>176</v>
      </c>
      <c r="G283" t="s">
        <v>433</v>
      </c>
      <c r="H283" t="s">
        <v>434</v>
      </c>
      <c r="I283" t="s">
        <v>434</v>
      </c>
      <c r="J283" t="s">
        <v>60</v>
      </c>
      <c r="K283" t="s">
        <v>311</v>
      </c>
      <c r="L283" t="s">
        <v>62</v>
      </c>
      <c r="M283" t="s">
        <v>311</v>
      </c>
      <c r="N283" t="s">
        <v>435</v>
      </c>
      <c r="O283" t="s">
        <v>120</v>
      </c>
      <c r="P283">
        <v>-19.563834</v>
      </c>
      <c r="Q283">
        <v>-43.917617</v>
      </c>
      <c r="R283" s="2" t="str">
        <f>HYPERLINK("https://www.google.com/maps?q=-19.5638340,-43.9176170","Abrir no Google Maps")</f>
        <v>Abrir no Google Maps</v>
      </c>
      <c r="S283">
        <v>3</v>
      </c>
      <c r="T283">
        <v>1208.4380275937069</v>
      </c>
      <c r="U283">
        <v>3</v>
      </c>
      <c r="V283">
        <v>9</v>
      </c>
      <c r="W283">
        <v>1</v>
      </c>
      <c r="X283">
        <v>9</v>
      </c>
      <c r="Y283">
        <v>5</v>
      </c>
      <c r="Z283">
        <v>1239.357315084522</v>
      </c>
      <c r="AA283">
        <v>2</v>
      </c>
      <c r="AB283">
        <v>3</v>
      </c>
      <c r="AC283">
        <v>7</v>
      </c>
      <c r="AD283">
        <v>24.62</v>
      </c>
      <c r="AE283">
        <v>253</v>
      </c>
      <c r="AF283">
        <v>11</v>
      </c>
      <c r="AG283">
        <v>67</v>
      </c>
      <c r="AH283">
        <v>32</v>
      </c>
      <c r="AI283">
        <v>4.3499999999999996</v>
      </c>
      <c r="AJ283">
        <v>26.48</v>
      </c>
      <c r="AK283">
        <v>12.65</v>
      </c>
      <c r="AL283">
        <v>-19.563932349999959</v>
      </c>
      <c r="AM283">
        <v>-43.917383104532327</v>
      </c>
      <c r="AN283">
        <v>-19.563932349999959</v>
      </c>
      <c r="AO283">
        <v>-43.917383104532327</v>
      </c>
      <c r="AP283">
        <v>-19.563834</v>
      </c>
      <c r="AQ283">
        <v>-43.917617</v>
      </c>
      <c r="AR283">
        <v>26.86608405010627</v>
      </c>
      <c r="AS283" t="s">
        <v>65</v>
      </c>
      <c r="AT283">
        <v>1</v>
      </c>
      <c r="AU283" t="s">
        <v>436</v>
      </c>
      <c r="AV283" t="s">
        <v>437</v>
      </c>
      <c r="AW283" t="s">
        <v>60</v>
      </c>
      <c r="AX283" t="s">
        <v>68</v>
      </c>
      <c r="AY283" t="s">
        <v>69</v>
      </c>
      <c r="AZ283" t="b">
        <v>1</v>
      </c>
    </row>
    <row r="284" spans="1:52" x14ac:dyDescent="0.3">
      <c r="A284" t="s">
        <v>52</v>
      </c>
      <c r="B284" t="s">
        <v>53</v>
      </c>
      <c r="C284" t="s">
        <v>54</v>
      </c>
      <c r="D284" t="s">
        <v>55</v>
      </c>
      <c r="E284" t="s">
        <v>751</v>
      </c>
      <c r="F284" t="s">
        <v>176</v>
      </c>
      <c r="G284" t="s">
        <v>664</v>
      </c>
      <c r="H284" t="s">
        <v>701</v>
      </c>
      <c r="I284" t="s">
        <v>701</v>
      </c>
      <c r="J284" t="s">
        <v>60</v>
      </c>
      <c r="K284" t="s">
        <v>311</v>
      </c>
      <c r="L284" t="s">
        <v>62</v>
      </c>
      <c r="M284" t="s">
        <v>311</v>
      </c>
      <c r="N284" t="s">
        <v>435</v>
      </c>
      <c r="O284" t="s">
        <v>702</v>
      </c>
      <c r="P284">
        <v>-19.565729000000001</v>
      </c>
      <c r="Q284">
        <v>-43.920665999999997</v>
      </c>
      <c r="R284" s="2" t="str">
        <f>HYPERLINK("https://www.google.com/maps?q=-19.5657290,-43.9206660","Abrir no Google Maps")</f>
        <v>Abrir no Google Maps</v>
      </c>
      <c r="S284">
        <v>3</v>
      </c>
      <c r="T284">
        <v>849.43063667308161</v>
      </c>
      <c r="U284">
        <v>3</v>
      </c>
      <c r="V284">
        <v>12</v>
      </c>
      <c r="W284">
        <v>0.85</v>
      </c>
      <c r="X284">
        <v>10.199999999999999</v>
      </c>
      <c r="Y284">
        <v>5</v>
      </c>
      <c r="Z284">
        <v>643.17339424023237</v>
      </c>
      <c r="AA284">
        <v>2</v>
      </c>
      <c r="AB284">
        <v>3</v>
      </c>
      <c r="AC284">
        <v>7</v>
      </c>
      <c r="AD284">
        <v>24.62</v>
      </c>
      <c r="AE284">
        <v>253</v>
      </c>
      <c r="AF284">
        <v>11</v>
      </c>
      <c r="AG284">
        <v>67</v>
      </c>
      <c r="AH284">
        <v>32</v>
      </c>
      <c r="AI284">
        <v>4.3499999999999996</v>
      </c>
      <c r="AJ284">
        <v>26.48</v>
      </c>
      <c r="AK284">
        <v>12.65</v>
      </c>
      <c r="AL284">
        <v>-19.56682334999994</v>
      </c>
      <c r="AM284">
        <v>-43.921453383422516</v>
      </c>
      <c r="AN284">
        <v>-19.56682334999994</v>
      </c>
      <c r="AO284">
        <v>-43.921453383422516</v>
      </c>
      <c r="AP284">
        <v>-19.565729000000001</v>
      </c>
      <c r="AQ284">
        <v>-43.920665999999997</v>
      </c>
      <c r="AR284">
        <v>147.17990898184439</v>
      </c>
      <c r="AS284" t="s">
        <v>65</v>
      </c>
      <c r="AT284">
        <v>1</v>
      </c>
      <c r="AU284" t="s">
        <v>703</v>
      </c>
      <c r="AV284" t="s">
        <v>704</v>
      </c>
      <c r="AW284" t="s">
        <v>60</v>
      </c>
      <c r="AX284" t="s">
        <v>68</v>
      </c>
      <c r="AY284" t="s">
        <v>69</v>
      </c>
      <c r="AZ284" t="b">
        <v>1</v>
      </c>
    </row>
    <row r="285" spans="1:52" x14ac:dyDescent="0.3">
      <c r="A285" t="s">
        <v>52</v>
      </c>
      <c r="B285" t="s">
        <v>53</v>
      </c>
      <c r="C285" t="s">
        <v>54</v>
      </c>
      <c r="D285" t="s">
        <v>55</v>
      </c>
      <c r="E285" t="s">
        <v>751</v>
      </c>
      <c r="F285" t="s">
        <v>176</v>
      </c>
      <c r="G285" t="s">
        <v>705</v>
      </c>
      <c r="H285" t="s">
        <v>706</v>
      </c>
      <c r="I285" t="s">
        <v>706</v>
      </c>
      <c r="J285" t="s">
        <v>60</v>
      </c>
      <c r="K285" t="s">
        <v>707</v>
      </c>
      <c r="L285" t="s">
        <v>62</v>
      </c>
      <c r="M285" t="s">
        <v>707</v>
      </c>
      <c r="N285" t="s">
        <v>708</v>
      </c>
      <c r="O285" t="s">
        <v>709</v>
      </c>
      <c r="P285">
        <v>-19.649132000000002</v>
      </c>
      <c r="Q285">
        <v>-43.913184999999999</v>
      </c>
      <c r="R285" s="2" t="str">
        <f>HYPERLINK("https://www.google.com/maps?q=-19.6491320,-43.9131850","Abrir no Google Maps")</f>
        <v>Abrir no Google Maps</v>
      </c>
      <c r="S285">
        <v>3</v>
      </c>
      <c r="T285">
        <v>708.05095277627129</v>
      </c>
      <c r="U285">
        <v>3</v>
      </c>
      <c r="V285">
        <v>11</v>
      </c>
      <c r="W285">
        <v>1</v>
      </c>
      <c r="X285">
        <v>11</v>
      </c>
      <c r="Y285">
        <v>4</v>
      </c>
      <c r="Z285">
        <v>786.89435979618963</v>
      </c>
      <c r="AA285">
        <v>2</v>
      </c>
      <c r="AB285">
        <v>3</v>
      </c>
      <c r="AC285">
        <v>7</v>
      </c>
      <c r="AD285">
        <v>24.62</v>
      </c>
      <c r="AE285">
        <v>253</v>
      </c>
      <c r="AF285">
        <v>11</v>
      </c>
      <c r="AG285">
        <v>67</v>
      </c>
      <c r="AH285">
        <v>32</v>
      </c>
      <c r="AI285">
        <v>4.3499999999999996</v>
      </c>
      <c r="AJ285">
        <v>26.48</v>
      </c>
      <c r="AK285">
        <v>12.65</v>
      </c>
      <c r="AL285">
        <v>-19.649055099999941</v>
      </c>
      <c r="AM285">
        <v>-43.912942827576757</v>
      </c>
      <c r="AN285">
        <v>-19.649055099999941</v>
      </c>
      <c r="AO285">
        <v>-43.912942827576771</v>
      </c>
      <c r="AP285">
        <v>-19.649132000000002</v>
      </c>
      <c r="AQ285">
        <v>-43.913184999999999</v>
      </c>
      <c r="AR285">
        <v>26.793189431239711</v>
      </c>
      <c r="AS285" t="s">
        <v>65</v>
      </c>
      <c r="AT285">
        <v>1</v>
      </c>
      <c r="AU285" t="s">
        <v>710</v>
      </c>
      <c r="AV285" t="s">
        <v>711</v>
      </c>
      <c r="AW285" t="s">
        <v>60</v>
      </c>
      <c r="AX285" t="s">
        <v>68</v>
      </c>
      <c r="AY285" t="s">
        <v>69</v>
      </c>
      <c r="AZ285" t="b">
        <v>1</v>
      </c>
    </row>
    <row r="286" spans="1:52" x14ac:dyDescent="0.3">
      <c r="A286" t="s">
        <v>52</v>
      </c>
      <c r="B286" t="s">
        <v>53</v>
      </c>
      <c r="C286" t="s">
        <v>54</v>
      </c>
      <c r="D286" t="s">
        <v>55</v>
      </c>
      <c r="E286" t="s">
        <v>751</v>
      </c>
      <c r="F286" t="s">
        <v>176</v>
      </c>
      <c r="G286" t="s">
        <v>438</v>
      </c>
      <c r="H286" t="s">
        <v>439</v>
      </c>
      <c r="I286" t="s">
        <v>439</v>
      </c>
      <c r="J286" t="s">
        <v>60</v>
      </c>
      <c r="K286" t="s">
        <v>199</v>
      </c>
      <c r="L286" t="s">
        <v>62</v>
      </c>
      <c r="M286" t="s">
        <v>199</v>
      </c>
      <c r="N286" t="s">
        <v>440</v>
      </c>
      <c r="O286" t="s">
        <v>120</v>
      </c>
      <c r="P286">
        <v>-19.642907000000001</v>
      </c>
      <c r="Q286">
        <v>-43.912584000000003</v>
      </c>
      <c r="R286" s="2" t="str">
        <f>HYPERLINK("https://www.google.com/maps?q=-19.6429070,-43.9125840","Abrir no Google Maps")</f>
        <v>Abrir no Google Maps</v>
      </c>
      <c r="S286">
        <v>3</v>
      </c>
      <c r="T286">
        <v>0</v>
      </c>
      <c r="U286">
        <v>3</v>
      </c>
      <c r="V286">
        <v>11</v>
      </c>
      <c r="W286">
        <v>1</v>
      </c>
      <c r="X286">
        <v>11</v>
      </c>
      <c r="Y286">
        <v>4</v>
      </c>
      <c r="Z286">
        <v>617.66392653629225</v>
      </c>
      <c r="AA286">
        <v>2</v>
      </c>
      <c r="AB286">
        <v>3</v>
      </c>
      <c r="AC286">
        <v>7</v>
      </c>
      <c r="AD286">
        <v>24.62</v>
      </c>
      <c r="AE286">
        <v>253</v>
      </c>
      <c r="AF286">
        <v>11</v>
      </c>
      <c r="AG286">
        <v>67</v>
      </c>
      <c r="AH286">
        <v>32</v>
      </c>
      <c r="AI286">
        <v>4.3499999999999996</v>
      </c>
      <c r="AJ286">
        <v>26.48</v>
      </c>
      <c r="AK286">
        <v>12.65</v>
      </c>
      <c r="AL286">
        <v>-19.64265969999996</v>
      </c>
      <c r="AM286">
        <v>-43.912763285666202</v>
      </c>
      <c r="AN286">
        <v>-19.64265969999996</v>
      </c>
      <c r="AO286">
        <v>-43.912763285666202</v>
      </c>
      <c r="AP286">
        <v>-19.642907000000001</v>
      </c>
      <c r="AQ286">
        <v>-43.912584000000003</v>
      </c>
      <c r="AR286">
        <v>33.334435483196202</v>
      </c>
      <c r="AS286" t="s">
        <v>65</v>
      </c>
      <c r="AT286">
        <v>1</v>
      </c>
      <c r="AU286" t="s">
        <v>441</v>
      </c>
      <c r="AV286" t="s">
        <v>442</v>
      </c>
      <c r="AW286" t="s">
        <v>60</v>
      </c>
      <c r="AX286" t="s">
        <v>68</v>
      </c>
      <c r="AY286" t="s">
        <v>69</v>
      </c>
      <c r="AZ286" t="b">
        <v>1</v>
      </c>
    </row>
    <row r="287" spans="1:52" x14ac:dyDescent="0.3">
      <c r="A287" t="s">
        <v>52</v>
      </c>
      <c r="B287" t="s">
        <v>53</v>
      </c>
      <c r="C287" t="s">
        <v>54</v>
      </c>
      <c r="D287" t="s">
        <v>55</v>
      </c>
      <c r="E287" t="s">
        <v>751</v>
      </c>
      <c r="F287" t="s">
        <v>176</v>
      </c>
      <c r="G287" t="s">
        <v>758</v>
      </c>
      <c r="H287" t="s">
        <v>759</v>
      </c>
      <c r="I287" t="s">
        <v>759</v>
      </c>
      <c r="J287" t="s">
        <v>60</v>
      </c>
      <c r="K287" t="s">
        <v>445</v>
      </c>
      <c r="L287" t="s">
        <v>62</v>
      </c>
      <c r="M287" t="s">
        <v>445</v>
      </c>
      <c r="N287" t="s">
        <v>760</v>
      </c>
      <c r="O287" t="s">
        <v>379</v>
      </c>
      <c r="P287">
        <v>-19.646125999999999</v>
      </c>
      <c r="Q287">
        <v>-43.876871999999999</v>
      </c>
      <c r="R287" s="2" t="str">
        <f>HYPERLINK("https://www.google.com/maps?q=-19.6461260,-43.8768720","Abrir no Google Maps")</f>
        <v>Abrir no Google Maps</v>
      </c>
      <c r="S287">
        <v>3</v>
      </c>
      <c r="T287">
        <v>736.04226763619943</v>
      </c>
      <c r="U287">
        <v>3</v>
      </c>
      <c r="V287">
        <v>9</v>
      </c>
      <c r="W287">
        <v>0.85</v>
      </c>
      <c r="X287">
        <v>7.6499999999999986</v>
      </c>
      <c r="Y287">
        <v>3</v>
      </c>
      <c r="Z287">
        <v>682.87127274669569</v>
      </c>
      <c r="AA287">
        <v>2</v>
      </c>
      <c r="AB287">
        <v>3</v>
      </c>
      <c r="AC287">
        <v>7</v>
      </c>
      <c r="AD287">
        <v>24.62</v>
      </c>
      <c r="AE287">
        <v>253</v>
      </c>
      <c r="AF287">
        <v>11</v>
      </c>
      <c r="AG287">
        <v>67</v>
      </c>
      <c r="AH287">
        <v>32</v>
      </c>
      <c r="AI287">
        <v>4.3499999999999996</v>
      </c>
      <c r="AJ287">
        <v>26.48</v>
      </c>
      <c r="AK287">
        <v>12.65</v>
      </c>
      <c r="AL287">
        <v>-19.646915499999949</v>
      </c>
      <c r="AM287">
        <v>-43.876446468943627</v>
      </c>
      <c r="AN287">
        <v>-19.646915499999949</v>
      </c>
      <c r="AO287">
        <v>-43.876446468943627</v>
      </c>
      <c r="AP287">
        <v>-19.646125999999999</v>
      </c>
      <c r="AQ287">
        <v>-43.876871999999999</v>
      </c>
      <c r="AR287">
        <v>98.561710335478438</v>
      </c>
      <c r="AS287" t="s">
        <v>65</v>
      </c>
      <c r="AT287">
        <v>1</v>
      </c>
      <c r="AU287" t="s">
        <v>761</v>
      </c>
      <c r="AV287" t="s">
        <v>762</v>
      </c>
      <c r="AW287" t="s">
        <v>60</v>
      </c>
      <c r="AX287" t="s">
        <v>68</v>
      </c>
      <c r="AY287" t="s">
        <v>69</v>
      </c>
      <c r="AZ287" t="b">
        <v>1</v>
      </c>
    </row>
    <row r="288" spans="1:52" x14ac:dyDescent="0.3">
      <c r="A288" t="s">
        <v>52</v>
      </c>
      <c r="B288" t="s">
        <v>53</v>
      </c>
      <c r="C288" t="s">
        <v>54</v>
      </c>
      <c r="D288" t="s">
        <v>55</v>
      </c>
      <c r="E288" t="s">
        <v>751</v>
      </c>
      <c r="F288" t="s">
        <v>176</v>
      </c>
      <c r="G288" t="s">
        <v>443</v>
      </c>
      <c r="H288" t="s">
        <v>444</v>
      </c>
      <c r="I288" t="s">
        <v>444</v>
      </c>
      <c r="J288" t="s">
        <v>60</v>
      </c>
      <c r="K288" t="s">
        <v>445</v>
      </c>
      <c r="L288" t="s">
        <v>62</v>
      </c>
      <c r="M288" t="s">
        <v>445</v>
      </c>
      <c r="N288" t="s">
        <v>446</v>
      </c>
      <c r="O288" t="s">
        <v>447</v>
      </c>
      <c r="P288">
        <v>-19.650062999999999</v>
      </c>
      <c r="Q288">
        <v>-43.878337000000002</v>
      </c>
      <c r="R288" s="2" t="str">
        <f>HYPERLINK("https://www.google.com/maps?q=-19.6500630,-43.8783370","Abrir no Google Maps")</f>
        <v>Abrir no Google Maps</v>
      </c>
      <c r="S288">
        <v>3</v>
      </c>
      <c r="T288">
        <v>839.11860749856135</v>
      </c>
      <c r="U288">
        <v>3</v>
      </c>
      <c r="V288">
        <v>8</v>
      </c>
      <c r="W288">
        <v>1</v>
      </c>
      <c r="X288">
        <v>8</v>
      </c>
      <c r="Y288">
        <v>3</v>
      </c>
      <c r="Z288">
        <v>698.86168887476526</v>
      </c>
      <c r="AA288">
        <v>2</v>
      </c>
      <c r="AB288">
        <v>3</v>
      </c>
      <c r="AC288">
        <v>7</v>
      </c>
      <c r="AD288">
        <v>24.62</v>
      </c>
      <c r="AE288">
        <v>253</v>
      </c>
      <c r="AF288">
        <v>11</v>
      </c>
      <c r="AG288">
        <v>67</v>
      </c>
      <c r="AH288">
        <v>32</v>
      </c>
      <c r="AI288">
        <v>4.3499999999999996</v>
      </c>
      <c r="AJ288">
        <v>26.48</v>
      </c>
      <c r="AK288">
        <v>12.65</v>
      </c>
      <c r="AL288">
        <v>-19.650555399999941</v>
      </c>
      <c r="AM288">
        <v>-43.878603008553611</v>
      </c>
      <c r="AN288">
        <v>-19.650555399999941</v>
      </c>
      <c r="AO288">
        <v>-43.878603008553611</v>
      </c>
      <c r="AP288">
        <v>-19.650062999999999</v>
      </c>
      <c r="AQ288">
        <v>-43.878337000000002</v>
      </c>
      <c r="AR288">
        <v>61.500273251918507</v>
      </c>
      <c r="AS288" t="s">
        <v>65</v>
      </c>
      <c r="AT288">
        <v>1</v>
      </c>
      <c r="AU288" t="s">
        <v>448</v>
      </c>
      <c r="AV288" t="s">
        <v>449</v>
      </c>
      <c r="AW288" t="s">
        <v>60</v>
      </c>
      <c r="AX288" t="s">
        <v>68</v>
      </c>
      <c r="AY288" t="s">
        <v>69</v>
      </c>
      <c r="AZ288" t="b">
        <v>1</v>
      </c>
    </row>
    <row r="289" spans="1:52" x14ac:dyDescent="0.3">
      <c r="A289" t="s">
        <v>52</v>
      </c>
      <c r="B289" t="s">
        <v>53</v>
      </c>
      <c r="C289" t="s">
        <v>54</v>
      </c>
      <c r="D289" t="s">
        <v>55</v>
      </c>
      <c r="E289" t="s">
        <v>751</v>
      </c>
      <c r="F289" t="s">
        <v>176</v>
      </c>
      <c r="G289" t="s">
        <v>457</v>
      </c>
      <c r="H289" t="s">
        <v>458</v>
      </c>
      <c r="I289" t="s">
        <v>458</v>
      </c>
      <c r="J289" t="s">
        <v>60</v>
      </c>
      <c r="K289" t="s">
        <v>286</v>
      </c>
      <c r="L289" t="s">
        <v>62</v>
      </c>
      <c r="M289" t="s">
        <v>286</v>
      </c>
      <c r="N289" t="s">
        <v>459</v>
      </c>
      <c r="O289" t="s">
        <v>408</v>
      </c>
      <c r="P289">
        <v>-19.648675000000001</v>
      </c>
      <c r="Q289">
        <v>-43.876176999999998</v>
      </c>
      <c r="R289" s="2" t="str">
        <f>HYPERLINK("https://www.google.com/maps?q=-19.6486750,-43.8761770","Abrir no Google Maps")</f>
        <v>Abrir no Google Maps</v>
      </c>
      <c r="S289">
        <v>3</v>
      </c>
      <c r="T289">
        <v>696.15049931004592</v>
      </c>
      <c r="U289">
        <v>3</v>
      </c>
      <c r="V289">
        <v>9</v>
      </c>
      <c r="W289">
        <v>1</v>
      </c>
      <c r="X289">
        <v>9</v>
      </c>
      <c r="Y289">
        <v>3</v>
      </c>
      <c r="Z289">
        <v>617.40976221624703</v>
      </c>
      <c r="AA289">
        <v>2</v>
      </c>
      <c r="AB289">
        <v>3</v>
      </c>
      <c r="AC289">
        <v>7</v>
      </c>
      <c r="AD289">
        <v>24.62</v>
      </c>
      <c r="AE289">
        <v>253</v>
      </c>
      <c r="AF289">
        <v>11</v>
      </c>
      <c r="AG289">
        <v>67</v>
      </c>
      <c r="AH289">
        <v>32</v>
      </c>
      <c r="AI289">
        <v>4.3499999999999996</v>
      </c>
      <c r="AJ289">
        <v>26.48</v>
      </c>
      <c r="AK289">
        <v>12.65</v>
      </c>
      <c r="AL289">
        <v>-19.648626649999951</v>
      </c>
      <c r="AM289">
        <v>-43.876233357879343</v>
      </c>
      <c r="AN289">
        <v>-19.648626649999951</v>
      </c>
      <c r="AO289">
        <v>-43.876233357879343</v>
      </c>
      <c r="AP289">
        <v>-19.648675000000001</v>
      </c>
      <c r="AQ289">
        <v>-43.876176999999998</v>
      </c>
      <c r="AR289">
        <v>7.9924470956447653</v>
      </c>
      <c r="AS289" t="s">
        <v>65</v>
      </c>
      <c r="AT289">
        <v>1</v>
      </c>
      <c r="AU289" t="s">
        <v>460</v>
      </c>
      <c r="AV289" t="s">
        <v>461</v>
      </c>
      <c r="AW289" t="s">
        <v>60</v>
      </c>
      <c r="AX289" t="s">
        <v>68</v>
      </c>
      <c r="AY289" t="s">
        <v>69</v>
      </c>
      <c r="AZ289" t="b">
        <v>1</v>
      </c>
    </row>
    <row r="290" spans="1:52" x14ac:dyDescent="0.3">
      <c r="A290" t="s">
        <v>52</v>
      </c>
      <c r="B290" t="s">
        <v>53</v>
      </c>
      <c r="C290" t="s">
        <v>54</v>
      </c>
      <c r="D290" t="s">
        <v>55</v>
      </c>
      <c r="E290" t="s">
        <v>751</v>
      </c>
      <c r="F290" t="s">
        <v>176</v>
      </c>
      <c r="G290" t="s">
        <v>462</v>
      </c>
      <c r="H290" t="s">
        <v>463</v>
      </c>
      <c r="I290" t="s">
        <v>463</v>
      </c>
      <c r="J290" t="s">
        <v>60</v>
      </c>
      <c r="K290" t="s">
        <v>464</v>
      </c>
      <c r="L290" t="s">
        <v>62</v>
      </c>
      <c r="M290" t="s">
        <v>464</v>
      </c>
      <c r="N290" t="s">
        <v>465</v>
      </c>
      <c r="O290" t="s">
        <v>414</v>
      </c>
      <c r="P290">
        <v>-19.655408000000001</v>
      </c>
      <c r="Q290">
        <v>-43.862772999999997</v>
      </c>
      <c r="R290" s="2" t="str">
        <f>HYPERLINK("https://www.google.com/maps?q=-19.6554080,-43.8627730","Abrir no Google Maps")</f>
        <v>Abrir no Google Maps</v>
      </c>
      <c r="S290">
        <v>3</v>
      </c>
      <c r="T290">
        <v>877.50781603676592</v>
      </c>
      <c r="U290">
        <v>3</v>
      </c>
      <c r="V290">
        <v>8</v>
      </c>
      <c r="W290">
        <v>1</v>
      </c>
      <c r="X290">
        <v>8</v>
      </c>
      <c r="Y290">
        <v>3</v>
      </c>
      <c r="Z290">
        <v>1005.9680098732809</v>
      </c>
      <c r="AA290">
        <v>2</v>
      </c>
      <c r="AB290">
        <v>3</v>
      </c>
      <c r="AC290">
        <v>7</v>
      </c>
      <c r="AD290">
        <v>24.62</v>
      </c>
      <c r="AE290">
        <v>253</v>
      </c>
      <c r="AF290">
        <v>11</v>
      </c>
      <c r="AG290">
        <v>67</v>
      </c>
      <c r="AH290">
        <v>32</v>
      </c>
      <c r="AI290">
        <v>4.3499999999999996</v>
      </c>
      <c r="AJ290">
        <v>26.48</v>
      </c>
      <c r="AK290">
        <v>12.65</v>
      </c>
      <c r="AL290">
        <v>-19.655455099999951</v>
      </c>
      <c r="AM290">
        <v>-43.863149342001513</v>
      </c>
      <c r="AN290">
        <v>-19.655455099999951</v>
      </c>
      <c r="AO290">
        <v>-43.863149342001513</v>
      </c>
      <c r="AP290">
        <v>-19.655408000000001</v>
      </c>
      <c r="AQ290">
        <v>-43.862772999999997</v>
      </c>
      <c r="AR290">
        <v>39.800175805630573</v>
      </c>
      <c r="AS290" t="s">
        <v>65</v>
      </c>
      <c r="AT290">
        <v>1</v>
      </c>
      <c r="AU290" t="s">
        <v>466</v>
      </c>
      <c r="AV290" t="s">
        <v>467</v>
      </c>
      <c r="AW290" t="s">
        <v>60</v>
      </c>
      <c r="AX290" t="s">
        <v>68</v>
      </c>
      <c r="AY290" t="s">
        <v>69</v>
      </c>
      <c r="AZ290" t="b">
        <v>1</v>
      </c>
    </row>
    <row r="291" spans="1:52" x14ac:dyDescent="0.3">
      <c r="A291" t="s">
        <v>52</v>
      </c>
      <c r="B291" t="s">
        <v>53</v>
      </c>
      <c r="C291" t="s">
        <v>54</v>
      </c>
      <c r="D291" t="s">
        <v>55</v>
      </c>
      <c r="E291" t="s">
        <v>751</v>
      </c>
      <c r="F291" t="s">
        <v>176</v>
      </c>
      <c r="G291" t="s">
        <v>763</v>
      </c>
      <c r="H291" t="s">
        <v>764</v>
      </c>
      <c r="I291" t="s">
        <v>764</v>
      </c>
      <c r="J291" t="s">
        <v>60</v>
      </c>
      <c r="K291" t="s">
        <v>765</v>
      </c>
      <c r="L291" t="s">
        <v>62</v>
      </c>
      <c r="M291" t="s">
        <v>765</v>
      </c>
      <c r="N291" t="s">
        <v>766</v>
      </c>
      <c r="O291" t="s">
        <v>767</v>
      </c>
      <c r="P291">
        <v>-19.674292000000001</v>
      </c>
      <c r="Q291">
        <v>-43.881830000000001</v>
      </c>
      <c r="R291" s="2" t="str">
        <f>HYPERLINK("https://www.google.com/maps?q=-19.6742920,-43.8818300","Abrir no Google Maps")</f>
        <v>Abrir no Google Maps</v>
      </c>
      <c r="S291">
        <v>3</v>
      </c>
      <c r="T291">
        <v>0</v>
      </c>
      <c r="U291">
        <v>3</v>
      </c>
      <c r="V291">
        <v>9</v>
      </c>
      <c r="W291">
        <v>0.85</v>
      </c>
      <c r="X291">
        <v>7.6499999999999986</v>
      </c>
      <c r="Y291">
        <v>3</v>
      </c>
      <c r="Z291">
        <v>531.841122174725</v>
      </c>
      <c r="AA291">
        <v>2</v>
      </c>
      <c r="AB291">
        <v>3</v>
      </c>
      <c r="AC291">
        <v>7</v>
      </c>
      <c r="AD291">
        <v>24.62</v>
      </c>
      <c r="AE291">
        <v>253</v>
      </c>
      <c r="AF291">
        <v>11</v>
      </c>
      <c r="AG291">
        <v>67</v>
      </c>
      <c r="AH291">
        <v>32</v>
      </c>
      <c r="AI291">
        <v>4.3499999999999996</v>
      </c>
      <c r="AJ291">
        <v>26.48</v>
      </c>
      <c r="AK291">
        <v>12.65</v>
      </c>
      <c r="AL291">
        <v>-19.67484149999996</v>
      </c>
      <c r="AM291">
        <v>-43.880858110906111</v>
      </c>
      <c r="AN291">
        <v>-19.67484149999996</v>
      </c>
      <c r="AO291">
        <v>-43.880858110906111</v>
      </c>
      <c r="AP291">
        <v>-19.674292000000001</v>
      </c>
      <c r="AQ291">
        <v>-43.881830000000001</v>
      </c>
      <c r="AR291">
        <v>118.82842626598109</v>
      </c>
      <c r="AS291" t="s">
        <v>65</v>
      </c>
      <c r="AT291">
        <v>1</v>
      </c>
      <c r="AU291" t="s">
        <v>768</v>
      </c>
      <c r="AV291" t="s">
        <v>769</v>
      </c>
      <c r="AW291" t="s">
        <v>60</v>
      </c>
      <c r="AX291" t="s">
        <v>68</v>
      </c>
      <c r="AY291" t="s">
        <v>69</v>
      </c>
      <c r="AZ291" t="b">
        <v>1</v>
      </c>
    </row>
    <row r="292" spans="1:52" x14ac:dyDescent="0.3">
      <c r="A292" t="s">
        <v>52</v>
      </c>
      <c r="B292" t="s">
        <v>53</v>
      </c>
      <c r="C292" t="s">
        <v>54</v>
      </c>
      <c r="D292" t="s">
        <v>55</v>
      </c>
      <c r="E292" t="s">
        <v>751</v>
      </c>
      <c r="F292" t="s">
        <v>176</v>
      </c>
      <c r="G292" t="s">
        <v>331</v>
      </c>
      <c r="H292" t="s">
        <v>332</v>
      </c>
      <c r="I292" t="s">
        <v>332</v>
      </c>
      <c r="J292" t="s">
        <v>60</v>
      </c>
      <c r="K292" t="s">
        <v>333</v>
      </c>
      <c r="L292" t="s">
        <v>62</v>
      </c>
      <c r="M292" t="s">
        <v>333</v>
      </c>
      <c r="N292" t="s">
        <v>334</v>
      </c>
      <c r="O292" t="s">
        <v>335</v>
      </c>
      <c r="P292">
        <v>-19.638455</v>
      </c>
      <c r="Q292">
        <v>-43.911239000000002</v>
      </c>
      <c r="R292" s="2" t="str">
        <f>HYPERLINK("https://www.google.com/maps?q=-19.6384550,-43.9112390","Abrir no Google Maps")</f>
        <v>Abrir no Google Maps</v>
      </c>
      <c r="S292">
        <v>3</v>
      </c>
      <c r="T292">
        <v>488.53051432983438</v>
      </c>
      <c r="U292">
        <v>3</v>
      </c>
      <c r="V292">
        <v>9</v>
      </c>
      <c r="W292">
        <v>1</v>
      </c>
      <c r="X292">
        <v>9</v>
      </c>
      <c r="Y292">
        <v>3</v>
      </c>
      <c r="Z292">
        <v>503.17412324010428</v>
      </c>
      <c r="AA292">
        <v>2</v>
      </c>
      <c r="AB292">
        <v>3</v>
      </c>
      <c r="AC292">
        <v>7</v>
      </c>
      <c r="AD292">
        <v>24.62</v>
      </c>
      <c r="AE292">
        <v>253</v>
      </c>
      <c r="AF292">
        <v>11</v>
      </c>
      <c r="AG292">
        <v>67</v>
      </c>
      <c r="AH292">
        <v>32</v>
      </c>
      <c r="AI292">
        <v>4.3499999999999996</v>
      </c>
      <c r="AJ292">
        <v>26.48</v>
      </c>
      <c r="AK292">
        <v>12.65</v>
      </c>
      <c r="AL292">
        <v>-19.63853704999994</v>
      </c>
      <c r="AM292">
        <v>-43.911098254478723</v>
      </c>
      <c r="AN292">
        <v>-19.63853704999994</v>
      </c>
      <c r="AO292">
        <v>-43.911098254478723</v>
      </c>
      <c r="AP292">
        <v>-19.638455</v>
      </c>
      <c r="AQ292">
        <v>-43.911239000000002</v>
      </c>
      <c r="AR292">
        <v>17.354491692685801</v>
      </c>
      <c r="AS292" t="s">
        <v>65</v>
      </c>
      <c r="AT292">
        <v>1</v>
      </c>
      <c r="AU292" t="s">
        <v>336</v>
      </c>
      <c r="AV292" t="s">
        <v>337</v>
      </c>
      <c r="AW292" t="s">
        <v>60</v>
      </c>
      <c r="AX292" t="s">
        <v>68</v>
      </c>
      <c r="AY292" t="s">
        <v>69</v>
      </c>
      <c r="AZ292" t="b">
        <v>1</v>
      </c>
    </row>
    <row r="293" spans="1:52" x14ac:dyDescent="0.3">
      <c r="A293" t="s">
        <v>52</v>
      </c>
      <c r="B293" t="s">
        <v>53</v>
      </c>
      <c r="C293" t="s">
        <v>54</v>
      </c>
      <c r="D293" t="s">
        <v>55</v>
      </c>
      <c r="E293" t="s">
        <v>751</v>
      </c>
      <c r="F293" t="s">
        <v>176</v>
      </c>
      <c r="G293" t="s">
        <v>338</v>
      </c>
      <c r="H293" t="s">
        <v>339</v>
      </c>
      <c r="I293" t="s">
        <v>339</v>
      </c>
      <c r="J293" t="s">
        <v>60</v>
      </c>
      <c r="K293" t="s">
        <v>219</v>
      </c>
      <c r="L293" t="s">
        <v>62</v>
      </c>
      <c r="M293" t="s">
        <v>219</v>
      </c>
      <c r="N293" t="s">
        <v>340</v>
      </c>
      <c r="O293" t="s">
        <v>341</v>
      </c>
      <c r="P293">
        <v>-19.666964</v>
      </c>
      <c r="Q293">
        <v>-43.884436999999998</v>
      </c>
      <c r="R293" s="2" t="str">
        <f>HYPERLINK("https://www.google.com/maps?q=-19.6669640,-43.8844370","Abrir no Google Maps")</f>
        <v>Abrir no Google Maps</v>
      </c>
      <c r="S293">
        <v>3</v>
      </c>
      <c r="T293">
        <v>957.0047152726122</v>
      </c>
      <c r="U293">
        <v>3</v>
      </c>
      <c r="V293">
        <v>11</v>
      </c>
      <c r="W293">
        <v>1</v>
      </c>
      <c r="X293">
        <v>11</v>
      </c>
      <c r="Y293">
        <v>3</v>
      </c>
      <c r="Z293">
        <v>558.02655966087093</v>
      </c>
      <c r="AA293">
        <v>2</v>
      </c>
      <c r="AB293">
        <v>3</v>
      </c>
      <c r="AC293">
        <v>7</v>
      </c>
      <c r="AD293">
        <v>24.62</v>
      </c>
      <c r="AE293">
        <v>253</v>
      </c>
      <c r="AF293">
        <v>11</v>
      </c>
      <c r="AG293">
        <v>67</v>
      </c>
      <c r="AH293">
        <v>32</v>
      </c>
      <c r="AI293">
        <v>4.3499999999999996</v>
      </c>
      <c r="AJ293">
        <v>26.48</v>
      </c>
      <c r="AK293">
        <v>12.65</v>
      </c>
      <c r="AL293">
        <v>-19.66693374999997</v>
      </c>
      <c r="AM293">
        <v>-43.884551162820181</v>
      </c>
      <c r="AN293">
        <v>-19.66693374999997</v>
      </c>
      <c r="AO293">
        <v>-43.884551162820181</v>
      </c>
      <c r="AP293">
        <v>-19.666964</v>
      </c>
      <c r="AQ293">
        <v>-43.884436999999998</v>
      </c>
      <c r="AR293">
        <v>12.43199920714442</v>
      </c>
      <c r="AS293" t="s">
        <v>65</v>
      </c>
      <c r="AT293">
        <v>1</v>
      </c>
      <c r="AU293" t="s">
        <v>342</v>
      </c>
      <c r="AV293" t="s">
        <v>343</v>
      </c>
      <c r="AW293" t="s">
        <v>60</v>
      </c>
      <c r="AX293" t="s">
        <v>68</v>
      </c>
      <c r="AY293" t="s">
        <v>69</v>
      </c>
      <c r="AZ293" t="b">
        <v>1</v>
      </c>
    </row>
    <row r="294" spans="1:52" x14ac:dyDescent="0.3">
      <c r="A294" t="s">
        <v>52</v>
      </c>
      <c r="B294" t="s">
        <v>53</v>
      </c>
      <c r="C294" t="s">
        <v>54</v>
      </c>
      <c r="D294" t="s">
        <v>55</v>
      </c>
      <c r="E294" t="s">
        <v>751</v>
      </c>
      <c r="F294" t="s">
        <v>176</v>
      </c>
      <c r="G294" t="s">
        <v>474</v>
      </c>
      <c r="H294" t="s">
        <v>475</v>
      </c>
      <c r="I294" t="s">
        <v>475</v>
      </c>
      <c r="J294" t="s">
        <v>60</v>
      </c>
      <c r="K294" t="s">
        <v>326</v>
      </c>
      <c r="L294" t="s">
        <v>62</v>
      </c>
      <c r="M294" t="s">
        <v>326</v>
      </c>
      <c r="N294" t="s">
        <v>476</v>
      </c>
      <c r="O294" t="s">
        <v>477</v>
      </c>
      <c r="P294">
        <v>-19.658083000000001</v>
      </c>
      <c r="Q294">
        <v>-43.866957999999997</v>
      </c>
      <c r="R294" s="2" t="str">
        <f>HYPERLINK("https://www.google.com/maps?q=-19.6580830,-43.8669580","Abrir no Google Maps")</f>
        <v>Abrir no Google Maps</v>
      </c>
      <c r="S294">
        <v>3</v>
      </c>
      <c r="T294">
        <v>753.45055811539748</v>
      </c>
      <c r="U294">
        <v>3</v>
      </c>
      <c r="V294">
        <v>13</v>
      </c>
      <c r="W294">
        <v>1</v>
      </c>
      <c r="X294">
        <v>13</v>
      </c>
      <c r="Y294">
        <v>3</v>
      </c>
      <c r="Z294">
        <v>808.47816984050394</v>
      </c>
      <c r="AA294">
        <v>2</v>
      </c>
      <c r="AB294">
        <v>3</v>
      </c>
      <c r="AC294">
        <v>7</v>
      </c>
      <c r="AD294">
        <v>24.62</v>
      </c>
      <c r="AE294">
        <v>253</v>
      </c>
      <c r="AF294">
        <v>11</v>
      </c>
      <c r="AG294">
        <v>67</v>
      </c>
      <c r="AH294">
        <v>32</v>
      </c>
      <c r="AI294">
        <v>4.3499999999999996</v>
      </c>
      <c r="AJ294">
        <v>26.48</v>
      </c>
      <c r="AK294">
        <v>12.65</v>
      </c>
      <c r="AL294">
        <v>-19.658034899999929</v>
      </c>
      <c r="AM294">
        <v>-43.867024921196148</v>
      </c>
      <c r="AN294">
        <v>-19.658034899999929</v>
      </c>
      <c r="AO294">
        <v>-43.867024921196148</v>
      </c>
      <c r="AP294">
        <v>-19.658083000000001</v>
      </c>
      <c r="AQ294">
        <v>-43.866957999999997</v>
      </c>
      <c r="AR294">
        <v>8.8253920204286462</v>
      </c>
      <c r="AS294" t="s">
        <v>65</v>
      </c>
      <c r="AT294">
        <v>1</v>
      </c>
      <c r="AU294" t="s">
        <v>478</v>
      </c>
      <c r="AV294" t="s">
        <v>349</v>
      </c>
      <c r="AW294" t="s">
        <v>60</v>
      </c>
      <c r="AX294" t="s">
        <v>68</v>
      </c>
      <c r="AY294" t="s">
        <v>69</v>
      </c>
      <c r="AZ294" t="b">
        <v>1</v>
      </c>
    </row>
    <row r="295" spans="1:52" x14ac:dyDescent="0.3">
      <c r="A295" t="s">
        <v>52</v>
      </c>
      <c r="B295" t="s">
        <v>53</v>
      </c>
      <c r="C295" t="s">
        <v>54</v>
      </c>
      <c r="D295" t="s">
        <v>55</v>
      </c>
      <c r="E295" t="s">
        <v>751</v>
      </c>
      <c r="F295" t="s">
        <v>176</v>
      </c>
      <c r="G295" t="s">
        <v>350</v>
      </c>
      <c r="H295" t="s">
        <v>363</v>
      </c>
      <c r="I295" t="s">
        <v>363</v>
      </c>
      <c r="J295" t="s">
        <v>60</v>
      </c>
      <c r="K295" t="s">
        <v>364</v>
      </c>
      <c r="L295" t="s">
        <v>62</v>
      </c>
      <c r="M295" t="s">
        <v>364</v>
      </c>
      <c r="N295" t="s">
        <v>353</v>
      </c>
      <c r="O295" t="s">
        <v>365</v>
      </c>
      <c r="P295">
        <v>-19.594657000000002</v>
      </c>
      <c r="Q295">
        <v>-43.901567</v>
      </c>
      <c r="R295" s="2" t="str">
        <f>HYPERLINK("https://www.google.com/maps?q=-19.5946570,-43.9015670","Abrir no Google Maps")</f>
        <v>Abrir no Google Maps</v>
      </c>
      <c r="S295">
        <v>3</v>
      </c>
      <c r="T295">
        <v>592.43040989358553</v>
      </c>
      <c r="U295">
        <v>3</v>
      </c>
      <c r="V295">
        <v>9</v>
      </c>
      <c r="W295">
        <v>1</v>
      </c>
      <c r="X295">
        <v>9</v>
      </c>
      <c r="Y295">
        <v>2</v>
      </c>
      <c r="Z295">
        <v>597.4493869225131</v>
      </c>
      <c r="AA295">
        <v>2</v>
      </c>
      <c r="AB295">
        <v>3</v>
      </c>
      <c r="AC295">
        <v>7</v>
      </c>
      <c r="AD295">
        <v>24.62</v>
      </c>
      <c r="AE295">
        <v>253</v>
      </c>
      <c r="AF295">
        <v>11</v>
      </c>
      <c r="AG295">
        <v>67</v>
      </c>
      <c r="AH295">
        <v>32</v>
      </c>
      <c r="AI295">
        <v>4.3499999999999996</v>
      </c>
      <c r="AJ295">
        <v>26.48</v>
      </c>
      <c r="AK295">
        <v>12.65</v>
      </c>
      <c r="AL295">
        <v>-19.59470494999994</v>
      </c>
      <c r="AM295">
        <v>-43.901629434678291</v>
      </c>
      <c r="AN295">
        <v>-19.59470494999994</v>
      </c>
      <c r="AO295">
        <v>-43.901629434678291</v>
      </c>
      <c r="AP295">
        <v>-19.594657000000002</v>
      </c>
      <c r="AQ295">
        <v>-43.901567</v>
      </c>
      <c r="AR295">
        <v>8.4477696105165858</v>
      </c>
      <c r="AS295" t="s">
        <v>65</v>
      </c>
      <c r="AT295">
        <v>1</v>
      </c>
      <c r="AU295" t="s">
        <v>366</v>
      </c>
      <c r="AV295" t="s">
        <v>367</v>
      </c>
      <c r="AW295" t="s">
        <v>60</v>
      </c>
      <c r="AX295" t="s">
        <v>68</v>
      </c>
      <c r="AY295" t="s">
        <v>69</v>
      </c>
      <c r="AZ295" t="b">
        <v>1</v>
      </c>
    </row>
    <row r="296" spans="1:52" x14ac:dyDescent="0.3">
      <c r="A296" t="s">
        <v>52</v>
      </c>
      <c r="B296" t="s">
        <v>53</v>
      </c>
      <c r="C296" t="s">
        <v>54</v>
      </c>
      <c r="D296" t="s">
        <v>55</v>
      </c>
      <c r="E296" t="s">
        <v>751</v>
      </c>
      <c r="F296" t="s">
        <v>176</v>
      </c>
      <c r="G296" t="s">
        <v>371</v>
      </c>
      <c r="H296" t="s">
        <v>372</v>
      </c>
      <c r="I296" t="s">
        <v>372</v>
      </c>
      <c r="J296" t="s">
        <v>60</v>
      </c>
      <c r="K296" t="s">
        <v>352</v>
      </c>
      <c r="L296" t="s">
        <v>62</v>
      </c>
      <c r="M296" t="s">
        <v>352</v>
      </c>
      <c r="N296" t="s">
        <v>353</v>
      </c>
      <c r="O296" t="s">
        <v>373</v>
      </c>
      <c r="P296">
        <v>-19.596541999999999</v>
      </c>
      <c r="Q296">
        <v>-43.900803000000003</v>
      </c>
      <c r="R296" s="2" t="str">
        <f>HYPERLINK("https://www.google.com/maps?q=-19.5965420,-43.9008030","Abrir no Google Maps")</f>
        <v>Abrir no Google Maps</v>
      </c>
      <c r="S296">
        <v>3</v>
      </c>
      <c r="T296">
        <v>401.18305899095373</v>
      </c>
      <c r="U296">
        <v>3</v>
      </c>
      <c r="V296">
        <v>10</v>
      </c>
      <c r="W296">
        <v>1</v>
      </c>
      <c r="X296">
        <v>10</v>
      </c>
      <c r="Y296">
        <v>2</v>
      </c>
      <c r="Z296">
        <v>484.51228510119228</v>
      </c>
      <c r="AA296">
        <v>2</v>
      </c>
      <c r="AB296">
        <v>3</v>
      </c>
      <c r="AC296">
        <v>7</v>
      </c>
      <c r="AD296">
        <v>24.62</v>
      </c>
      <c r="AE296">
        <v>253</v>
      </c>
      <c r="AF296">
        <v>11</v>
      </c>
      <c r="AG296">
        <v>67</v>
      </c>
      <c r="AH296">
        <v>32</v>
      </c>
      <c r="AI296">
        <v>4.3499999999999996</v>
      </c>
      <c r="AJ296">
        <v>26.48</v>
      </c>
      <c r="AK296">
        <v>12.65</v>
      </c>
      <c r="AL296">
        <v>-19.596464449999932</v>
      </c>
      <c r="AM296">
        <v>-43.902090320142641</v>
      </c>
      <c r="AN296">
        <v>-19.596464449999932</v>
      </c>
      <c r="AO296">
        <v>-43.902090320142641</v>
      </c>
      <c r="AP296">
        <v>-19.596541999999999</v>
      </c>
      <c r="AQ296">
        <v>-43.900803000000003</v>
      </c>
      <c r="AR296">
        <v>135.27975170069479</v>
      </c>
      <c r="AS296" t="s">
        <v>65</v>
      </c>
      <c r="AT296">
        <v>1</v>
      </c>
      <c r="AU296" t="s">
        <v>374</v>
      </c>
      <c r="AV296" t="s">
        <v>375</v>
      </c>
      <c r="AW296" t="s">
        <v>60</v>
      </c>
      <c r="AX296" t="s">
        <v>68</v>
      </c>
      <c r="AY296" t="s">
        <v>69</v>
      </c>
      <c r="AZ296" t="b">
        <v>1</v>
      </c>
    </row>
    <row r="297" spans="1:52" x14ac:dyDescent="0.3">
      <c r="A297" t="s">
        <v>52</v>
      </c>
      <c r="B297" t="s">
        <v>53</v>
      </c>
      <c r="C297" t="s">
        <v>54</v>
      </c>
      <c r="D297" t="s">
        <v>55</v>
      </c>
      <c r="E297" t="s">
        <v>751</v>
      </c>
      <c r="F297" t="s">
        <v>176</v>
      </c>
      <c r="G297" t="s">
        <v>376</v>
      </c>
      <c r="H297" t="s">
        <v>377</v>
      </c>
      <c r="I297" t="s">
        <v>377</v>
      </c>
      <c r="J297" t="s">
        <v>60</v>
      </c>
      <c r="K297" t="s">
        <v>352</v>
      </c>
      <c r="L297" t="s">
        <v>62</v>
      </c>
      <c r="M297" t="s">
        <v>352</v>
      </c>
      <c r="N297" t="s">
        <v>378</v>
      </c>
      <c r="O297" t="s">
        <v>379</v>
      </c>
      <c r="P297">
        <v>-19.596966999999999</v>
      </c>
      <c r="Q297">
        <v>-43.90155</v>
      </c>
      <c r="R297" s="2" t="str">
        <f>HYPERLINK("https://www.google.com/maps?q=-19.5969670,-43.9015500","Abrir no Google Maps")</f>
        <v>Abrir no Google Maps</v>
      </c>
      <c r="S297">
        <v>3</v>
      </c>
      <c r="T297">
        <v>366.5160120865408</v>
      </c>
      <c r="U297">
        <v>3</v>
      </c>
      <c r="V297">
        <v>9</v>
      </c>
      <c r="W297">
        <v>1</v>
      </c>
      <c r="X297">
        <v>9</v>
      </c>
      <c r="Y297">
        <v>2</v>
      </c>
      <c r="Z297">
        <v>437.88042928493138</v>
      </c>
      <c r="AA297">
        <v>2</v>
      </c>
      <c r="AB297">
        <v>3</v>
      </c>
      <c r="AC297">
        <v>7</v>
      </c>
      <c r="AD297">
        <v>24.62</v>
      </c>
      <c r="AE297">
        <v>253</v>
      </c>
      <c r="AF297">
        <v>11</v>
      </c>
      <c r="AG297">
        <v>67</v>
      </c>
      <c r="AH297">
        <v>32</v>
      </c>
      <c r="AI297">
        <v>4.3499999999999996</v>
      </c>
      <c r="AJ297">
        <v>26.48</v>
      </c>
      <c r="AK297">
        <v>12.65</v>
      </c>
      <c r="AL297">
        <v>-19.597188549999942</v>
      </c>
      <c r="AM297">
        <v>-43.901724335633787</v>
      </c>
      <c r="AN297">
        <v>-19.597188549999942</v>
      </c>
      <c r="AO297">
        <v>-43.901724335633787</v>
      </c>
      <c r="AP297">
        <v>-19.596966999999999</v>
      </c>
      <c r="AQ297">
        <v>-43.90155</v>
      </c>
      <c r="AR297">
        <v>30.700556875456439</v>
      </c>
      <c r="AS297" t="s">
        <v>65</v>
      </c>
      <c r="AT297">
        <v>1</v>
      </c>
      <c r="AU297" t="s">
        <v>380</v>
      </c>
      <c r="AV297" t="s">
        <v>381</v>
      </c>
      <c r="AW297" t="s">
        <v>60</v>
      </c>
      <c r="AX297" t="s">
        <v>68</v>
      </c>
      <c r="AY297" t="s">
        <v>69</v>
      </c>
      <c r="AZ297" t="b">
        <v>1</v>
      </c>
    </row>
    <row r="298" spans="1:52" x14ac:dyDescent="0.3">
      <c r="A298" t="s">
        <v>52</v>
      </c>
      <c r="B298" t="s">
        <v>53</v>
      </c>
      <c r="C298" t="s">
        <v>54</v>
      </c>
      <c r="D298" t="s">
        <v>55</v>
      </c>
      <c r="E298" t="s">
        <v>751</v>
      </c>
      <c r="F298" t="s">
        <v>176</v>
      </c>
      <c r="G298" t="s">
        <v>506</v>
      </c>
      <c r="H298" t="s">
        <v>507</v>
      </c>
      <c r="I298" t="s">
        <v>507</v>
      </c>
      <c r="J298" t="s">
        <v>60</v>
      </c>
      <c r="K298" t="s">
        <v>219</v>
      </c>
      <c r="L298" t="s">
        <v>62</v>
      </c>
      <c r="M298" t="s">
        <v>219</v>
      </c>
      <c r="N298" t="s">
        <v>508</v>
      </c>
      <c r="O298" t="s">
        <v>509</v>
      </c>
      <c r="P298">
        <v>-19.663573</v>
      </c>
      <c r="Q298">
        <v>-43.884306000000002</v>
      </c>
      <c r="R298" s="2" t="str">
        <f>HYPERLINK("https://www.google.com/maps?q=-19.6635730,-43.8843060","Abrir no Google Maps")</f>
        <v>Abrir no Google Maps</v>
      </c>
      <c r="S298">
        <v>3</v>
      </c>
      <c r="T298">
        <v>1293.040666597964</v>
      </c>
      <c r="U298">
        <v>3</v>
      </c>
      <c r="V298">
        <v>11</v>
      </c>
      <c r="W298">
        <v>1</v>
      </c>
      <c r="X298">
        <v>11</v>
      </c>
      <c r="Y298">
        <v>1</v>
      </c>
      <c r="Z298">
        <v>649.69199246551727</v>
      </c>
      <c r="AA298">
        <v>2</v>
      </c>
      <c r="AB298">
        <v>3</v>
      </c>
      <c r="AC298">
        <v>7</v>
      </c>
      <c r="AD298">
        <v>24.62</v>
      </c>
      <c r="AE298">
        <v>253</v>
      </c>
      <c r="AF298">
        <v>11</v>
      </c>
      <c r="AG298">
        <v>67</v>
      </c>
      <c r="AH298">
        <v>32</v>
      </c>
      <c r="AI298">
        <v>4.3499999999999996</v>
      </c>
      <c r="AJ298">
        <v>26.48</v>
      </c>
      <c r="AK298">
        <v>12.65</v>
      </c>
      <c r="AL298">
        <v>-19.663616899999969</v>
      </c>
      <c r="AM298">
        <v>-43.884279937960187</v>
      </c>
      <c r="AN298">
        <v>-19.663616899999969</v>
      </c>
      <c r="AO298">
        <v>-43.884279937960187</v>
      </c>
      <c r="AP298">
        <v>-19.663573</v>
      </c>
      <c r="AQ298">
        <v>-43.884306000000002</v>
      </c>
      <c r="AR298">
        <v>5.5987767285658263</v>
      </c>
      <c r="AS298" t="s">
        <v>65</v>
      </c>
      <c r="AT298">
        <v>1</v>
      </c>
      <c r="AU298" t="s">
        <v>510</v>
      </c>
      <c r="AV298" t="s">
        <v>511</v>
      </c>
      <c r="AW298" t="s">
        <v>60</v>
      </c>
      <c r="AX298" t="s">
        <v>68</v>
      </c>
      <c r="AY298" t="s">
        <v>69</v>
      </c>
      <c r="AZ298" t="b">
        <v>1</v>
      </c>
    </row>
    <row r="299" spans="1:52" x14ac:dyDescent="0.3">
      <c r="A299" t="s">
        <v>52</v>
      </c>
      <c r="B299" t="s">
        <v>53</v>
      </c>
      <c r="C299" t="s">
        <v>54</v>
      </c>
      <c r="D299" t="s">
        <v>55</v>
      </c>
      <c r="E299" t="s">
        <v>751</v>
      </c>
      <c r="F299" t="s">
        <v>512</v>
      </c>
      <c r="G299" t="s">
        <v>58</v>
      </c>
      <c r="H299" t="s">
        <v>59</v>
      </c>
      <c r="I299" t="s">
        <v>59</v>
      </c>
      <c r="J299" t="s">
        <v>60</v>
      </c>
      <c r="K299" t="s">
        <v>61</v>
      </c>
      <c r="L299" t="s">
        <v>62</v>
      </c>
      <c r="M299" t="s">
        <v>61</v>
      </c>
      <c r="N299" t="s">
        <v>63</v>
      </c>
      <c r="O299" t="s">
        <v>64</v>
      </c>
      <c r="P299">
        <v>-19.631502000000001</v>
      </c>
      <c r="Q299">
        <v>-43.910241999999997</v>
      </c>
      <c r="R299" s="2" t="str">
        <f>HYPERLINK("https://www.google.com/maps?q=-19.6315020,-43.9102420","Abrir no Google Maps")</f>
        <v>Abrir no Google Maps</v>
      </c>
      <c r="S299">
        <v>4</v>
      </c>
      <c r="T299">
        <v>789.20099406682743</v>
      </c>
      <c r="U299">
        <v>4</v>
      </c>
      <c r="V299">
        <v>26</v>
      </c>
      <c r="W299">
        <v>1</v>
      </c>
      <c r="X299">
        <v>26</v>
      </c>
      <c r="Y299">
        <v>10</v>
      </c>
      <c r="Z299">
        <v>691.44930074509864</v>
      </c>
      <c r="AA299">
        <v>2</v>
      </c>
      <c r="AB299">
        <v>3</v>
      </c>
      <c r="AC299">
        <v>7</v>
      </c>
      <c r="AD299">
        <v>24.62</v>
      </c>
      <c r="AE299">
        <v>253</v>
      </c>
      <c r="AF299">
        <v>11</v>
      </c>
      <c r="AG299">
        <v>67</v>
      </c>
      <c r="AH299">
        <v>32</v>
      </c>
      <c r="AI299">
        <v>4.3499999999999996</v>
      </c>
      <c r="AJ299">
        <v>26.48</v>
      </c>
      <c r="AK299">
        <v>12.65</v>
      </c>
      <c r="AL299">
        <v>-19.631719749999949</v>
      </c>
      <c r="AM299">
        <v>-43.910102324517517</v>
      </c>
      <c r="AN299">
        <v>-19.631719749999949</v>
      </c>
      <c r="AO299">
        <v>-43.910102324517517</v>
      </c>
      <c r="AP299">
        <v>-19.631502000000001</v>
      </c>
      <c r="AQ299">
        <v>-43.910241999999997</v>
      </c>
      <c r="AR299">
        <v>28.320416429206599</v>
      </c>
      <c r="AS299" t="s">
        <v>65</v>
      </c>
      <c r="AT299">
        <v>1</v>
      </c>
      <c r="AU299" t="s">
        <v>66</v>
      </c>
      <c r="AV299" t="s">
        <v>67</v>
      </c>
      <c r="AW299" t="s">
        <v>60</v>
      </c>
      <c r="AX299" t="s">
        <v>68</v>
      </c>
      <c r="AY299" t="s">
        <v>69</v>
      </c>
      <c r="AZ299" t="b">
        <v>1</v>
      </c>
    </row>
    <row r="300" spans="1:52" x14ac:dyDescent="0.3">
      <c r="A300" t="s">
        <v>52</v>
      </c>
      <c r="B300" t="s">
        <v>53</v>
      </c>
      <c r="C300" t="s">
        <v>54</v>
      </c>
      <c r="D300" t="s">
        <v>55</v>
      </c>
      <c r="E300" t="s">
        <v>751</v>
      </c>
      <c r="F300" t="s">
        <v>512</v>
      </c>
      <c r="G300" t="s">
        <v>77</v>
      </c>
      <c r="H300" t="s">
        <v>78</v>
      </c>
      <c r="I300" t="s">
        <v>78</v>
      </c>
      <c r="J300" t="s">
        <v>60</v>
      </c>
      <c r="K300" t="s">
        <v>79</v>
      </c>
      <c r="L300" t="s">
        <v>62</v>
      </c>
      <c r="M300" t="s">
        <v>79</v>
      </c>
      <c r="N300" t="s">
        <v>80</v>
      </c>
      <c r="O300" t="s">
        <v>81</v>
      </c>
      <c r="P300">
        <v>-19.632463999999999</v>
      </c>
      <c r="Q300">
        <v>-43.904927999999998</v>
      </c>
      <c r="R300" s="2" t="str">
        <f>HYPERLINK("https://www.google.com/maps?q=-19.6324640,-43.9049280","Abrir no Google Maps")</f>
        <v>Abrir no Google Maps</v>
      </c>
      <c r="S300">
        <v>4</v>
      </c>
      <c r="T300">
        <v>244.1735197453369</v>
      </c>
      <c r="U300">
        <v>4</v>
      </c>
      <c r="V300">
        <v>15</v>
      </c>
      <c r="W300">
        <v>1</v>
      </c>
      <c r="X300">
        <v>15</v>
      </c>
      <c r="Y300">
        <v>10</v>
      </c>
      <c r="Z300">
        <v>287.26068152447448</v>
      </c>
      <c r="AA300">
        <v>2</v>
      </c>
      <c r="AB300">
        <v>3</v>
      </c>
      <c r="AC300">
        <v>7</v>
      </c>
      <c r="AD300">
        <v>24.62</v>
      </c>
      <c r="AE300">
        <v>253</v>
      </c>
      <c r="AF300">
        <v>11</v>
      </c>
      <c r="AG300">
        <v>67</v>
      </c>
      <c r="AH300">
        <v>32</v>
      </c>
      <c r="AI300">
        <v>4.3499999999999996</v>
      </c>
      <c r="AJ300">
        <v>26.48</v>
      </c>
      <c r="AK300">
        <v>12.65</v>
      </c>
      <c r="AL300">
        <v>-19.63247099999996</v>
      </c>
      <c r="AM300">
        <v>-43.904964174285787</v>
      </c>
      <c r="AN300">
        <v>-19.63247099999996</v>
      </c>
      <c r="AO300">
        <v>-43.904964174285787</v>
      </c>
      <c r="AP300">
        <v>-19.632463999999999</v>
      </c>
      <c r="AQ300">
        <v>-43.904927999999998</v>
      </c>
      <c r="AR300">
        <v>3.8720457500200469</v>
      </c>
      <c r="AS300" t="s">
        <v>65</v>
      </c>
      <c r="AT300">
        <v>1</v>
      </c>
      <c r="AU300" t="s">
        <v>82</v>
      </c>
      <c r="AV300" t="s">
        <v>83</v>
      </c>
      <c r="AW300" t="s">
        <v>60</v>
      </c>
      <c r="AX300" t="s">
        <v>68</v>
      </c>
      <c r="AY300" t="s">
        <v>69</v>
      </c>
      <c r="AZ300" t="b">
        <v>1</v>
      </c>
    </row>
    <row r="301" spans="1:52" x14ac:dyDescent="0.3">
      <c r="A301" t="s">
        <v>52</v>
      </c>
      <c r="B301" t="s">
        <v>53</v>
      </c>
      <c r="C301" t="s">
        <v>54</v>
      </c>
      <c r="D301" t="s">
        <v>55</v>
      </c>
      <c r="E301" t="s">
        <v>751</v>
      </c>
      <c r="F301" t="s">
        <v>512</v>
      </c>
      <c r="G301" t="s">
        <v>91</v>
      </c>
      <c r="H301" t="s">
        <v>92</v>
      </c>
      <c r="I301" t="s">
        <v>92</v>
      </c>
      <c r="J301" t="s">
        <v>60</v>
      </c>
      <c r="K301" t="s">
        <v>86</v>
      </c>
      <c r="L301" t="s">
        <v>62</v>
      </c>
      <c r="M301" t="s">
        <v>86</v>
      </c>
      <c r="N301" t="s">
        <v>93</v>
      </c>
      <c r="O301" t="s">
        <v>94</v>
      </c>
      <c r="P301">
        <v>-19.630676999999999</v>
      </c>
      <c r="Q301">
        <v>-43.907255999999997</v>
      </c>
      <c r="R301" s="2" t="str">
        <f>HYPERLINK("https://www.google.com/maps?q=-19.6306770,-43.9072560","Abrir no Google Maps")</f>
        <v>Abrir no Google Maps</v>
      </c>
      <c r="S301">
        <v>4</v>
      </c>
      <c r="T301">
        <v>545.39374622597825</v>
      </c>
      <c r="U301">
        <v>4</v>
      </c>
      <c r="V301">
        <v>15</v>
      </c>
      <c r="W301">
        <v>1</v>
      </c>
      <c r="X301">
        <v>15</v>
      </c>
      <c r="Y301">
        <v>10</v>
      </c>
      <c r="Z301">
        <v>559.94033759457182</v>
      </c>
      <c r="AA301">
        <v>2</v>
      </c>
      <c r="AB301">
        <v>3</v>
      </c>
      <c r="AC301">
        <v>7</v>
      </c>
      <c r="AD301">
        <v>24.62</v>
      </c>
      <c r="AE301">
        <v>253</v>
      </c>
      <c r="AF301">
        <v>11</v>
      </c>
      <c r="AG301">
        <v>67</v>
      </c>
      <c r="AH301">
        <v>32</v>
      </c>
      <c r="AI301">
        <v>4.3499999999999996</v>
      </c>
      <c r="AJ301">
        <v>26.48</v>
      </c>
      <c r="AK301">
        <v>12.65</v>
      </c>
      <c r="AL301">
        <v>-19.630448649999941</v>
      </c>
      <c r="AM301">
        <v>-43.907268502495313</v>
      </c>
      <c r="AN301">
        <v>-19.630448649999941</v>
      </c>
      <c r="AO301">
        <v>-43.907268502495313</v>
      </c>
      <c r="AP301">
        <v>-19.630676999999999</v>
      </c>
      <c r="AQ301">
        <v>-43.907255999999997</v>
      </c>
      <c r="AR301">
        <v>25.453700276562468</v>
      </c>
      <c r="AS301" t="s">
        <v>65</v>
      </c>
      <c r="AT301">
        <v>1</v>
      </c>
      <c r="AU301" t="s">
        <v>95</v>
      </c>
      <c r="AV301" t="s">
        <v>96</v>
      </c>
      <c r="AW301" t="s">
        <v>60</v>
      </c>
      <c r="AX301" t="s">
        <v>68</v>
      </c>
      <c r="AY301" t="s">
        <v>69</v>
      </c>
      <c r="AZ301" t="b">
        <v>1</v>
      </c>
    </row>
    <row r="302" spans="1:52" x14ac:dyDescent="0.3">
      <c r="A302" t="s">
        <v>52</v>
      </c>
      <c r="B302" t="s">
        <v>53</v>
      </c>
      <c r="C302" t="s">
        <v>54</v>
      </c>
      <c r="D302" t="s">
        <v>55</v>
      </c>
      <c r="E302" t="s">
        <v>751</v>
      </c>
      <c r="F302" t="s">
        <v>512</v>
      </c>
      <c r="G302" t="s">
        <v>70</v>
      </c>
      <c r="H302" t="s">
        <v>71</v>
      </c>
      <c r="I302" t="s">
        <v>71</v>
      </c>
      <c r="J302" t="s">
        <v>60</v>
      </c>
      <c r="K302" t="s">
        <v>72</v>
      </c>
      <c r="L302" t="s">
        <v>62</v>
      </c>
      <c r="M302" t="s">
        <v>72</v>
      </c>
      <c r="N302" t="s">
        <v>73</v>
      </c>
      <c r="O302" t="s">
        <v>74</v>
      </c>
      <c r="P302">
        <v>-19.632581999999999</v>
      </c>
      <c r="Q302">
        <v>-43.902416000000002</v>
      </c>
      <c r="R302" s="2" t="str">
        <f>HYPERLINK("https://www.google.com/maps?q=-19.6325820,-43.9024160","Abrir no Google Maps")</f>
        <v>Abrir no Google Maps</v>
      </c>
      <c r="S302">
        <v>4</v>
      </c>
      <c r="T302">
        <v>0</v>
      </c>
      <c r="U302">
        <v>3</v>
      </c>
      <c r="V302">
        <v>8</v>
      </c>
      <c r="W302">
        <v>1</v>
      </c>
      <c r="X302">
        <v>8</v>
      </c>
      <c r="Y302">
        <v>10</v>
      </c>
      <c r="Z302">
        <v>146.6968158874696</v>
      </c>
      <c r="AA302">
        <v>2</v>
      </c>
      <c r="AB302">
        <v>3</v>
      </c>
      <c r="AC302">
        <v>7</v>
      </c>
      <c r="AD302">
        <v>24.62</v>
      </c>
      <c r="AE302">
        <v>253</v>
      </c>
      <c r="AF302">
        <v>11</v>
      </c>
      <c r="AG302">
        <v>67</v>
      </c>
      <c r="AH302">
        <v>32</v>
      </c>
      <c r="AI302">
        <v>4.3499999999999996</v>
      </c>
      <c r="AJ302">
        <v>26.48</v>
      </c>
      <c r="AK302">
        <v>12.65</v>
      </c>
      <c r="AL302">
        <v>-19.63271449999996</v>
      </c>
      <c r="AM302">
        <v>-43.902649897389402</v>
      </c>
      <c r="AN302">
        <v>-19.63271449999996</v>
      </c>
      <c r="AO302">
        <v>-43.902649897389402</v>
      </c>
      <c r="AP302">
        <v>-19.632581999999999</v>
      </c>
      <c r="AQ302">
        <v>-43.902416000000002</v>
      </c>
      <c r="AR302">
        <v>28.617753432996459</v>
      </c>
      <c r="AS302" t="s">
        <v>65</v>
      </c>
      <c r="AT302">
        <v>1</v>
      </c>
      <c r="AU302" t="s">
        <v>75</v>
      </c>
      <c r="AV302" t="s">
        <v>76</v>
      </c>
      <c r="AW302" t="s">
        <v>60</v>
      </c>
      <c r="AX302" t="s">
        <v>68</v>
      </c>
      <c r="AY302" t="s">
        <v>69</v>
      </c>
      <c r="AZ302" t="b">
        <v>1</v>
      </c>
    </row>
    <row r="303" spans="1:52" x14ac:dyDescent="0.3">
      <c r="A303" t="s">
        <v>52</v>
      </c>
      <c r="B303" t="s">
        <v>53</v>
      </c>
      <c r="C303" t="s">
        <v>54</v>
      </c>
      <c r="D303" t="s">
        <v>55</v>
      </c>
      <c r="E303" t="s">
        <v>751</v>
      </c>
      <c r="F303" t="s">
        <v>512</v>
      </c>
      <c r="G303" t="s">
        <v>84</v>
      </c>
      <c r="H303" t="s">
        <v>85</v>
      </c>
      <c r="I303" t="s">
        <v>85</v>
      </c>
      <c r="J303" t="s">
        <v>60</v>
      </c>
      <c r="K303" t="s">
        <v>86</v>
      </c>
      <c r="L303" t="s">
        <v>62</v>
      </c>
      <c r="M303" t="s">
        <v>86</v>
      </c>
      <c r="N303" t="s">
        <v>87</v>
      </c>
      <c r="O303" t="s">
        <v>88</v>
      </c>
      <c r="P303">
        <v>-19.629436999999999</v>
      </c>
      <c r="Q303">
        <v>-43.910398999999998</v>
      </c>
      <c r="R303" s="2" t="str">
        <f>HYPERLINK("https://www.google.com/maps?q=-19.6294370,-43.9103990","Abrir no Google Maps")</f>
        <v>Abrir no Google Maps</v>
      </c>
      <c r="S303">
        <v>4</v>
      </c>
      <c r="T303">
        <v>888.82060643108082</v>
      </c>
      <c r="U303">
        <v>3</v>
      </c>
      <c r="V303">
        <v>9</v>
      </c>
      <c r="W303">
        <v>1</v>
      </c>
      <c r="X303">
        <v>9</v>
      </c>
      <c r="Y303">
        <v>10</v>
      </c>
      <c r="Z303">
        <v>867.42797341651737</v>
      </c>
      <c r="AA303">
        <v>2</v>
      </c>
      <c r="AB303">
        <v>3</v>
      </c>
      <c r="AC303">
        <v>7</v>
      </c>
      <c r="AD303">
        <v>24.62</v>
      </c>
      <c r="AE303">
        <v>253</v>
      </c>
      <c r="AF303">
        <v>11</v>
      </c>
      <c r="AG303">
        <v>67</v>
      </c>
      <c r="AH303">
        <v>32</v>
      </c>
      <c r="AI303">
        <v>4.3499999999999996</v>
      </c>
      <c r="AJ303">
        <v>26.48</v>
      </c>
      <c r="AK303">
        <v>12.65</v>
      </c>
      <c r="AL303">
        <v>-19.62934694999996</v>
      </c>
      <c r="AM303">
        <v>-43.910344699357317</v>
      </c>
      <c r="AN303">
        <v>-19.62934694999996</v>
      </c>
      <c r="AO303">
        <v>-43.910344699357331</v>
      </c>
      <c r="AP303">
        <v>-19.629436999999999</v>
      </c>
      <c r="AQ303">
        <v>-43.910398999999998</v>
      </c>
      <c r="AR303">
        <v>11.52837377953678</v>
      </c>
      <c r="AS303" t="s">
        <v>65</v>
      </c>
      <c r="AT303">
        <v>1</v>
      </c>
      <c r="AU303" t="s">
        <v>89</v>
      </c>
      <c r="AV303" t="s">
        <v>90</v>
      </c>
      <c r="AW303" t="s">
        <v>60</v>
      </c>
      <c r="AX303" t="s">
        <v>68</v>
      </c>
      <c r="AY303" t="s">
        <v>69</v>
      </c>
      <c r="AZ303" t="b">
        <v>1</v>
      </c>
    </row>
    <row r="304" spans="1:52" x14ac:dyDescent="0.3">
      <c r="A304" t="s">
        <v>52</v>
      </c>
      <c r="B304" t="s">
        <v>53</v>
      </c>
      <c r="C304" t="s">
        <v>54</v>
      </c>
      <c r="D304" t="s">
        <v>55</v>
      </c>
      <c r="E304" t="s">
        <v>751</v>
      </c>
      <c r="F304" t="s">
        <v>512</v>
      </c>
      <c r="G304" t="s">
        <v>97</v>
      </c>
      <c r="H304" t="s">
        <v>98</v>
      </c>
      <c r="I304" t="s">
        <v>98</v>
      </c>
      <c r="J304" t="s">
        <v>60</v>
      </c>
      <c r="K304" t="s">
        <v>99</v>
      </c>
      <c r="L304" t="s">
        <v>62</v>
      </c>
      <c r="M304" t="s">
        <v>99</v>
      </c>
      <c r="N304" t="s">
        <v>100</v>
      </c>
      <c r="O304" t="s">
        <v>101</v>
      </c>
      <c r="P304">
        <v>-19.629822000000001</v>
      </c>
      <c r="Q304">
        <v>-43.905341</v>
      </c>
      <c r="R304" s="2" t="str">
        <f>HYPERLINK("https://www.google.com/maps?q=-19.6298220,-43.9053410","Abrir no Google Maps")</f>
        <v>Abrir no Google Maps</v>
      </c>
      <c r="S304">
        <v>4</v>
      </c>
      <c r="T304">
        <v>441.30597341744129</v>
      </c>
      <c r="U304">
        <v>3</v>
      </c>
      <c r="V304">
        <v>11</v>
      </c>
      <c r="W304">
        <v>1</v>
      </c>
      <c r="X304">
        <v>11</v>
      </c>
      <c r="Y304">
        <v>10</v>
      </c>
      <c r="Z304">
        <v>513.56493751010987</v>
      </c>
      <c r="AA304">
        <v>2</v>
      </c>
      <c r="AB304">
        <v>3</v>
      </c>
      <c r="AC304">
        <v>7</v>
      </c>
      <c r="AD304">
        <v>24.62</v>
      </c>
      <c r="AE304">
        <v>253</v>
      </c>
      <c r="AF304">
        <v>11</v>
      </c>
      <c r="AG304">
        <v>67</v>
      </c>
      <c r="AH304">
        <v>32</v>
      </c>
      <c r="AI304">
        <v>4.3499999999999996</v>
      </c>
      <c r="AJ304">
        <v>26.48</v>
      </c>
      <c r="AK304">
        <v>12.65</v>
      </c>
      <c r="AL304">
        <v>-19.629671599999941</v>
      </c>
      <c r="AM304">
        <v>-43.905369597920988</v>
      </c>
      <c r="AN304">
        <v>-19.629671599999931</v>
      </c>
      <c r="AO304">
        <v>-43.905369597920988</v>
      </c>
      <c r="AP304">
        <v>-19.629822000000001</v>
      </c>
      <c r="AQ304">
        <v>-43.905341</v>
      </c>
      <c r="AR304">
        <v>17.008917699186132</v>
      </c>
      <c r="AS304" t="s">
        <v>65</v>
      </c>
      <c r="AT304">
        <v>1</v>
      </c>
      <c r="AU304" t="s">
        <v>102</v>
      </c>
      <c r="AV304" t="s">
        <v>103</v>
      </c>
      <c r="AW304" t="s">
        <v>60</v>
      </c>
      <c r="AX304" t="s">
        <v>68</v>
      </c>
      <c r="AY304" t="s">
        <v>69</v>
      </c>
      <c r="AZ304" t="b">
        <v>1</v>
      </c>
    </row>
    <row r="305" spans="1:52" x14ac:dyDescent="0.3">
      <c r="A305" t="s">
        <v>52</v>
      </c>
      <c r="B305" t="s">
        <v>53</v>
      </c>
      <c r="C305" t="s">
        <v>54</v>
      </c>
      <c r="D305" t="s">
        <v>55</v>
      </c>
      <c r="E305" t="s">
        <v>751</v>
      </c>
      <c r="F305" t="s">
        <v>512</v>
      </c>
      <c r="G305" t="s">
        <v>519</v>
      </c>
      <c r="H305" t="s">
        <v>520</v>
      </c>
      <c r="I305" t="s">
        <v>520</v>
      </c>
      <c r="J305" t="s">
        <v>60</v>
      </c>
      <c r="K305" t="s">
        <v>72</v>
      </c>
      <c r="L305" t="s">
        <v>62</v>
      </c>
      <c r="M305" t="s">
        <v>72</v>
      </c>
      <c r="N305" t="s">
        <v>521</v>
      </c>
      <c r="O305" t="s">
        <v>522</v>
      </c>
      <c r="P305">
        <v>-19.634713000000001</v>
      </c>
      <c r="Q305">
        <v>-43.908909999999999</v>
      </c>
      <c r="R305" s="2" t="str">
        <f>HYPERLINK("https://www.google.com/maps?q=-19.6347130,-43.9089100","Abrir no Google Maps")</f>
        <v>Abrir no Google Maps</v>
      </c>
      <c r="S305">
        <v>4</v>
      </c>
      <c r="T305">
        <v>700.74700083720154</v>
      </c>
      <c r="U305">
        <v>2</v>
      </c>
      <c r="V305">
        <v>6</v>
      </c>
      <c r="W305">
        <v>0.85</v>
      </c>
      <c r="X305">
        <v>5.0999999999999996</v>
      </c>
      <c r="Y305">
        <v>10</v>
      </c>
      <c r="Z305">
        <v>557.86159429038207</v>
      </c>
      <c r="AA305">
        <v>2</v>
      </c>
      <c r="AB305">
        <v>3</v>
      </c>
      <c r="AC305">
        <v>7</v>
      </c>
      <c r="AD305">
        <v>24.62</v>
      </c>
      <c r="AE305">
        <v>253</v>
      </c>
      <c r="AF305">
        <v>11</v>
      </c>
      <c r="AG305">
        <v>67</v>
      </c>
      <c r="AH305">
        <v>32</v>
      </c>
      <c r="AI305">
        <v>4.3499999999999996</v>
      </c>
      <c r="AJ305">
        <v>26.48</v>
      </c>
      <c r="AK305">
        <v>12.65</v>
      </c>
      <c r="AL305">
        <v>-19.634626949999959</v>
      </c>
      <c r="AM305">
        <v>-43.909020333181857</v>
      </c>
      <c r="AN305">
        <v>-19.634626949999959</v>
      </c>
      <c r="AO305">
        <v>-43.909020333181857</v>
      </c>
      <c r="AP305">
        <v>-19.634713000000001</v>
      </c>
      <c r="AQ305">
        <v>-43.908909999999999</v>
      </c>
      <c r="AR305">
        <v>15.01933861967664</v>
      </c>
      <c r="AS305" t="s">
        <v>65</v>
      </c>
      <c r="AT305">
        <v>1</v>
      </c>
      <c r="AU305" t="s">
        <v>523</v>
      </c>
      <c r="AV305" t="s">
        <v>524</v>
      </c>
      <c r="AW305" t="s">
        <v>60</v>
      </c>
      <c r="AX305" t="s">
        <v>68</v>
      </c>
      <c r="AY305" t="s">
        <v>69</v>
      </c>
      <c r="AZ305" t="b">
        <v>1</v>
      </c>
    </row>
    <row r="306" spans="1:52" x14ac:dyDescent="0.3">
      <c r="A306" t="s">
        <v>52</v>
      </c>
      <c r="B306" t="s">
        <v>53</v>
      </c>
      <c r="C306" t="s">
        <v>54</v>
      </c>
      <c r="D306" t="s">
        <v>55</v>
      </c>
      <c r="E306" t="s">
        <v>751</v>
      </c>
      <c r="F306" t="s">
        <v>512</v>
      </c>
      <c r="G306" t="s">
        <v>513</v>
      </c>
      <c r="H306" t="s">
        <v>514</v>
      </c>
      <c r="I306" t="s">
        <v>514</v>
      </c>
      <c r="J306" t="s">
        <v>60</v>
      </c>
      <c r="K306" t="s">
        <v>185</v>
      </c>
      <c r="L306" t="s">
        <v>62</v>
      </c>
      <c r="M306" t="s">
        <v>185</v>
      </c>
      <c r="N306" t="s">
        <v>515</v>
      </c>
      <c r="O306" t="s">
        <v>516</v>
      </c>
      <c r="P306">
        <v>-19.63184</v>
      </c>
      <c r="Q306">
        <v>-43.899625999999998</v>
      </c>
      <c r="R306" s="2" t="str">
        <f>HYPERLINK("https://www.google.com/maps?q=-19.6318400,-43.8996260","Abrir no Google Maps")</f>
        <v>Abrir no Google Maps</v>
      </c>
      <c r="S306">
        <v>4</v>
      </c>
      <c r="T306">
        <v>317.05369638212568</v>
      </c>
      <c r="U306">
        <v>1</v>
      </c>
      <c r="V306">
        <v>0</v>
      </c>
      <c r="W306">
        <v>0.85</v>
      </c>
      <c r="X306">
        <v>0</v>
      </c>
      <c r="Y306">
        <v>10</v>
      </c>
      <c r="Z306">
        <v>467.39112963581732</v>
      </c>
      <c r="AA306">
        <v>2</v>
      </c>
      <c r="AB306">
        <v>3</v>
      </c>
      <c r="AC306">
        <v>7</v>
      </c>
      <c r="AD306">
        <v>24.62</v>
      </c>
      <c r="AE306">
        <v>253</v>
      </c>
      <c r="AF306">
        <v>11</v>
      </c>
      <c r="AG306">
        <v>67</v>
      </c>
      <c r="AH306">
        <v>32</v>
      </c>
      <c r="AI306">
        <v>4.3499999999999996</v>
      </c>
      <c r="AJ306">
        <v>26.48</v>
      </c>
      <c r="AK306">
        <v>12.65</v>
      </c>
      <c r="AL306">
        <v>-19.631819699999941</v>
      </c>
      <c r="AM306">
        <v>-43.89977767057065</v>
      </c>
      <c r="AN306">
        <v>-19.631819699999941</v>
      </c>
      <c r="AO306">
        <v>-43.89977767057065</v>
      </c>
      <c r="AP306">
        <v>-19.63184</v>
      </c>
      <c r="AQ306">
        <v>-43.899625999999998</v>
      </c>
      <c r="AR306">
        <v>16.062279375806241</v>
      </c>
      <c r="AS306" t="s">
        <v>65</v>
      </c>
      <c r="AT306">
        <v>1</v>
      </c>
      <c r="AU306" t="s">
        <v>517</v>
      </c>
      <c r="AV306" t="s">
        <v>518</v>
      </c>
      <c r="AW306" t="s">
        <v>60</v>
      </c>
      <c r="AX306" t="s">
        <v>68</v>
      </c>
      <c r="AY306" t="s">
        <v>69</v>
      </c>
      <c r="AZ306" t="b">
        <v>1</v>
      </c>
    </row>
    <row r="307" spans="1:52" x14ac:dyDescent="0.3">
      <c r="A307" t="s">
        <v>52</v>
      </c>
      <c r="B307" t="s">
        <v>53</v>
      </c>
      <c r="C307" t="s">
        <v>54</v>
      </c>
      <c r="D307" t="s">
        <v>55</v>
      </c>
      <c r="E307" t="s">
        <v>751</v>
      </c>
      <c r="F307" t="s">
        <v>512</v>
      </c>
      <c r="G307" t="s">
        <v>394</v>
      </c>
      <c r="H307" t="s">
        <v>395</v>
      </c>
      <c r="I307" t="s">
        <v>395</v>
      </c>
      <c r="J307" t="s">
        <v>60</v>
      </c>
      <c r="K307" t="s">
        <v>286</v>
      </c>
      <c r="L307" t="s">
        <v>62</v>
      </c>
      <c r="M307" t="s">
        <v>286</v>
      </c>
      <c r="N307" t="s">
        <v>396</v>
      </c>
      <c r="O307" t="s">
        <v>88</v>
      </c>
      <c r="P307">
        <v>-19.636932999999999</v>
      </c>
      <c r="Q307">
        <v>-43.882691999999999</v>
      </c>
      <c r="R307" s="2" t="str">
        <f>HYPERLINK("https://www.google.com/maps?q=-19.6369330,-43.8826920","Abrir no Google Maps")</f>
        <v>Abrir no Google Maps</v>
      </c>
      <c r="S307">
        <v>3</v>
      </c>
      <c r="T307">
        <v>523.52675813688109</v>
      </c>
      <c r="U307">
        <v>4</v>
      </c>
      <c r="V307">
        <v>21</v>
      </c>
      <c r="W307">
        <v>1</v>
      </c>
      <c r="X307">
        <v>21</v>
      </c>
      <c r="Y307">
        <v>10</v>
      </c>
      <c r="Z307">
        <v>372.58135532659509</v>
      </c>
      <c r="AA307">
        <v>2</v>
      </c>
      <c r="AB307">
        <v>3</v>
      </c>
      <c r="AC307">
        <v>7</v>
      </c>
      <c r="AD307">
        <v>24.62</v>
      </c>
      <c r="AE307">
        <v>253</v>
      </c>
      <c r="AF307">
        <v>11</v>
      </c>
      <c r="AG307">
        <v>67</v>
      </c>
      <c r="AH307">
        <v>32</v>
      </c>
      <c r="AI307">
        <v>4.3499999999999996</v>
      </c>
      <c r="AJ307">
        <v>26.48</v>
      </c>
      <c r="AK307">
        <v>12.65</v>
      </c>
      <c r="AL307">
        <v>-19.637159949999951</v>
      </c>
      <c r="AM307">
        <v>-43.882643289441461</v>
      </c>
      <c r="AN307">
        <v>-19.637159949999951</v>
      </c>
      <c r="AO307">
        <v>-43.882643289441461</v>
      </c>
      <c r="AP307">
        <v>-19.636932999999999</v>
      </c>
      <c r="AQ307">
        <v>-43.882691999999999</v>
      </c>
      <c r="AR307">
        <v>25.775099947452478</v>
      </c>
      <c r="AS307" t="s">
        <v>65</v>
      </c>
      <c r="AT307">
        <v>1</v>
      </c>
      <c r="AU307" t="s">
        <v>397</v>
      </c>
      <c r="AV307" t="s">
        <v>398</v>
      </c>
      <c r="AW307" t="s">
        <v>60</v>
      </c>
      <c r="AX307" t="s">
        <v>68</v>
      </c>
      <c r="AY307" t="s">
        <v>69</v>
      </c>
      <c r="AZ307" t="b">
        <v>1</v>
      </c>
    </row>
    <row r="308" spans="1:52" x14ac:dyDescent="0.3">
      <c r="A308" t="s">
        <v>52</v>
      </c>
      <c r="B308" t="s">
        <v>53</v>
      </c>
      <c r="C308" t="s">
        <v>54</v>
      </c>
      <c r="D308" t="s">
        <v>55</v>
      </c>
      <c r="E308" t="s">
        <v>751</v>
      </c>
      <c r="F308" t="s">
        <v>512</v>
      </c>
      <c r="G308" t="s">
        <v>284</v>
      </c>
      <c r="H308" t="s">
        <v>285</v>
      </c>
      <c r="I308" t="s">
        <v>285</v>
      </c>
      <c r="J308" t="s">
        <v>60</v>
      </c>
      <c r="K308" t="s">
        <v>286</v>
      </c>
      <c r="L308" t="s">
        <v>62</v>
      </c>
      <c r="M308" t="s">
        <v>286</v>
      </c>
      <c r="N308" t="s">
        <v>287</v>
      </c>
      <c r="O308" t="s">
        <v>288</v>
      </c>
      <c r="P308">
        <v>-19.639790000000001</v>
      </c>
      <c r="Q308">
        <v>-43.882798999999999</v>
      </c>
      <c r="R308" s="2" t="str">
        <f>HYPERLINK("https://www.google.com/maps?q=-19.6397900,-43.8827990","Abrir no Google Maps")</f>
        <v>Abrir no Google Maps</v>
      </c>
      <c r="S308">
        <v>3</v>
      </c>
      <c r="T308">
        <v>242.7052058134478</v>
      </c>
      <c r="U308">
        <v>4</v>
      </c>
      <c r="V308">
        <v>19</v>
      </c>
      <c r="W308">
        <v>1</v>
      </c>
      <c r="X308">
        <v>19</v>
      </c>
      <c r="Y308">
        <v>10</v>
      </c>
      <c r="Z308">
        <v>187.2088809462339</v>
      </c>
      <c r="AA308">
        <v>2</v>
      </c>
      <c r="AB308">
        <v>3</v>
      </c>
      <c r="AC308">
        <v>7</v>
      </c>
      <c r="AD308">
        <v>24.62</v>
      </c>
      <c r="AE308">
        <v>253</v>
      </c>
      <c r="AF308">
        <v>11</v>
      </c>
      <c r="AG308">
        <v>67</v>
      </c>
      <c r="AH308">
        <v>32</v>
      </c>
      <c r="AI308">
        <v>4.3499999999999996</v>
      </c>
      <c r="AJ308">
        <v>26.48</v>
      </c>
      <c r="AK308">
        <v>12.65</v>
      </c>
      <c r="AL308">
        <v>-19.639855599999951</v>
      </c>
      <c r="AM308">
        <v>-43.882909745178452</v>
      </c>
      <c r="AN308">
        <v>-19.639855599999951</v>
      </c>
      <c r="AO308">
        <v>-43.882909745178452</v>
      </c>
      <c r="AP308">
        <v>-19.639790000000001</v>
      </c>
      <c r="AQ308">
        <v>-43.882798999999999</v>
      </c>
      <c r="AR308">
        <v>13.716486068571211</v>
      </c>
      <c r="AS308" t="s">
        <v>65</v>
      </c>
      <c r="AT308">
        <v>1</v>
      </c>
      <c r="AU308" t="s">
        <v>289</v>
      </c>
      <c r="AV308" t="s">
        <v>290</v>
      </c>
      <c r="AW308" t="s">
        <v>60</v>
      </c>
      <c r="AX308" t="s">
        <v>68</v>
      </c>
      <c r="AY308" t="s">
        <v>69</v>
      </c>
      <c r="AZ308" t="b">
        <v>1</v>
      </c>
    </row>
    <row r="309" spans="1:52" x14ac:dyDescent="0.3">
      <c r="A309" t="s">
        <v>52</v>
      </c>
      <c r="B309" t="s">
        <v>53</v>
      </c>
      <c r="C309" t="s">
        <v>54</v>
      </c>
      <c r="D309" t="s">
        <v>55</v>
      </c>
      <c r="E309" t="s">
        <v>751</v>
      </c>
      <c r="F309" t="s">
        <v>512</v>
      </c>
      <c r="G309" t="s">
        <v>388</v>
      </c>
      <c r="H309" t="s">
        <v>389</v>
      </c>
      <c r="I309" t="s">
        <v>389</v>
      </c>
      <c r="J309" t="s">
        <v>60</v>
      </c>
      <c r="K309" t="s">
        <v>185</v>
      </c>
      <c r="L309" t="s">
        <v>62</v>
      </c>
      <c r="M309" t="s">
        <v>185</v>
      </c>
      <c r="N309" t="s">
        <v>390</v>
      </c>
      <c r="O309" t="s">
        <v>391</v>
      </c>
      <c r="P309">
        <v>-19.628802</v>
      </c>
      <c r="Q309">
        <v>-43.891649000000001</v>
      </c>
      <c r="R309" s="2" t="str">
        <f>HYPERLINK("https://www.google.com/maps?q=-19.6288020,-43.8916490","Abrir no Google Maps")</f>
        <v>Abrir no Google Maps</v>
      </c>
      <c r="S309">
        <v>3</v>
      </c>
      <c r="T309">
        <v>0</v>
      </c>
      <c r="U309">
        <v>3</v>
      </c>
      <c r="V309">
        <v>12</v>
      </c>
      <c r="W309">
        <v>0.85</v>
      </c>
      <c r="X309">
        <v>10.199999999999999</v>
      </c>
      <c r="Y309">
        <v>18</v>
      </c>
      <c r="Z309">
        <v>117.5064585283839</v>
      </c>
      <c r="AA309">
        <v>2</v>
      </c>
      <c r="AB309">
        <v>3</v>
      </c>
      <c r="AC309">
        <v>7</v>
      </c>
      <c r="AD309">
        <v>24.62</v>
      </c>
      <c r="AE309">
        <v>253</v>
      </c>
      <c r="AF309">
        <v>11</v>
      </c>
      <c r="AG309">
        <v>67</v>
      </c>
      <c r="AH309">
        <v>32</v>
      </c>
      <c r="AI309">
        <v>4.3499999999999996</v>
      </c>
      <c r="AJ309">
        <v>26.48</v>
      </c>
      <c r="AK309">
        <v>12.65</v>
      </c>
      <c r="AL309">
        <v>-19.628865499999961</v>
      </c>
      <c r="AM309">
        <v>-43.891662391334172</v>
      </c>
      <c r="AN309">
        <v>-19.628865499999961</v>
      </c>
      <c r="AO309">
        <v>-43.891662391334172</v>
      </c>
      <c r="AP309">
        <v>-19.628802</v>
      </c>
      <c r="AQ309">
        <v>-43.891649000000001</v>
      </c>
      <c r="AR309">
        <v>7.2069201904448459</v>
      </c>
      <c r="AS309" t="s">
        <v>65</v>
      </c>
      <c r="AT309">
        <v>1</v>
      </c>
      <c r="AU309" t="s">
        <v>392</v>
      </c>
      <c r="AV309" t="s">
        <v>393</v>
      </c>
      <c r="AW309" t="s">
        <v>60</v>
      </c>
      <c r="AX309" t="s">
        <v>68</v>
      </c>
      <c r="AY309" t="s">
        <v>69</v>
      </c>
      <c r="AZ309" t="b">
        <v>1</v>
      </c>
    </row>
    <row r="310" spans="1:52" x14ac:dyDescent="0.3">
      <c r="A310" t="s">
        <v>52</v>
      </c>
      <c r="B310" t="s">
        <v>53</v>
      </c>
      <c r="C310" t="s">
        <v>54</v>
      </c>
      <c r="D310" t="s">
        <v>55</v>
      </c>
      <c r="E310" t="s">
        <v>751</v>
      </c>
      <c r="F310" t="s">
        <v>512</v>
      </c>
      <c r="G310" t="s">
        <v>399</v>
      </c>
      <c r="H310" t="s">
        <v>400</v>
      </c>
      <c r="I310" t="s">
        <v>400</v>
      </c>
      <c r="J310" t="s">
        <v>60</v>
      </c>
      <c r="K310" t="s">
        <v>286</v>
      </c>
      <c r="L310" t="s">
        <v>62</v>
      </c>
      <c r="M310" t="s">
        <v>286</v>
      </c>
      <c r="N310" t="s">
        <v>401</v>
      </c>
      <c r="O310" t="s">
        <v>402</v>
      </c>
      <c r="P310">
        <v>-19.639906</v>
      </c>
      <c r="Q310">
        <v>-43.886059000000003</v>
      </c>
      <c r="R310" s="2" t="str">
        <f>HYPERLINK("https://www.google.com/maps?q=-19.6399060,-43.8860590","Abrir no Google Maps")</f>
        <v>Abrir no Google Maps</v>
      </c>
      <c r="S310">
        <v>3</v>
      </c>
      <c r="T310">
        <v>256.0748811302048</v>
      </c>
      <c r="U310">
        <v>3</v>
      </c>
      <c r="V310">
        <v>13</v>
      </c>
      <c r="W310">
        <v>1</v>
      </c>
      <c r="X310">
        <v>13</v>
      </c>
      <c r="Y310">
        <v>10</v>
      </c>
      <c r="Z310">
        <v>205.06236700857289</v>
      </c>
      <c r="AA310">
        <v>2</v>
      </c>
      <c r="AB310">
        <v>3</v>
      </c>
      <c r="AC310">
        <v>7</v>
      </c>
      <c r="AD310">
        <v>24.62</v>
      </c>
      <c r="AE310">
        <v>253</v>
      </c>
      <c r="AF310">
        <v>11</v>
      </c>
      <c r="AG310">
        <v>67</v>
      </c>
      <c r="AH310">
        <v>32</v>
      </c>
      <c r="AI310">
        <v>4.3499999999999996</v>
      </c>
      <c r="AJ310">
        <v>26.48</v>
      </c>
      <c r="AK310">
        <v>12.65</v>
      </c>
      <c r="AL310">
        <v>-19.639789499999949</v>
      </c>
      <c r="AM310">
        <v>-43.885737855031408</v>
      </c>
      <c r="AN310">
        <v>-19.639789499999949</v>
      </c>
      <c r="AO310">
        <v>-43.885737855031408</v>
      </c>
      <c r="AP310">
        <v>-19.639906</v>
      </c>
      <c r="AQ310">
        <v>-43.886059000000003</v>
      </c>
      <c r="AR310">
        <v>36.081349702130403</v>
      </c>
      <c r="AS310" t="s">
        <v>65</v>
      </c>
      <c r="AT310">
        <v>1</v>
      </c>
      <c r="AU310" t="s">
        <v>403</v>
      </c>
      <c r="AV310" t="s">
        <v>404</v>
      </c>
      <c r="AW310" t="s">
        <v>60</v>
      </c>
      <c r="AX310" t="s">
        <v>68</v>
      </c>
      <c r="AY310" t="s">
        <v>69</v>
      </c>
      <c r="AZ310" t="b">
        <v>1</v>
      </c>
    </row>
    <row r="311" spans="1:52" x14ac:dyDescent="0.3">
      <c r="A311" t="s">
        <v>52</v>
      </c>
      <c r="B311" t="s">
        <v>53</v>
      </c>
      <c r="C311" t="s">
        <v>54</v>
      </c>
      <c r="D311" t="s">
        <v>55</v>
      </c>
      <c r="E311" t="s">
        <v>751</v>
      </c>
      <c r="F311" t="s">
        <v>512</v>
      </c>
      <c r="G311" t="s">
        <v>546</v>
      </c>
      <c r="H311" t="s">
        <v>547</v>
      </c>
      <c r="I311" t="s">
        <v>547</v>
      </c>
      <c r="J311" t="s">
        <v>60</v>
      </c>
      <c r="K311" t="s">
        <v>445</v>
      </c>
      <c r="L311" t="s">
        <v>62</v>
      </c>
      <c r="M311" t="s">
        <v>445</v>
      </c>
      <c r="N311" t="s">
        <v>548</v>
      </c>
      <c r="O311" t="s">
        <v>549</v>
      </c>
      <c r="P311">
        <v>-19.642752999999999</v>
      </c>
      <c r="Q311">
        <v>-43.879080999999999</v>
      </c>
      <c r="R311" s="2" t="str">
        <f>HYPERLINK("https://www.google.com/maps?q=-19.6427530,-43.8790810","Abrir no Google Maps")</f>
        <v>Abrir no Google Maps</v>
      </c>
      <c r="S311">
        <v>3</v>
      </c>
      <c r="T311">
        <v>256.19518367376457</v>
      </c>
      <c r="U311">
        <v>3</v>
      </c>
      <c r="V311">
        <v>9</v>
      </c>
      <c r="W311">
        <v>0.85</v>
      </c>
      <c r="X311">
        <v>7.6499999999999986</v>
      </c>
      <c r="Y311">
        <v>10</v>
      </c>
      <c r="Z311">
        <v>192.73978446408199</v>
      </c>
      <c r="AA311">
        <v>2</v>
      </c>
      <c r="AB311">
        <v>3</v>
      </c>
      <c r="AC311">
        <v>7</v>
      </c>
      <c r="AD311">
        <v>24.62</v>
      </c>
      <c r="AE311">
        <v>253</v>
      </c>
      <c r="AF311">
        <v>11</v>
      </c>
      <c r="AG311">
        <v>67</v>
      </c>
      <c r="AH311">
        <v>32</v>
      </c>
      <c r="AI311">
        <v>4.3499999999999996</v>
      </c>
      <c r="AJ311">
        <v>26.48</v>
      </c>
      <c r="AK311">
        <v>12.65</v>
      </c>
      <c r="AL311">
        <v>-19.642703749999949</v>
      </c>
      <c r="AM311">
        <v>-43.879132974738582</v>
      </c>
      <c r="AN311">
        <v>-19.642703749999949</v>
      </c>
      <c r="AO311">
        <v>-43.879132974738582</v>
      </c>
      <c r="AP311">
        <v>-19.642752999999999</v>
      </c>
      <c r="AQ311">
        <v>-43.879080999999999</v>
      </c>
      <c r="AR311">
        <v>7.7298757823687696</v>
      </c>
      <c r="AS311" t="s">
        <v>65</v>
      </c>
      <c r="AT311">
        <v>1</v>
      </c>
      <c r="AU311" t="s">
        <v>550</v>
      </c>
      <c r="AV311" t="s">
        <v>551</v>
      </c>
      <c r="AW311" t="s">
        <v>60</v>
      </c>
      <c r="AX311" t="s">
        <v>68</v>
      </c>
      <c r="AY311" t="s">
        <v>69</v>
      </c>
      <c r="AZ311" t="b">
        <v>1</v>
      </c>
    </row>
    <row r="312" spans="1:52" x14ac:dyDescent="0.3">
      <c r="A312" t="s">
        <v>52</v>
      </c>
      <c r="B312" t="s">
        <v>53</v>
      </c>
      <c r="C312" t="s">
        <v>54</v>
      </c>
      <c r="D312" t="s">
        <v>55</v>
      </c>
      <c r="E312" t="s">
        <v>751</v>
      </c>
      <c r="F312" t="s">
        <v>512</v>
      </c>
      <c r="G312" t="s">
        <v>291</v>
      </c>
      <c r="H312" t="s">
        <v>292</v>
      </c>
      <c r="I312" t="s">
        <v>292</v>
      </c>
      <c r="J312" t="s">
        <v>60</v>
      </c>
      <c r="K312" t="s">
        <v>286</v>
      </c>
      <c r="L312" t="s">
        <v>62</v>
      </c>
      <c r="M312" t="s">
        <v>286</v>
      </c>
      <c r="N312" t="s">
        <v>293</v>
      </c>
      <c r="O312" t="s">
        <v>294</v>
      </c>
      <c r="P312">
        <v>-19.640333999999999</v>
      </c>
      <c r="Q312">
        <v>-43.880004999999997</v>
      </c>
      <c r="R312" s="2" t="str">
        <f>HYPERLINK("https://www.google.com/maps?q=-19.6403340,-43.8800050","Abrir no Google Maps")</f>
        <v>Abrir no Google Maps</v>
      </c>
      <c r="S312">
        <v>3</v>
      </c>
      <c r="T312">
        <v>276.80943817309782</v>
      </c>
      <c r="U312">
        <v>3</v>
      </c>
      <c r="V312">
        <v>8</v>
      </c>
      <c r="W312">
        <v>1</v>
      </c>
      <c r="X312">
        <v>8</v>
      </c>
      <c r="Y312">
        <v>10</v>
      </c>
      <c r="Z312">
        <v>361.98332038983392</v>
      </c>
      <c r="AA312">
        <v>2</v>
      </c>
      <c r="AB312">
        <v>3</v>
      </c>
      <c r="AC312">
        <v>7</v>
      </c>
      <c r="AD312">
        <v>24.62</v>
      </c>
      <c r="AE312">
        <v>253</v>
      </c>
      <c r="AF312">
        <v>11</v>
      </c>
      <c r="AG312">
        <v>67</v>
      </c>
      <c r="AH312">
        <v>32</v>
      </c>
      <c r="AI312">
        <v>4.3499999999999996</v>
      </c>
      <c r="AJ312">
        <v>26.48</v>
      </c>
      <c r="AK312">
        <v>12.65</v>
      </c>
      <c r="AL312">
        <v>-19.640260249999951</v>
      </c>
      <c r="AM312">
        <v>-43.880090474326408</v>
      </c>
      <c r="AN312">
        <v>-19.640260249999951</v>
      </c>
      <c r="AO312">
        <v>-43.880090474326408</v>
      </c>
      <c r="AP312">
        <v>-19.640333999999999</v>
      </c>
      <c r="AQ312">
        <v>-43.880004999999997</v>
      </c>
      <c r="AR312">
        <v>12.153556195359609</v>
      </c>
      <c r="AS312" t="s">
        <v>65</v>
      </c>
      <c r="AT312">
        <v>1</v>
      </c>
      <c r="AU312" t="s">
        <v>295</v>
      </c>
      <c r="AV312" t="s">
        <v>296</v>
      </c>
      <c r="AW312" t="s">
        <v>60</v>
      </c>
      <c r="AX312" t="s">
        <v>68</v>
      </c>
      <c r="AY312" t="s">
        <v>69</v>
      </c>
      <c r="AZ312" t="b">
        <v>1</v>
      </c>
    </row>
    <row r="313" spans="1:52" x14ac:dyDescent="0.3">
      <c r="A313" t="s">
        <v>52</v>
      </c>
      <c r="B313" t="s">
        <v>53</v>
      </c>
      <c r="C313" t="s">
        <v>54</v>
      </c>
      <c r="D313" t="s">
        <v>55</v>
      </c>
      <c r="E313" t="s">
        <v>751</v>
      </c>
      <c r="F313" t="s">
        <v>512</v>
      </c>
      <c r="G313" t="s">
        <v>530</v>
      </c>
      <c r="H313" t="s">
        <v>531</v>
      </c>
      <c r="I313" t="s">
        <v>531</v>
      </c>
      <c r="J313" t="s">
        <v>60</v>
      </c>
      <c r="K313" t="s">
        <v>185</v>
      </c>
      <c r="L313" t="s">
        <v>62</v>
      </c>
      <c r="M313" t="s">
        <v>185</v>
      </c>
      <c r="N313" t="s">
        <v>532</v>
      </c>
      <c r="O313" t="s">
        <v>533</v>
      </c>
      <c r="P313">
        <v>-19.625264000000001</v>
      </c>
      <c r="Q313">
        <v>-43.889451000000001</v>
      </c>
      <c r="R313" s="2" t="str">
        <f>HYPERLINK("https://www.google.com/maps?q=-19.6252640,-43.8894510","Abrir no Google Maps")</f>
        <v>Abrir no Google Maps</v>
      </c>
      <c r="S313">
        <v>3</v>
      </c>
      <c r="T313">
        <v>466.11340370665903</v>
      </c>
      <c r="U313">
        <v>2</v>
      </c>
      <c r="V313">
        <v>5</v>
      </c>
      <c r="W313">
        <v>0.85</v>
      </c>
      <c r="X313">
        <v>4.25</v>
      </c>
      <c r="Y313">
        <v>18</v>
      </c>
      <c r="Z313">
        <v>320.77337440837812</v>
      </c>
      <c r="AA313">
        <v>2</v>
      </c>
      <c r="AB313">
        <v>3</v>
      </c>
      <c r="AC313">
        <v>7</v>
      </c>
      <c r="AD313">
        <v>24.62</v>
      </c>
      <c r="AE313">
        <v>253</v>
      </c>
      <c r="AF313">
        <v>11</v>
      </c>
      <c r="AG313">
        <v>67</v>
      </c>
      <c r="AH313">
        <v>32</v>
      </c>
      <c r="AI313">
        <v>4.3499999999999996</v>
      </c>
      <c r="AJ313">
        <v>26.48</v>
      </c>
      <c r="AK313">
        <v>12.65</v>
      </c>
      <c r="AL313">
        <v>-19.62516189999997</v>
      </c>
      <c r="AM313">
        <v>-43.88954614566876</v>
      </c>
      <c r="AN313">
        <v>-19.62516189999997</v>
      </c>
      <c r="AO313">
        <v>-43.88954614566876</v>
      </c>
      <c r="AP313">
        <v>-19.625264000000001</v>
      </c>
      <c r="AQ313">
        <v>-43.889451000000001</v>
      </c>
      <c r="AR313">
        <v>15.12310549834147</v>
      </c>
      <c r="AS313" t="s">
        <v>65</v>
      </c>
      <c r="AT313">
        <v>1</v>
      </c>
      <c r="AU313" t="s">
        <v>534</v>
      </c>
      <c r="AV313" t="s">
        <v>535</v>
      </c>
      <c r="AW313" t="s">
        <v>60</v>
      </c>
      <c r="AX313" t="s">
        <v>68</v>
      </c>
      <c r="AY313" t="s">
        <v>69</v>
      </c>
      <c r="AZ313" t="b">
        <v>1</v>
      </c>
    </row>
    <row r="314" spans="1:52" x14ac:dyDescent="0.3">
      <c r="A314" t="s">
        <v>52</v>
      </c>
      <c r="B314" t="s">
        <v>53</v>
      </c>
      <c r="C314" t="s">
        <v>54</v>
      </c>
      <c r="D314" t="s">
        <v>55</v>
      </c>
      <c r="E314" t="s">
        <v>751</v>
      </c>
      <c r="F314" t="s">
        <v>512</v>
      </c>
      <c r="G314" t="s">
        <v>536</v>
      </c>
      <c r="H314" t="s">
        <v>537</v>
      </c>
      <c r="I314" t="s">
        <v>537</v>
      </c>
      <c r="J314" t="s">
        <v>60</v>
      </c>
      <c r="K314" t="s">
        <v>185</v>
      </c>
      <c r="L314" t="s">
        <v>62</v>
      </c>
      <c r="M314" t="s">
        <v>185</v>
      </c>
      <c r="N314" t="s">
        <v>538</v>
      </c>
      <c r="O314" t="s">
        <v>408</v>
      </c>
      <c r="P314">
        <v>-19.630147999999998</v>
      </c>
      <c r="Q314">
        <v>-43.893844000000001</v>
      </c>
      <c r="R314" s="2" t="str">
        <f>HYPERLINK("https://www.google.com/maps?q=-19.6301480,-43.8938440","Abrir no Google Maps")</f>
        <v>Abrir no Google Maps</v>
      </c>
      <c r="S314">
        <v>3</v>
      </c>
      <c r="T314">
        <v>262.94285160220159</v>
      </c>
      <c r="U314">
        <v>2</v>
      </c>
      <c r="V314">
        <v>5</v>
      </c>
      <c r="W314">
        <v>0.85</v>
      </c>
      <c r="X314">
        <v>4.25</v>
      </c>
      <c r="Y314">
        <v>18</v>
      </c>
      <c r="Z314">
        <v>351.25774094845309</v>
      </c>
      <c r="AA314">
        <v>2</v>
      </c>
      <c r="AB314">
        <v>3</v>
      </c>
      <c r="AC314">
        <v>7</v>
      </c>
      <c r="AD314">
        <v>24.62</v>
      </c>
      <c r="AE314">
        <v>253</v>
      </c>
      <c r="AF314">
        <v>11</v>
      </c>
      <c r="AG314">
        <v>67</v>
      </c>
      <c r="AH314">
        <v>32</v>
      </c>
      <c r="AI314">
        <v>4.3499999999999996</v>
      </c>
      <c r="AJ314">
        <v>26.48</v>
      </c>
      <c r="AK314">
        <v>12.65</v>
      </c>
      <c r="AL314">
        <v>-19.630177599999939</v>
      </c>
      <c r="AM314">
        <v>-43.893752755034278</v>
      </c>
      <c r="AN314">
        <v>-19.630177599999939</v>
      </c>
      <c r="AO314">
        <v>-43.893752755034278</v>
      </c>
      <c r="AP314">
        <v>-19.630147999999998</v>
      </c>
      <c r="AQ314">
        <v>-43.893844000000001</v>
      </c>
      <c r="AR314">
        <v>10.1185927114604</v>
      </c>
      <c r="AS314" t="s">
        <v>65</v>
      </c>
      <c r="AT314">
        <v>1</v>
      </c>
      <c r="AU314" t="s">
        <v>539</v>
      </c>
      <c r="AV314" t="s">
        <v>540</v>
      </c>
      <c r="AW314" t="s">
        <v>60</v>
      </c>
      <c r="AX314" t="s">
        <v>68</v>
      </c>
      <c r="AY314" t="s">
        <v>69</v>
      </c>
      <c r="AZ314" t="b">
        <v>1</v>
      </c>
    </row>
    <row r="315" spans="1:52" x14ac:dyDescent="0.3">
      <c r="A315" t="s">
        <v>52</v>
      </c>
      <c r="B315" t="s">
        <v>53</v>
      </c>
      <c r="C315" t="s">
        <v>54</v>
      </c>
      <c r="D315" t="s">
        <v>55</v>
      </c>
      <c r="E315" t="s">
        <v>751</v>
      </c>
      <c r="F315" t="s">
        <v>512</v>
      </c>
      <c r="G315" t="s">
        <v>541</v>
      </c>
      <c r="H315" t="s">
        <v>542</v>
      </c>
      <c r="I315" t="s">
        <v>542</v>
      </c>
      <c r="J315" t="s">
        <v>60</v>
      </c>
      <c r="K315" t="s">
        <v>445</v>
      </c>
      <c r="L315" t="s">
        <v>62</v>
      </c>
      <c r="M315" t="s">
        <v>445</v>
      </c>
      <c r="N315" t="s">
        <v>543</v>
      </c>
      <c r="O315" t="s">
        <v>328</v>
      </c>
      <c r="P315">
        <v>-19.642263</v>
      </c>
      <c r="Q315">
        <v>-43.881428999999997</v>
      </c>
      <c r="R315" s="2" t="str">
        <f>HYPERLINK("https://www.google.com/maps?q=-19.6422630,-43.8814290","Abrir no Google Maps")</f>
        <v>Abrir no Google Maps</v>
      </c>
      <c r="S315">
        <v>3</v>
      </c>
      <c r="T315">
        <v>0</v>
      </c>
      <c r="U315">
        <v>2</v>
      </c>
      <c r="V315">
        <v>5</v>
      </c>
      <c r="W315">
        <v>0.85</v>
      </c>
      <c r="X315">
        <v>4.25</v>
      </c>
      <c r="Y315">
        <v>10</v>
      </c>
      <c r="Z315">
        <v>162.4764384685345</v>
      </c>
      <c r="AA315">
        <v>2</v>
      </c>
      <c r="AB315">
        <v>3</v>
      </c>
      <c r="AC315">
        <v>7</v>
      </c>
      <c r="AD315">
        <v>24.62</v>
      </c>
      <c r="AE315">
        <v>253</v>
      </c>
      <c r="AF315">
        <v>11</v>
      </c>
      <c r="AG315">
        <v>67</v>
      </c>
      <c r="AH315">
        <v>32</v>
      </c>
      <c r="AI315">
        <v>4.3499999999999996</v>
      </c>
      <c r="AJ315">
        <v>26.48</v>
      </c>
      <c r="AK315">
        <v>12.65</v>
      </c>
      <c r="AL315">
        <v>-19.642346249999949</v>
      </c>
      <c r="AM315">
        <v>-43.881546938715289</v>
      </c>
      <c r="AN315">
        <v>-19.642346249999939</v>
      </c>
      <c r="AO315">
        <v>-43.881546938715289</v>
      </c>
      <c r="AP315">
        <v>-19.642263</v>
      </c>
      <c r="AQ315">
        <v>-43.881428999999997</v>
      </c>
      <c r="AR315">
        <v>15.45239906956777</v>
      </c>
      <c r="AS315" t="s">
        <v>65</v>
      </c>
      <c r="AT315">
        <v>1</v>
      </c>
      <c r="AU315" t="s">
        <v>544</v>
      </c>
      <c r="AV315" t="s">
        <v>545</v>
      </c>
      <c r="AW315" t="s">
        <v>60</v>
      </c>
      <c r="AX315" t="s">
        <v>68</v>
      </c>
      <c r="AY315" t="s">
        <v>69</v>
      </c>
      <c r="AZ315" t="b">
        <v>1</v>
      </c>
    </row>
    <row r="316" spans="1:52" x14ac:dyDescent="0.3">
      <c r="A316" t="s">
        <v>52</v>
      </c>
      <c r="B316" t="s">
        <v>53</v>
      </c>
      <c r="C316" t="s">
        <v>54</v>
      </c>
      <c r="D316" t="s">
        <v>55</v>
      </c>
      <c r="E316" t="s">
        <v>751</v>
      </c>
      <c r="F316" t="s">
        <v>512</v>
      </c>
      <c r="G316" t="s">
        <v>557</v>
      </c>
      <c r="H316" t="s">
        <v>558</v>
      </c>
      <c r="I316" t="s">
        <v>558</v>
      </c>
      <c r="J316" t="s">
        <v>60</v>
      </c>
      <c r="K316" t="s">
        <v>445</v>
      </c>
      <c r="L316" t="s">
        <v>62</v>
      </c>
      <c r="M316" t="s">
        <v>445</v>
      </c>
      <c r="N316" t="s">
        <v>559</v>
      </c>
      <c r="O316" t="s">
        <v>560</v>
      </c>
      <c r="P316">
        <v>-19.641839000000001</v>
      </c>
      <c r="Q316">
        <v>-43.876227</v>
      </c>
      <c r="R316" s="2" t="str">
        <f>HYPERLINK("https://www.google.com/maps?q=-19.6418390,-43.8762270","Abrir no Google Maps")</f>
        <v>Abrir no Google Maps</v>
      </c>
      <c r="S316">
        <v>3</v>
      </c>
      <c r="T316">
        <v>564.50471877254449</v>
      </c>
      <c r="U316">
        <v>2</v>
      </c>
      <c r="V316">
        <v>6</v>
      </c>
      <c r="W316">
        <v>0.85</v>
      </c>
      <c r="X316">
        <v>5.0999999999999996</v>
      </c>
      <c r="Y316">
        <v>10</v>
      </c>
      <c r="Z316">
        <v>490.40238336341412</v>
      </c>
      <c r="AA316">
        <v>2</v>
      </c>
      <c r="AB316">
        <v>3</v>
      </c>
      <c r="AC316">
        <v>7</v>
      </c>
      <c r="AD316">
        <v>24.62</v>
      </c>
      <c r="AE316">
        <v>253</v>
      </c>
      <c r="AF316">
        <v>11</v>
      </c>
      <c r="AG316">
        <v>67</v>
      </c>
      <c r="AH316">
        <v>32</v>
      </c>
      <c r="AI316">
        <v>4.3499999999999996</v>
      </c>
      <c r="AJ316">
        <v>26.48</v>
      </c>
      <c r="AK316">
        <v>12.65</v>
      </c>
      <c r="AL316">
        <v>-19.641880699999941</v>
      </c>
      <c r="AM316">
        <v>-43.876185869580858</v>
      </c>
      <c r="AN316">
        <v>-19.641880699999941</v>
      </c>
      <c r="AO316">
        <v>-43.876185869580858</v>
      </c>
      <c r="AP316">
        <v>-19.641839000000001</v>
      </c>
      <c r="AQ316">
        <v>-43.876227</v>
      </c>
      <c r="AR316">
        <v>6.3359121862683301</v>
      </c>
      <c r="AS316" t="s">
        <v>65</v>
      </c>
      <c r="AT316">
        <v>1</v>
      </c>
      <c r="AU316" t="s">
        <v>561</v>
      </c>
      <c r="AV316" t="s">
        <v>562</v>
      </c>
      <c r="AW316" t="s">
        <v>60</v>
      </c>
      <c r="AX316" t="s">
        <v>68</v>
      </c>
      <c r="AY316" t="s">
        <v>69</v>
      </c>
      <c r="AZ316" t="b">
        <v>1</v>
      </c>
    </row>
    <row r="317" spans="1:52" x14ac:dyDescent="0.3">
      <c r="A317" t="s">
        <v>52</v>
      </c>
      <c r="B317" t="s">
        <v>53</v>
      </c>
      <c r="C317" t="s">
        <v>54</v>
      </c>
      <c r="D317" t="s">
        <v>55</v>
      </c>
      <c r="E317" t="s">
        <v>751</v>
      </c>
      <c r="F317" t="s">
        <v>512</v>
      </c>
      <c r="G317" t="s">
        <v>405</v>
      </c>
      <c r="H317" t="s">
        <v>406</v>
      </c>
      <c r="I317" t="s">
        <v>406</v>
      </c>
      <c r="J317" t="s">
        <v>60</v>
      </c>
      <c r="K317" t="s">
        <v>286</v>
      </c>
      <c r="L317" t="s">
        <v>62</v>
      </c>
      <c r="M317" t="s">
        <v>286</v>
      </c>
      <c r="N317" t="s">
        <v>407</v>
      </c>
      <c r="O317" t="s">
        <v>408</v>
      </c>
      <c r="P317">
        <v>-19.646345</v>
      </c>
      <c r="Q317">
        <v>-43.882294999999999</v>
      </c>
      <c r="R317" s="2" t="str">
        <f>HYPERLINK("https://www.google.com/maps?q=-19.6463450,-43.8822950","Abrir no Google Maps")</f>
        <v>Abrir no Google Maps</v>
      </c>
      <c r="S317">
        <v>3</v>
      </c>
      <c r="T317">
        <v>450.3180538635894</v>
      </c>
      <c r="U317">
        <v>2</v>
      </c>
      <c r="V317">
        <v>6</v>
      </c>
      <c r="W317">
        <v>1</v>
      </c>
      <c r="X317">
        <v>6</v>
      </c>
      <c r="Y317">
        <v>10</v>
      </c>
      <c r="Z317">
        <v>349.23341775902583</v>
      </c>
      <c r="AA317">
        <v>2</v>
      </c>
      <c r="AB317">
        <v>3</v>
      </c>
      <c r="AC317">
        <v>7</v>
      </c>
      <c r="AD317">
        <v>24.62</v>
      </c>
      <c r="AE317">
        <v>253</v>
      </c>
      <c r="AF317">
        <v>11</v>
      </c>
      <c r="AG317">
        <v>67</v>
      </c>
      <c r="AH317">
        <v>32</v>
      </c>
      <c r="AI317">
        <v>4.3499999999999996</v>
      </c>
      <c r="AJ317">
        <v>26.48</v>
      </c>
      <c r="AK317">
        <v>12.65</v>
      </c>
      <c r="AL317">
        <v>-19.646391649999941</v>
      </c>
      <c r="AM317">
        <v>-43.882007396993302</v>
      </c>
      <c r="AN317">
        <v>-19.646391649999941</v>
      </c>
      <c r="AO317">
        <v>-43.882007396993302</v>
      </c>
      <c r="AP317">
        <v>-19.646345</v>
      </c>
      <c r="AQ317">
        <v>-43.882294999999999</v>
      </c>
      <c r="AR317">
        <v>30.596105513395301</v>
      </c>
      <c r="AS317" t="s">
        <v>65</v>
      </c>
      <c r="AT317">
        <v>1</v>
      </c>
      <c r="AU317" t="s">
        <v>409</v>
      </c>
      <c r="AV317" t="s">
        <v>410</v>
      </c>
      <c r="AW317" t="s">
        <v>60</v>
      </c>
      <c r="AX317" t="s">
        <v>68</v>
      </c>
      <c r="AY317" t="s">
        <v>69</v>
      </c>
      <c r="AZ317" t="b">
        <v>1</v>
      </c>
    </row>
    <row r="318" spans="1:52" x14ac:dyDescent="0.3">
      <c r="A318" t="s">
        <v>52</v>
      </c>
      <c r="B318" t="s">
        <v>53</v>
      </c>
      <c r="C318" t="s">
        <v>54</v>
      </c>
      <c r="D318" t="s">
        <v>55</v>
      </c>
      <c r="E318" t="s">
        <v>751</v>
      </c>
      <c r="F318" t="s">
        <v>512</v>
      </c>
      <c r="G318" t="s">
        <v>586</v>
      </c>
      <c r="H318" t="s">
        <v>587</v>
      </c>
      <c r="I318" t="s">
        <v>587</v>
      </c>
      <c r="J318" t="s">
        <v>60</v>
      </c>
      <c r="K318" t="s">
        <v>286</v>
      </c>
      <c r="L318" t="s">
        <v>62</v>
      </c>
      <c r="M318" t="s">
        <v>286</v>
      </c>
      <c r="N318" t="s">
        <v>588</v>
      </c>
      <c r="O318" t="s">
        <v>589</v>
      </c>
      <c r="P318">
        <v>-19.638362999999998</v>
      </c>
      <c r="Q318">
        <v>-43.887081000000002</v>
      </c>
      <c r="R318" s="2" t="str">
        <f>HYPERLINK("https://www.google.com/maps?q=-19.6383630,-43.8870810","Abrir no Google Maps")</f>
        <v>Abrir no Google Maps</v>
      </c>
      <c r="S318">
        <v>3</v>
      </c>
      <c r="T318">
        <v>521.16909902210193</v>
      </c>
      <c r="U318">
        <v>2</v>
      </c>
      <c r="V318">
        <v>8</v>
      </c>
      <c r="W318">
        <v>0.85</v>
      </c>
      <c r="X318">
        <v>6.8</v>
      </c>
      <c r="Y318">
        <v>10</v>
      </c>
      <c r="Z318">
        <v>416.66355243950221</v>
      </c>
      <c r="AA318">
        <v>2</v>
      </c>
      <c r="AB318">
        <v>3</v>
      </c>
      <c r="AC318">
        <v>7</v>
      </c>
      <c r="AD318">
        <v>24.62</v>
      </c>
      <c r="AE318">
        <v>253</v>
      </c>
      <c r="AF318">
        <v>11</v>
      </c>
      <c r="AG318">
        <v>67</v>
      </c>
      <c r="AH318">
        <v>32</v>
      </c>
      <c r="AI318">
        <v>4.3499999999999996</v>
      </c>
      <c r="AJ318">
        <v>26.48</v>
      </c>
      <c r="AK318">
        <v>12.65</v>
      </c>
      <c r="AL318">
        <v>-19.638074649999961</v>
      </c>
      <c r="AM318">
        <v>-43.887517684870552</v>
      </c>
      <c r="AN318">
        <v>-19.638074649999961</v>
      </c>
      <c r="AO318">
        <v>-43.887517684870552</v>
      </c>
      <c r="AP318">
        <v>-19.638362999999998</v>
      </c>
      <c r="AQ318">
        <v>-43.887081000000002</v>
      </c>
      <c r="AR318">
        <v>55.915550702564907</v>
      </c>
      <c r="AS318" t="s">
        <v>65</v>
      </c>
      <c r="AT318">
        <v>1</v>
      </c>
      <c r="AU318" t="s">
        <v>590</v>
      </c>
      <c r="AV318" t="s">
        <v>591</v>
      </c>
      <c r="AW318" t="s">
        <v>60</v>
      </c>
      <c r="AX318" t="s">
        <v>68</v>
      </c>
      <c r="AY318" t="s">
        <v>69</v>
      </c>
      <c r="AZ318" t="b">
        <v>1</v>
      </c>
    </row>
    <row r="319" spans="1:52" x14ac:dyDescent="0.3">
      <c r="A319" t="s">
        <v>52</v>
      </c>
      <c r="B319" t="s">
        <v>53</v>
      </c>
      <c r="C319" t="s">
        <v>54</v>
      </c>
      <c r="D319" t="s">
        <v>55</v>
      </c>
      <c r="E319" t="s">
        <v>751</v>
      </c>
      <c r="F319" t="s">
        <v>512</v>
      </c>
      <c r="G319" t="s">
        <v>411</v>
      </c>
      <c r="H319" t="s">
        <v>412</v>
      </c>
      <c r="I319" t="s">
        <v>412</v>
      </c>
      <c r="J319" t="s">
        <v>60</v>
      </c>
      <c r="K319" t="s">
        <v>179</v>
      </c>
      <c r="L319" t="s">
        <v>62</v>
      </c>
      <c r="M319" t="s">
        <v>179</v>
      </c>
      <c r="N319" t="s">
        <v>413</v>
      </c>
      <c r="O319" t="s">
        <v>414</v>
      </c>
      <c r="P319">
        <v>-19.650079000000002</v>
      </c>
      <c r="Q319">
        <v>-43.884253999999999</v>
      </c>
      <c r="R319" s="2" t="str">
        <f>HYPERLINK("https://www.google.com/maps?q=-19.6500790,-43.8842540","Abrir no Google Maps")</f>
        <v>Abrir no Google Maps</v>
      </c>
      <c r="S319">
        <v>3</v>
      </c>
      <c r="T319">
        <v>797.21430129715498</v>
      </c>
      <c r="U319">
        <v>2</v>
      </c>
      <c r="V319">
        <v>7</v>
      </c>
      <c r="W319">
        <v>1</v>
      </c>
      <c r="X319">
        <v>7</v>
      </c>
      <c r="Y319">
        <v>10</v>
      </c>
      <c r="Z319">
        <v>774.04145012702554</v>
      </c>
      <c r="AA319">
        <v>2</v>
      </c>
      <c r="AB319">
        <v>3</v>
      </c>
      <c r="AC319">
        <v>7</v>
      </c>
      <c r="AD319">
        <v>24.62</v>
      </c>
      <c r="AE319">
        <v>253</v>
      </c>
      <c r="AF319">
        <v>11</v>
      </c>
      <c r="AG319">
        <v>67</v>
      </c>
      <c r="AH319">
        <v>32</v>
      </c>
      <c r="AI319">
        <v>4.3499999999999996</v>
      </c>
      <c r="AJ319">
        <v>26.48</v>
      </c>
      <c r="AK319">
        <v>12.65</v>
      </c>
      <c r="AL319">
        <v>-19.649199399999961</v>
      </c>
      <c r="AM319">
        <v>-43.883888390043637</v>
      </c>
      <c r="AN319">
        <v>-19.649199399999961</v>
      </c>
      <c r="AO319">
        <v>-43.883888390043637</v>
      </c>
      <c r="AP319">
        <v>-19.650079000000002</v>
      </c>
      <c r="AQ319">
        <v>-43.884253999999999</v>
      </c>
      <c r="AR319">
        <v>105.1518915696123</v>
      </c>
      <c r="AS319" t="s">
        <v>65</v>
      </c>
      <c r="AT319">
        <v>1</v>
      </c>
      <c r="AU319" t="s">
        <v>415</v>
      </c>
      <c r="AV319" t="s">
        <v>416</v>
      </c>
      <c r="AW319" t="s">
        <v>60</v>
      </c>
      <c r="AX319" t="s">
        <v>68</v>
      </c>
      <c r="AY319" t="s">
        <v>69</v>
      </c>
      <c r="AZ319" t="b">
        <v>1</v>
      </c>
    </row>
    <row r="320" spans="1:52" x14ac:dyDescent="0.3">
      <c r="A320" t="s">
        <v>52</v>
      </c>
      <c r="B320" t="s">
        <v>53</v>
      </c>
      <c r="C320" t="s">
        <v>54</v>
      </c>
      <c r="D320" t="s">
        <v>55</v>
      </c>
      <c r="E320" t="s">
        <v>751</v>
      </c>
      <c r="F320" t="s">
        <v>512</v>
      </c>
      <c r="G320" t="s">
        <v>575</v>
      </c>
      <c r="H320" t="s">
        <v>576</v>
      </c>
      <c r="I320" t="s">
        <v>576</v>
      </c>
      <c r="J320" t="s">
        <v>60</v>
      </c>
      <c r="K320" t="s">
        <v>445</v>
      </c>
      <c r="L320" t="s">
        <v>62</v>
      </c>
      <c r="M320" t="s">
        <v>445</v>
      </c>
      <c r="N320" t="s">
        <v>577</v>
      </c>
      <c r="O320" t="s">
        <v>214</v>
      </c>
      <c r="P320">
        <v>-19.639865</v>
      </c>
      <c r="Q320">
        <v>-43.877858000000003</v>
      </c>
      <c r="R320" s="2" t="str">
        <f>HYPERLINK("https://www.google.com/maps?q=-19.6398650,-43.8778580","Abrir no Google Maps")</f>
        <v>Abrir no Google Maps</v>
      </c>
      <c r="S320">
        <v>3</v>
      </c>
      <c r="T320">
        <v>497.47318171010488</v>
      </c>
      <c r="U320">
        <v>2</v>
      </c>
      <c r="V320">
        <v>6</v>
      </c>
      <c r="W320">
        <v>0.85</v>
      </c>
      <c r="X320">
        <v>5.0999999999999996</v>
      </c>
      <c r="Y320">
        <v>10</v>
      </c>
      <c r="Z320">
        <v>547.08184956634818</v>
      </c>
      <c r="AA320">
        <v>2</v>
      </c>
      <c r="AB320">
        <v>3</v>
      </c>
      <c r="AC320">
        <v>7</v>
      </c>
      <c r="AD320">
        <v>24.62</v>
      </c>
      <c r="AE320">
        <v>253</v>
      </c>
      <c r="AF320">
        <v>11</v>
      </c>
      <c r="AG320">
        <v>67</v>
      </c>
      <c r="AH320">
        <v>32</v>
      </c>
      <c r="AI320">
        <v>4.3499999999999996</v>
      </c>
      <c r="AJ320">
        <v>26.48</v>
      </c>
      <c r="AK320">
        <v>12.65</v>
      </c>
      <c r="AL320">
        <v>-19.639907499999961</v>
      </c>
      <c r="AM320">
        <v>-43.877561677180587</v>
      </c>
      <c r="AN320">
        <v>-19.639907499999961</v>
      </c>
      <c r="AO320">
        <v>-43.877561677180587</v>
      </c>
      <c r="AP320">
        <v>-19.639865</v>
      </c>
      <c r="AQ320">
        <v>-43.877858000000003</v>
      </c>
      <c r="AR320">
        <v>31.4257813556037</v>
      </c>
      <c r="AS320" t="s">
        <v>65</v>
      </c>
      <c r="AT320">
        <v>1</v>
      </c>
      <c r="AU320" t="s">
        <v>578</v>
      </c>
      <c r="AV320" t="s">
        <v>579</v>
      </c>
      <c r="AW320" t="s">
        <v>60</v>
      </c>
      <c r="AX320" t="s">
        <v>68</v>
      </c>
      <c r="AY320" t="s">
        <v>69</v>
      </c>
      <c r="AZ320" t="b">
        <v>1</v>
      </c>
    </row>
    <row r="321" spans="1:52" x14ac:dyDescent="0.3">
      <c r="A321" t="s">
        <v>52</v>
      </c>
      <c r="B321" t="s">
        <v>53</v>
      </c>
      <c r="C321" t="s">
        <v>54</v>
      </c>
      <c r="D321" t="s">
        <v>55</v>
      </c>
      <c r="E321" t="s">
        <v>751</v>
      </c>
      <c r="F321" t="s">
        <v>512</v>
      </c>
      <c r="G321" t="s">
        <v>525</v>
      </c>
      <c r="H321" t="s">
        <v>526</v>
      </c>
      <c r="I321" t="s">
        <v>526</v>
      </c>
      <c r="J321" t="s">
        <v>60</v>
      </c>
      <c r="K321" t="s">
        <v>286</v>
      </c>
      <c r="L321" t="s">
        <v>62</v>
      </c>
      <c r="M321" t="s">
        <v>286</v>
      </c>
      <c r="N321" t="s">
        <v>527</v>
      </c>
      <c r="O321" t="s">
        <v>113</v>
      </c>
      <c r="P321">
        <v>-19.629049999999999</v>
      </c>
      <c r="Q321">
        <v>-43.887543000000001</v>
      </c>
      <c r="R321" s="2" t="str">
        <f>HYPERLINK("https://www.google.com/maps?q=-19.6290500,-43.8875430","Abrir no Google Maps")</f>
        <v>Abrir no Google Maps</v>
      </c>
      <c r="S321">
        <v>3</v>
      </c>
      <c r="T321">
        <v>420.9244758141914</v>
      </c>
      <c r="U321">
        <v>1</v>
      </c>
      <c r="V321">
        <v>0</v>
      </c>
      <c r="W321">
        <v>0.85</v>
      </c>
      <c r="X321">
        <v>0</v>
      </c>
      <c r="Y321">
        <v>18</v>
      </c>
      <c r="Z321">
        <v>298.16529694300579</v>
      </c>
      <c r="AA321">
        <v>2</v>
      </c>
      <c r="AB321">
        <v>3</v>
      </c>
      <c r="AC321">
        <v>7</v>
      </c>
      <c r="AD321">
        <v>24.62</v>
      </c>
      <c r="AE321">
        <v>253</v>
      </c>
      <c r="AF321">
        <v>11</v>
      </c>
      <c r="AG321">
        <v>67</v>
      </c>
      <c r="AH321">
        <v>32</v>
      </c>
      <c r="AI321">
        <v>4.3499999999999996</v>
      </c>
      <c r="AJ321">
        <v>26.48</v>
      </c>
      <c r="AK321">
        <v>12.65</v>
      </c>
      <c r="AL321">
        <v>-19.62914789999996</v>
      </c>
      <c r="AM321">
        <v>-43.887659532387332</v>
      </c>
      <c r="AN321">
        <v>-19.62914789999996</v>
      </c>
      <c r="AO321">
        <v>-43.887659532387332</v>
      </c>
      <c r="AP321">
        <v>-19.629049999999999</v>
      </c>
      <c r="AQ321">
        <v>-43.887543000000001</v>
      </c>
      <c r="AR321">
        <v>16.372645779361299</v>
      </c>
      <c r="AS321" t="s">
        <v>65</v>
      </c>
      <c r="AT321">
        <v>1</v>
      </c>
      <c r="AU321" t="s">
        <v>528</v>
      </c>
      <c r="AV321" t="s">
        <v>529</v>
      </c>
      <c r="AW321" t="s">
        <v>60</v>
      </c>
      <c r="AX321" t="s">
        <v>68</v>
      </c>
      <c r="AY321" t="s">
        <v>69</v>
      </c>
      <c r="AZ321" t="b">
        <v>1</v>
      </c>
    </row>
    <row r="322" spans="1:52" x14ac:dyDescent="0.3">
      <c r="A322" t="s">
        <v>52</v>
      </c>
      <c r="B322" t="s">
        <v>53</v>
      </c>
      <c r="C322" t="s">
        <v>54</v>
      </c>
      <c r="D322" t="s">
        <v>55</v>
      </c>
      <c r="E322" t="s">
        <v>751</v>
      </c>
      <c r="F322" t="s">
        <v>512</v>
      </c>
      <c r="G322" t="s">
        <v>552</v>
      </c>
      <c r="H322" t="s">
        <v>553</v>
      </c>
      <c r="I322" t="s">
        <v>553</v>
      </c>
      <c r="J322" t="s">
        <v>60</v>
      </c>
      <c r="K322" t="s">
        <v>445</v>
      </c>
      <c r="L322" t="s">
        <v>62</v>
      </c>
      <c r="M322" t="s">
        <v>445</v>
      </c>
      <c r="N322" t="s">
        <v>554</v>
      </c>
      <c r="O322" t="s">
        <v>207</v>
      </c>
      <c r="P322">
        <v>-19.641549999999999</v>
      </c>
      <c r="Q322">
        <v>-43.873263999999999</v>
      </c>
      <c r="R322" s="2" t="str">
        <f>HYPERLINK("https://www.google.com/maps?q=-19.6415500,-43.8732640","Abrir no Google Maps")</f>
        <v>Abrir no Google Maps</v>
      </c>
      <c r="S322">
        <v>3</v>
      </c>
      <c r="T322">
        <v>879.45465995735231</v>
      </c>
      <c r="U322">
        <v>1</v>
      </c>
      <c r="V322">
        <v>4</v>
      </c>
      <c r="W322">
        <v>0.85</v>
      </c>
      <c r="X322">
        <v>3.4</v>
      </c>
      <c r="Y322">
        <v>10</v>
      </c>
      <c r="Z322">
        <v>830.70905214077095</v>
      </c>
      <c r="AA322">
        <v>2</v>
      </c>
      <c r="AB322">
        <v>3</v>
      </c>
      <c r="AC322">
        <v>7</v>
      </c>
      <c r="AD322">
        <v>24.62</v>
      </c>
      <c r="AE322">
        <v>253</v>
      </c>
      <c r="AF322">
        <v>11</v>
      </c>
      <c r="AG322">
        <v>67</v>
      </c>
      <c r="AH322">
        <v>32</v>
      </c>
      <c r="AI322">
        <v>4.3499999999999996</v>
      </c>
      <c r="AJ322">
        <v>26.48</v>
      </c>
      <c r="AK322">
        <v>12.65</v>
      </c>
      <c r="AL322">
        <v>-19.641459949999959</v>
      </c>
      <c r="AM322">
        <v>-43.873212145688711</v>
      </c>
      <c r="AN322">
        <v>-19.641459949999959</v>
      </c>
      <c r="AO322">
        <v>-43.873212145688711</v>
      </c>
      <c r="AP322">
        <v>-19.641549999999999</v>
      </c>
      <c r="AQ322">
        <v>-43.873263999999999</v>
      </c>
      <c r="AR322">
        <v>11.40368340137019</v>
      </c>
      <c r="AS322" t="s">
        <v>65</v>
      </c>
      <c r="AT322">
        <v>1</v>
      </c>
      <c r="AU322" t="s">
        <v>555</v>
      </c>
      <c r="AV322" t="s">
        <v>556</v>
      </c>
      <c r="AW322" t="s">
        <v>60</v>
      </c>
      <c r="AX322" t="s">
        <v>68</v>
      </c>
      <c r="AY322" t="s">
        <v>69</v>
      </c>
      <c r="AZ322" t="b">
        <v>1</v>
      </c>
    </row>
    <row r="323" spans="1:52" x14ac:dyDescent="0.3">
      <c r="A323" t="s">
        <v>52</v>
      </c>
      <c r="B323" t="s">
        <v>53</v>
      </c>
      <c r="C323" t="s">
        <v>54</v>
      </c>
      <c r="D323" t="s">
        <v>55</v>
      </c>
      <c r="E323" t="s">
        <v>751</v>
      </c>
      <c r="F323" t="s">
        <v>512</v>
      </c>
      <c r="G323" t="s">
        <v>563</v>
      </c>
      <c r="H323" t="s">
        <v>564</v>
      </c>
      <c r="I323" t="s">
        <v>564</v>
      </c>
      <c r="J323" t="s">
        <v>60</v>
      </c>
      <c r="K323" t="s">
        <v>445</v>
      </c>
      <c r="L323" t="s">
        <v>62</v>
      </c>
      <c r="M323" t="s">
        <v>445</v>
      </c>
      <c r="N323" t="s">
        <v>565</v>
      </c>
      <c r="O323" t="s">
        <v>566</v>
      </c>
      <c r="P323">
        <v>-19.645859000000002</v>
      </c>
      <c r="Q323">
        <v>-43.878008000000001</v>
      </c>
      <c r="R323" s="2" t="str">
        <f>HYPERLINK("https://www.google.com/maps?q=-19.6458590,-43.8780080","Abrir no Google Maps")</f>
        <v>Abrir no Google Maps</v>
      </c>
      <c r="S323">
        <v>3</v>
      </c>
      <c r="T323">
        <v>535.60651658514928</v>
      </c>
      <c r="U323">
        <v>1</v>
      </c>
      <c r="V323">
        <v>4</v>
      </c>
      <c r="W323">
        <v>0.85</v>
      </c>
      <c r="X323">
        <v>3.4</v>
      </c>
      <c r="Y323">
        <v>10</v>
      </c>
      <c r="Z323">
        <v>356.77070476702067</v>
      </c>
      <c r="AA323">
        <v>2</v>
      </c>
      <c r="AB323">
        <v>3</v>
      </c>
      <c r="AC323">
        <v>7</v>
      </c>
      <c r="AD323">
        <v>24.62</v>
      </c>
      <c r="AE323">
        <v>253</v>
      </c>
      <c r="AF323">
        <v>11</v>
      </c>
      <c r="AG323">
        <v>67</v>
      </c>
      <c r="AH323">
        <v>32</v>
      </c>
      <c r="AI323">
        <v>4.3499999999999996</v>
      </c>
      <c r="AJ323">
        <v>26.48</v>
      </c>
      <c r="AK323">
        <v>12.65</v>
      </c>
      <c r="AL323">
        <v>-19.645894599999959</v>
      </c>
      <c r="AM323">
        <v>-43.878073476665591</v>
      </c>
      <c r="AN323">
        <v>-19.645894599999959</v>
      </c>
      <c r="AO323">
        <v>-43.878073476665591</v>
      </c>
      <c r="AP323">
        <v>-19.645859000000002</v>
      </c>
      <c r="AQ323">
        <v>-43.878008000000001</v>
      </c>
      <c r="AR323">
        <v>7.9263849189726594</v>
      </c>
      <c r="AS323" t="s">
        <v>65</v>
      </c>
      <c r="AT323">
        <v>1</v>
      </c>
      <c r="AU323" t="s">
        <v>567</v>
      </c>
      <c r="AV323" t="s">
        <v>568</v>
      </c>
      <c r="AW323" t="s">
        <v>60</v>
      </c>
      <c r="AX323" t="s">
        <v>68</v>
      </c>
      <c r="AY323" t="s">
        <v>69</v>
      </c>
      <c r="AZ323" t="b">
        <v>1</v>
      </c>
    </row>
    <row r="324" spans="1:52" x14ac:dyDescent="0.3">
      <c r="A324" t="s">
        <v>52</v>
      </c>
      <c r="B324" t="s">
        <v>53</v>
      </c>
      <c r="C324" t="s">
        <v>54</v>
      </c>
      <c r="D324" t="s">
        <v>55</v>
      </c>
      <c r="E324" t="s">
        <v>751</v>
      </c>
      <c r="F324" t="s">
        <v>512</v>
      </c>
      <c r="G324" t="s">
        <v>569</v>
      </c>
      <c r="H324" t="s">
        <v>570</v>
      </c>
      <c r="I324" t="s">
        <v>570</v>
      </c>
      <c r="J324" t="s">
        <v>60</v>
      </c>
      <c r="K324" t="s">
        <v>445</v>
      </c>
      <c r="L324" t="s">
        <v>62</v>
      </c>
      <c r="M324" t="s">
        <v>445</v>
      </c>
      <c r="N324" t="s">
        <v>571</v>
      </c>
      <c r="O324" t="s">
        <v>572</v>
      </c>
      <c r="P324">
        <v>-19.646602999999999</v>
      </c>
      <c r="Q324">
        <v>-43.879826000000001</v>
      </c>
      <c r="R324" s="2" t="str">
        <f>HYPERLINK("https://www.google.com/maps?q=-19.6466030,-43.8798260","Abrir no Google Maps")</f>
        <v>Abrir no Google Maps</v>
      </c>
      <c r="S324">
        <v>3</v>
      </c>
      <c r="T324">
        <v>497.89126003830972</v>
      </c>
      <c r="U324">
        <v>1</v>
      </c>
      <c r="V324">
        <v>4</v>
      </c>
      <c r="W324">
        <v>0.85</v>
      </c>
      <c r="X324">
        <v>3.4</v>
      </c>
      <c r="Y324">
        <v>10</v>
      </c>
      <c r="Z324">
        <v>228.69190976735251</v>
      </c>
      <c r="AA324">
        <v>2</v>
      </c>
      <c r="AB324">
        <v>3</v>
      </c>
      <c r="AC324">
        <v>7</v>
      </c>
      <c r="AD324">
        <v>24.62</v>
      </c>
      <c r="AE324">
        <v>253</v>
      </c>
      <c r="AF324">
        <v>11</v>
      </c>
      <c r="AG324">
        <v>67</v>
      </c>
      <c r="AH324">
        <v>32</v>
      </c>
      <c r="AI324">
        <v>4.3499999999999996</v>
      </c>
      <c r="AJ324">
        <v>26.48</v>
      </c>
      <c r="AK324">
        <v>12.65</v>
      </c>
      <c r="AL324">
        <v>-19.646577499999982</v>
      </c>
      <c r="AM324">
        <v>-43.879934131171261</v>
      </c>
      <c r="AN324">
        <v>-19.646577499999971</v>
      </c>
      <c r="AO324">
        <v>-43.879934131171261</v>
      </c>
      <c r="AP324">
        <v>-19.646602999999999</v>
      </c>
      <c r="AQ324">
        <v>-43.879826000000001</v>
      </c>
      <c r="AR324">
        <v>11.68641198848764</v>
      </c>
      <c r="AS324" t="s">
        <v>65</v>
      </c>
      <c r="AT324">
        <v>1</v>
      </c>
      <c r="AU324" t="s">
        <v>573</v>
      </c>
      <c r="AV324" t="s">
        <v>574</v>
      </c>
      <c r="AW324" t="s">
        <v>60</v>
      </c>
      <c r="AX324" t="s">
        <v>68</v>
      </c>
      <c r="AY324" t="s">
        <v>69</v>
      </c>
      <c r="AZ324" t="b">
        <v>1</v>
      </c>
    </row>
    <row r="325" spans="1:52" x14ac:dyDescent="0.3">
      <c r="A325" t="s">
        <v>52</v>
      </c>
      <c r="B325" t="s">
        <v>53</v>
      </c>
      <c r="C325" t="s">
        <v>54</v>
      </c>
      <c r="D325" t="s">
        <v>55</v>
      </c>
      <c r="E325" t="s">
        <v>751</v>
      </c>
      <c r="F325" t="s">
        <v>512</v>
      </c>
      <c r="G325" t="s">
        <v>580</v>
      </c>
      <c r="H325" t="s">
        <v>581</v>
      </c>
      <c r="I325" t="s">
        <v>581</v>
      </c>
      <c r="J325" t="s">
        <v>60</v>
      </c>
      <c r="K325" t="s">
        <v>179</v>
      </c>
      <c r="L325" t="s">
        <v>62</v>
      </c>
      <c r="M325" t="s">
        <v>179</v>
      </c>
      <c r="N325" t="s">
        <v>582</v>
      </c>
      <c r="O325" t="s">
        <v>583</v>
      </c>
      <c r="P325">
        <v>-19.651917999999998</v>
      </c>
      <c r="Q325">
        <v>-43.888081</v>
      </c>
      <c r="R325" s="2" t="str">
        <f>HYPERLINK("https://www.google.com/maps?q=-19.6519180,-43.8880810","Abrir no Google Maps")</f>
        <v>Abrir no Google Maps</v>
      </c>
      <c r="S325">
        <v>3</v>
      </c>
      <c r="T325">
        <v>1192.758363020145</v>
      </c>
      <c r="U325">
        <v>1</v>
      </c>
      <c r="V325">
        <v>3</v>
      </c>
      <c r="W325">
        <v>0.85</v>
      </c>
      <c r="X325">
        <v>2.5499999999999998</v>
      </c>
      <c r="Y325">
        <v>10</v>
      </c>
      <c r="Z325">
        <v>1164.020417046748</v>
      </c>
      <c r="AA325">
        <v>2</v>
      </c>
      <c r="AB325">
        <v>3</v>
      </c>
      <c r="AC325">
        <v>7</v>
      </c>
      <c r="AD325">
        <v>24.62</v>
      </c>
      <c r="AE325">
        <v>253</v>
      </c>
      <c r="AF325">
        <v>11</v>
      </c>
      <c r="AG325">
        <v>67</v>
      </c>
      <c r="AH325">
        <v>32</v>
      </c>
      <c r="AI325">
        <v>4.3499999999999996</v>
      </c>
      <c r="AJ325">
        <v>26.48</v>
      </c>
      <c r="AK325">
        <v>12.65</v>
      </c>
      <c r="AL325">
        <v>-19.65182809999996</v>
      </c>
      <c r="AM325">
        <v>-43.887955347266519</v>
      </c>
      <c r="AN325">
        <v>-19.65182809999996</v>
      </c>
      <c r="AO325">
        <v>-43.887955347266519</v>
      </c>
      <c r="AP325">
        <v>-19.651917999999998</v>
      </c>
      <c r="AQ325">
        <v>-43.888081</v>
      </c>
      <c r="AR325">
        <v>16.543262936495491</v>
      </c>
      <c r="AS325" t="s">
        <v>65</v>
      </c>
      <c r="AT325">
        <v>1</v>
      </c>
      <c r="AU325" t="s">
        <v>584</v>
      </c>
      <c r="AV325" t="s">
        <v>585</v>
      </c>
      <c r="AW325" t="s">
        <v>60</v>
      </c>
      <c r="AX325" t="s">
        <v>68</v>
      </c>
      <c r="AY325" t="s">
        <v>69</v>
      </c>
      <c r="AZ325" t="b">
        <v>1</v>
      </c>
    </row>
    <row r="326" spans="1:52" x14ac:dyDescent="0.3">
      <c r="A326" t="s">
        <v>52</v>
      </c>
      <c r="B326" t="s">
        <v>53</v>
      </c>
      <c r="C326" t="s">
        <v>54</v>
      </c>
      <c r="D326" t="s">
        <v>55</v>
      </c>
      <c r="E326" t="s">
        <v>751</v>
      </c>
      <c r="F326" t="s">
        <v>512</v>
      </c>
      <c r="G326" t="s">
        <v>592</v>
      </c>
      <c r="H326" t="s">
        <v>593</v>
      </c>
      <c r="I326" t="s">
        <v>593</v>
      </c>
      <c r="J326" t="s">
        <v>60</v>
      </c>
      <c r="K326" t="s">
        <v>445</v>
      </c>
      <c r="L326" t="s">
        <v>62</v>
      </c>
      <c r="M326" t="s">
        <v>445</v>
      </c>
      <c r="N326" t="s">
        <v>594</v>
      </c>
      <c r="O326" t="s">
        <v>477</v>
      </c>
      <c r="P326">
        <v>-19.640709000000001</v>
      </c>
      <c r="Q326">
        <v>-43.868687999999999</v>
      </c>
      <c r="R326" s="2" t="str">
        <f>HYPERLINK("https://www.google.com/maps?q=-19.6407090,-43.8686880","Abrir no Google Maps")</f>
        <v>Abrir no Google Maps</v>
      </c>
      <c r="S326">
        <v>1</v>
      </c>
      <c r="T326">
        <v>1174.9679995958841</v>
      </c>
      <c r="U326">
        <v>4</v>
      </c>
      <c r="V326">
        <v>15</v>
      </c>
      <c r="W326">
        <v>1</v>
      </c>
      <c r="X326">
        <v>15</v>
      </c>
      <c r="Y326">
        <v>10</v>
      </c>
      <c r="Z326">
        <v>1230.8029594060461</v>
      </c>
      <c r="AA326">
        <v>2</v>
      </c>
      <c r="AB326">
        <v>3</v>
      </c>
      <c r="AC326">
        <v>7</v>
      </c>
      <c r="AD326">
        <v>24.62</v>
      </c>
      <c r="AE326">
        <v>253</v>
      </c>
      <c r="AF326">
        <v>11</v>
      </c>
      <c r="AG326">
        <v>67</v>
      </c>
      <c r="AH326">
        <v>32</v>
      </c>
      <c r="AI326">
        <v>4.3499999999999996</v>
      </c>
      <c r="AJ326">
        <v>26.48</v>
      </c>
      <c r="AK326">
        <v>12.65</v>
      </c>
      <c r="AL326">
        <v>-19.641057949999979</v>
      </c>
      <c r="AM326">
        <v>-43.868800137485707</v>
      </c>
      <c r="AN326">
        <v>-19.641057949999979</v>
      </c>
      <c r="AO326">
        <v>-43.868800137485707</v>
      </c>
      <c r="AP326">
        <v>-19.640709000000001</v>
      </c>
      <c r="AQ326">
        <v>-43.868687999999999</v>
      </c>
      <c r="AR326">
        <v>40.585293798071682</v>
      </c>
      <c r="AS326" t="s">
        <v>65</v>
      </c>
      <c r="AT326">
        <v>1</v>
      </c>
      <c r="AU326" t="s">
        <v>595</v>
      </c>
      <c r="AV326" t="s">
        <v>596</v>
      </c>
      <c r="AW326" t="s">
        <v>60</v>
      </c>
      <c r="AX326" t="s">
        <v>68</v>
      </c>
      <c r="AY326" t="s">
        <v>69</v>
      </c>
      <c r="AZ326" t="b">
        <v>1</v>
      </c>
    </row>
    <row r="327" spans="1:52" x14ac:dyDescent="0.3">
      <c r="A327" t="s">
        <v>52</v>
      </c>
      <c r="B327" t="s">
        <v>53</v>
      </c>
      <c r="C327" t="s">
        <v>54</v>
      </c>
      <c r="D327" t="s">
        <v>55</v>
      </c>
      <c r="E327" t="s">
        <v>751</v>
      </c>
      <c r="F327" t="s">
        <v>512</v>
      </c>
      <c r="G327" t="s">
        <v>611</v>
      </c>
      <c r="H327" t="s">
        <v>612</v>
      </c>
      <c r="I327" t="s">
        <v>612</v>
      </c>
      <c r="J327" t="s">
        <v>60</v>
      </c>
      <c r="K327" t="s">
        <v>445</v>
      </c>
      <c r="L327" t="s">
        <v>62</v>
      </c>
      <c r="M327" t="s">
        <v>445</v>
      </c>
      <c r="N327" t="s">
        <v>613</v>
      </c>
      <c r="O327" t="s">
        <v>94</v>
      </c>
      <c r="P327">
        <v>-19.639271999999998</v>
      </c>
      <c r="Q327">
        <v>-43.875624000000002</v>
      </c>
      <c r="R327" s="2" t="str">
        <f>HYPERLINK("https://www.google.com/maps?q=-19.6392720,-43.8756240","Abrir no Google Maps")</f>
        <v>Abrir no Google Maps</v>
      </c>
      <c r="S327">
        <v>1</v>
      </c>
      <c r="T327">
        <v>618.4798639458262</v>
      </c>
      <c r="U327">
        <v>2</v>
      </c>
      <c r="V327">
        <v>7</v>
      </c>
      <c r="W327">
        <v>0.85</v>
      </c>
      <c r="X327">
        <v>5.95</v>
      </c>
      <c r="Y327">
        <v>10</v>
      </c>
      <c r="Z327">
        <v>724.62991660382431</v>
      </c>
      <c r="AA327">
        <v>2</v>
      </c>
      <c r="AB327">
        <v>3</v>
      </c>
      <c r="AC327">
        <v>7</v>
      </c>
      <c r="AD327">
        <v>24.62</v>
      </c>
      <c r="AE327">
        <v>253</v>
      </c>
      <c r="AF327">
        <v>11</v>
      </c>
      <c r="AG327">
        <v>67</v>
      </c>
      <c r="AH327">
        <v>32</v>
      </c>
      <c r="AI327">
        <v>4.3499999999999996</v>
      </c>
      <c r="AJ327">
        <v>26.48</v>
      </c>
      <c r="AK327">
        <v>12.65</v>
      </c>
      <c r="AL327">
        <v>-19.639239899999978</v>
      </c>
      <c r="AM327">
        <v>-43.875497463228079</v>
      </c>
      <c r="AN327">
        <v>-19.639239899999978</v>
      </c>
      <c r="AO327">
        <v>-43.875497463228079</v>
      </c>
      <c r="AP327">
        <v>-19.639271999999998</v>
      </c>
      <c r="AQ327">
        <v>-43.875624000000002</v>
      </c>
      <c r="AR327">
        <v>13.73946951590594</v>
      </c>
      <c r="AS327" t="s">
        <v>65</v>
      </c>
      <c r="AT327">
        <v>1</v>
      </c>
      <c r="AU327" t="s">
        <v>614</v>
      </c>
      <c r="AV327" t="s">
        <v>615</v>
      </c>
      <c r="AW327" t="s">
        <v>60</v>
      </c>
      <c r="AX327" t="s">
        <v>68</v>
      </c>
      <c r="AY327" t="s">
        <v>69</v>
      </c>
      <c r="AZ327" t="b">
        <v>1</v>
      </c>
    </row>
    <row r="328" spans="1:52" x14ac:dyDescent="0.3">
      <c r="A328" t="s">
        <v>52</v>
      </c>
      <c r="B328" t="s">
        <v>53</v>
      </c>
      <c r="C328" t="s">
        <v>54</v>
      </c>
      <c r="D328" t="s">
        <v>55</v>
      </c>
      <c r="E328" t="s">
        <v>751</v>
      </c>
      <c r="F328" t="s">
        <v>512</v>
      </c>
      <c r="G328" t="s">
        <v>602</v>
      </c>
      <c r="H328" t="s">
        <v>603</v>
      </c>
      <c r="I328" t="s">
        <v>603</v>
      </c>
      <c r="J328" t="s">
        <v>60</v>
      </c>
      <c r="K328" t="s">
        <v>185</v>
      </c>
      <c r="L328" t="s">
        <v>62</v>
      </c>
      <c r="M328" t="s">
        <v>185</v>
      </c>
      <c r="N328" t="s">
        <v>604</v>
      </c>
      <c r="O328" t="s">
        <v>341</v>
      </c>
      <c r="P328">
        <v>-19.624801999999999</v>
      </c>
      <c r="Q328">
        <v>-43.891128999999999</v>
      </c>
      <c r="R328" s="2" t="str">
        <f>HYPERLINK("https://www.google.com/maps?q=-19.6248020,-43.8911290","Abrir no Google Maps")</f>
        <v>Abrir no Google Maps</v>
      </c>
      <c r="S328">
        <v>1</v>
      </c>
      <c r="T328">
        <v>340.53720321500958</v>
      </c>
      <c r="U328">
        <v>1</v>
      </c>
      <c r="V328">
        <v>0</v>
      </c>
      <c r="W328">
        <v>0.85</v>
      </c>
      <c r="X328">
        <v>0</v>
      </c>
      <c r="Y328">
        <v>18</v>
      </c>
      <c r="Z328">
        <v>362.68114540183888</v>
      </c>
      <c r="AA328">
        <v>2</v>
      </c>
      <c r="AB328">
        <v>3</v>
      </c>
      <c r="AC328">
        <v>7</v>
      </c>
      <c r="AD328">
        <v>24.62</v>
      </c>
      <c r="AE328">
        <v>253</v>
      </c>
      <c r="AF328">
        <v>11</v>
      </c>
      <c r="AG328">
        <v>67</v>
      </c>
      <c r="AH328">
        <v>32</v>
      </c>
      <c r="AI328">
        <v>4.3499999999999996</v>
      </c>
      <c r="AJ328">
        <v>26.48</v>
      </c>
      <c r="AK328">
        <v>12.65</v>
      </c>
      <c r="AL328">
        <v>-19.625033299999959</v>
      </c>
      <c r="AM328">
        <v>-43.891084256403538</v>
      </c>
      <c r="AN328">
        <v>-19.625033299999959</v>
      </c>
      <c r="AO328">
        <v>-43.891084256403538</v>
      </c>
      <c r="AP328">
        <v>-19.624801999999999</v>
      </c>
      <c r="AQ328">
        <v>-43.891128999999999</v>
      </c>
      <c r="AR328">
        <v>26.172240371022362</v>
      </c>
      <c r="AS328" t="s">
        <v>65</v>
      </c>
      <c r="AT328">
        <v>1</v>
      </c>
      <c r="AU328" t="s">
        <v>605</v>
      </c>
      <c r="AV328" t="s">
        <v>606</v>
      </c>
      <c r="AW328" t="s">
        <v>60</v>
      </c>
      <c r="AX328" t="s">
        <v>68</v>
      </c>
      <c r="AY328" t="s">
        <v>69</v>
      </c>
      <c r="AZ328" t="b">
        <v>1</v>
      </c>
    </row>
    <row r="329" spans="1:52" x14ac:dyDescent="0.3">
      <c r="A329" t="s">
        <v>52</v>
      </c>
      <c r="B329" t="s">
        <v>53</v>
      </c>
      <c r="C329" t="s">
        <v>54</v>
      </c>
      <c r="D329" t="s">
        <v>55</v>
      </c>
      <c r="E329" t="s">
        <v>751</v>
      </c>
      <c r="F329" t="s">
        <v>512</v>
      </c>
      <c r="G329" t="s">
        <v>597</v>
      </c>
      <c r="H329" t="s">
        <v>598</v>
      </c>
      <c r="I329" t="s">
        <v>598</v>
      </c>
      <c r="J329" t="s">
        <v>60</v>
      </c>
      <c r="K329" t="s">
        <v>445</v>
      </c>
      <c r="L329" t="s">
        <v>62</v>
      </c>
      <c r="M329" t="s">
        <v>445</v>
      </c>
      <c r="N329" t="s">
        <v>599</v>
      </c>
      <c r="O329" t="s">
        <v>391</v>
      </c>
      <c r="P329">
        <v>-19.637060999999999</v>
      </c>
      <c r="Q329">
        <v>-43.871026000000001</v>
      </c>
      <c r="R329" s="2" t="str">
        <f>HYPERLINK("https://www.google.com/maps?q=-19.6370610,-43.8710260","Abrir no Google Maps")</f>
        <v>Abrir no Google Maps</v>
      </c>
      <c r="S329">
        <v>1</v>
      </c>
      <c r="T329">
        <v>737.61884389282102</v>
      </c>
      <c r="U329">
        <v>1</v>
      </c>
      <c r="V329">
        <v>4</v>
      </c>
      <c r="W329">
        <v>1</v>
      </c>
      <c r="X329">
        <v>4</v>
      </c>
      <c r="Y329">
        <v>10</v>
      </c>
      <c r="Z329">
        <v>1331.4501394006061</v>
      </c>
      <c r="AA329">
        <v>2</v>
      </c>
      <c r="AB329">
        <v>3</v>
      </c>
      <c r="AC329">
        <v>7</v>
      </c>
      <c r="AD329">
        <v>24.62</v>
      </c>
      <c r="AE329">
        <v>253</v>
      </c>
      <c r="AF329">
        <v>11</v>
      </c>
      <c r="AG329">
        <v>67</v>
      </c>
      <c r="AH329">
        <v>32</v>
      </c>
      <c r="AI329">
        <v>4.3499999999999996</v>
      </c>
      <c r="AJ329">
        <v>26.48</v>
      </c>
      <c r="AK329">
        <v>12.65</v>
      </c>
      <c r="AL329">
        <v>-19.637111899999951</v>
      </c>
      <c r="AM329">
        <v>-43.870888931681193</v>
      </c>
      <c r="AN329">
        <v>-19.637111899999951</v>
      </c>
      <c r="AO329">
        <v>-43.870888931681193</v>
      </c>
      <c r="AP329">
        <v>-19.637060999999999</v>
      </c>
      <c r="AQ329">
        <v>-43.871026000000001</v>
      </c>
      <c r="AR329">
        <v>15.44770924391884</v>
      </c>
      <c r="AS329" t="s">
        <v>65</v>
      </c>
      <c r="AT329">
        <v>1</v>
      </c>
      <c r="AU329" t="s">
        <v>600</v>
      </c>
      <c r="AV329" t="s">
        <v>601</v>
      </c>
      <c r="AW329" t="s">
        <v>60</v>
      </c>
      <c r="AX329" t="s">
        <v>68</v>
      </c>
      <c r="AY329" t="s">
        <v>69</v>
      </c>
      <c r="AZ329" t="b">
        <v>1</v>
      </c>
    </row>
    <row r="330" spans="1:52" x14ac:dyDescent="0.3">
      <c r="A330" t="s">
        <v>52</v>
      </c>
      <c r="B330" t="s">
        <v>53</v>
      </c>
      <c r="C330" t="s">
        <v>54</v>
      </c>
      <c r="D330" t="s">
        <v>55</v>
      </c>
      <c r="E330" t="s">
        <v>751</v>
      </c>
      <c r="F330" t="s">
        <v>512</v>
      </c>
      <c r="G330" t="s">
        <v>123</v>
      </c>
      <c r="H330" t="s">
        <v>607</v>
      </c>
      <c r="I330" t="s">
        <v>607</v>
      </c>
      <c r="J330" t="s">
        <v>60</v>
      </c>
      <c r="K330" t="s">
        <v>333</v>
      </c>
      <c r="L330" t="s">
        <v>62</v>
      </c>
      <c r="M330" t="s">
        <v>333</v>
      </c>
      <c r="N330" t="s">
        <v>125</v>
      </c>
      <c r="O330" t="s">
        <v>608</v>
      </c>
      <c r="P330">
        <v>-19.636002999999999</v>
      </c>
      <c r="Q330">
        <v>-43.908445</v>
      </c>
      <c r="R330" s="2" t="str">
        <f>HYPERLINK("https://www.google.com/maps?q=-19.6360030,-43.9084450","Abrir no Google Maps")</f>
        <v>Abrir no Google Maps</v>
      </c>
      <c r="S330">
        <v>1</v>
      </c>
      <c r="T330">
        <v>612.64850802557942</v>
      </c>
      <c r="U330">
        <v>1</v>
      </c>
      <c r="V330">
        <v>3</v>
      </c>
      <c r="W330">
        <v>0.85</v>
      </c>
      <c r="X330">
        <v>2.5499999999999998</v>
      </c>
      <c r="Y330">
        <v>10</v>
      </c>
      <c r="Z330">
        <v>606.91793961222209</v>
      </c>
      <c r="AA330">
        <v>2</v>
      </c>
      <c r="AB330">
        <v>3</v>
      </c>
      <c r="AC330">
        <v>7</v>
      </c>
      <c r="AD330">
        <v>24.62</v>
      </c>
      <c r="AE330">
        <v>253</v>
      </c>
      <c r="AF330">
        <v>11</v>
      </c>
      <c r="AG330">
        <v>67</v>
      </c>
      <c r="AH330">
        <v>32</v>
      </c>
      <c r="AI330">
        <v>4.3499999999999996</v>
      </c>
      <c r="AJ330">
        <v>26.48</v>
      </c>
      <c r="AK330">
        <v>12.65</v>
      </c>
      <c r="AL330">
        <v>-19.63618049999997</v>
      </c>
      <c r="AM330">
        <v>-43.908471095478113</v>
      </c>
      <c r="AN330">
        <v>-19.63618049999997</v>
      </c>
      <c r="AO330">
        <v>-43.908471095478113</v>
      </c>
      <c r="AP330">
        <v>-19.636002999999999</v>
      </c>
      <c r="AQ330">
        <v>-43.908445</v>
      </c>
      <c r="AR330">
        <v>19.947824476218141</v>
      </c>
      <c r="AS330" t="s">
        <v>65</v>
      </c>
      <c r="AT330">
        <v>1</v>
      </c>
      <c r="AU330" t="s">
        <v>609</v>
      </c>
      <c r="AV330" t="s">
        <v>610</v>
      </c>
      <c r="AW330" t="s">
        <v>60</v>
      </c>
      <c r="AX330" t="s">
        <v>68</v>
      </c>
      <c r="AY330" t="s">
        <v>69</v>
      </c>
      <c r="AZ330" t="b">
        <v>1</v>
      </c>
    </row>
    <row r="331" spans="1:52" x14ac:dyDescent="0.3">
      <c r="A331" t="s">
        <v>52</v>
      </c>
      <c r="B331" t="s">
        <v>53</v>
      </c>
      <c r="C331" t="s">
        <v>54</v>
      </c>
      <c r="D331" t="s">
        <v>55</v>
      </c>
      <c r="E331" t="s">
        <v>770</v>
      </c>
      <c r="F331" t="s">
        <v>57</v>
      </c>
      <c r="G331" t="s">
        <v>58</v>
      </c>
      <c r="H331" t="s">
        <v>59</v>
      </c>
      <c r="I331" t="s">
        <v>59</v>
      </c>
      <c r="J331" t="s">
        <v>60</v>
      </c>
      <c r="K331" t="s">
        <v>61</v>
      </c>
      <c r="L331" t="s">
        <v>62</v>
      </c>
      <c r="M331" t="s">
        <v>61</v>
      </c>
      <c r="N331" t="s">
        <v>63</v>
      </c>
      <c r="O331" t="s">
        <v>64</v>
      </c>
      <c r="P331">
        <v>-19.631502000000001</v>
      </c>
      <c r="Q331">
        <v>-43.910241999999997</v>
      </c>
      <c r="R331" s="2" t="str">
        <f>HYPERLINK("https://www.google.com/maps?q=-19.6315020,-43.9102420","Abrir no Google Maps")</f>
        <v>Abrir no Google Maps</v>
      </c>
      <c r="S331">
        <v>4</v>
      </c>
      <c r="T331">
        <v>789.20099406682743</v>
      </c>
      <c r="U331">
        <v>4</v>
      </c>
      <c r="V331">
        <v>25</v>
      </c>
      <c r="W331">
        <v>1</v>
      </c>
      <c r="X331">
        <v>25</v>
      </c>
      <c r="Y331">
        <v>10</v>
      </c>
      <c r="Z331">
        <v>691.44930074509864</v>
      </c>
      <c r="AA331">
        <v>2</v>
      </c>
      <c r="AB331">
        <v>3</v>
      </c>
      <c r="AC331">
        <v>7</v>
      </c>
      <c r="AD331">
        <v>23.52</v>
      </c>
      <c r="AE331">
        <v>253</v>
      </c>
      <c r="AF331">
        <v>15</v>
      </c>
      <c r="AG331">
        <v>55</v>
      </c>
      <c r="AH331">
        <v>32</v>
      </c>
      <c r="AI331">
        <v>5.93</v>
      </c>
      <c r="AJ331">
        <v>21.74</v>
      </c>
      <c r="AK331">
        <v>12.65</v>
      </c>
      <c r="AL331">
        <v>-19.631719749999949</v>
      </c>
      <c r="AM331">
        <v>-43.910102324517517</v>
      </c>
      <c r="AN331">
        <v>-19.631719749999949</v>
      </c>
      <c r="AO331">
        <v>-43.910102324517517</v>
      </c>
      <c r="AP331">
        <v>-19.631502000000001</v>
      </c>
      <c r="AQ331">
        <v>-43.910241999999997</v>
      </c>
      <c r="AR331">
        <v>28.320416429206599</v>
      </c>
      <c r="AS331" t="s">
        <v>65</v>
      </c>
      <c r="AT331">
        <v>1</v>
      </c>
      <c r="AU331" t="s">
        <v>66</v>
      </c>
      <c r="AV331" t="s">
        <v>67</v>
      </c>
      <c r="AW331" t="s">
        <v>60</v>
      </c>
      <c r="AX331" t="s">
        <v>68</v>
      </c>
      <c r="AY331" t="s">
        <v>69</v>
      </c>
      <c r="AZ331" t="b">
        <v>1</v>
      </c>
    </row>
    <row r="332" spans="1:52" x14ac:dyDescent="0.3">
      <c r="A332" t="s">
        <v>52</v>
      </c>
      <c r="B332" t="s">
        <v>53</v>
      </c>
      <c r="C332" t="s">
        <v>54</v>
      </c>
      <c r="D332" t="s">
        <v>55</v>
      </c>
      <c r="E332" t="s">
        <v>770</v>
      </c>
      <c r="F332" t="s">
        <v>57</v>
      </c>
      <c r="G332" t="s">
        <v>77</v>
      </c>
      <c r="H332" t="s">
        <v>78</v>
      </c>
      <c r="I332" t="s">
        <v>78</v>
      </c>
      <c r="J332" t="s">
        <v>60</v>
      </c>
      <c r="K332" t="s">
        <v>79</v>
      </c>
      <c r="L332" t="s">
        <v>62</v>
      </c>
      <c r="M332" t="s">
        <v>79</v>
      </c>
      <c r="N332" t="s">
        <v>80</v>
      </c>
      <c r="O332" t="s">
        <v>81</v>
      </c>
      <c r="P332">
        <v>-19.632463999999999</v>
      </c>
      <c r="Q332">
        <v>-43.904927999999998</v>
      </c>
      <c r="R332" s="2" t="str">
        <f>HYPERLINK("https://www.google.com/maps?q=-19.6324640,-43.9049280","Abrir no Google Maps")</f>
        <v>Abrir no Google Maps</v>
      </c>
      <c r="S332">
        <v>4</v>
      </c>
      <c r="T332">
        <v>244.1735197453369</v>
      </c>
      <c r="U332">
        <v>4</v>
      </c>
      <c r="V332">
        <v>15</v>
      </c>
      <c r="W332">
        <v>1</v>
      </c>
      <c r="X332">
        <v>15</v>
      </c>
      <c r="Y332">
        <v>10</v>
      </c>
      <c r="Z332">
        <v>287.26068152447448</v>
      </c>
      <c r="AA332">
        <v>2</v>
      </c>
      <c r="AB332">
        <v>3</v>
      </c>
      <c r="AC332">
        <v>7</v>
      </c>
      <c r="AD332">
        <v>23.52</v>
      </c>
      <c r="AE332">
        <v>253</v>
      </c>
      <c r="AF332">
        <v>15</v>
      </c>
      <c r="AG332">
        <v>55</v>
      </c>
      <c r="AH332">
        <v>32</v>
      </c>
      <c r="AI332">
        <v>5.93</v>
      </c>
      <c r="AJ332">
        <v>21.74</v>
      </c>
      <c r="AK332">
        <v>12.65</v>
      </c>
      <c r="AL332">
        <v>-19.63247099999996</v>
      </c>
      <c r="AM332">
        <v>-43.904964174285787</v>
      </c>
      <c r="AN332">
        <v>-19.63247099999996</v>
      </c>
      <c r="AO332">
        <v>-43.904964174285787</v>
      </c>
      <c r="AP332">
        <v>-19.632463999999999</v>
      </c>
      <c r="AQ332">
        <v>-43.904927999999998</v>
      </c>
      <c r="AR332">
        <v>3.8720457500200469</v>
      </c>
      <c r="AS332" t="s">
        <v>65</v>
      </c>
      <c r="AT332">
        <v>1</v>
      </c>
      <c r="AU332" t="s">
        <v>82</v>
      </c>
      <c r="AV332" t="s">
        <v>83</v>
      </c>
      <c r="AW332" t="s">
        <v>60</v>
      </c>
      <c r="AX332" t="s">
        <v>68</v>
      </c>
      <c r="AY332" t="s">
        <v>69</v>
      </c>
      <c r="AZ332" t="b">
        <v>1</v>
      </c>
    </row>
    <row r="333" spans="1:52" x14ac:dyDescent="0.3">
      <c r="A333" t="s">
        <v>52</v>
      </c>
      <c r="B333" t="s">
        <v>53</v>
      </c>
      <c r="C333" t="s">
        <v>54</v>
      </c>
      <c r="D333" t="s">
        <v>55</v>
      </c>
      <c r="E333" t="s">
        <v>770</v>
      </c>
      <c r="F333" t="s">
        <v>57</v>
      </c>
      <c r="G333" t="s">
        <v>91</v>
      </c>
      <c r="H333" t="s">
        <v>92</v>
      </c>
      <c r="I333" t="s">
        <v>92</v>
      </c>
      <c r="J333" t="s">
        <v>60</v>
      </c>
      <c r="K333" t="s">
        <v>86</v>
      </c>
      <c r="L333" t="s">
        <v>62</v>
      </c>
      <c r="M333" t="s">
        <v>86</v>
      </c>
      <c r="N333" t="s">
        <v>93</v>
      </c>
      <c r="O333" t="s">
        <v>94</v>
      </c>
      <c r="P333">
        <v>-19.630676999999999</v>
      </c>
      <c r="Q333">
        <v>-43.907255999999997</v>
      </c>
      <c r="R333" s="2" t="str">
        <f>HYPERLINK("https://www.google.com/maps?q=-19.6306770,-43.9072560","Abrir no Google Maps")</f>
        <v>Abrir no Google Maps</v>
      </c>
      <c r="S333">
        <v>4</v>
      </c>
      <c r="T333">
        <v>545.39374622597825</v>
      </c>
      <c r="U333">
        <v>4</v>
      </c>
      <c r="V333">
        <v>18</v>
      </c>
      <c r="W333">
        <v>1</v>
      </c>
      <c r="X333">
        <v>18</v>
      </c>
      <c r="Y333">
        <v>10</v>
      </c>
      <c r="Z333">
        <v>559.94033759457182</v>
      </c>
      <c r="AA333">
        <v>2</v>
      </c>
      <c r="AB333">
        <v>3</v>
      </c>
      <c r="AC333">
        <v>7</v>
      </c>
      <c r="AD333">
        <v>23.52</v>
      </c>
      <c r="AE333">
        <v>253</v>
      </c>
      <c r="AF333">
        <v>15</v>
      </c>
      <c r="AG333">
        <v>55</v>
      </c>
      <c r="AH333">
        <v>32</v>
      </c>
      <c r="AI333">
        <v>5.93</v>
      </c>
      <c r="AJ333">
        <v>21.74</v>
      </c>
      <c r="AK333">
        <v>12.65</v>
      </c>
      <c r="AL333">
        <v>-19.630448649999941</v>
      </c>
      <c r="AM333">
        <v>-43.907268502495313</v>
      </c>
      <c r="AN333">
        <v>-19.630448649999941</v>
      </c>
      <c r="AO333">
        <v>-43.907268502495313</v>
      </c>
      <c r="AP333">
        <v>-19.630676999999999</v>
      </c>
      <c r="AQ333">
        <v>-43.907255999999997</v>
      </c>
      <c r="AR333">
        <v>25.453700276562468</v>
      </c>
      <c r="AS333" t="s">
        <v>65</v>
      </c>
      <c r="AT333">
        <v>1</v>
      </c>
      <c r="AU333" t="s">
        <v>95</v>
      </c>
      <c r="AV333" t="s">
        <v>96</v>
      </c>
      <c r="AW333" t="s">
        <v>60</v>
      </c>
      <c r="AX333" t="s">
        <v>68</v>
      </c>
      <c r="AY333" t="s">
        <v>69</v>
      </c>
      <c r="AZ333" t="b">
        <v>1</v>
      </c>
    </row>
    <row r="334" spans="1:52" x14ac:dyDescent="0.3">
      <c r="A334" t="s">
        <v>52</v>
      </c>
      <c r="B334" t="s">
        <v>53</v>
      </c>
      <c r="C334" t="s">
        <v>54</v>
      </c>
      <c r="D334" t="s">
        <v>55</v>
      </c>
      <c r="E334" t="s">
        <v>770</v>
      </c>
      <c r="F334" t="s">
        <v>57</v>
      </c>
      <c r="G334" t="s">
        <v>104</v>
      </c>
      <c r="H334" t="s">
        <v>105</v>
      </c>
      <c r="I334" t="s">
        <v>105</v>
      </c>
      <c r="J334" t="s">
        <v>60</v>
      </c>
      <c r="K334" t="s">
        <v>99</v>
      </c>
      <c r="L334" t="s">
        <v>62</v>
      </c>
      <c r="M334" t="s">
        <v>99</v>
      </c>
      <c r="N334" t="s">
        <v>106</v>
      </c>
      <c r="O334" t="s">
        <v>107</v>
      </c>
      <c r="P334">
        <v>-19.627993</v>
      </c>
      <c r="Q334">
        <v>-43.904820000000001</v>
      </c>
      <c r="R334" s="2" t="str">
        <f>HYPERLINK("https://www.google.com/maps?q=-19.6279930,-43.9048200","Abrir no Google Maps")</f>
        <v>Abrir no Google Maps</v>
      </c>
      <c r="S334">
        <v>4</v>
      </c>
      <c r="T334">
        <v>573.16526621674666</v>
      </c>
      <c r="U334">
        <v>4</v>
      </c>
      <c r="V334">
        <v>35</v>
      </c>
      <c r="W334">
        <v>1</v>
      </c>
      <c r="X334">
        <v>35</v>
      </c>
      <c r="Y334">
        <v>7</v>
      </c>
      <c r="Z334">
        <v>659.04372306144853</v>
      </c>
      <c r="AA334">
        <v>2</v>
      </c>
      <c r="AB334">
        <v>3</v>
      </c>
      <c r="AC334">
        <v>7</v>
      </c>
      <c r="AD334">
        <v>23.52</v>
      </c>
      <c r="AE334">
        <v>253</v>
      </c>
      <c r="AF334">
        <v>15</v>
      </c>
      <c r="AG334">
        <v>55</v>
      </c>
      <c r="AH334">
        <v>32</v>
      </c>
      <c r="AI334">
        <v>5.93</v>
      </c>
      <c r="AJ334">
        <v>21.74</v>
      </c>
      <c r="AK334">
        <v>12.65</v>
      </c>
      <c r="AL334">
        <v>-19.627956249999951</v>
      </c>
      <c r="AM334">
        <v>-43.904807634206207</v>
      </c>
      <c r="AN334">
        <v>-19.627956249999951</v>
      </c>
      <c r="AO334">
        <v>-43.904807634206207</v>
      </c>
      <c r="AP334">
        <v>-19.627993</v>
      </c>
      <c r="AQ334">
        <v>-43.904820000000001</v>
      </c>
      <c r="AR334">
        <v>4.291557430205998</v>
      </c>
      <c r="AS334" t="s">
        <v>65</v>
      </c>
      <c r="AT334">
        <v>1</v>
      </c>
      <c r="AU334" t="s">
        <v>108</v>
      </c>
      <c r="AV334" t="s">
        <v>103</v>
      </c>
      <c r="AW334" t="s">
        <v>60</v>
      </c>
      <c r="AX334" t="s">
        <v>68</v>
      </c>
      <c r="AY334" t="s">
        <v>69</v>
      </c>
      <c r="AZ334" t="b">
        <v>1</v>
      </c>
    </row>
    <row r="335" spans="1:52" x14ac:dyDescent="0.3">
      <c r="A335" t="s">
        <v>52</v>
      </c>
      <c r="B335" t="s">
        <v>53</v>
      </c>
      <c r="C335" t="s">
        <v>54</v>
      </c>
      <c r="D335" t="s">
        <v>55</v>
      </c>
      <c r="E335" t="s">
        <v>770</v>
      </c>
      <c r="F335" t="s">
        <v>57</v>
      </c>
      <c r="G335" t="s">
        <v>197</v>
      </c>
      <c r="H335" t="s">
        <v>198</v>
      </c>
      <c r="I335" t="s">
        <v>198</v>
      </c>
      <c r="J335" t="s">
        <v>60</v>
      </c>
      <c r="K335" t="s">
        <v>199</v>
      </c>
      <c r="L335" t="s">
        <v>62</v>
      </c>
      <c r="M335" t="s">
        <v>199</v>
      </c>
      <c r="N335" t="s">
        <v>200</v>
      </c>
      <c r="O335" t="s">
        <v>201</v>
      </c>
      <c r="P335">
        <v>-19.639250000000001</v>
      </c>
      <c r="Q335">
        <v>-43.916449999999998</v>
      </c>
      <c r="R335" s="2" t="str">
        <f>HYPERLINK("https://www.google.com/maps?q=-19.6392500,-43.9164500","Abrir no Google Maps")</f>
        <v>Abrir no Google Maps</v>
      </c>
      <c r="S335">
        <v>4</v>
      </c>
      <c r="T335">
        <v>249.46350881074861</v>
      </c>
      <c r="U335">
        <v>4</v>
      </c>
      <c r="V335">
        <v>23</v>
      </c>
      <c r="W335">
        <v>1</v>
      </c>
      <c r="X335">
        <v>23</v>
      </c>
      <c r="Y335">
        <v>3</v>
      </c>
      <c r="Z335">
        <v>267.54148787490578</v>
      </c>
      <c r="AA335">
        <v>2</v>
      </c>
      <c r="AB335">
        <v>3</v>
      </c>
      <c r="AC335">
        <v>7</v>
      </c>
      <c r="AD335">
        <v>23.52</v>
      </c>
      <c r="AE335">
        <v>253</v>
      </c>
      <c r="AF335">
        <v>15</v>
      </c>
      <c r="AG335">
        <v>55</v>
      </c>
      <c r="AH335">
        <v>32</v>
      </c>
      <c r="AI335">
        <v>5.93</v>
      </c>
      <c r="AJ335">
        <v>21.74</v>
      </c>
      <c r="AK335">
        <v>12.65</v>
      </c>
      <c r="AL335">
        <v>-19.639331149999951</v>
      </c>
      <c r="AM335">
        <v>-43.916434187886892</v>
      </c>
      <c r="AN335">
        <v>-19.639331149999951</v>
      </c>
      <c r="AO335">
        <v>-43.916434187886892</v>
      </c>
      <c r="AP335">
        <v>-19.639250000000001</v>
      </c>
      <c r="AQ335">
        <v>-43.916449999999998</v>
      </c>
      <c r="AR335">
        <v>9.1844750188843953</v>
      </c>
      <c r="AS335" t="s">
        <v>65</v>
      </c>
      <c r="AT335">
        <v>1</v>
      </c>
      <c r="AU335" t="s">
        <v>202</v>
      </c>
      <c r="AV335" t="s">
        <v>203</v>
      </c>
      <c r="AW335" t="s">
        <v>60</v>
      </c>
      <c r="AX335" t="s">
        <v>68</v>
      </c>
      <c r="AY335" t="s">
        <v>69</v>
      </c>
      <c r="AZ335" t="b">
        <v>1</v>
      </c>
    </row>
    <row r="336" spans="1:52" x14ac:dyDescent="0.3">
      <c r="A336" t="s">
        <v>52</v>
      </c>
      <c r="B336" t="s">
        <v>53</v>
      </c>
      <c r="C336" t="s">
        <v>54</v>
      </c>
      <c r="D336" t="s">
        <v>55</v>
      </c>
      <c r="E336" t="s">
        <v>770</v>
      </c>
      <c r="F336" t="s">
        <v>57</v>
      </c>
      <c r="G336" t="s">
        <v>204</v>
      </c>
      <c r="H336" t="s">
        <v>205</v>
      </c>
      <c r="I336" t="s">
        <v>205</v>
      </c>
      <c r="J336" t="s">
        <v>60</v>
      </c>
      <c r="K336" t="s">
        <v>171</v>
      </c>
      <c r="L336" t="s">
        <v>62</v>
      </c>
      <c r="M336" t="s">
        <v>171</v>
      </c>
      <c r="N336" t="s">
        <v>206</v>
      </c>
      <c r="O336" t="s">
        <v>207</v>
      </c>
      <c r="P336">
        <v>-19.674109000000001</v>
      </c>
      <c r="Q336">
        <v>-43.890711000000003</v>
      </c>
      <c r="R336" s="2" t="str">
        <f>HYPERLINK("https://www.google.com/maps?q=-19.6741090,-43.8907110","Abrir no Google Maps")</f>
        <v>Abrir no Google Maps</v>
      </c>
      <c r="S336">
        <v>4</v>
      </c>
      <c r="T336">
        <v>396.53059443764772</v>
      </c>
      <c r="U336">
        <v>4</v>
      </c>
      <c r="V336">
        <v>34</v>
      </c>
      <c r="W336">
        <v>1</v>
      </c>
      <c r="X336">
        <v>34</v>
      </c>
      <c r="Y336">
        <v>3</v>
      </c>
      <c r="Z336">
        <v>499.22520255557538</v>
      </c>
      <c r="AA336">
        <v>2</v>
      </c>
      <c r="AB336">
        <v>3</v>
      </c>
      <c r="AC336">
        <v>7</v>
      </c>
      <c r="AD336">
        <v>23.52</v>
      </c>
      <c r="AE336">
        <v>253</v>
      </c>
      <c r="AF336">
        <v>15</v>
      </c>
      <c r="AG336">
        <v>55</v>
      </c>
      <c r="AH336">
        <v>32</v>
      </c>
      <c r="AI336">
        <v>5.93</v>
      </c>
      <c r="AJ336">
        <v>21.74</v>
      </c>
      <c r="AK336">
        <v>12.65</v>
      </c>
      <c r="AL336">
        <v>-19.67362479999997</v>
      </c>
      <c r="AM336">
        <v>-43.89068378253377</v>
      </c>
      <c r="AN336">
        <v>-19.67362479999997</v>
      </c>
      <c r="AO336">
        <v>-43.89068378253377</v>
      </c>
      <c r="AP336">
        <v>-19.674109000000001</v>
      </c>
      <c r="AQ336">
        <v>-43.890711000000003</v>
      </c>
      <c r="AR336">
        <v>53.976595260276227</v>
      </c>
      <c r="AS336" t="s">
        <v>65</v>
      </c>
      <c r="AT336">
        <v>1</v>
      </c>
      <c r="AU336" t="s">
        <v>208</v>
      </c>
      <c r="AV336" t="s">
        <v>209</v>
      </c>
      <c r="AW336" t="s">
        <v>60</v>
      </c>
      <c r="AX336" t="s">
        <v>68</v>
      </c>
      <c r="AY336" t="s">
        <v>69</v>
      </c>
      <c r="AZ336" t="b">
        <v>1</v>
      </c>
    </row>
    <row r="337" spans="1:52" x14ac:dyDescent="0.3">
      <c r="A337" t="s">
        <v>52</v>
      </c>
      <c r="B337" t="s">
        <v>53</v>
      </c>
      <c r="C337" t="s">
        <v>54</v>
      </c>
      <c r="D337" t="s">
        <v>55</v>
      </c>
      <c r="E337" t="s">
        <v>770</v>
      </c>
      <c r="F337" t="s">
        <v>57</v>
      </c>
      <c r="G337" t="s">
        <v>217</v>
      </c>
      <c r="H337" t="s">
        <v>218</v>
      </c>
      <c r="I337" t="s">
        <v>218</v>
      </c>
      <c r="J337" t="s">
        <v>60</v>
      </c>
      <c r="K337" t="s">
        <v>219</v>
      </c>
      <c r="L337" t="s">
        <v>62</v>
      </c>
      <c r="M337" t="s">
        <v>219</v>
      </c>
      <c r="N337" t="s">
        <v>220</v>
      </c>
      <c r="O337" t="s">
        <v>221</v>
      </c>
      <c r="P337">
        <v>-19.668924000000001</v>
      </c>
      <c r="Q337">
        <v>-43.888824</v>
      </c>
      <c r="R337" s="2" t="str">
        <f>HYPERLINK("https://www.google.com/maps?q=-19.6689240,-43.8888240","Abrir no Google Maps")</f>
        <v>Abrir no Google Maps</v>
      </c>
      <c r="S337">
        <v>4</v>
      </c>
      <c r="T337">
        <v>911.82770913869297</v>
      </c>
      <c r="U337">
        <v>4</v>
      </c>
      <c r="V337">
        <v>15</v>
      </c>
      <c r="W337">
        <v>1</v>
      </c>
      <c r="X337">
        <v>15</v>
      </c>
      <c r="Y337">
        <v>3</v>
      </c>
      <c r="Z337">
        <v>306.43809582423751</v>
      </c>
      <c r="AA337">
        <v>2</v>
      </c>
      <c r="AB337">
        <v>3</v>
      </c>
      <c r="AC337">
        <v>7</v>
      </c>
      <c r="AD337">
        <v>23.52</v>
      </c>
      <c r="AE337">
        <v>253</v>
      </c>
      <c r="AF337">
        <v>15</v>
      </c>
      <c r="AG337">
        <v>55</v>
      </c>
      <c r="AH337">
        <v>32</v>
      </c>
      <c r="AI337">
        <v>5.93</v>
      </c>
      <c r="AJ337">
        <v>21.74</v>
      </c>
      <c r="AK337">
        <v>12.65</v>
      </c>
      <c r="AL337">
        <v>-19.669015399999981</v>
      </c>
      <c r="AM337">
        <v>-43.88883436988452</v>
      </c>
      <c r="AN337">
        <v>-19.669015399999971</v>
      </c>
      <c r="AO337">
        <v>-43.88883436988452</v>
      </c>
      <c r="AP337">
        <v>-19.668924000000001</v>
      </c>
      <c r="AQ337">
        <v>-43.888824</v>
      </c>
      <c r="AR337">
        <v>10.23254983885769</v>
      </c>
      <c r="AS337" t="s">
        <v>65</v>
      </c>
      <c r="AT337">
        <v>1</v>
      </c>
      <c r="AU337" t="s">
        <v>222</v>
      </c>
      <c r="AV337" t="s">
        <v>223</v>
      </c>
      <c r="AW337" t="s">
        <v>60</v>
      </c>
      <c r="AX337" t="s">
        <v>68</v>
      </c>
      <c r="AY337" t="s">
        <v>69</v>
      </c>
      <c r="AZ337" t="b">
        <v>1</v>
      </c>
    </row>
    <row r="338" spans="1:52" x14ac:dyDescent="0.3">
      <c r="A338" t="s">
        <v>52</v>
      </c>
      <c r="B338" t="s">
        <v>53</v>
      </c>
      <c r="C338" t="s">
        <v>54</v>
      </c>
      <c r="D338" t="s">
        <v>55</v>
      </c>
      <c r="E338" t="s">
        <v>770</v>
      </c>
      <c r="F338" t="s">
        <v>57</v>
      </c>
      <c r="G338" t="s">
        <v>151</v>
      </c>
      <c r="H338" t="s">
        <v>152</v>
      </c>
      <c r="I338" t="s">
        <v>152</v>
      </c>
      <c r="J338" t="s">
        <v>60</v>
      </c>
      <c r="K338" t="s">
        <v>72</v>
      </c>
      <c r="L338" t="s">
        <v>62</v>
      </c>
      <c r="M338" t="s">
        <v>72</v>
      </c>
      <c r="N338" t="s">
        <v>153</v>
      </c>
      <c r="O338" t="s">
        <v>81</v>
      </c>
      <c r="P338">
        <v>-19.635065999999998</v>
      </c>
      <c r="Q338">
        <v>-43.916640000000001</v>
      </c>
      <c r="R338" s="2" t="str">
        <f>HYPERLINK("https://www.google.com/maps?q=-19.6350660,-43.9166400","Abrir no Google Maps")</f>
        <v>Abrir no Google Maps</v>
      </c>
      <c r="S338">
        <v>4</v>
      </c>
      <c r="T338">
        <v>245.09875796292749</v>
      </c>
      <c r="U338">
        <v>4</v>
      </c>
      <c r="V338">
        <v>17</v>
      </c>
      <c r="W338">
        <v>1</v>
      </c>
      <c r="X338">
        <v>17</v>
      </c>
      <c r="Y338">
        <v>3</v>
      </c>
      <c r="Z338">
        <v>207.74356419317499</v>
      </c>
      <c r="AA338">
        <v>2</v>
      </c>
      <c r="AB338">
        <v>3</v>
      </c>
      <c r="AC338">
        <v>7</v>
      </c>
      <c r="AD338">
        <v>23.52</v>
      </c>
      <c r="AE338">
        <v>253</v>
      </c>
      <c r="AF338">
        <v>15</v>
      </c>
      <c r="AG338">
        <v>55</v>
      </c>
      <c r="AH338">
        <v>32</v>
      </c>
      <c r="AI338">
        <v>5.93</v>
      </c>
      <c r="AJ338">
        <v>21.74</v>
      </c>
      <c r="AK338">
        <v>12.65</v>
      </c>
      <c r="AL338">
        <v>-19.63505579999995</v>
      </c>
      <c r="AM338">
        <v>-43.916633303072622</v>
      </c>
      <c r="AN338">
        <v>-19.63505579999995</v>
      </c>
      <c r="AO338">
        <v>-43.916633303072622</v>
      </c>
      <c r="AP338">
        <v>-19.635065999999998</v>
      </c>
      <c r="AQ338">
        <v>-43.916640000000001</v>
      </c>
      <c r="AR338">
        <v>1.335026849412978</v>
      </c>
      <c r="AS338" t="s">
        <v>65</v>
      </c>
      <c r="AT338">
        <v>1</v>
      </c>
      <c r="AU338" t="s">
        <v>154</v>
      </c>
      <c r="AV338" t="s">
        <v>155</v>
      </c>
      <c r="AW338" t="s">
        <v>60</v>
      </c>
      <c r="AX338" t="s">
        <v>68</v>
      </c>
      <c r="AY338" t="s">
        <v>69</v>
      </c>
      <c r="AZ338" t="b">
        <v>1</v>
      </c>
    </row>
    <row r="339" spans="1:52" x14ac:dyDescent="0.3">
      <c r="A339" t="s">
        <v>52</v>
      </c>
      <c r="B339" t="s">
        <v>53</v>
      </c>
      <c r="C339" t="s">
        <v>54</v>
      </c>
      <c r="D339" t="s">
        <v>55</v>
      </c>
      <c r="E339" t="s">
        <v>770</v>
      </c>
      <c r="F339" t="s">
        <v>57</v>
      </c>
      <c r="G339" t="s">
        <v>156</v>
      </c>
      <c r="H339" t="s">
        <v>157</v>
      </c>
      <c r="I339" t="s">
        <v>157</v>
      </c>
      <c r="J339" t="s">
        <v>60</v>
      </c>
      <c r="K339" t="s">
        <v>79</v>
      </c>
      <c r="L339" t="s">
        <v>62</v>
      </c>
      <c r="M339" t="s">
        <v>79</v>
      </c>
      <c r="N339" t="s">
        <v>158</v>
      </c>
      <c r="O339" t="s">
        <v>159</v>
      </c>
      <c r="P339">
        <v>-19.634687</v>
      </c>
      <c r="Q339">
        <v>-43.912925999999999</v>
      </c>
      <c r="R339" s="2" t="str">
        <f>HYPERLINK("https://www.google.com/maps?q=-19.6346870,-43.9129260","Abrir no Google Maps")</f>
        <v>Abrir no Google Maps</v>
      </c>
      <c r="S339">
        <v>4</v>
      </c>
      <c r="T339">
        <v>363.69725005634331</v>
      </c>
      <c r="U339">
        <v>4</v>
      </c>
      <c r="V339">
        <v>23</v>
      </c>
      <c r="W339">
        <v>1</v>
      </c>
      <c r="X339">
        <v>23</v>
      </c>
      <c r="Y339">
        <v>3</v>
      </c>
      <c r="Z339">
        <v>343.04088334900467</v>
      </c>
      <c r="AA339">
        <v>2</v>
      </c>
      <c r="AB339">
        <v>3</v>
      </c>
      <c r="AC339">
        <v>7</v>
      </c>
      <c r="AD339">
        <v>23.52</v>
      </c>
      <c r="AE339">
        <v>253</v>
      </c>
      <c r="AF339">
        <v>15</v>
      </c>
      <c r="AG339">
        <v>55</v>
      </c>
      <c r="AH339">
        <v>32</v>
      </c>
      <c r="AI339">
        <v>5.93</v>
      </c>
      <c r="AJ339">
        <v>21.74</v>
      </c>
      <c r="AK339">
        <v>12.65</v>
      </c>
      <c r="AL339">
        <v>-19.635145849999962</v>
      </c>
      <c r="AM339">
        <v>-43.913103387269381</v>
      </c>
      <c r="AN339">
        <v>-19.635145849999962</v>
      </c>
      <c r="AO339">
        <v>-43.913103387269381</v>
      </c>
      <c r="AP339">
        <v>-19.634687</v>
      </c>
      <c r="AQ339">
        <v>-43.912925999999999</v>
      </c>
      <c r="AR339">
        <v>54.359794849827942</v>
      </c>
      <c r="AS339" t="s">
        <v>65</v>
      </c>
      <c r="AT339">
        <v>1</v>
      </c>
      <c r="AU339" t="s">
        <v>160</v>
      </c>
      <c r="AV339" t="s">
        <v>161</v>
      </c>
      <c r="AW339" t="s">
        <v>60</v>
      </c>
      <c r="AX339" t="s">
        <v>68</v>
      </c>
      <c r="AY339" t="s">
        <v>69</v>
      </c>
      <c r="AZ339" t="b">
        <v>1</v>
      </c>
    </row>
    <row r="340" spans="1:52" x14ac:dyDescent="0.3">
      <c r="A340" t="s">
        <v>52</v>
      </c>
      <c r="B340" t="s">
        <v>53</v>
      </c>
      <c r="C340" t="s">
        <v>54</v>
      </c>
      <c r="D340" t="s">
        <v>55</v>
      </c>
      <c r="E340" t="s">
        <v>770</v>
      </c>
      <c r="F340" t="s">
        <v>57</v>
      </c>
      <c r="G340" t="s">
        <v>246</v>
      </c>
      <c r="H340" t="s">
        <v>247</v>
      </c>
      <c r="I340" t="s">
        <v>247</v>
      </c>
      <c r="J340" t="s">
        <v>60</v>
      </c>
      <c r="K340" t="s">
        <v>164</v>
      </c>
      <c r="L340" t="s">
        <v>62</v>
      </c>
      <c r="M340" t="s">
        <v>164</v>
      </c>
      <c r="N340" t="s">
        <v>248</v>
      </c>
      <c r="O340" t="s">
        <v>249</v>
      </c>
      <c r="P340">
        <v>-19.6448</v>
      </c>
      <c r="Q340">
        <v>-43.901600999999999</v>
      </c>
      <c r="R340" s="2" t="str">
        <f>HYPERLINK("https://www.google.com/maps?q=-19.6448000,-43.9016010","Abrir no Google Maps")</f>
        <v>Abrir no Google Maps</v>
      </c>
      <c r="S340">
        <v>4</v>
      </c>
      <c r="T340">
        <v>317.869447308274</v>
      </c>
      <c r="U340">
        <v>4</v>
      </c>
      <c r="V340">
        <v>16</v>
      </c>
      <c r="W340">
        <v>1</v>
      </c>
      <c r="X340">
        <v>16</v>
      </c>
      <c r="Y340">
        <v>1</v>
      </c>
      <c r="Z340">
        <v>349.42631749673592</v>
      </c>
      <c r="AA340">
        <v>2</v>
      </c>
      <c r="AB340">
        <v>3</v>
      </c>
      <c r="AC340">
        <v>7</v>
      </c>
      <c r="AD340">
        <v>23.52</v>
      </c>
      <c r="AE340">
        <v>253</v>
      </c>
      <c r="AF340">
        <v>15</v>
      </c>
      <c r="AG340">
        <v>55</v>
      </c>
      <c r="AH340">
        <v>32</v>
      </c>
      <c r="AI340">
        <v>5.93</v>
      </c>
      <c r="AJ340">
        <v>21.74</v>
      </c>
      <c r="AK340">
        <v>12.65</v>
      </c>
      <c r="AL340">
        <v>-19.644877249999951</v>
      </c>
      <c r="AM340">
        <v>-43.901796079893373</v>
      </c>
      <c r="AN340">
        <v>-19.644877249999951</v>
      </c>
      <c r="AO340">
        <v>-43.901796079893373</v>
      </c>
      <c r="AP340">
        <v>-19.6448</v>
      </c>
      <c r="AQ340">
        <v>-43.901600999999999</v>
      </c>
      <c r="AR340">
        <v>22.186635956426102</v>
      </c>
      <c r="AS340" t="s">
        <v>65</v>
      </c>
      <c r="AT340">
        <v>1</v>
      </c>
      <c r="AU340" t="s">
        <v>250</v>
      </c>
      <c r="AV340" t="s">
        <v>251</v>
      </c>
      <c r="AW340" t="s">
        <v>60</v>
      </c>
      <c r="AX340" t="s">
        <v>68</v>
      </c>
      <c r="AY340" t="s">
        <v>69</v>
      </c>
      <c r="AZ340" t="b">
        <v>1</v>
      </c>
    </row>
    <row r="341" spans="1:52" x14ac:dyDescent="0.3">
      <c r="A341" t="s">
        <v>52</v>
      </c>
      <c r="B341" t="s">
        <v>53</v>
      </c>
      <c r="C341" t="s">
        <v>54</v>
      </c>
      <c r="D341" t="s">
        <v>55</v>
      </c>
      <c r="E341" t="s">
        <v>770</v>
      </c>
      <c r="F341" t="s">
        <v>57</v>
      </c>
      <c r="G341" t="s">
        <v>258</v>
      </c>
      <c r="H341" t="s">
        <v>259</v>
      </c>
      <c r="I341" t="s">
        <v>259</v>
      </c>
      <c r="J341" t="s">
        <v>60</v>
      </c>
      <c r="K341" t="s">
        <v>192</v>
      </c>
      <c r="L341" t="s">
        <v>62</v>
      </c>
      <c r="M341" t="s">
        <v>192</v>
      </c>
      <c r="N341" t="s">
        <v>260</v>
      </c>
      <c r="O341" t="s">
        <v>261</v>
      </c>
      <c r="P341">
        <v>-19.651322</v>
      </c>
      <c r="Q341">
        <v>-43.909526999999997</v>
      </c>
      <c r="R341" s="2" t="str">
        <f>HYPERLINK("https://www.google.com/maps?q=-19.6513220,-43.9095270","Abrir no Google Maps")</f>
        <v>Abrir no Google Maps</v>
      </c>
      <c r="S341">
        <v>4</v>
      </c>
      <c r="T341">
        <v>818.75599819160288</v>
      </c>
      <c r="U341">
        <v>4</v>
      </c>
      <c r="V341">
        <v>20</v>
      </c>
      <c r="W341">
        <v>1</v>
      </c>
      <c r="X341">
        <v>20</v>
      </c>
      <c r="Y341">
        <v>1</v>
      </c>
      <c r="Z341">
        <v>730.53961508554767</v>
      </c>
      <c r="AA341">
        <v>2</v>
      </c>
      <c r="AB341">
        <v>3</v>
      </c>
      <c r="AC341">
        <v>7</v>
      </c>
      <c r="AD341">
        <v>23.52</v>
      </c>
      <c r="AE341">
        <v>253</v>
      </c>
      <c r="AF341">
        <v>15</v>
      </c>
      <c r="AG341">
        <v>55</v>
      </c>
      <c r="AH341">
        <v>32</v>
      </c>
      <c r="AI341">
        <v>5.93</v>
      </c>
      <c r="AJ341">
        <v>21.74</v>
      </c>
      <c r="AK341">
        <v>12.65</v>
      </c>
      <c r="AL341">
        <v>-19.65143184999997</v>
      </c>
      <c r="AM341">
        <v>-43.910059983056307</v>
      </c>
      <c r="AN341">
        <v>-19.65143184999997</v>
      </c>
      <c r="AO341">
        <v>-43.910059983056307</v>
      </c>
      <c r="AP341">
        <v>-19.651322</v>
      </c>
      <c r="AQ341">
        <v>-43.909526999999997</v>
      </c>
      <c r="AR341">
        <v>57.198416395481701</v>
      </c>
      <c r="AS341" t="s">
        <v>65</v>
      </c>
      <c r="AT341">
        <v>1</v>
      </c>
      <c r="AU341" t="s">
        <v>262</v>
      </c>
      <c r="AV341" t="s">
        <v>263</v>
      </c>
      <c r="AW341" t="s">
        <v>60</v>
      </c>
      <c r="AX341" t="s">
        <v>68</v>
      </c>
      <c r="AY341" t="s">
        <v>69</v>
      </c>
      <c r="AZ341" t="b">
        <v>1</v>
      </c>
    </row>
    <row r="342" spans="1:52" x14ac:dyDescent="0.3">
      <c r="A342" t="s">
        <v>52</v>
      </c>
      <c r="B342" t="s">
        <v>53</v>
      </c>
      <c r="C342" t="s">
        <v>54</v>
      </c>
      <c r="D342" t="s">
        <v>55</v>
      </c>
      <c r="E342" t="s">
        <v>770</v>
      </c>
      <c r="F342" t="s">
        <v>57</v>
      </c>
      <c r="G342" t="s">
        <v>622</v>
      </c>
      <c r="H342" t="s">
        <v>623</v>
      </c>
      <c r="I342" t="s">
        <v>623</v>
      </c>
      <c r="J342" t="s">
        <v>60</v>
      </c>
      <c r="K342" t="s">
        <v>219</v>
      </c>
      <c r="L342" t="s">
        <v>62</v>
      </c>
      <c r="M342" t="s">
        <v>219</v>
      </c>
      <c r="N342" t="s">
        <v>624</v>
      </c>
      <c r="O342" t="s">
        <v>113</v>
      </c>
      <c r="P342">
        <v>-19.670276999999999</v>
      </c>
      <c r="Q342">
        <v>-43.893808</v>
      </c>
      <c r="R342" s="2" t="str">
        <f>HYPERLINK("https://www.google.com/maps?q=-19.6702770,-43.8938080","Abrir no Google Maps")</f>
        <v>Abrir no Google Maps</v>
      </c>
      <c r="S342">
        <v>4</v>
      </c>
      <c r="T342">
        <v>846.9753608437735</v>
      </c>
      <c r="U342">
        <v>4</v>
      </c>
      <c r="V342">
        <v>15</v>
      </c>
      <c r="W342">
        <v>1</v>
      </c>
      <c r="X342">
        <v>15</v>
      </c>
      <c r="Y342">
        <v>1</v>
      </c>
      <c r="Z342">
        <v>600.43160852236622</v>
      </c>
      <c r="AA342">
        <v>2</v>
      </c>
      <c r="AB342">
        <v>3</v>
      </c>
      <c r="AC342">
        <v>7</v>
      </c>
      <c r="AD342">
        <v>23.52</v>
      </c>
      <c r="AE342">
        <v>253</v>
      </c>
      <c r="AF342">
        <v>15</v>
      </c>
      <c r="AG342">
        <v>55</v>
      </c>
      <c r="AH342">
        <v>32</v>
      </c>
      <c r="AI342">
        <v>5.93</v>
      </c>
      <c r="AJ342">
        <v>21.74</v>
      </c>
      <c r="AK342">
        <v>12.65</v>
      </c>
      <c r="AL342">
        <v>-19.670319349999971</v>
      </c>
      <c r="AM342">
        <v>-43.893716431206371</v>
      </c>
      <c r="AN342">
        <v>-19.670319349999971</v>
      </c>
      <c r="AO342">
        <v>-43.893716431206371</v>
      </c>
      <c r="AP342">
        <v>-19.670276999999999</v>
      </c>
      <c r="AQ342">
        <v>-43.893808</v>
      </c>
      <c r="AR342">
        <v>10.693863517034069</v>
      </c>
      <c r="AS342" t="s">
        <v>65</v>
      </c>
      <c r="AT342">
        <v>1</v>
      </c>
      <c r="AU342" t="s">
        <v>625</v>
      </c>
      <c r="AV342" t="s">
        <v>626</v>
      </c>
      <c r="AW342" t="s">
        <v>60</v>
      </c>
      <c r="AX342" t="s">
        <v>68</v>
      </c>
      <c r="AY342" t="s">
        <v>69</v>
      </c>
      <c r="AZ342" t="b">
        <v>1</v>
      </c>
    </row>
    <row r="343" spans="1:52" x14ac:dyDescent="0.3">
      <c r="A343" t="s">
        <v>52</v>
      </c>
      <c r="B343" t="s">
        <v>53</v>
      </c>
      <c r="C343" t="s">
        <v>54</v>
      </c>
      <c r="D343" t="s">
        <v>55</v>
      </c>
      <c r="E343" t="s">
        <v>770</v>
      </c>
      <c r="F343" t="s">
        <v>57</v>
      </c>
      <c r="G343" t="s">
        <v>217</v>
      </c>
      <c r="H343" t="s">
        <v>264</v>
      </c>
      <c r="I343" t="s">
        <v>264</v>
      </c>
      <c r="J343" t="s">
        <v>60</v>
      </c>
      <c r="K343" t="s">
        <v>219</v>
      </c>
      <c r="L343" t="s">
        <v>62</v>
      </c>
      <c r="M343" t="s">
        <v>219</v>
      </c>
      <c r="N343" t="s">
        <v>220</v>
      </c>
      <c r="O343" t="s">
        <v>265</v>
      </c>
      <c r="P343">
        <v>-19.668958</v>
      </c>
      <c r="Q343">
        <v>-43.890619999999998</v>
      </c>
      <c r="R343" s="2" t="str">
        <f>HYPERLINK("https://www.google.com/maps?q=-19.6689580,-43.8906200","Abrir no Google Maps")</f>
        <v>Abrir no Google Maps</v>
      </c>
      <c r="S343">
        <v>4</v>
      </c>
      <c r="T343">
        <v>893.53138484322108</v>
      </c>
      <c r="U343">
        <v>4</v>
      </c>
      <c r="V343">
        <v>17</v>
      </c>
      <c r="W343">
        <v>1</v>
      </c>
      <c r="X343">
        <v>17</v>
      </c>
      <c r="Y343">
        <v>1</v>
      </c>
      <c r="Z343">
        <v>336.68220024294959</v>
      </c>
      <c r="AA343">
        <v>2</v>
      </c>
      <c r="AB343">
        <v>3</v>
      </c>
      <c r="AC343">
        <v>7</v>
      </c>
      <c r="AD343">
        <v>23.52</v>
      </c>
      <c r="AE343">
        <v>253</v>
      </c>
      <c r="AF343">
        <v>15</v>
      </c>
      <c r="AG343">
        <v>55</v>
      </c>
      <c r="AH343">
        <v>32</v>
      </c>
      <c r="AI343">
        <v>5.93</v>
      </c>
      <c r="AJ343">
        <v>21.74</v>
      </c>
      <c r="AK343">
        <v>12.65</v>
      </c>
      <c r="AL343">
        <v>-19.669114549999961</v>
      </c>
      <c r="AM343">
        <v>-43.890740893526242</v>
      </c>
      <c r="AN343">
        <v>-19.669114549999961</v>
      </c>
      <c r="AO343">
        <v>-43.890740893526242</v>
      </c>
      <c r="AP343">
        <v>-19.668958</v>
      </c>
      <c r="AQ343">
        <v>-43.890619999999998</v>
      </c>
      <c r="AR343">
        <v>21.54764375256557</v>
      </c>
      <c r="AS343" t="s">
        <v>65</v>
      </c>
      <c r="AT343">
        <v>1</v>
      </c>
      <c r="AU343" t="s">
        <v>266</v>
      </c>
      <c r="AV343" t="s">
        <v>267</v>
      </c>
      <c r="AW343" t="s">
        <v>60</v>
      </c>
      <c r="AX343" t="s">
        <v>68</v>
      </c>
      <c r="AY343" t="s">
        <v>69</v>
      </c>
      <c r="AZ343" t="b">
        <v>1</v>
      </c>
    </row>
    <row r="344" spans="1:52" x14ac:dyDescent="0.3">
      <c r="A344" t="s">
        <v>52</v>
      </c>
      <c r="B344" t="s">
        <v>53</v>
      </c>
      <c r="C344" t="s">
        <v>54</v>
      </c>
      <c r="D344" t="s">
        <v>55</v>
      </c>
      <c r="E344" t="s">
        <v>770</v>
      </c>
      <c r="F344" t="s">
        <v>57</v>
      </c>
      <c r="G344" t="s">
        <v>273</v>
      </c>
      <c r="H344" t="s">
        <v>274</v>
      </c>
      <c r="I344" t="s">
        <v>274</v>
      </c>
      <c r="J344" t="s">
        <v>60</v>
      </c>
      <c r="K344" t="s">
        <v>171</v>
      </c>
      <c r="L344" t="s">
        <v>62</v>
      </c>
      <c r="M344" t="s">
        <v>171</v>
      </c>
      <c r="N344" t="s">
        <v>275</v>
      </c>
      <c r="O344" t="s">
        <v>276</v>
      </c>
      <c r="P344">
        <v>-19.679956000000001</v>
      </c>
      <c r="Q344">
        <v>-43.888520999999997</v>
      </c>
      <c r="R344" s="2" t="str">
        <f>HYPERLINK("https://www.google.com/maps?q=-19.6799560,-43.8885210","Abrir no Google Maps")</f>
        <v>Abrir no Google Maps</v>
      </c>
      <c r="S344">
        <v>4</v>
      </c>
      <c r="T344">
        <v>346.2974251077423</v>
      </c>
      <c r="U344">
        <v>4</v>
      </c>
      <c r="V344">
        <v>22</v>
      </c>
      <c r="W344">
        <v>1</v>
      </c>
      <c r="X344">
        <v>22</v>
      </c>
      <c r="Y344">
        <v>0</v>
      </c>
      <c r="Z344">
        <v>223.68420981797229</v>
      </c>
      <c r="AA344">
        <v>2</v>
      </c>
      <c r="AB344">
        <v>3</v>
      </c>
      <c r="AC344">
        <v>7</v>
      </c>
      <c r="AD344">
        <v>23.52</v>
      </c>
      <c r="AE344">
        <v>253</v>
      </c>
      <c r="AF344">
        <v>15</v>
      </c>
      <c r="AG344">
        <v>55</v>
      </c>
      <c r="AH344">
        <v>32</v>
      </c>
      <c r="AI344">
        <v>5.93</v>
      </c>
      <c r="AJ344">
        <v>21.74</v>
      </c>
      <c r="AK344">
        <v>12.65</v>
      </c>
      <c r="AL344">
        <v>-19.67989189999998</v>
      </c>
      <c r="AM344">
        <v>-43.888485157753777</v>
      </c>
      <c r="AN344">
        <v>-19.67989189999998</v>
      </c>
      <c r="AO344">
        <v>-43.888485157753777</v>
      </c>
      <c r="AP344">
        <v>-19.679956000000001</v>
      </c>
      <c r="AQ344">
        <v>-43.888520999999997</v>
      </c>
      <c r="AR344">
        <v>8.0641961934087583</v>
      </c>
      <c r="AS344" t="s">
        <v>65</v>
      </c>
      <c r="AT344">
        <v>1</v>
      </c>
      <c r="AU344" t="s">
        <v>277</v>
      </c>
      <c r="AV344" t="s">
        <v>278</v>
      </c>
      <c r="AW344" t="s">
        <v>60</v>
      </c>
      <c r="AX344" t="s">
        <v>68</v>
      </c>
      <c r="AY344" t="s">
        <v>69</v>
      </c>
      <c r="AZ344" t="b">
        <v>1</v>
      </c>
    </row>
    <row r="345" spans="1:52" x14ac:dyDescent="0.3">
      <c r="A345" t="s">
        <v>52</v>
      </c>
      <c r="B345" t="s">
        <v>53</v>
      </c>
      <c r="C345" t="s">
        <v>54</v>
      </c>
      <c r="D345" t="s">
        <v>55</v>
      </c>
      <c r="E345" t="s">
        <v>770</v>
      </c>
      <c r="F345" t="s">
        <v>57</v>
      </c>
      <c r="G345" t="s">
        <v>169</v>
      </c>
      <c r="H345" t="s">
        <v>170</v>
      </c>
      <c r="I345" t="s">
        <v>170</v>
      </c>
      <c r="J345" t="s">
        <v>60</v>
      </c>
      <c r="K345" t="s">
        <v>171</v>
      </c>
      <c r="L345" t="s">
        <v>62</v>
      </c>
      <c r="M345" t="s">
        <v>171</v>
      </c>
      <c r="N345" t="s">
        <v>172</v>
      </c>
      <c r="O345" t="s">
        <v>173</v>
      </c>
      <c r="P345">
        <v>-19.676233</v>
      </c>
      <c r="Q345">
        <v>-43.88861</v>
      </c>
      <c r="R345" s="2" t="str">
        <f>HYPERLINK("https://www.google.com/maps?q=-19.6762330,-43.8886100","Abrir no Google Maps")</f>
        <v>Abrir no Google Maps</v>
      </c>
      <c r="S345">
        <v>4</v>
      </c>
      <c r="T345">
        <v>209.5772620412292</v>
      </c>
      <c r="U345">
        <v>4</v>
      </c>
      <c r="V345">
        <v>16</v>
      </c>
      <c r="W345">
        <v>1</v>
      </c>
      <c r="X345">
        <v>16</v>
      </c>
      <c r="Y345">
        <v>0</v>
      </c>
      <c r="Z345">
        <v>194.26571923644971</v>
      </c>
      <c r="AA345">
        <v>2</v>
      </c>
      <c r="AB345">
        <v>3</v>
      </c>
      <c r="AC345">
        <v>7</v>
      </c>
      <c r="AD345">
        <v>23.52</v>
      </c>
      <c r="AE345">
        <v>253</v>
      </c>
      <c r="AF345">
        <v>15</v>
      </c>
      <c r="AG345">
        <v>55</v>
      </c>
      <c r="AH345">
        <v>32</v>
      </c>
      <c r="AI345">
        <v>5.93</v>
      </c>
      <c r="AJ345">
        <v>21.74</v>
      </c>
      <c r="AK345">
        <v>12.65</v>
      </c>
      <c r="AL345">
        <v>-19.676097449999961</v>
      </c>
      <c r="AM345">
        <v>-43.888455613153738</v>
      </c>
      <c r="AN345">
        <v>-19.676097449999961</v>
      </c>
      <c r="AO345">
        <v>-43.888455613153738</v>
      </c>
      <c r="AP345">
        <v>-19.676233</v>
      </c>
      <c r="AQ345">
        <v>-43.88861</v>
      </c>
      <c r="AR345">
        <v>22.126352434234079</v>
      </c>
      <c r="AS345" t="s">
        <v>65</v>
      </c>
      <c r="AT345">
        <v>1</v>
      </c>
      <c r="AU345" t="s">
        <v>174</v>
      </c>
      <c r="AV345" t="s">
        <v>175</v>
      </c>
      <c r="AW345" t="s">
        <v>60</v>
      </c>
      <c r="AX345" t="s">
        <v>68</v>
      </c>
      <c r="AY345" t="s">
        <v>69</v>
      </c>
      <c r="AZ345" t="b">
        <v>1</v>
      </c>
    </row>
    <row r="346" spans="1:52" x14ac:dyDescent="0.3">
      <c r="A346" t="s">
        <v>52</v>
      </c>
      <c r="B346" t="s">
        <v>53</v>
      </c>
      <c r="C346" t="s">
        <v>54</v>
      </c>
      <c r="D346" t="s">
        <v>55</v>
      </c>
      <c r="E346" t="s">
        <v>770</v>
      </c>
      <c r="F346" t="s">
        <v>176</v>
      </c>
      <c r="G346" t="s">
        <v>70</v>
      </c>
      <c r="H346" t="s">
        <v>71</v>
      </c>
      <c r="I346" t="s">
        <v>71</v>
      </c>
      <c r="J346" t="s">
        <v>60</v>
      </c>
      <c r="K346" t="s">
        <v>72</v>
      </c>
      <c r="L346" t="s">
        <v>62</v>
      </c>
      <c r="M346" t="s">
        <v>72</v>
      </c>
      <c r="N346" t="s">
        <v>73</v>
      </c>
      <c r="O346" t="s">
        <v>74</v>
      </c>
      <c r="P346">
        <v>-19.632581999999999</v>
      </c>
      <c r="Q346">
        <v>-43.902416000000002</v>
      </c>
      <c r="R346" s="2" t="str">
        <f>HYPERLINK("https://www.google.com/maps?q=-19.6325820,-43.9024160","Abrir no Google Maps")</f>
        <v>Abrir no Google Maps</v>
      </c>
      <c r="S346">
        <v>4</v>
      </c>
      <c r="T346">
        <v>0</v>
      </c>
      <c r="U346">
        <v>3</v>
      </c>
      <c r="V346">
        <v>10</v>
      </c>
      <c r="W346">
        <v>1</v>
      </c>
      <c r="X346">
        <v>10</v>
      </c>
      <c r="Y346">
        <v>10</v>
      </c>
      <c r="Z346">
        <v>146.6968158874696</v>
      </c>
      <c r="AA346">
        <v>2</v>
      </c>
      <c r="AB346">
        <v>3</v>
      </c>
      <c r="AC346">
        <v>7</v>
      </c>
      <c r="AD346">
        <v>23.52</v>
      </c>
      <c r="AE346">
        <v>253</v>
      </c>
      <c r="AF346">
        <v>15</v>
      </c>
      <c r="AG346">
        <v>55</v>
      </c>
      <c r="AH346">
        <v>32</v>
      </c>
      <c r="AI346">
        <v>5.93</v>
      </c>
      <c r="AJ346">
        <v>21.74</v>
      </c>
      <c r="AK346">
        <v>12.65</v>
      </c>
      <c r="AL346">
        <v>-19.63271449999996</v>
      </c>
      <c r="AM346">
        <v>-43.902649897389402</v>
      </c>
      <c r="AN346">
        <v>-19.63271449999996</v>
      </c>
      <c r="AO346">
        <v>-43.902649897389402</v>
      </c>
      <c r="AP346">
        <v>-19.632581999999999</v>
      </c>
      <c r="AQ346">
        <v>-43.902416000000002</v>
      </c>
      <c r="AR346">
        <v>28.617753432996459</v>
      </c>
      <c r="AS346" t="s">
        <v>65</v>
      </c>
      <c r="AT346">
        <v>1</v>
      </c>
      <c r="AU346" t="s">
        <v>75</v>
      </c>
      <c r="AV346" t="s">
        <v>76</v>
      </c>
      <c r="AW346" t="s">
        <v>60</v>
      </c>
      <c r="AX346" t="s">
        <v>68</v>
      </c>
      <c r="AY346" t="s">
        <v>69</v>
      </c>
      <c r="AZ346" t="b">
        <v>1</v>
      </c>
    </row>
    <row r="347" spans="1:52" x14ac:dyDescent="0.3">
      <c r="A347" t="s">
        <v>52</v>
      </c>
      <c r="B347" t="s">
        <v>53</v>
      </c>
      <c r="C347" t="s">
        <v>54</v>
      </c>
      <c r="D347" t="s">
        <v>55</v>
      </c>
      <c r="E347" t="s">
        <v>770</v>
      </c>
      <c r="F347" t="s">
        <v>176</v>
      </c>
      <c r="G347" t="s">
        <v>84</v>
      </c>
      <c r="H347" t="s">
        <v>85</v>
      </c>
      <c r="I347" t="s">
        <v>85</v>
      </c>
      <c r="J347" t="s">
        <v>60</v>
      </c>
      <c r="K347" t="s">
        <v>86</v>
      </c>
      <c r="L347" t="s">
        <v>62</v>
      </c>
      <c r="M347" t="s">
        <v>86</v>
      </c>
      <c r="N347" t="s">
        <v>87</v>
      </c>
      <c r="O347" t="s">
        <v>88</v>
      </c>
      <c r="P347">
        <v>-19.629436999999999</v>
      </c>
      <c r="Q347">
        <v>-43.910398999999998</v>
      </c>
      <c r="R347" s="2" t="str">
        <f>HYPERLINK("https://www.google.com/maps?q=-19.6294370,-43.9103990","Abrir no Google Maps")</f>
        <v>Abrir no Google Maps</v>
      </c>
      <c r="S347">
        <v>4</v>
      </c>
      <c r="T347">
        <v>888.82060643108082</v>
      </c>
      <c r="U347">
        <v>3</v>
      </c>
      <c r="V347">
        <v>14</v>
      </c>
      <c r="W347">
        <v>1</v>
      </c>
      <c r="X347">
        <v>14</v>
      </c>
      <c r="Y347">
        <v>10</v>
      </c>
      <c r="Z347">
        <v>867.42797341651737</v>
      </c>
      <c r="AA347">
        <v>2</v>
      </c>
      <c r="AB347">
        <v>3</v>
      </c>
      <c r="AC347">
        <v>7</v>
      </c>
      <c r="AD347">
        <v>23.52</v>
      </c>
      <c r="AE347">
        <v>253</v>
      </c>
      <c r="AF347">
        <v>15</v>
      </c>
      <c r="AG347">
        <v>55</v>
      </c>
      <c r="AH347">
        <v>32</v>
      </c>
      <c r="AI347">
        <v>5.93</v>
      </c>
      <c r="AJ347">
        <v>21.74</v>
      </c>
      <c r="AK347">
        <v>12.65</v>
      </c>
      <c r="AL347">
        <v>-19.62934694999996</v>
      </c>
      <c r="AM347">
        <v>-43.910344699357317</v>
      </c>
      <c r="AN347">
        <v>-19.62934694999996</v>
      </c>
      <c r="AO347">
        <v>-43.910344699357331</v>
      </c>
      <c r="AP347">
        <v>-19.629436999999999</v>
      </c>
      <c r="AQ347">
        <v>-43.910398999999998</v>
      </c>
      <c r="AR347">
        <v>11.52837377953678</v>
      </c>
      <c r="AS347" t="s">
        <v>65</v>
      </c>
      <c r="AT347">
        <v>1</v>
      </c>
      <c r="AU347" t="s">
        <v>89</v>
      </c>
      <c r="AV347" t="s">
        <v>90</v>
      </c>
      <c r="AW347" t="s">
        <v>60</v>
      </c>
      <c r="AX347" t="s">
        <v>68</v>
      </c>
      <c r="AY347" t="s">
        <v>69</v>
      </c>
      <c r="AZ347" t="b">
        <v>1</v>
      </c>
    </row>
    <row r="348" spans="1:52" x14ac:dyDescent="0.3">
      <c r="A348" t="s">
        <v>52</v>
      </c>
      <c r="B348" t="s">
        <v>53</v>
      </c>
      <c r="C348" t="s">
        <v>54</v>
      </c>
      <c r="D348" t="s">
        <v>55</v>
      </c>
      <c r="E348" t="s">
        <v>770</v>
      </c>
      <c r="F348" t="s">
        <v>176</v>
      </c>
      <c r="G348" t="s">
        <v>97</v>
      </c>
      <c r="H348" t="s">
        <v>98</v>
      </c>
      <c r="I348" t="s">
        <v>98</v>
      </c>
      <c r="J348" t="s">
        <v>60</v>
      </c>
      <c r="K348" t="s">
        <v>99</v>
      </c>
      <c r="L348" t="s">
        <v>62</v>
      </c>
      <c r="M348" t="s">
        <v>99</v>
      </c>
      <c r="N348" t="s">
        <v>100</v>
      </c>
      <c r="O348" t="s">
        <v>101</v>
      </c>
      <c r="P348">
        <v>-19.629822000000001</v>
      </c>
      <c r="Q348">
        <v>-43.905341</v>
      </c>
      <c r="R348" s="2" t="str">
        <f>HYPERLINK("https://www.google.com/maps?q=-19.6298220,-43.9053410","Abrir no Google Maps")</f>
        <v>Abrir no Google Maps</v>
      </c>
      <c r="S348">
        <v>4</v>
      </c>
      <c r="T348">
        <v>441.30597341744129</v>
      </c>
      <c r="U348">
        <v>3</v>
      </c>
      <c r="V348">
        <v>14</v>
      </c>
      <c r="W348">
        <v>1</v>
      </c>
      <c r="X348">
        <v>14</v>
      </c>
      <c r="Y348">
        <v>10</v>
      </c>
      <c r="Z348">
        <v>513.56493751010987</v>
      </c>
      <c r="AA348">
        <v>2</v>
      </c>
      <c r="AB348">
        <v>3</v>
      </c>
      <c r="AC348">
        <v>7</v>
      </c>
      <c r="AD348">
        <v>23.52</v>
      </c>
      <c r="AE348">
        <v>253</v>
      </c>
      <c r="AF348">
        <v>15</v>
      </c>
      <c r="AG348">
        <v>55</v>
      </c>
      <c r="AH348">
        <v>32</v>
      </c>
      <c r="AI348">
        <v>5.93</v>
      </c>
      <c r="AJ348">
        <v>21.74</v>
      </c>
      <c r="AK348">
        <v>12.65</v>
      </c>
      <c r="AL348">
        <v>-19.629671599999941</v>
      </c>
      <c r="AM348">
        <v>-43.905369597920988</v>
      </c>
      <c r="AN348">
        <v>-19.629671599999931</v>
      </c>
      <c r="AO348">
        <v>-43.905369597920988</v>
      </c>
      <c r="AP348">
        <v>-19.629822000000001</v>
      </c>
      <c r="AQ348">
        <v>-43.905341</v>
      </c>
      <c r="AR348">
        <v>17.008917699186132</v>
      </c>
      <c r="AS348" t="s">
        <v>65</v>
      </c>
      <c r="AT348">
        <v>1</v>
      </c>
      <c r="AU348" t="s">
        <v>102</v>
      </c>
      <c r="AV348" t="s">
        <v>103</v>
      </c>
      <c r="AW348" t="s">
        <v>60</v>
      </c>
      <c r="AX348" t="s">
        <v>68</v>
      </c>
      <c r="AY348" t="s">
        <v>69</v>
      </c>
      <c r="AZ348" t="b">
        <v>1</v>
      </c>
    </row>
    <row r="349" spans="1:52" x14ac:dyDescent="0.3">
      <c r="A349" t="s">
        <v>52</v>
      </c>
      <c r="B349" t="s">
        <v>53</v>
      </c>
      <c r="C349" t="s">
        <v>54</v>
      </c>
      <c r="D349" t="s">
        <v>55</v>
      </c>
      <c r="E349" t="s">
        <v>770</v>
      </c>
      <c r="F349" t="s">
        <v>176</v>
      </c>
      <c r="G349" t="s">
        <v>177</v>
      </c>
      <c r="H349" t="s">
        <v>178</v>
      </c>
      <c r="I349" t="s">
        <v>178</v>
      </c>
      <c r="J349" t="s">
        <v>60</v>
      </c>
      <c r="K349" t="s">
        <v>179</v>
      </c>
      <c r="L349" t="s">
        <v>62</v>
      </c>
      <c r="M349" t="s">
        <v>179</v>
      </c>
      <c r="N349" t="s">
        <v>180</v>
      </c>
      <c r="O349" t="s">
        <v>120</v>
      </c>
      <c r="P349">
        <v>-19.651526</v>
      </c>
      <c r="Q349">
        <v>-43.891382999999998</v>
      </c>
      <c r="R349" s="2" t="str">
        <f>HYPERLINK("https://www.google.com/maps?q=-19.6515260,-43.8913830","Abrir no Google Maps")</f>
        <v>Abrir no Google Maps</v>
      </c>
      <c r="S349">
        <v>4</v>
      </c>
      <c r="T349">
        <v>925.67779296789433</v>
      </c>
      <c r="U349">
        <v>3</v>
      </c>
      <c r="V349">
        <v>12</v>
      </c>
      <c r="W349">
        <v>1</v>
      </c>
      <c r="X349">
        <v>12</v>
      </c>
      <c r="Y349">
        <v>7</v>
      </c>
      <c r="Z349">
        <v>1193.102297436121</v>
      </c>
      <c r="AA349">
        <v>2</v>
      </c>
      <c r="AB349">
        <v>3</v>
      </c>
      <c r="AC349">
        <v>7</v>
      </c>
      <c r="AD349">
        <v>23.52</v>
      </c>
      <c r="AE349">
        <v>253</v>
      </c>
      <c r="AF349">
        <v>15</v>
      </c>
      <c r="AG349">
        <v>55</v>
      </c>
      <c r="AH349">
        <v>32</v>
      </c>
      <c r="AI349">
        <v>5.93</v>
      </c>
      <c r="AJ349">
        <v>21.74</v>
      </c>
      <c r="AK349">
        <v>12.65</v>
      </c>
      <c r="AL349">
        <v>-19.651590199999958</v>
      </c>
      <c r="AM349">
        <v>-43.891399191449963</v>
      </c>
      <c r="AN349">
        <v>-19.651590199999958</v>
      </c>
      <c r="AO349">
        <v>-43.891399191449963</v>
      </c>
      <c r="AP349">
        <v>-19.651526</v>
      </c>
      <c r="AQ349">
        <v>-43.891382999999998</v>
      </c>
      <c r="AR349">
        <v>7.3455622550785931</v>
      </c>
      <c r="AS349" t="s">
        <v>65</v>
      </c>
      <c r="AT349">
        <v>1</v>
      </c>
      <c r="AU349" t="s">
        <v>181</v>
      </c>
      <c r="AV349" t="s">
        <v>182</v>
      </c>
      <c r="AW349" t="s">
        <v>60</v>
      </c>
      <c r="AX349" t="s">
        <v>68</v>
      </c>
      <c r="AY349" t="s">
        <v>69</v>
      </c>
      <c r="AZ349" t="b">
        <v>1</v>
      </c>
    </row>
    <row r="350" spans="1:52" x14ac:dyDescent="0.3">
      <c r="A350" t="s">
        <v>52</v>
      </c>
      <c r="B350" t="s">
        <v>53</v>
      </c>
      <c r="C350" t="s">
        <v>54</v>
      </c>
      <c r="D350" t="s">
        <v>55</v>
      </c>
      <c r="E350" t="s">
        <v>770</v>
      </c>
      <c r="F350" t="s">
        <v>176</v>
      </c>
      <c r="G350" t="s">
        <v>617</v>
      </c>
      <c r="H350" t="s">
        <v>618</v>
      </c>
      <c r="I350" t="s">
        <v>618</v>
      </c>
      <c r="J350" t="s">
        <v>60</v>
      </c>
      <c r="K350" t="s">
        <v>164</v>
      </c>
      <c r="L350" t="s">
        <v>62</v>
      </c>
      <c r="M350" t="s">
        <v>164</v>
      </c>
      <c r="N350" t="s">
        <v>619</v>
      </c>
      <c r="O350" t="s">
        <v>533</v>
      </c>
      <c r="P350">
        <v>-19.647825000000001</v>
      </c>
      <c r="Q350">
        <v>-43.908369</v>
      </c>
      <c r="R350" s="2" t="str">
        <f>HYPERLINK("https://www.google.com/maps?q=-19.6478250,-43.9083690","Abrir no Google Maps")</f>
        <v>Abrir no Google Maps</v>
      </c>
      <c r="S350">
        <v>4</v>
      </c>
      <c r="T350">
        <v>492.67524679338959</v>
      </c>
      <c r="U350">
        <v>3</v>
      </c>
      <c r="V350">
        <v>13</v>
      </c>
      <c r="W350">
        <v>1</v>
      </c>
      <c r="X350">
        <v>13</v>
      </c>
      <c r="Y350">
        <v>4</v>
      </c>
      <c r="Z350">
        <v>410.3082448803296</v>
      </c>
      <c r="AA350">
        <v>2</v>
      </c>
      <c r="AB350">
        <v>3</v>
      </c>
      <c r="AC350">
        <v>7</v>
      </c>
      <c r="AD350">
        <v>23.52</v>
      </c>
      <c r="AE350">
        <v>253</v>
      </c>
      <c r="AF350">
        <v>15</v>
      </c>
      <c r="AG350">
        <v>55</v>
      </c>
      <c r="AH350">
        <v>32</v>
      </c>
      <c r="AI350">
        <v>5.93</v>
      </c>
      <c r="AJ350">
        <v>21.74</v>
      </c>
      <c r="AK350">
        <v>12.65</v>
      </c>
      <c r="AL350">
        <v>-19.647879399999969</v>
      </c>
      <c r="AM350">
        <v>-43.908372097349897</v>
      </c>
      <c r="AN350">
        <v>-19.647879399999969</v>
      </c>
      <c r="AO350">
        <v>-43.908372097349897</v>
      </c>
      <c r="AP350">
        <v>-19.647825000000001</v>
      </c>
      <c r="AQ350">
        <v>-43.908369</v>
      </c>
      <c r="AR350">
        <v>6.06450779015137</v>
      </c>
      <c r="AS350" t="s">
        <v>65</v>
      </c>
      <c r="AT350">
        <v>1</v>
      </c>
      <c r="AU350" t="s">
        <v>620</v>
      </c>
      <c r="AV350" t="s">
        <v>621</v>
      </c>
      <c r="AW350" t="s">
        <v>60</v>
      </c>
      <c r="AX350" t="s">
        <v>68</v>
      </c>
      <c r="AY350" t="s">
        <v>69</v>
      </c>
      <c r="AZ350" t="b">
        <v>1</v>
      </c>
    </row>
    <row r="351" spans="1:52" x14ac:dyDescent="0.3">
      <c r="A351" t="s">
        <v>52</v>
      </c>
      <c r="B351" t="s">
        <v>53</v>
      </c>
      <c r="C351" t="s">
        <v>54</v>
      </c>
      <c r="D351" t="s">
        <v>55</v>
      </c>
      <c r="E351" t="s">
        <v>770</v>
      </c>
      <c r="F351" t="s">
        <v>176</v>
      </c>
      <c r="G351" t="s">
        <v>109</v>
      </c>
      <c r="H351" t="s">
        <v>110</v>
      </c>
      <c r="I351" t="s">
        <v>110</v>
      </c>
      <c r="J351" t="s">
        <v>60</v>
      </c>
      <c r="K351" t="s">
        <v>111</v>
      </c>
      <c r="L351" t="s">
        <v>62</v>
      </c>
      <c r="M351" t="s">
        <v>111</v>
      </c>
      <c r="N351" t="s">
        <v>112</v>
      </c>
      <c r="O351" t="s">
        <v>113</v>
      </c>
      <c r="P351">
        <v>-19.654686000000002</v>
      </c>
      <c r="Q351">
        <v>-43.907240000000002</v>
      </c>
      <c r="R351" s="2" t="str">
        <f>HYPERLINK("https://www.google.com/maps?q=-19.6546860,-43.9072400","Abrir no Google Maps")</f>
        <v>Abrir no Google Maps</v>
      </c>
      <c r="S351">
        <v>4</v>
      </c>
      <c r="T351">
        <v>824.24450564548704</v>
      </c>
      <c r="U351">
        <v>3</v>
      </c>
      <c r="V351">
        <v>11</v>
      </c>
      <c r="W351">
        <v>1</v>
      </c>
      <c r="X351">
        <v>11</v>
      </c>
      <c r="Y351">
        <v>4</v>
      </c>
      <c r="Z351">
        <v>524.70106879290392</v>
      </c>
      <c r="AA351">
        <v>2</v>
      </c>
      <c r="AB351">
        <v>3</v>
      </c>
      <c r="AC351">
        <v>7</v>
      </c>
      <c r="AD351">
        <v>23.52</v>
      </c>
      <c r="AE351">
        <v>253</v>
      </c>
      <c r="AF351">
        <v>15</v>
      </c>
      <c r="AG351">
        <v>55</v>
      </c>
      <c r="AH351">
        <v>32</v>
      </c>
      <c r="AI351">
        <v>5.93</v>
      </c>
      <c r="AJ351">
        <v>21.74</v>
      </c>
      <c r="AK351">
        <v>12.65</v>
      </c>
      <c r="AL351">
        <v>-19.65511684999996</v>
      </c>
      <c r="AM351">
        <v>-43.905662999837993</v>
      </c>
      <c r="AN351">
        <v>-19.65511684999996</v>
      </c>
      <c r="AO351">
        <v>-43.905662999837993</v>
      </c>
      <c r="AP351">
        <v>-19.654686000000002</v>
      </c>
      <c r="AQ351">
        <v>-43.907240000000002</v>
      </c>
      <c r="AR351">
        <v>172.13969981835351</v>
      </c>
      <c r="AS351" t="s">
        <v>65</v>
      </c>
      <c r="AT351">
        <v>1</v>
      </c>
      <c r="AU351" t="s">
        <v>114</v>
      </c>
      <c r="AV351" t="s">
        <v>115</v>
      </c>
      <c r="AW351" t="s">
        <v>60</v>
      </c>
      <c r="AX351" t="s">
        <v>68</v>
      </c>
      <c r="AY351" t="s">
        <v>69</v>
      </c>
      <c r="AZ351" t="b">
        <v>1</v>
      </c>
    </row>
    <row r="352" spans="1:52" x14ac:dyDescent="0.3">
      <c r="A352" t="s">
        <v>52</v>
      </c>
      <c r="B352" t="s">
        <v>53</v>
      </c>
      <c r="C352" t="s">
        <v>54</v>
      </c>
      <c r="D352" t="s">
        <v>55</v>
      </c>
      <c r="E352" t="s">
        <v>770</v>
      </c>
      <c r="F352" t="s">
        <v>176</v>
      </c>
      <c r="G352" t="s">
        <v>116</v>
      </c>
      <c r="H352" t="s">
        <v>117</v>
      </c>
      <c r="I352" t="s">
        <v>117</v>
      </c>
      <c r="J352" t="s">
        <v>60</v>
      </c>
      <c r="K352" t="s">
        <v>118</v>
      </c>
      <c r="L352" t="s">
        <v>62</v>
      </c>
      <c r="M352" t="s">
        <v>118</v>
      </c>
      <c r="N352" t="s">
        <v>119</v>
      </c>
      <c r="O352" t="s">
        <v>120</v>
      </c>
      <c r="P352">
        <v>-19.663869999999999</v>
      </c>
      <c r="Q352">
        <v>-43.904916999999998</v>
      </c>
      <c r="R352" s="2" t="str">
        <f>HYPERLINK("https://www.google.com/maps?q=-19.6638700,-43.9049170","Abrir no Google Maps")</f>
        <v>Abrir no Google Maps</v>
      </c>
      <c r="S352">
        <v>4</v>
      </c>
      <c r="T352">
        <v>0</v>
      </c>
      <c r="U352">
        <v>3</v>
      </c>
      <c r="V352">
        <v>10</v>
      </c>
      <c r="W352">
        <v>1</v>
      </c>
      <c r="X352">
        <v>10</v>
      </c>
      <c r="Y352">
        <v>4</v>
      </c>
      <c r="Z352">
        <v>1169.476938179705</v>
      </c>
      <c r="AA352">
        <v>2</v>
      </c>
      <c r="AB352">
        <v>3</v>
      </c>
      <c r="AC352">
        <v>7</v>
      </c>
      <c r="AD352">
        <v>23.52</v>
      </c>
      <c r="AE352">
        <v>253</v>
      </c>
      <c r="AF352">
        <v>15</v>
      </c>
      <c r="AG352">
        <v>55</v>
      </c>
      <c r="AH352">
        <v>32</v>
      </c>
      <c r="AI352">
        <v>5.93</v>
      </c>
      <c r="AJ352">
        <v>21.74</v>
      </c>
      <c r="AK352">
        <v>12.65</v>
      </c>
      <c r="AL352">
        <v>-19.657063599999962</v>
      </c>
      <c r="AM352">
        <v>-43.898074976464507</v>
      </c>
      <c r="AN352">
        <v>-19.657063599999962</v>
      </c>
      <c r="AO352">
        <v>-43.898074976464507</v>
      </c>
      <c r="AP352">
        <v>-19.663869999999999</v>
      </c>
      <c r="AQ352">
        <v>-43.904916999999998</v>
      </c>
      <c r="AR352">
        <v>1043.3426220355029</v>
      </c>
      <c r="AS352" t="s">
        <v>65</v>
      </c>
      <c r="AT352">
        <v>1</v>
      </c>
      <c r="AU352" t="s">
        <v>121</v>
      </c>
      <c r="AV352" t="s">
        <v>122</v>
      </c>
      <c r="AW352" t="s">
        <v>60</v>
      </c>
      <c r="AX352" t="s">
        <v>68</v>
      </c>
      <c r="AY352" t="s">
        <v>69</v>
      </c>
      <c r="AZ352" t="b">
        <v>1</v>
      </c>
    </row>
    <row r="353" spans="1:52" x14ac:dyDescent="0.3">
      <c r="A353" t="s">
        <v>52</v>
      </c>
      <c r="B353" t="s">
        <v>53</v>
      </c>
      <c r="C353" t="s">
        <v>54</v>
      </c>
      <c r="D353" t="s">
        <v>55</v>
      </c>
      <c r="E353" t="s">
        <v>770</v>
      </c>
      <c r="F353" t="s">
        <v>176</v>
      </c>
      <c r="G353" t="s">
        <v>129</v>
      </c>
      <c r="H353" t="s">
        <v>130</v>
      </c>
      <c r="I353" t="s">
        <v>130</v>
      </c>
      <c r="J353" t="s">
        <v>60</v>
      </c>
      <c r="K353" t="s">
        <v>131</v>
      </c>
      <c r="L353" t="s">
        <v>62</v>
      </c>
      <c r="M353" t="s">
        <v>131</v>
      </c>
      <c r="N353" t="s">
        <v>132</v>
      </c>
      <c r="O353" t="s">
        <v>133</v>
      </c>
      <c r="P353">
        <v>-19.632088</v>
      </c>
      <c r="Q353">
        <v>-43.916114999999998</v>
      </c>
      <c r="R353" s="2" t="str">
        <f>HYPERLINK("https://www.google.com/maps?q=-19.6320880,-43.9161150","Abrir no Google Maps")</f>
        <v>Abrir no Google Maps</v>
      </c>
      <c r="S353">
        <v>4</v>
      </c>
      <c r="T353">
        <v>566.5346232632869</v>
      </c>
      <c r="U353">
        <v>3</v>
      </c>
      <c r="V353">
        <v>10</v>
      </c>
      <c r="W353">
        <v>1</v>
      </c>
      <c r="X353">
        <v>10</v>
      </c>
      <c r="Y353">
        <v>3</v>
      </c>
      <c r="Z353">
        <v>488.06597434012792</v>
      </c>
      <c r="AA353">
        <v>2</v>
      </c>
      <c r="AB353">
        <v>3</v>
      </c>
      <c r="AC353">
        <v>7</v>
      </c>
      <c r="AD353">
        <v>23.52</v>
      </c>
      <c r="AE353">
        <v>253</v>
      </c>
      <c r="AF353">
        <v>15</v>
      </c>
      <c r="AG353">
        <v>55</v>
      </c>
      <c r="AH353">
        <v>32</v>
      </c>
      <c r="AI353">
        <v>5.93</v>
      </c>
      <c r="AJ353">
        <v>21.74</v>
      </c>
      <c r="AK353">
        <v>12.65</v>
      </c>
      <c r="AL353">
        <v>-19.632034449999939</v>
      </c>
      <c r="AM353">
        <v>-43.916174776913351</v>
      </c>
      <c r="AN353">
        <v>-19.632034449999939</v>
      </c>
      <c r="AO353">
        <v>-43.916174776913351</v>
      </c>
      <c r="AP353">
        <v>-19.632088</v>
      </c>
      <c r="AQ353">
        <v>-43.916114999999998</v>
      </c>
      <c r="AR353">
        <v>8.6497324882263911</v>
      </c>
      <c r="AS353" t="s">
        <v>65</v>
      </c>
      <c r="AT353">
        <v>1</v>
      </c>
      <c r="AU353" t="s">
        <v>134</v>
      </c>
      <c r="AV353" t="s">
        <v>135</v>
      </c>
      <c r="AW353" t="s">
        <v>60</v>
      </c>
      <c r="AX353" t="s">
        <v>68</v>
      </c>
      <c r="AY353" t="s">
        <v>69</v>
      </c>
      <c r="AZ353" t="b">
        <v>1</v>
      </c>
    </row>
    <row r="354" spans="1:52" x14ac:dyDescent="0.3">
      <c r="A354" t="s">
        <v>52</v>
      </c>
      <c r="B354" t="s">
        <v>53</v>
      </c>
      <c r="C354" t="s">
        <v>54</v>
      </c>
      <c r="D354" t="s">
        <v>55</v>
      </c>
      <c r="E354" t="s">
        <v>770</v>
      </c>
      <c r="F354" t="s">
        <v>176</v>
      </c>
      <c r="G354" t="s">
        <v>129</v>
      </c>
      <c r="H354" t="s">
        <v>136</v>
      </c>
      <c r="I354" t="s">
        <v>136</v>
      </c>
      <c r="J354" t="s">
        <v>60</v>
      </c>
      <c r="K354" t="s">
        <v>131</v>
      </c>
      <c r="L354" t="s">
        <v>62</v>
      </c>
      <c r="M354" t="s">
        <v>131</v>
      </c>
      <c r="N354" t="s">
        <v>132</v>
      </c>
      <c r="O354" t="s">
        <v>133</v>
      </c>
      <c r="P354">
        <v>-19.632290999999999</v>
      </c>
      <c r="Q354">
        <v>-43.916542999999997</v>
      </c>
      <c r="R354" s="2" t="str">
        <f>HYPERLINK("https://www.google.com/maps?q=-19.6322910,-43.9165430","Abrir no Google Maps")</f>
        <v>Abrir no Google Maps</v>
      </c>
      <c r="S354">
        <v>4</v>
      </c>
      <c r="T354">
        <v>556.95255545673058</v>
      </c>
      <c r="U354">
        <v>3</v>
      </c>
      <c r="V354">
        <v>13</v>
      </c>
      <c r="W354">
        <v>1</v>
      </c>
      <c r="X354">
        <v>13</v>
      </c>
      <c r="Y354">
        <v>3</v>
      </c>
      <c r="Z354">
        <v>479.66756878400719</v>
      </c>
      <c r="AA354">
        <v>2</v>
      </c>
      <c r="AB354">
        <v>3</v>
      </c>
      <c r="AC354">
        <v>7</v>
      </c>
      <c r="AD354">
        <v>23.52</v>
      </c>
      <c r="AE354">
        <v>253</v>
      </c>
      <c r="AF354">
        <v>15</v>
      </c>
      <c r="AG354">
        <v>55</v>
      </c>
      <c r="AH354">
        <v>32</v>
      </c>
      <c r="AI354">
        <v>5.93</v>
      </c>
      <c r="AJ354">
        <v>21.74</v>
      </c>
      <c r="AK354">
        <v>12.65</v>
      </c>
      <c r="AL354">
        <v>-19.63215424999996</v>
      </c>
      <c r="AM354">
        <v>-43.916542189528307</v>
      </c>
      <c r="AN354">
        <v>-19.63215424999996</v>
      </c>
      <c r="AO354">
        <v>-43.916542189528307</v>
      </c>
      <c r="AP354">
        <v>-19.632290999999999</v>
      </c>
      <c r="AQ354">
        <v>-43.916542999999997</v>
      </c>
      <c r="AR354">
        <v>15.22324717984722</v>
      </c>
      <c r="AS354" t="s">
        <v>65</v>
      </c>
      <c r="AT354">
        <v>1</v>
      </c>
      <c r="AU354" t="s">
        <v>137</v>
      </c>
      <c r="AV354" t="s">
        <v>138</v>
      </c>
      <c r="AW354" t="s">
        <v>60</v>
      </c>
      <c r="AX354" t="s">
        <v>68</v>
      </c>
      <c r="AY354" t="s">
        <v>69</v>
      </c>
      <c r="AZ354" t="b">
        <v>1</v>
      </c>
    </row>
    <row r="355" spans="1:52" x14ac:dyDescent="0.3">
      <c r="A355" t="s">
        <v>52</v>
      </c>
      <c r="B355" t="s">
        <v>53</v>
      </c>
      <c r="C355" t="s">
        <v>54</v>
      </c>
      <c r="D355" t="s">
        <v>55</v>
      </c>
      <c r="E355" t="s">
        <v>770</v>
      </c>
      <c r="F355" t="s">
        <v>176</v>
      </c>
      <c r="G355" t="s">
        <v>145</v>
      </c>
      <c r="H355" t="s">
        <v>146</v>
      </c>
      <c r="I355" t="s">
        <v>146</v>
      </c>
      <c r="J355" t="s">
        <v>60</v>
      </c>
      <c r="K355" t="s">
        <v>147</v>
      </c>
      <c r="L355" t="s">
        <v>62</v>
      </c>
      <c r="M355" t="s">
        <v>147</v>
      </c>
      <c r="N355" t="s">
        <v>148</v>
      </c>
      <c r="O355" t="s">
        <v>81</v>
      </c>
      <c r="P355">
        <v>-19.629356999999999</v>
      </c>
      <c r="Q355">
        <v>-43.916857</v>
      </c>
      <c r="R355" s="2" t="str">
        <f>HYPERLINK("https://www.google.com/maps?q=-19.6293570,-43.9168570","Abrir no Google Maps")</f>
        <v>Abrir no Google Maps</v>
      </c>
      <c r="S355">
        <v>4</v>
      </c>
      <c r="T355">
        <v>834.49898564045827</v>
      </c>
      <c r="U355">
        <v>3</v>
      </c>
      <c r="V355">
        <v>14</v>
      </c>
      <c r="W355">
        <v>1</v>
      </c>
      <c r="X355">
        <v>14</v>
      </c>
      <c r="Y355">
        <v>3</v>
      </c>
      <c r="Z355">
        <v>774.2841152512085</v>
      </c>
      <c r="AA355">
        <v>2</v>
      </c>
      <c r="AB355">
        <v>3</v>
      </c>
      <c r="AC355">
        <v>7</v>
      </c>
      <c r="AD355">
        <v>23.52</v>
      </c>
      <c r="AE355">
        <v>253</v>
      </c>
      <c r="AF355">
        <v>15</v>
      </c>
      <c r="AG355">
        <v>55</v>
      </c>
      <c r="AH355">
        <v>32</v>
      </c>
      <c r="AI355">
        <v>5.93</v>
      </c>
      <c r="AJ355">
        <v>21.74</v>
      </c>
      <c r="AK355">
        <v>12.65</v>
      </c>
      <c r="AL355">
        <v>-19.62962324999998</v>
      </c>
      <c r="AM355">
        <v>-43.916419823634037</v>
      </c>
      <c r="AN355">
        <v>-19.62962324999998</v>
      </c>
      <c r="AO355">
        <v>-43.916419823634051</v>
      </c>
      <c r="AP355">
        <v>-19.629356999999999</v>
      </c>
      <c r="AQ355">
        <v>-43.916857</v>
      </c>
      <c r="AR355">
        <v>54.585757388798442</v>
      </c>
      <c r="AS355" t="s">
        <v>65</v>
      </c>
      <c r="AT355">
        <v>1</v>
      </c>
      <c r="AU355" t="s">
        <v>149</v>
      </c>
      <c r="AV355" t="s">
        <v>150</v>
      </c>
      <c r="AW355" t="s">
        <v>60</v>
      </c>
      <c r="AX355" t="s">
        <v>68</v>
      </c>
      <c r="AY355" t="s">
        <v>69</v>
      </c>
      <c r="AZ355" t="b">
        <v>1</v>
      </c>
    </row>
    <row r="356" spans="1:52" x14ac:dyDescent="0.3">
      <c r="A356" t="s">
        <v>52</v>
      </c>
      <c r="B356" t="s">
        <v>53</v>
      </c>
      <c r="C356" t="s">
        <v>54</v>
      </c>
      <c r="D356" t="s">
        <v>55</v>
      </c>
      <c r="E356" t="s">
        <v>770</v>
      </c>
      <c r="F356" t="s">
        <v>176</v>
      </c>
      <c r="G356" t="s">
        <v>197</v>
      </c>
      <c r="H356" t="s">
        <v>224</v>
      </c>
      <c r="I356" t="s">
        <v>224</v>
      </c>
      <c r="J356" t="s">
        <v>60</v>
      </c>
      <c r="K356" t="s">
        <v>199</v>
      </c>
      <c r="L356" t="s">
        <v>62</v>
      </c>
      <c r="M356" t="s">
        <v>199</v>
      </c>
      <c r="N356" t="s">
        <v>200</v>
      </c>
      <c r="O356" t="s">
        <v>225</v>
      </c>
      <c r="P356">
        <v>-19.637217</v>
      </c>
      <c r="Q356">
        <v>-43.916117</v>
      </c>
      <c r="R356" s="2" t="str">
        <f>HYPERLINK("https://www.google.com/maps?q=-19.6372170,-43.9161170","Abrir no Google Maps")</f>
        <v>Abrir no Google Maps</v>
      </c>
      <c r="S356">
        <v>4</v>
      </c>
      <c r="T356">
        <v>0</v>
      </c>
      <c r="U356">
        <v>3</v>
      </c>
      <c r="V356">
        <v>11</v>
      </c>
      <c r="W356">
        <v>1</v>
      </c>
      <c r="X356">
        <v>11</v>
      </c>
      <c r="Y356">
        <v>3</v>
      </c>
      <c r="Z356">
        <v>94.289538231800577</v>
      </c>
      <c r="AA356">
        <v>2</v>
      </c>
      <c r="AB356">
        <v>3</v>
      </c>
      <c r="AC356">
        <v>7</v>
      </c>
      <c r="AD356">
        <v>23.52</v>
      </c>
      <c r="AE356">
        <v>253</v>
      </c>
      <c r="AF356">
        <v>15</v>
      </c>
      <c r="AG356">
        <v>55</v>
      </c>
      <c r="AH356">
        <v>32</v>
      </c>
      <c r="AI356">
        <v>5.93</v>
      </c>
      <c r="AJ356">
        <v>21.74</v>
      </c>
      <c r="AK356">
        <v>12.65</v>
      </c>
      <c r="AL356">
        <v>-19.63714454999996</v>
      </c>
      <c r="AM356">
        <v>-43.915856532303224</v>
      </c>
      <c r="AN356">
        <v>-19.63714454999996</v>
      </c>
      <c r="AO356">
        <v>-43.915856532303224</v>
      </c>
      <c r="AP356">
        <v>-19.637217</v>
      </c>
      <c r="AQ356">
        <v>-43.916117</v>
      </c>
      <c r="AR356">
        <v>28.47493692061667</v>
      </c>
      <c r="AS356" t="s">
        <v>65</v>
      </c>
      <c r="AT356">
        <v>1</v>
      </c>
      <c r="AU356" t="s">
        <v>226</v>
      </c>
      <c r="AV356" t="s">
        <v>227</v>
      </c>
      <c r="AW356" t="s">
        <v>60</v>
      </c>
      <c r="AX356" t="s">
        <v>68</v>
      </c>
      <c r="AY356" t="s">
        <v>69</v>
      </c>
      <c r="AZ356" t="b">
        <v>1</v>
      </c>
    </row>
    <row r="357" spans="1:52" x14ac:dyDescent="0.3">
      <c r="A357" t="s">
        <v>52</v>
      </c>
      <c r="B357" t="s">
        <v>53</v>
      </c>
      <c r="C357" t="s">
        <v>54</v>
      </c>
      <c r="D357" t="s">
        <v>55</v>
      </c>
      <c r="E357" t="s">
        <v>770</v>
      </c>
      <c r="F357" t="s">
        <v>176</v>
      </c>
      <c r="G357" t="s">
        <v>228</v>
      </c>
      <c r="H357" t="s">
        <v>229</v>
      </c>
      <c r="I357" t="s">
        <v>229</v>
      </c>
      <c r="J357" t="s">
        <v>60</v>
      </c>
      <c r="K357" t="s">
        <v>199</v>
      </c>
      <c r="L357" t="s">
        <v>62</v>
      </c>
      <c r="M357" t="s">
        <v>199</v>
      </c>
      <c r="N357" t="s">
        <v>230</v>
      </c>
      <c r="O357" t="s">
        <v>88</v>
      </c>
      <c r="P357">
        <v>-19.637703999999999</v>
      </c>
      <c r="Q357">
        <v>-43.913817999999999</v>
      </c>
      <c r="R357" s="2" t="str">
        <f>HYPERLINK("https://www.google.com/maps?q=-19.6377040,-43.9138180","Abrir no Google Maps")</f>
        <v>Abrir no Google Maps</v>
      </c>
      <c r="S357">
        <v>4</v>
      </c>
      <c r="T357">
        <v>216.67225021659709</v>
      </c>
      <c r="U357">
        <v>3</v>
      </c>
      <c r="V357">
        <v>13</v>
      </c>
      <c r="W357">
        <v>1</v>
      </c>
      <c r="X357">
        <v>13</v>
      </c>
      <c r="Y357">
        <v>3</v>
      </c>
      <c r="Z357">
        <v>250.25912407368671</v>
      </c>
      <c r="AA357">
        <v>2</v>
      </c>
      <c r="AB357">
        <v>3</v>
      </c>
      <c r="AC357">
        <v>7</v>
      </c>
      <c r="AD357">
        <v>23.52</v>
      </c>
      <c r="AE357">
        <v>253</v>
      </c>
      <c r="AF357">
        <v>15</v>
      </c>
      <c r="AG357">
        <v>55</v>
      </c>
      <c r="AH357">
        <v>32</v>
      </c>
      <c r="AI357">
        <v>5.93</v>
      </c>
      <c r="AJ357">
        <v>21.74</v>
      </c>
      <c r="AK357">
        <v>12.65</v>
      </c>
      <c r="AL357">
        <v>-19.637548049999939</v>
      </c>
      <c r="AM357">
        <v>-43.91383458447649</v>
      </c>
      <c r="AN357">
        <v>-19.637548049999939</v>
      </c>
      <c r="AO357">
        <v>-43.91383458447649</v>
      </c>
      <c r="AP357">
        <v>-19.637703999999999</v>
      </c>
      <c r="AQ357">
        <v>-43.913817999999999</v>
      </c>
      <c r="AR357">
        <v>17.44721566371809</v>
      </c>
      <c r="AS357" t="s">
        <v>65</v>
      </c>
      <c r="AT357">
        <v>1</v>
      </c>
      <c r="AU357" t="s">
        <v>231</v>
      </c>
      <c r="AV357" t="s">
        <v>232</v>
      </c>
      <c r="AW357" t="s">
        <v>60</v>
      </c>
      <c r="AX357" t="s">
        <v>68</v>
      </c>
      <c r="AY357" t="s">
        <v>69</v>
      </c>
      <c r="AZ357" t="b">
        <v>1</v>
      </c>
    </row>
    <row r="358" spans="1:52" x14ac:dyDescent="0.3">
      <c r="A358" t="s">
        <v>52</v>
      </c>
      <c r="B358" t="s">
        <v>53</v>
      </c>
      <c r="C358" t="s">
        <v>54</v>
      </c>
      <c r="D358" t="s">
        <v>55</v>
      </c>
      <c r="E358" t="s">
        <v>770</v>
      </c>
      <c r="F358" t="s">
        <v>176</v>
      </c>
      <c r="G358" t="s">
        <v>632</v>
      </c>
      <c r="H358" t="s">
        <v>633</v>
      </c>
      <c r="I358" t="s">
        <v>633</v>
      </c>
      <c r="J358" t="s">
        <v>60</v>
      </c>
      <c r="K358" t="s">
        <v>164</v>
      </c>
      <c r="L358" t="s">
        <v>62</v>
      </c>
      <c r="M358" t="s">
        <v>164</v>
      </c>
      <c r="N358" t="s">
        <v>287</v>
      </c>
      <c r="O358" t="s">
        <v>634</v>
      </c>
      <c r="P358">
        <v>-19.647012</v>
      </c>
      <c r="Q358">
        <v>-43.903843000000002</v>
      </c>
      <c r="R358" s="2" t="str">
        <f>HYPERLINK("https://www.google.com/maps?q=-19.6470120,-43.9038430","Abrir no Google Maps")</f>
        <v>Abrir no Google Maps</v>
      </c>
      <c r="S358">
        <v>4</v>
      </c>
      <c r="T358">
        <v>0</v>
      </c>
      <c r="U358">
        <v>3</v>
      </c>
      <c r="V358">
        <v>11</v>
      </c>
      <c r="W358">
        <v>0.85</v>
      </c>
      <c r="X358">
        <v>9.35</v>
      </c>
      <c r="Y358">
        <v>1</v>
      </c>
      <c r="Z358">
        <v>126.45608798330009</v>
      </c>
      <c r="AA358">
        <v>2</v>
      </c>
      <c r="AB358">
        <v>3</v>
      </c>
      <c r="AC358">
        <v>7</v>
      </c>
      <c r="AD358">
        <v>23.52</v>
      </c>
      <c r="AE358">
        <v>253</v>
      </c>
      <c r="AF358">
        <v>15</v>
      </c>
      <c r="AG358">
        <v>55</v>
      </c>
      <c r="AH358">
        <v>32</v>
      </c>
      <c r="AI358">
        <v>5.93</v>
      </c>
      <c r="AJ358">
        <v>21.74</v>
      </c>
      <c r="AK358">
        <v>12.65</v>
      </c>
      <c r="AL358">
        <v>-19.647072199999968</v>
      </c>
      <c r="AM358">
        <v>-43.903751273681941</v>
      </c>
      <c r="AN358">
        <v>-19.647072199999968</v>
      </c>
      <c r="AO358">
        <v>-43.903751273681941</v>
      </c>
      <c r="AP358">
        <v>-19.647012</v>
      </c>
      <c r="AQ358">
        <v>-43.903843000000002</v>
      </c>
      <c r="AR358">
        <v>11.72121231224985</v>
      </c>
      <c r="AS358" t="s">
        <v>65</v>
      </c>
      <c r="AT358">
        <v>1</v>
      </c>
      <c r="AU358" t="s">
        <v>635</v>
      </c>
      <c r="AV358" t="s">
        <v>636</v>
      </c>
      <c r="AW358" t="s">
        <v>60</v>
      </c>
      <c r="AX358" t="s">
        <v>68</v>
      </c>
      <c r="AY358" t="s">
        <v>69</v>
      </c>
      <c r="AZ358" t="b">
        <v>1</v>
      </c>
    </row>
    <row r="359" spans="1:52" x14ac:dyDescent="0.3">
      <c r="A359" t="s">
        <v>52</v>
      </c>
      <c r="B359" t="s">
        <v>53</v>
      </c>
      <c r="C359" t="s">
        <v>54</v>
      </c>
      <c r="D359" t="s">
        <v>55</v>
      </c>
      <c r="E359" t="s">
        <v>770</v>
      </c>
      <c r="F359" t="s">
        <v>176</v>
      </c>
      <c r="G359" t="s">
        <v>252</v>
      </c>
      <c r="H359" t="s">
        <v>253</v>
      </c>
      <c r="I359" t="s">
        <v>253</v>
      </c>
      <c r="J359" t="s">
        <v>60</v>
      </c>
      <c r="K359" t="s">
        <v>164</v>
      </c>
      <c r="L359" t="s">
        <v>62</v>
      </c>
      <c r="M359" t="s">
        <v>164</v>
      </c>
      <c r="N359" t="s">
        <v>254</v>
      </c>
      <c r="O359" t="s">
        <v>255</v>
      </c>
      <c r="P359">
        <v>-19.652244</v>
      </c>
      <c r="Q359">
        <v>-43.906869</v>
      </c>
      <c r="R359" s="2" t="str">
        <f>HYPERLINK("https://www.google.com/maps?q=-19.6522440,-43.9068690","Abrir no Google Maps")</f>
        <v>Abrir no Google Maps</v>
      </c>
      <c r="S359">
        <v>4</v>
      </c>
      <c r="T359">
        <v>659.98887289357856</v>
      </c>
      <c r="U359">
        <v>3</v>
      </c>
      <c r="V359">
        <v>12</v>
      </c>
      <c r="W359">
        <v>1</v>
      </c>
      <c r="X359">
        <v>12</v>
      </c>
      <c r="Y359">
        <v>1</v>
      </c>
      <c r="Z359">
        <v>607.69009953455907</v>
      </c>
      <c r="AA359">
        <v>2</v>
      </c>
      <c r="AB359">
        <v>3</v>
      </c>
      <c r="AC359">
        <v>7</v>
      </c>
      <c r="AD359">
        <v>23.52</v>
      </c>
      <c r="AE359">
        <v>253</v>
      </c>
      <c r="AF359">
        <v>15</v>
      </c>
      <c r="AG359">
        <v>55</v>
      </c>
      <c r="AH359">
        <v>32</v>
      </c>
      <c r="AI359">
        <v>5.93</v>
      </c>
      <c r="AJ359">
        <v>21.74</v>
      </c>
      <c r="AK359">
        <v>12.65</v>
      </c>
      <c r="AL359">
        <v>-19.65225609999996</v>
      </c>
      <c r="AM359">
        <v>-43.906862663911163</v>
      </c>
      <c r="AN359">
        <v>-19.65225609999996</v>
      </c>
      <c r="AO359">
        <v>-43.906862663911149</v>
      </c>
      <c r="AP359">
        <v>-19.652244</v>
      </c>
      <c r="AQ359">
        <v>-43.906869</v>
      </c>
      <c r="AR359">
        <v>1.501852076897872</v>
      </c>
      <c r="AS359" t="s">
        <v>65</v>
      </c>
      <c r="AT359">
        <v>1</v>
      </c>
      <c r="AU359" t="s">
        <v>256</v>
      </c>
      <c r="AV359" t="s">
        <v>257</v>
      </c>
      <c r="AW359" t="s">
        <v>60</v>
      </c>
      <c r="AX359" t="s">
        <v>68</v>
      </c>
      <c r="AY359" t="s">
        <v>69</v>
      </c>
      <c r="AZ359" t="b">
        <v>1</v>
      </c>
    </row>
    <row r="360" spans="1:52" x14ac:dyDescent="0.3">
      <c r="A360" t="s">
        <v>52</v>
      </c>
      <c r="B360" t="s">
        <v>53</v>
      </c>
      <c r="C360" t="s">
        <v>54</v>
      </c>
      <c r="D360" t="s">
        <v>55</v>
      </c>
      <c r="E360" t="s">
        <v>770</v>
      </c>
      <c r="F360" t="s">
        <v>176</v>
      </c>
      <c r="G360" t="s">
        <v>506</v>
      </c>
      <c r="H360" t="s">
        <v>653</v>
      </c>
      <c r="I360" t="s">
        <v>653</v>
      </c>
      <c r="J360" t="s">
        <v>60</v>
      </c>
      <c r="K360" t="s">
        <v>219</v>
      </c>
      <c r="L360" t="s">
        <v>62</v>
      </c>
      <c r="M360" t="s">
        <v>219</v>
      </c>
      <c r="N360" t="s">
        <v>654</v>
      </c>
      <c r="O360" t="s">
        <v>655</v>
      </c>
      <c r="P360">
        <v>-19.663547000000001</v>
      </c>
      <c r="Q360">
        <v>-43.887289000000003</v>
      </c>
      <c r="R360" s="2" t="str">
        <f>HYPERLINK("https://www.google.com/maps?q=-19.6635470,-43.8872890","Abrir no Google Maps")</f>
        <v>Abrir no Google Maps</v>
      </c>
      <c r="S360">
        <v>4</v>
      </c>
      <c r="T360">
        <v>1322.0974038105271</v>
      </c>
      <c r="U360">
        <v>3</v>
      </c>
      <c r="V360">
        <v>12</v>
      </c>
      <c r="W360">
        <v>0.85</v>
      </c>
      <c r="X360">
        <v>10.199999999999999</v>
      </c>
      <c r="Y360">
        <v>1</v>
      </c>
      <c r="Z360">
        <v>410.01820565428989</v>
      </c>
      <c r="AA360">
        <v>2</v>
      </c>
      <c r="AB360">
        <v>3</v>
      </c>
      <c r="AC360">
        <v>7</v>
      </c>
      <c r="AD360">
        <v>23.52</v>
      </c>
      <c r="AE360">
        <v>253</v>
      </c>
      <c r="AF360">
        <v>15</v>
      </c>
      <c r="AG360">
        <v>55</v>
      </c>
      <c r="AH360">
        <v>32</v>
      </c>
      <c r="AI360">
        <v>5.93</v>
      </c>
      <c r="AJ360">
        <v>21.74</v>
      </c>
      <c r="AK360">
        <v>12.65</v>
      </c>
      <c r="AL360">
        <v>-19.663324149999969</v>
      </c>
      <c r="AM360">
        <v>-43.887335428407333</v>
      </c>
      <c r="AN360">
        <v>-19.663324149999969</v>
      </c>
      <c r="AO360">
        <v>-43.887335428407333</v>
      </c>
      <c r="AP360">
        <v>-19.663547000000001</v>
      </c>
      <c r="AQ360">
        <v>-43.887289000000003</v>
      </c>
      <c r="AR360">
        <v>25.280585055537909</v>
      </c>
      <c r="AS360" t="s">
        <v>65</v>
      </c>
      <c r="AT360">
        <v>1</v>
      </c>
      <c r="AU360" t="s">
        <v>656</v>
      </c>
      <c r="AV360" t="s">
        <v>657</v>
      </c>
      <c r="AW360" t="s">
        <v>60</v>
      </c>
      <c r="AX360" t="s">
        <v>68</v>
      </c>
      <c r="AY360" t="s">
        <v>69</v>
      </c>
      <c r="AZ360" t="b">
        <v>1</v>
      </c>
    </row>
    <row r="361" spans="1:52" x14ac:dyDescent="0.3">
      <c r="A361" t="s">
        <v>52</v>
      </c>
      <c r="B361" t="s">
        <v>53</v>
      </c>
      <c r="C361" t="s">
        <v>54</v>
      </c>
      <c r="D361" t="s">
        <v>55</v>
      </c>
      <c r="E361" t="s">
        <v>770</v>
      </c>
      <c r="F361" t="s">
        <v>176</v>
      </c>
      <c r="G361" t="s">
        <v>268</v>
      </c>
      <c r="H361" t="s">
        <v>269</v>
      </c>
      <c r="I361" t="s">
        <v>269</v>
      </c>
      <c r="J361" t="s">
        <v>60</v>
      </c>
      <c r="K361" t="s">
        <v>164</v>
      </c>
      <c r="L361" t="s">
        <v>62</v>
      </c>
      <c r="M361" t="s">
        <v>164</v>
      </c>
      <c r="N361" t="s">
        <v>270</v>
      </c>
      <c r="O361" t="s">
        <v>113</v>
      </c>
      <c r="P361">
        <v>-19.648771</v>
      </c>
      <c r="Q361">
        <v>-43.903640000000003</v>
      </c>
      <c r="R361" s="2" t="str">
        <f>HYPERLINK("https://www.google.com/maps?q=-19.6487710,-43.9036400","Abrir no Google Maps")</f>
        <v>Abrir no Google Maps</v>
      </c>
      <c r="S361">
        <v>4</v>
      </c>
      <c r="T361">
        <v>206.63717887005251</v>
      </c>
      <c r="U361">
        <v>3</v>
      </c>
      <c r="V361">
        <v>14</v>
      </c>
      <c r="W361">
        <v>1</v>
      </c>
      <c r="X361">
        <v>14</v>
      </c>
      <c r="Y361">
        <v>1</v>
      </c>
      <c r="Z361">
        <v>200.80459056276209</v>
      </c>
      <c r="AA361">
        <v>2</v>
      </c>
      <c r="AB361">
        <v>3</v>
      </c>
      <c r="AC361">
        <v>7</v>
      </c>
      <c r="AD361">
        <v>23.52</v>
      </c>
      <c r="AE361">
        <v>253</v>
      </c>
      <c r="AF361">
        <v>15</v>
      </c>
      <c r="AG361">
        <v>55</v>
      </c>
      <c r="AH361">
        <v>32</v>
      </c>
      <c r="AI361">
        <v>5.93</v>
      </c>
      <c r="AJ361">
        <v>21.74</v>
      </c>
      <c r="AK361">
        <v>12.65</v>
      </c>
      <c r="AL361">
        <v>-19.648938299999969</v>
      </c>
      <c r="AM361">
        <v>-43.903687287450857</v>
      </c>
      <c r="AN361">
        <v>-19.648938299999969</v>
      </c>
      <c r="AO361">
        <v>-43.903687287450857</v>
      </c>
      <c r="AP361">
        <v>-19.648771</v>
      </c>
      <c r="AQ361">
        <v>-43.903640000000003</v>
      </c>
      <c r="AR361">
        <v>19.272369946853829</v>
      </c>
      <c r="AS361" t="s">
        <v>65</v>
      </c>
      <c r="AT361">
        <v>1</v>
      </c>
      <c r="AU361" t="s">
        <v>271</v>
      </c>
      <c r="AV361" t="s">
        <v>272</v>
      </c>
      <c r="AW361" t="s">
        <v>60</v>
      </c>
      <c r="AX361" t="s">
        <v>68</v>
      </c>
      <c r="AY361" t="s">
        <v>69</v>
      </c>
      <c r="AZ361" t="b">
        <v>1</v>
      </c>
    </row>
    <row r="362" spans="1:52" x14ac:dyDescent="0.3">
      <c r="A362" t="s">
        <v>52</v>
      </c>
      <c r="B362" t="s">
        <v>53</v>
      </c>
      <c r="C362" t="s">
        <v>54</v>
      </c>
      <c r="D362" t="s">
        <v>55</v>
      </c>
      <c r="E362" t="s">
        <v>770</v>
      </c>
      <c r="F362" t="s">
        <v>176</v>
      </c>
      <c r="G362" t="s">
        <v>162</v>
      </c>
      <c r="H362" t="s">
        <v>163</v>
      </c>
      <c r="I362" t="s">
        <v>163</v>
      </c>
      <c r="J362" t="s">
        <v>60</v>
      </c>
      <c r="K362" t="s">
        <v>164</v>
      </c>
      <c r="L362" t="s">
        <v>62</v>
      </c>
      <c r="M362" t="s">
        <v>164</v>
      </c>
      <c r="N362" t="s">
        <v>165</v>
      </c>
      <c r="O362" t="s">
        <v>166</v>
      </c>
      <c r="P362">
        <v>-19.650033000000001</v>
      </c>
      <c r="Q362">
        <v>-43.904634000000001</v>
      </c>
      <c r="R362" s="2" t="str">
        <f>HYPERLINK("https://www.google.com/maps?q=-19.6500330,-43.9046340","Abrir no Google Maps")</f>
        <v>Abrir no Google Maps</v>
      </c>
      <c r="S362">
        <v>4</v>
      </c>
      <c r="T362">
        <v>343.61469317865811</v>
      </c>
      <c r="U362">
        <v>3</v>
      </c>
      <c r="V362">
        <v>11</v>
      </c>
      <c r="W362">
        <v>1</v>
      </c>
      <c r="X362">
        <v>11</v>
      </c>
      <c r="Y362">
        <v>1</v>
      </c>
      <c r="Z362">
        <v>351.81960241626399</v>
      </c>
      <c r="AA362">
        <v>2</v>
      </c>
      <c r="AB362">
        <v>3</v>
      </c>
      <c r="AC362">
        <v>7</v>
      </c>
      <c r="AD362">
        <v>23.52</v>
      </c>
      <c r="AE362">
        <v>253</v>
      </c>
      <c r="AF362">
        <v>15</v>
      </c>
      <c r="AG362">
        <v>55</v>
      </c>
      <c r="AH362">
        <v>32</v>
      </c>
      <c r="AI362">
        <v>5.93</v>
      </c>
      <c r="AJ362">
        <v>21.74</v>
      </c>
      <c r="AK362">
        <v>12.65</v>
      </c>
      <c r="AL362">
        <v>-19.650065899999959</v>
      </c>
      <c r="AM362">
        <v>-43.904619920569793</v>
      </c>
      <c r="AN362">
        <v>-19.650065899999959</v>
      </c>
      <c r="AO362">
        <v>-43.904619920569793</v>
      </c>
      <c r="AP362">
        <v>-19.650033000000001</v>
      </c>
      <c r="AQ362">
        <v>-43.904634000000001</v>
      </c>
      <c r="AR362">
        <v>3.9486827164921792</v>
      </c>
      <c r="AS362" t="s">
        <v>65</v>
      </c>
      <c r="AT362">
        <v>1</v>
      </c>
      <c r="AU362" t="s">
        <v>167</v>
      </c>
      <c r="AV362" t="s">
        <v>168</v>
      </c>
      <c r="AW362" t="s">
        <v>60</v>
      </c>
      <c r="AX362" t="s">
        <v>68</v>
      </c>
      <c r="AY362" t="s">
        <v>69</v>
      </c>
      <c r="AZ362" t="b">
        <v>1</v>
      </c>
    </row>
    <row r="363" spans="1:52" x14ac:dyDescent="0.3">
      <c r="A363" t="s">
        <v>52</v>
      </c>
      <c r="B363" t="s">
        <v>53</v>
      </c>
      <c r="C363" t="s">
        <v>54</v>
      </c>
      <c r="D363" t="s">
        <v>55</v>
      </c>
      <c r="E363" t="s">
        <v>770</v>
      </c>
      <c r="F363" t="s">
        <v>176</v>
      </c>
      <c r="G363" t="s">
        <v>279</v>
      </c>
      <c r="H363" t="s">
        <v>280</v>
      </c>
      <c r="I363" t="s">
        <v>280</v>
      </c>
      <c r="J363" t="s">
        <v>60</v>
      </c>
      <c r="K363" t="s">
        <v>171</v>
      </c>
      <c r="L363" t="s">
        <v>62</v>
      </c>
      <c r="M363" t="s">
        <v>171</v>
      </c>
      <c r="N363" t="s">
        <v>281</v>
      </c>
      <c r="O363" t="s">
        <v>282</v>
      </c>
      <c r="P363">
        <v>-19.677088000000001</v>
      </c>
      <c r="Q363">
        <v>-43.890014000000001</v>
      </c>
      <c r="R363" s="2" t="str">
        <f>HYPERLINK("https://www.google.com/maps?q=-19.6770880,-43.8900140","Abrir no Google Maps")</f>
        <v>Abrir no Google Maps</v>
      </c>
      <c r="S363">
        <v>4</v>
      </c>
      <c r="T363">
        <v>0</v>
      </c>
      <c r="U363">
        <v>3</v>
      </c>
      <c r="V363">
        <v>13</v>
      </c>
      <c r="W363">
        <v>1</v>
      </c>
      <c r="X363">
        <v>13</v>
      </c>
      <c r="Y363">
        <v>0</v>
      </c>
      <c r="Z363">
        <v>151.75635194559609</v>
      </c>
      <c r="AA363">
        <v>2</v>
      </c>
      <c r="AB363">
        <v>3</v>
      </c>
      <c r="AC363">
        <v>7</v>
      </c>
      <c r="AD363">
        <v>23.52</v>
      </c>
      <c r="AE363">
        <v>253</v>
      </c>
      <c r="AF363">
        <v>15</v>
      </c>
      <c r="AG363">
        <v>55</v>
      </c>
      <c r="AH363">
        <v>32</v>
      </c>
      <c r="AI363">
        <v>5.93</v>
      </c>
      <c r="AJ363">
        <v>21.74</v>
      </c>
      <c r="AK363">
        <v>12.65</v>
      </c>
      <c r="AL363">
        <v>-19.677165649999949</v>
      </c>
      <c r="AM363">
        <v>-43.890106299611283</v>
      </c>
      <c r="AN363">
        <v>-19.677165649999949</v>
      </c>
      <c r="AO363">
        <v>-43.890106299611283</v>
      </c>
      <c r="AP363">
        <v>-19.677088000000001</v>
      </c>
      <c r="AQ363">
        <v>-43.890014000000001</v>
      </c>
      <c r="AR363">
        <v>12.973833126778279</v>
      </c>
      <c r="AS363" t="s">
        <v>65</v>
      </c>
      <c r="AT363">
        <v>1</v>
      </c>
      <c r="AU363" t="s">
        <v>283</v>
      </c>
      <c r="AV363" t="s">
        <v>175</v>
      </c>
      <c r="AW363" t="s">
        <v>60</v>
      </c>
      <c r="AX363" t="s">
        <v>68</v>
      </c>
      <c r="AY363" t="s">
        <v>69</v>
      </c>
      <c r="AZ363" t="b">
        <v>1</v>
      </c>
    </row>
    <row r="364" spans="1:52" x14ac:dyDescent="0.3">
      <c r="A364" t="s">
        <v>52</v>
      </c>
      <c r="B364" t="s">
        <v>53</v>
      </c>
      <c r="C364" t="s">
        <v>54</v>
      </c>
      <c r="D364" t="s">
        <v>55</v>
      </c>
      <c r="E364" t="s">
        <v>770</v>
      </c>
      <c r="F364" t="s">
        <v>176</v>
      </c>
      <c r="G364" t="s">
        <v>284</v>
      </c>
      <c r="H364" t="s">
        <v>285</v>
      </c>
      <c r="I364" t="s">
        <v>285</v>
      </c>
      <c r="J364" t="s">
        <v>60</v>
      </c>
      <c r="K364" t="s">
        <v>286</v>
      </c>
      <c r="L364" t="s">
        <v>62</v>
      </c>
      <c r="M364" t="s">
        <v>286</v>
      </c>
      <c r="N364" t="s">
        <v>287</v>
      </c>
      <c r="O364" t="s">
        <v>288</v>
      </c>
      <c r="P364">
        <v>-19.639790000000001</v>
      </c>
      <c r="Q364">
        <v>-43.882798999999999</v>
      </c>
      <c r="R364" s="2" t="str">
        <f>HYPERLINK("https://www.google.com/maps?q=-19.6397900,-43.8827990","Abrir no Google Maps")</f>
        <v>Abrir no Google Maps</v>
      </c>
      <c r="S364">
        <v>3</v>
      </c>
      <c r="T364">
        <v>242.7052058134478</v>
      </c>
      <c r="U364">
        <v>4</v>
      </c>
      <c r="V364">
        <v>18</v>
      </c>
      <c r="W364">
        <v>1</v>
      </c>
      <c r="X364">
        <v>18</v>
      </c>
      <c r="Y364">
        <v>10</v>
      </c>
      <c r="Z364">
        <v>187.2088809462339</v>
      </c>
      <c r="AA364">
        <v>2</v>
      </c>
      <c r="AB364">
        <v>3</v>
      </c>
      <c r="AC364">
        <v>7</v>
      </c>
      <c r="AD364">
        <v>23.52</v>
      </c>
      <c r="AE364">
        <v>253</v>
      </c>
      <c r="AF364">
        <v>15</v>
      </c>
      <c r="AG364">
        <v>55</v>
      </c>
      <c r="AH364">
        <v>32</v>
      </c>
      <c r="AI364">
        <v>5.93</v>
      </c>
      <c r="AJ364">
        <v>21.74</v>
      </c>
      <c r="AK364">
        <v>12.65</v>
      </c>
      <c r="AL364">
        <v>-19.639855599999951</v>
      </c>
      <c r="AM364">
        <v>-43.882909745178452</v>
      </c>
      <c r="AN364">
        <v>-19.639855599999951</v>
      </c>
      <c r="AO364">
        <v>-43.882909745178452</v>
      </c>
      <c r="AP364">
        <v>-19.639790000000001</v>
      </c>
      <c r="AQ364">
        <v>-43.882798999999999</v>
      </c>
      <c r="AR364">
        <v>13.716486068571211</v>
      </c>
      <c r="AS364" t="s">
        <v>65</v>
      </c>
      <c r="AT364">
        <v>1</v>
      </c>
      <c r="AU364" t="s">
        <v>289</v>
      </c>
      <c r="AV364" t="s">
        <v>290</v>
      </c>
      <c r="AW364" t="s">
        <v>60</v>
      </c>
      <c r="AX364" t="s">
        <v>68</v>
      </c>
      <c r="AY364" t="s">
        <v>69</v>
      </c>
      <c r="AZ364" t="b">
        <v>1</v>
      </c>
    </row>
    <row r="365" spans="1:52" x14ac:dyDescent="0.3">
      <c r="A365" t="s">
        <v>52</v>
      </c>
      <c r="B365" t="s">
        <v>53</v>
      </c>
      <c r="C365" t="s">
        <v>54</v>
      </c>
      <c r="D365" t="s">
        <v>55</v>
      </c>
      <c r="E365" t="s">
        <v>770</v>
      </c>
      <c r="F365" t="s">
        <v>176</v>
      </c>
      <c r="G365" t="s">
        <v>417</v>
      </c>
      <c r="H365" t="s">
        <v>418</v>
      </c>
      <c r="I365" t="s">
        <v>418</v>
      </c>
      <c r="J365" t="s">
        <v>60</v>
      </c>
      <c r="K365" t="s">
        <v>179</v>
      </c>
      <c r="L365" t="s">
        <v>62</v>
      </c>
      <c r="M365" t="s">
        <v>179</v>
      </c>
      <c r="N365" t="s">
        <v>419</v>
      </c>
      <c r="O365" t="s">
        <v>420</v>
      </c>
      <c r="P365">
        <v>-19.646516999999999</v>
      </c>
      <c r="Q365">
        <v>-43.889716</v>
      </c>
      <c r="R365" s="2" t="str">
        <f>HYPERLINK("https://www.google.com/maps?q=-19.6465170,-43.8897160","Abrir no Google Maps")</f>
        <v>Abrir no Google Maps</v>
      </c>
      <c r="S365">
        <v>3</v>
      </c>
      <c r="T365">
        <v>796.8355517653099</v>
      </c>
      <c r="U365">
        <v>4</v>
      </c>
      <c r="V365">
        <v>27</v>
      </c>
      <c r="W365">
        <v>1</v>
      </c>
      <c r="X365">
        <v>27</v>
      </c>
      <c r="Y365">
        <v>7</v>
      </c>
      <c r="Z365">
        <v>749.72812632947034</v>
      </c>
      <c r="AA365">
        <v>2</v>
      </c>
      <c r="AB365">
        <v>3</v>
      </c>
      <c r="AC365">
        <v>7</v>
      </c>
      <c r="AD365">
        <v>23.52</v>
      </c>
      <c r="AE365">
        <v>253</v>
      </c>
      <c r="AF365">
        <v>15</v>
      </c>
      <c r="AG365">
        <v>55</v>
      </c>
      <c r="AH365">
        <v>32</v>
      </c>
      <c r="AI365">
        <v>5.93</v>
      </c>
      <c r="AJ365">
        <v>21.74</v>
      </c>
      <c r="AK365">
        <v>12.65</v>
      </c>
      <c r="AL365">
        <v>-19.646452649999961</v>
      </c>
      <c r="AM365">
        <v>-43.88991036523079</v>
      </c>
      <c r="AN365">
        <v>-19.646452649999961</v>
      </c>
      <c r="AO365">
        <v>-43.88991036523079</v>
      </c>
      <c r="AP365">
        <v>-19.646516999999999</v>
      </c>
      <c r="AQ365">
        <v>-43.889716</v>
      </c>
      <c r="AR365">
        <v>21.599617922669939</v>
      </c>
      <c r="AS365" t="s">
        <v>65</v>
      </c>
      <c r="AT365">
        <v>1</v>
      </c>
      <c r="AU365" t="s">
        <v>421</v>
      </c>
      <c r="AV365" t="s">
        <v>422</v>
      </c>
      <c r="AW365" t="s">
        <v>60</v>
      </c>
      <c r="AX365" t="s">
        <v>68</v>
      </c>
      <c r="AY365" t="s">
        <v>69</v>
      </c>
      <c r="AZ365" t="b">
        <v>1</v>
      </c>
    </row>
    <row r="366" spans="1:52" x14ac:dyDescent="0.3">
      <c r="A366" t="s">
        <v>52</v>
      </c>
      <c r="B366" t="s">
        <v>53</v>
      </c>
      <c r="C366" t="s">
        <v>54</v>
      </c>
      <c r="D366" t="s">
        <v>55</v>
      </c>
      <c r="E366" t="s">
        <v>770</v>
      </c>
      <c r="F366" t="s">
        <v>176</v>
      </c>
      <c r="G366" t="s">
        <v>228</v>
      </c>
      <c r="H366" t="s">
        <v>423</v>
      </c>
      <c r="I366" t="s">
        <v>423</v>
      </c>
      <c r="J366" t="s">
        <v>60</v>
      </c>
      <c r="K366" t="s">
        <v>286</v>
      </c>
      <c r="L366" t="s">
        <v>62</v>
      </c>
      <c r="M366" t="s">
        <v>286</v>
      </c>
      <c r="N366" t="s">
        <v>230</v>
      </c>
      <c r="O366" t="s">
        <v>424</v>
      </c>
      <c r="P366">
        <v>-19.641656999999999</v>
      </c>
      <c r="Q366">
        <v>-43.884228999999998</v>
      </c>
      <c r="R366" s="2" t="str">
        <f>HYPERLINK("https://www.google.com/maps?q=-19.6416570,-43.8842290","Abrir no Google Maps")</f>
        <v>Abrir no Google Maps</v>
      </c>
      <c r="S366">
        <v>3</v>
      </c>
      <c r="T366">
        <v>0</v>
      </c>
      <c r="U366">
        <v>4</v>
      </c>
      <c r="V366">
        <v>15</v>
      </c>
      <c r="W366">
        <v>1</v>
      </c>
      <c r="X366">
        <v>15</v>
      </c>
      <c r="Y366">
        <v>7</v>
      </c>
      <c r="Z366">
        <v>67.727401070752876</v>
      </c>
      <c r="AA366">
        <v>2</v>
      </c>
      <c r="AB366">
        <v>3</v>
      </c>
      <c r="AC366">
        <v>7</v>
      </c>
      <c r="AD366">
        <v>23.52</v>
      </c>
      <c r="AE366">
        <v>253</v>
      </c>
      <c r="AF366">
        <v>15</v>
      </c>
      <c r="AG366">
        <v>55</v>
      </c>
      <c r="AH366">
        <v>32</v>
      </c>
      <c r="AI366">
        <v>5.93</v>
      </c>
      <c r="AJ366">
        <v>21.74</v>
      </c>
      <c r="AK366">
        <v>12.65</v>
      </c>
      <c r="AL366">
        <v>-19.641634199999942</v>
      </c>
      <c r="AM366">
        <v>-43.884263743972831</v>
      </c>
      <c r="AN366">
        <v>-19.641634199999942</v>
      </c>
      <c r="AO366">
        <v>-43.884263743972831</v>
      </c>
      <c r="AP366">
        <v>-19.641656999999999</v>
      </c>
      <c r="AQ366">
        <v>-43.884228999999998</v>
      </c>
      <c r="AR366">
        <v>4.4396888961435659</v>
      </c>
      <c r="AS366" t="s">
        <v>65</v>
      </c>
      <c r="AT366">
        <v>1</v>
      </c>
      <c r="AU366" t="s">
        <v>425</v>
      </c>
      <c r="AV366" t="s">
        <v>426</v>
      </c>
      <c r="AW366" t="s">
        <v>60</v>
      </c>
      <c r="AX366" t="s">
        <v>68</v>
      </c>
      <c r="AY366" t="s">
        <v>69</v>
      </c>
      <c r="AZ366" t="b">
        <v>1</v>
      </c>
    </row>
    <row r="367" spans="1:52" x14ac:dyDescent="0.3">
      <c r="A367" t="s">
        <v>52</v>
      </c>
      <c r="B367" t="s">
        <v>53</v>
      </c>
      <c r="C367" t="s">
        <v>54</v>
      </c>
      <c r="D367" t="s">
        <v>55</v>
      </c>
      <c r="E367" t="s">
        <v>770</v>
      </c>
      <c r="F367" t="s">
        <v>176</v>
      </c>
      <c r="G367" t="s">
        <v>670</v>
      </c>
      <c r="H367" t="s">
        <v>671</v>
      </c>
      <c r="I367" t="s">
        <v>671</v>
      </c>
      <c r="J367" t="s">
        <v>60</v>
      </c>
      <c r="K367" t="s">
        <v>672</v>
      </c>
      <c r="L367" t="s">
        <v>62</v>
      </c>
      <c r="M367" t="s">
        <v>672</v>
      </c>
      <c r="N367" t="s">
        <v>673</v>
      </c>
      <c r="O367" t="s">
        <v>424</v>
      </c>
      <c r="P367">
        <v>-19.574909999999999</v>
      </c>
      <c r="Q367">
        <v>-43.906655999999998</v>
      </c>
      <c r="R367" s="2" t="str">
        <f>HYPERLINK("https://www.google.com/maps?q=-19.5749100,-43.9066560","Abrir no Google Maps")</f>
        <v>Abrir no Google Maps</v>
      </c>
      <c r="S367">
        <v>3</v>
      </c>
      <c r="T367">
        <v>1366.716412286687</v>
      </c>
      <c r="U367">
        <v>4</v>
      </c>
      <c r="V367">
        <v>28</v>
      </c>
      <c r="W367">
        <v>1</v>
      </c>
      <c r="X367">
        <v>28</v>
      </c>
      <c r="Y367">
        <v>7</v>
      </c>
      <c r="Z367">
        <v>1153.3004962806151</v>
      </c>
      <c r="AA367">
        <v>2</v>
      </c>
      <c r="AB367">
        <v>3</v>
      </c>
      <c r="AC367">
        <v>7</v>
      </c>
      <c r="AD367">
        <v>23.52</v>
      </c>
      <c r="AE367">
        <v>253</v>
      </c>
      <c r="AF367">
        <v>15</v>
      </c>
      <c r="AG367">
        <v>55</v>
      </c>
      <c r="AH367">
        <v>32</v>
      </c>
      <c r="AI367">
        <v>5.93</v>
      </c>
      <c r="AJ367">
        <v>21.74</v>
      </c>
      <c r="AK367">
        <v>12.65</v>
      </c>
      <c r="AL367">
        <v>-19.574026899999978</v>
      </c>
      <c r="AM367">
        <v>-43.907476033591983</v>
      </c>
      <c r="AN367">
        <v>-19.574026899999978</v>
      </c>
      <c r="AO367">
        <v>-43.907476033591983</v>
      </c>
      <c r="AP367">
        <v>-19.574909999999999</v>
      </c>
      <c r="AQ367">
        <v>-43.906655999999998</v>
      </c>
      <c r="AR367">
        <v>130.62174183264671</v>
      </c>
      <c r="AS367" t="s">
        <v>65</v>
      </c>
      <c r="AT367">
        <v>1</v>
      </c>
      <c r="AU367" t="s">
        <v>674</v>
      </c>
      <c r="AV367" t="s">
        <v>675</v>
      </c>
      <c r="AW367" t="s">
        <v>60</v>
      </c>
      <c r="AX367" t="s">
        <v>68</v>
      </c>
      <c r="AY367" t="s">
        <v>69</v>
      </c>
      <c r="AZ367" t="b">
        <v>1</v>
      </c>
    </row>
    <row r="368" spans="1:52" x14ac:dyDescent="0.3">
      <c r="A368" t="s">
        <v>52</v>
      </c>
      <c r="B368" t="s">
        <v>53</v>
      </c>
      <c r="C368" t="s">
        <v>54</v>
      </c>
      <c r="D368" t="s">
        <v>55</v>
      </c>
      <c r="E368" t="s">
        <v>770</v>
      </c>
      <c r="F368" t="s">
        <v>176</v>
      </c>
      <c r="G368" t="s">
        <v>297</v>
      </c>
      <c r="H368" t="s">
        <v>298</v>
      </c>
      <c r="I368" t="s">
        <v>298</v>
      </c>
      <c r="J368" t="s">
        <v>60</v>
      </c>
      <c r="K368" t="s">
        <v>299</v>
      </c>
      <c r="L368" t="s">
        <v>62</v>
      </c>
      <c r="M368" t="s">
        <v>299</v>
      </c>
      <c r="N368" t="s">
        <v>300</v>
      </c>
      <c r="O368" t="s">
        <v>301</v>
      </c>
      <c r="P368">
        <v>-19.679597000000001</v>
      </c>
      <c r="Q368">
        <v>-43.912095000000001</v>
      </c>
      <c r="R368" s="2" t="str">
        <f>HYPERLINK("https://www.google.com/maps?q=-19.6795970,-43.9120950","Abrir no Google Maps")</f>
        <v>Abrir no Google Maps</v>
      </c>
      <c r="S368">
        <v>3</v>
      </c>
      <c r="T368">
        <v>1581.3368267219889</v>
      </c>
      <c r="U368">
        <v>4</v>
      </c>
      <c r="V368">
        <v>18</v>
      </c>
      <c r="W368">
        <v>1</v>
      </c>
      <c r="X368">
        <v>18</v>
      </c>
      <c r="Y368">
        <v>5</v>
      </c>
      <c r="Z368">
        <v>2051.2590436749392</v>
      </c>
      <c r="AA368">
        <v>2</v>
      </c>
      <c r="AB368">
        <v>3</v>
      </c>
      <c r="AC368">
        <v>7</v>
      </c>
      <c r="AD368">
        <v>23.52</v>
      </c>
      <c r="AE368">
        <v>253</v>
      </c>
      <c r="AF368">
        <v>15</v>
      </c>
      <c r="AG368">
        <v>55</v>
      </c>
      <c r="AH368">
        <v>32</v>
      </c>
      <c r="AI368">
        <v>5.93</v>
      </c>
      <c r="AJ368">
        <v>21.74</v>
      </c>
      <c r="AK368">
        <v>12.65</v>
      </c>
      <c r="AL368">
        <v>-19.679572799999931</v>
      </c>
      <c r="AM368">
        <v>-43.912071775440793</v>
      </c>
      <c r="AN368">
        <v>-19.679572799999931</v>
      </c>
      <c r="AO368">
        <v>-43.912071775440793</v>
      </c>
      <c r="AP368">
        <v>-19.679597000000001</v>
      </c>
      <c r="AQ368">
        <v>-43.912095000000001</v>
      </c>
      <c r="AR368">
        <v>3.6308936744190978</v>
      </c>
      <c r="AS368" t="s">
        <v>65</v>
      </c>
      <c r="AT368">
        <v>1</v>
      </c>
      <c r="AU368" t="s">
        <v>302</v>
      </c>
      <c r="AV368" t="s">
        <v>303</v>
      </c>
      <c r="AW368" t="s">
        <v>60</v>
      </c>
      <c r="AX368" t="s">
        <v>68</v>
      </c>
      <c r="AY368" t="s">
        <v>69</v>
      </c>
      <c r="AZ368" t="b">
        <v>1</v>
      </c>
    </row>
    <row r="369" spans="1:52" x14ac:dyDescent="0.3">
      <c r="A369" t="s">
        <v>52</v>
      </c>
      <c r="B369" t="s">
        <v>53</v>
      </c>
      <c r="C369" t="s">
        <v>54</v>
      </c>
      <c r="D369" t="s">
        <v>55</v>
      </c>
      <c r="E369" t="s">
        <v>770</v>
      </c>
      <c r="F369" t="s">
        <v>176</v>
      </c>
      <c r="G369" t="s">
        <v>304</v>
      </c>
      <c r="H369" t="s">
        <v>305</v>
      </c>
      <c r="I369" t="s">
        <v>305</v>
      </c>
      <c r="J369" t="s">
        <v>60</v>
      </c>
      <c r="K369" t="s">
        <v>299</v>
      </c>
      <c r="L369" t="s">
        <v>62</v>
      </c>
      <c r="M369" t="s">
        <v>299</v>
      </c>
      <c r="N369" t="s">
        <v>306</v>
      </c>
      <c r="O369" t="s">
        <v>307</v>
      </c>
      <c r="P369">
        <v>-19.681051</v>
      </c>
      <c r="Q369">
        <v>-43.914375</v>
      </c>
      <c r="R369" s="2" t="str">
        <f>HYPERLINK("https://www.google.com/maps?q=-19.6810510,-43.9143750","Abrir no Google Maps")</f>
        <v>Abrir no Google Maps</v>
      </c>
      <c r="S369">
        <v>3</v>
      </c>
      <c r="T369">
        <v>1793.507056919605</v>
      </c>
      <c r="U369">
        <v>4</v>
      </c>
      <c r="V369">
        <v>15</v>
      </c>
      <c r="W369">
        <v>1</v>
      </c>
      <c r="X369">
        <v>15</v>
      </c>
      <c r="Y369">
        <v>5</v>
      </c>
      <c r="Z369">
        <v>2183.7125920783069</v>
      </c>
      <c r="AA369">
        <v>2</v>
      </c>
      <c r="AB369">
        <v>3</v>
      </c>
      <c r="AC369">
        <v>7</v>
      </c>
      <c r="AD369">
        <v>23.52</v>
      </c>
      <c r="AE369">
        <v>253</v>
      </c>
      <c r="AF369">
        <v>15</v>
      </c>
      <c r="AG369">
        <v>55</v>
      </c>
      <c r="AH369">
        <v>32</v>
      </c>
      <c r="AI369">
        <v>5.93</v>
      </c>
      <c r="AJ369">
        <v>21.74</v>
      </c>
      <c r="AK369">
        <v>12.65</v>
      </c>
      <c r="AL369">
        <v>-19.680967149999962</v>
      </c>
      <c r="AM369">
        <v>-43.914383884426663</v>
      </c>
      <c r="AN369">
        <v>-19.680967149999962</v>
      </c>
      <c r="AO369">
        <v>-43.914383884426663</v>
      </c>
      <c r="AP369">
        <v>-19.681051</v>
      </c>
      <c r="AQ369">
        <v>-43.914375</v>
      </c>
      <c r="AR369">
        <v>9.3805201894968722</v>
      </c>
      <c r="AS369" t="s">
        <v>65</v>
      </c>
      <c r="AT369">
        <v>1</v>
      </c>
      <c r="AU369" t="s">
        <v>308</v>
      </c>
      <c r="AV369" t="s">
        <v>303</v>
      </c>
      <c r="AW369" t="s">
        <v>60</v>
      </c>
      <c r="AX369" t="s">
        <v>68</v>
      </c>
      <c r="AY369" t="s">
        <v>69</v>
      </c>
      <c r="AZ369" t="b">
        <v>1</v>
      </c>
    </row>
    <row r="370" spans="1:52" x14ac:dyDescent="0.3">
      <c r="A370" t="s">
        <v>52</v>
      </c>
      <c r="B370" t="s">
        <v>53</v>
      </c>
      <c r="C370" t="s">
        <v>54</v>
      </c>
      <c r="D370" t="s">
        <v>55</v>
      </c>
      <c r="E370" t="s">
        <v>770</v>
      </c>
      <c r="F370" t="s">
        <v>176</v>
      </c>
      <c r="G370" t="s">
        <v>309</v>
      </c>
      <c r="H370" t="s">
        <v>310</v>
      </c>
      <c r="I370" t="s">
        <v>310</v>
      </c>
      <c r="J370" t="s">
        <v>60</v>
      </c>
      <c r="K370" t="s">
        <v>311</v>
      </c>
      <c r="L370" t="s">
        <v>62</v>
      </c>
      <c r="M370" t="s">
        <v>311</v>
      </c>
      <c r="N370" t="s">
        <v>312</v>
      </c>
      <c r="O370" t="s">
        <v>313</v>
      </c>
      <c r="P370">
        <v>-19.576996999999999</v>
      </c>
      <c r="Q370">
        <v>-43.919024999999998</v>
      </c>
      <c r="R370" s="2" t="str">
        <f>HYPERLINK("https://www.google.com/maps?q=-19.5769970,-43.9190250","Abrir no Google Maps")</f>
        <v>Abrir no Google Maps</v>
      </c>
      <c r="S370">
        <v>3</v>
      </c>
      <c r="T370">
        <v>316.64266747869789</v>
      </c>
      <c r="U370">
        <v>4</v>
      </c>
      <c r="V370">
        <v>24</v>
      </c>
      <c r="W370">
        <v>0.85</v>
      </c>
      <c r="X370">
        <v>20.399999999999999</v>
      </c>
      <c r="Y370">
        <v>5</v>
      </c>
      <c r="Z370">
        <v>411.74435151529269</v>
      </c>
      <c r="AA370">
        <v>2</v>
      </c>
      <c r="AB370">
        <v>3</v>
      </c>
      <c r="AC370">
        <v>7</v>
      </c>
      <c r="AD370">
        <v>23.52</v>
      </c>
      <c r="AE370">
        <v>253</v>
      </c>
      <c r="AF370">
        <v>15</v>
      </c>
      <c r="AG370">
        <v>55</v>
      </c>
      <c r="AH370">
        <v>32</v>
      </c>
      <c r="AI370">
        <v>5.93</v>
      </c>
      <c r="AJ370">
        <v>21.74</v>
      </c>
      <c r="AK370">
        <v>12.65</v>
      </c>
      <c r="AL370">
        <v>-19.576964999999941</v>
      </c>
      <c r="AM370">
        <v>-43.919068241233632</v>
      </c>
      <c r="AN370">
        <v>-19.576964999999941</v>
      </c>
      <c r="AO370">
        <v>-43.919068241233632</v>
      </c>
      <c r="AP370">
        <v>-19.576996999999999</v>
      </c>
      <c r="AQ370">
        <v>-43.919024999999998</v>
      </c>
      <c r="AR370">
        <v>5.7670575161946216</v>
      </c>
      <c r="AS370" t="s">
        <v>65</v>
      </c>
      <c r="AT370">
        <v>1</v>
      </c>
      <c r="AU370" t="s">
        <v>314</v>
      </c>
      <c r="AV370" t="s">
        <v>315</v>
      </c>
      <c r="AW370" t="s">
        <v>60</v>
      </c>
      <c r="AX370" t="s">
        <v>68</v>
      </c>
      <c r="AY370" t="s">
        <v>69</v>
      </c>
      <c r="AZ370" t="b">
        <v>1</v>
      </c>
    </row>
    <row r="371" spans="1:52" x14ac:dyDescent="0.3">
      <c r="A371" t="s">
        <v>52</v>
      </c>
      <c r="B371" t="s">
        <v>53</v>
      </c>
      <c r="C371" t="s">
        <v>54</v>
      </c>
      <c r="D371" t="s">
        <v>55</v>
      </c>
      <c r="E371" t="s">
        <v>770</v>
      </c>
      <c r="F371" t="s">
        <v>176</v>
      </c>
      <c r="G371" t="s">
        <v>309</v>
      </c>
      <c r="H371" t="s">
        <v>316</v>
      </c>
      <c r="I371" t="s">
        <v>316</v>
      </c>
      <c r="J371" t="s">
        <v>60</v>
      </c>
      <c r="K371" t="s">
        <v>311</v>
      </c>
      <c r="L371" t="s">
        <v>62</v>
      </c>
      <c r="M371" t="s">
        <v>311</v>
      </c>
      <c r="N371" t="s">
        <v>317</v>
      </c>
      <c r="O371" t="s">
        <v>313</v>
      </c>
      <c r="P371">
        <v>-19.580131999999999</v>
      </c>
      <c r="Q371">
        <v>-43.918303000000002</v>
      </c>
      <c r="R371" s="2" t="str">
        <f>HYPERLINK("https://www.google.com/maps?q=-19.5801320,-43.9183030","Abrir no Google Maps")</f>
        <v>Abrir no Google Maps</v>
      </c>
      <c r="S371">
        <v>3</v>
      </c>
      <c r="T371">
        <v>665.05989403461285</v>
      </c>
      <c r="U371">
        <v>4</v>
      </c>
      <c r="V371">
        <v>27</v>
      </c>
      <c r="W371">
        <v>1</v>
      </c>
      <c r="X371">
        <v>27</v>
      </c>
      <c r="Y371">
        <v>5</v>
      </c>
      <c r="Z371">
        <v>743.64474333505098</v>
      </c>
      <c r="AA371">
        <v>2</v>
      </c>
      <c r="AB371">
        <v>3</v>
      </c>
      <c r="AC371">
        <v>7</v>
      </c>
      <c r="AD371">
        <v>23.52</v>
      </c>
      <c r="AE371">
        <v>253</v>
      </c>
      <c r="AF371">
        <v>15</v>
      </c>
      <c r="AG371">
        <v>55</v>
      </c>
      <c r="AH371">
        <v>32</v>
      </c>
      <c r="AI371">
        <v>5.93</v>
      </c>
      <c r="AJ371">
        <v>21.74</v>
      </c>
      <c r="AK371">
        <v>12.65</v>
      </c>
      <c r="AL371">
        <v>-19.58010349999995</v>
      </c>
      <c r="AM371">
        <v>-43.918363319288602</v>
      </c>
      <c r="AN371">
        <v>-19.58010349999995</v>
      </c>
      <c r="AO371">
        <v>-43.918363319288602</v>
      </c>
      <c r="AP371">
        <v>-19.580131999999999</v>
      </c>
      <c r="AQ371">
        <v>-43.918303000000002</v>
      </c>
      <c r="AR371">
        <v>7.0773977790944862</v>
      </c>
      <c r="AS371" t="s">
        <v>65</v>
      </c>
      <c r="AT371">
        <v>1</v>
      </c>
      <c r="AU371" t="s">
        <v>318</v>
      </c>
      <c r="AV371" t="s">
        <v>319</v>
      </c>
      <c r="AW371" t="s">
        <v>60</v>
      </c>
      <c r="AX371" t="s">
        <v>68</v>
      </c>
      <c r="AY371" t="s">
        <v>69</v>
      </c>
      <c r="AZ371" t="b">
        <v>1</v>
      </c>
    </row>
    <row r="372" spans="1:52" x14ac:dyDescent="0.3">
      <c r="A372" t="s">
        <v>52</v>
      </c>
      <c r="B372" t="s">
        <v>53</v>
      </c>
      <c r="C372" t="s">
        <v>54</v>
      </c>
      <c r="D372" t="s">
        <v>55</v>
      </c>
      <c r="E372" t="s">
        <v>770</v>
      </c>
      <c r="F372" t="s">
        <v>176</v>
      </c>
      <c r="G372" t="s">
        <v>309</v>
      </c>
      <c r="H372" t="s">
        <v>320</v>
      </c>
      <c r="I372" t="s">
        <v>320</v>
      </c>
      <c r="J372" t="s">
        <v>60</v>
      </c>
      <c r="K372" t="s">
        <v>311</v>
      </c>
      <c r="L372" t="s">
        <v>62</v>
      </c>
      <c r="M372" t="s">
        <v>311</v>
      </c>
      <c r="N372" t="s">
        <v>321</v>
      </c>
      <c r="O372" t="s">
        <v>313</v>
      </c>
      <c r="P372">
        <v>-19.578469999999999</v>
      </c>
      <c r="Q372">
        <v>-43.918922000000002</v>
      </c>
      <c r="R372" s="2" t="str">
        <f>HYPERLINK("https://www.google.com/maps?q=-19.5784700,-43.9189220","Abrir no Google Maps")</f>
        <v>Abrir no Google Maps</v>
      </c>
      <c r="S372">
        <v>3</v>
      </c>
      <c r="T372">
        <v>474.92456146278471</v>
      </c>
      <c r="U372">
        <v>4</v>
      </c>
      <c r="V372">
        <v>20</v>
      </c>
      <c r="W372">
        <v>0.85</v>
      </c>
      <c r="X372">
        <v>17</v>
      </c>
      <c r="Y372">
        <v>5</v>
      </c>
      <c r="Z372">
        <v>562.61594151292854</v>
      </c>
      <c r="AA372">
        <v>2</v>
      </c>
      <c r="AB372">
        <v>3</v>
      </c>
      <c r="AC372">
        <v>7</v>
      </c>
      <c r="AD372">
        <v>23.52</v>
      </c>
      <c r="AE372">
        <v>253</v>
      </c>
      <c r="AF372">
        <v>15</v>
      </c>
      <c r="AG372">
        <v>55</v>
      </c>
      <c r="AH372">
        <v>32</v>
      </c>
      <c r="AI372">
        <v>5.93</v>
      </c>
      <c r="AJ372">
        <v>21.74</v>
      </c>
      <c r="AK372">
        <v>12.65</v>
      </c>
      <c r="AL372">
        <v>-19.578483899999959</v>
      </c>
      <c r="AM372">
        <v>-43.918967993509547</v>
      </c>
      <c r="AN372">
        <v>-19.578483899999959</v>
      </c>
      <c r="AO372">
        <v>-43.918967993509547</v>
      </c>
      <c r="AP372">
        <v>-19.578469999999999</v>
      </c>
      <c r="AQ372">
        <v>-43.918922000000002</v>
      </c>
      <c r="AR372">
        <v>5.0660669465561501</v>
      </c>
      <c r="AS372" t="s">
        <v>65</v>
      </c>
      <c r="AT372">
        <v>1</v>
      </c>
      <c r="AU372" t="s">
        <v>322</v>
      </c>
      <c r="AV372" t="s">
        <v>323</v>
      </c>
      <c r="AW372" t="s">
        <v>60</v>
      </c>
      <c r="AX372" t="s">
        <v>68</v>
      </c>
      <c r="AY372" t="s">
        <v>69</v>
      </c>
      <c r="AZ372" t="b">
        <v>1</v>
      </c>
    </row>
    <row r="373" spans="1:52" x14ac:dyDescent="0.3">
      <c r="A373" t="s">
        <v>52</v>
      </c>
      <c r="B373" t="s">
        <v>53</v>
      </c>
      <c r="C373" t="s">
        <v>54</v>
      </c>
      <c r="D373" t="s">
        <v>55</v>
      </c>
      <c r="E373" t="s">
        <v>770</v>
      </c>
      <c r="F373" t="s">
        <v>176</v>
      </c>
      <c r="G373" t="s">
        <v>450</v>
      </c>
      <c r="H373" t="s">
        <v>451</v>
      </c>
      <c r="I373" t="s">
        <v>451</v>
      </c>
      <c r="J373" t="s">
        <v>60</v>
      </c>
      <c r="K373" t="s">
        <v>452</v>
      </c>
      <c r="L373" t="s">
        <v>62</v>
      </c>
      <c r="M373" t="s">
        <v>452</v>
      </c>
      <c r="N373" t="s">
        <v>453</v>
      </c>
      <c r="O373" t="s">
        <v>454</v>
      </c>
      <c r="P373">
        <v>-19.649691000000001</v>
      </c>
      <c r="Q373">
        <v>-43.873970999999997</v>
      </c>
      <c r="R373" s="2" t="str">
        <f>HYPERLINK("https://www.google.com/maps?q=-19.6496910,-43.8739710","Abrir no Google Maps")</f>
        <v>Abrir no Google Maps</v>
      </c>
      <c r="S373">
        <v>3</v>
      </c>
      <c r="T373">
        <v>433.54329587849469</v>
      </c>
      <c r="U373">
        <v>4</v>
      </c>
      <c r="V373">
        <v>31</v>
      </c>
      <c r="W373">
        <v>1</v>
      </c>
      <c r="X373">
        <v>31</v>
      </c>
      <c r="Y373">
        <v>3</v>
      </c>
      <c r="Z373">
        <v>298.71042308886041</v>
      </c>
      <c r="AA373">
        <v>2</v>
      </c>
      <c r="AB373">
        <v>3</v>
      </c>
      <c r="AC373">
        <v>7</v>
      </c>
      <c r="AD373">
        <v>23.52</v>
      </c>
      <c r="AE373">
        <v>253</v>
      </c>
      <c r="AF373">
        <v>15</v>
      </c>
      <c r="AG373">
        <v>55</v>
      </c>
      <c r="AH373">
        <v>32</v>
      </c>
      <c r="AI373">
        <v>5.93</v>
      </c>
      <c r="AJ373">
        <v>21.74</v>
      </c>
      <c r="AK373">
        <v>12.65</v>
      </c>
      <c r="AL373">
        <v>-19.64973869999994</v>
      </c>
      <c r="AM373">
        <v>-43.873980587601103</v>
      </c>
      <c r="AN373">
        <v>-19.64973869999994</v>
      </c>
      <c r="AO373">
        <v>-43.873980587601103</v>
      </c>
      <c r="AP373">
        <v>-19.649691000000001</v>
      </c>
      <c r="AQ373">
        <v>-43.873970999999997</v>
      </c>
      <c r="AR373">
        <v>5.4042596125531333</v>
      </c>
      <c r="AS373" t="s">
        <v>65</v>
      </c>
      <c r="AT373">
        <v>1</v>
      </c>
      <c r="AU373" t="s">
        <v>455</v>
      </c>
      <c r="AV373" t="s">
        <v>456</v>
      </c>
      <c r="AW373" t="s">
        <v>60</v>
      </c>
      <c r="AX373" t="s">
        <v>68</v>
      </c>
      <c r="AY373" t="s">
        <v>69</v>
      </c>
      <c r="AZ373" t="b">
        <v>1</v>
      </c>
    </row>
    <row r="374" spans="1:52" x14ac:dyDescent="0.3">
      <c r="A374" t="s">
        <v>52</v>
      </c>
      <c r="B374" t="s">
        <v>53</v>
      </c>
      <c r="C374" t="s">
        <v>54</v>
      </c>
      <c r="D374" t="s">
        <v>55</v>
      </c>
      <c r="E374" t="s">
        <v>770</v>
      </c>
      <c r="F374" t="s">
        <v>176</v>
      </c>
      <c r="G374" t="s">
        <v>324</v>
      </c>
      <c r="H374" t="s">
        <v>325</v>
      </c>
      <c r="I374" t="s">
        <v>325</v>
      </c>
      <c r="J374" t="s">
        <v>60</v>
      </c>
      <c r="K374" t="s">
        <v>326</v>
      </c>
      <c r="L374" t="s">
        <v>62</v>
      </c>
      <c r="M374" t="s">
        <v>326</v>
      </c>
      <c r="N374" t="s">
        <v>327</v>
      </c>
      <c r="O374" t="s">
        <v>328</v>
      </c>
      <c r="P374">
        <v>-19.654454000000001</v>
      </c>
      <c r="Q374">
        <v>-43.874654</v>
      </c>
      <c r="R374" s="2" t="str">
        <f>HYPERLINK("https://www.google.com/maps?q=-19.6544540,-43.8746540","Abrir no Google Maps")</f>
        <v>Abrir no Google Maps</v>
      </c>
      <c r="S374">
        <v>3</v>
      </c>
      <c r="T374">
        <v>461.71515786258828</v>
      </c>
      <c r="U374">
        <v>4</v>
      </c>
      <c r="V374">
        <v>20</v>
      </c>
      <c r="W374">
        <v>1</v>
      </c>
      <c r="X374">
        <v>20</v>
      </c>
      <c r="Y374">
        <v>3</v>
      </c>
      <c r="Z374">
        <v>321.42492762576637</v>
      </c>
      <c r="AA374">
        <v>2</v>
      </c>
      <c r="AB374">
        <v>3</v>
      </c>
      <c r="AC374">
        <v>7</v>
      </c>
      <c r="AD374">
        <v>23.52</v>
      </c>
      <c r="AE374">
        <v>253</v>
      </c>
      <c r="AF374">
        <v>15</v>
      </c>
      <c r="AG374">
        <v>55</v>
      </c>
      <c r="AH374">
        <v>32</v>
      </c>
      <c r="AI374">
        <v>5.93</v>
      </c>
      <c r="AJ374">
        <v>21.74</v>
      </c>
      <c r="AK374">
        <v>12.65</v>
      </c>
      <c r="AL374">
        <v>-19.654399599999941</v>
      </c>
      <c r="AM374">
        <v>-43.87457008070222</v>
      </c>
      <c r="AN374">
        <v>-19.654399599999941</v>
      </c>
      <c r="AO374">
        <v>-43.87457008070222</v>
      </c>
      <c r="AP374">
        <v>-19.654454000000001</v>
      </c>
      <c r="AQ374">
        <v>-43.874654</v>
      </c>
      <c r="AR374">
        <v>10.68040226290562</v>
      </c>
      <c r="AS374" t="s">
        <v>65</v>
      </c>
      <c r="AT374">
        <v>1</v>
      </c>
      <c r="AU374" t="s">
        <v>329</v>
      </c>
      <c r="AV374" t="s">
        <v>330</v>
      </c>
      <c r="AW374" t="s">
        <v>60</v>
      </c>
      <c r="AX374" t="s">
        <v>68</v>
      </c>
      <c r="AY374" t="s">
        <v>69</v>
      </c>
      <c r="AZ374" t="b">
        <v>1</v>
      </c>
    </row>
    <row r="375" spans="1:52" x14ac:dyDescent="0.3">
      <c r="A375" t="s">
        <v>52</v>
      </c>
      <c r="B375" t="s">
        <v>53</v>
      </c>
      <c r="C375" t="s">
        <v>54</v>
      </c>
      <c r="D375" t="s">
        <v>55</v>
      </c>
      <c r="E375" t="s">
        <v>770</v>
      </c>
      <c r="F375" t="s">
        <v>176</v>
      </c>
      <c r="G375" t="s">
        <v>457</v>
      </c>
      <c r="H375" t="s">
        <v>458</v>
      </c>
      <c r="I375" t="s">
        <v>458</v>
      </c>
      <c r="J375" t="s">
        <v>60</v>
      </c>
      <c r="K375" t="s">
        <v>286</v>
      </c>
      <c r="L375" t="s">
        <v>62</v>
      </c>
      <c r="M375" t="s">
        <v>286</v>
      </c>
      <c r="N375" t="s">
        <v>459</v>
      </c>
      <c r="O375" t="s">
        <v>408</v>
      </c>
      <c r="P375">
        <v>-19.648675000000001</v>
      </c>
      <c r="Q375">
        <v>-43.876176999999998</v>
      </c>
      <c r="R375" s="2" t="str">
        <f>HYPERLINK("https://www.google.com/maps?q=-19.6486750,-43.8761770","Abrir no Google Maps")</f>
        <v>Abrir no Google Maps</v>
      </c>
      <c r="S375">
        <v>3</v>
      </c>
      <c r="T375">
        <v>696.15049931004592</v>
      </c>
      <c r="U375">
        <v>4</v>
      </c>
      <c r="V375">
        <v>23</v>
      </c>
      <c r="W375">
        <v>1</v>
      </c>
      <c r="X375">
        <v>23</v>
      </c>
      <c r="Y375">
        <v>3</v>
      </c>
      <c r="Z375">
        <v>617.40976221624703</v>
      </c>
      <c r="AA375">
        <v>2</v>
      </c>
      <c r="AB375">
        <v>3</v>
      </c>
      <c r="AC375">
        <v>7</v>
      </c>
      <c r="AD375">
        <v>23.52</v>
      </c>
      <c r="AE375">
        <v>253</v>
      </c>
      <c r="AF375">
        <v>15</v>
      </c>
      <c r="AG375">
        <v>55</v>
      </c>
      <c r="AH375">
        <v>32</v>
      </c>
      <c r="AI375">
        <v>5.93</v>
      </c>
      <c r="AJ375">
        <v>21.74</v>
      </c>
      <c r="AK375">
        <v>12.65</v>
      </c>
      <c r="AL375">
        <v>-19.648626649999951</v>
      </c>
      <c r="AM375">
        <v>-43.876233357879343</v>
      </c>
      <c r="AN375">
        <v>-19.648626649999951</v>
      </c>
      <c r="AO375">
        <v>-43.876233357879343</v>
      </c>
      <c r="AP375">
        <v>-19.648675000000001</v>
      </c>
      <c r="AQ375">
        <v>-43.876176999999998</v>
      </c>
      <c r="AR375">
        <v>7.9924470956447653</v>
      </c>
      <c r="AS375" t="s">
        <v>65</v>
      </c>
      <c r="AT375">
        <v>1</v>
      </c>
      <c r="AU375" t="s">
        <v>460</v>
      </c>
      <c r="AV375" t="s">
        <v>461</v>
      </c>
      <c r="AW375" t="s">
        <v>60</v>
      </c>
      <c r="AX375" t="s">
        <v>68</v>
      </c>
      <c r="AY375" t="s">
        <v>69</v>
      </c>
      <c r="AZ375" t="b">
        <v>1</v>
      </c>
    </row>
    <row r="376" spans="1:52" x14ac:dyDescent="0.3">
      <c r="A376" t="s">
        <v>52</v>
      </c>
      <c r="B376" t="s">
        <v>53</v>
      </c>
      <c r="C376" t="s">
        <v>54</v>
      </c>
      <c r="D376" t="s">
        <v>55</v>
      </c>
      <c r="E376" t="s">
        <v>770</v>
      </c>
      <c r="F376" t="s">
        <v>176</v>
      </c>
      <c r="G376" t="s">
        <v>468</v>
      </c>
      <c r="H376" t="s">
        <v>469</v>
      </c>
      <c r="I376" t="s">
        <v>469</v>
      </c>
      <c r="J376" t="s">
        <v>60</v>
      </c>
      <c r="K376" t="s">
        <v>326</v>
      </c>
      <c r="L376" t="s">
        <v>62</v>
      </c>
      <c r="M376" t="s">
        <v>326</v>
      </c>
      <c r="N376" t="s">
        <v>470</v>
      </c>
      <c r="O376" t="s">
        <v>471</v>
      </c>
      <c r="P376">
        <v>-19.655975999999999</v>
      </c>
      <c r="Q376">
        <v>-43.870057000000003</v>
      </c>
      <c r="R376" s="2" t="str">
        <f>HYPERLINK("https://www.google.com/maps?q=-19.6559760,-43.8700570","Abrir no Google Maps")</f>
        <v>Abrir no Google Maps</v>
      </c>
      <c r="S376">
        <v>3</v>
      </c>
      <c r="T376">
        <v>409.25016374145417</v>
      </c>
      <c r="U376">
        <v>4</v>
      </c>
      <c r="V376">
        <v>22</v>
      </c>
      <c r="W376">
        <v>1</v>
      </c>
      <c r="X376">
        <v>22</v>
      </c>
      <c r="Y376">
        <v>3</v>
      </c>
      <c r="Z376">
        <v>484.59511175905197</v>
      </c>
      <c r="AA376">
        <v>2</v>
      </c>
      <c r="AB376">
        <v>3</v>
      </c>
      <c r="AC376">
        <v>7</v>
      </c>
      <c r="AD376">
        <v>23.52</v>
      </c>
      <c r="AE376">
        <v>253</v>
      </c>
      <c r="AF376">
        <v>15</v>
      </c>
      <c r="AG376">
        <v>55</v>
      </c>
      <c r="AH376">
        <v>32</v>
      </c>
      <c r="AI376">
        <v>5.93</v>
      </c>
      <c r="AJ376">
        <v>21.74</v>
      </c>
      <c r="AK376">
        <v>12.65</v>
      </c>
      <c r="AL376">
        <v>-19.655869499999969</v>
      </c>
      <c r="AM376">
        <v>-43.870040006843681</v>
      </c>
      <c r="AN376">
        <v>-19.655869499999969</v>
      </c>
      <c r="AO376">
        <v>-43.870040006843681</v>
      </c>
      <c r="AP376">
        <v>-19.655975999999999</v>
      </c>
      <c r="AQ376">
        <v>-43.870057000000003</v>
      </c>
      <c r="AR376">
        <v>11.98867552929476</v>
      </c>
      <c r="AS376" t="s">
        <v>65</v>
      </c>
      <c r="AT376">
        <v>1</v>
      </c>
      <c r="AU376" t="s">
        <v>472</v>
      </c>
      <c r="AV376" t="s">
        <v>473</v>
      </c>
      <c r="AW376" t="s">
        <v>60</v>
      </c>
      <c r="AX376" t="s">
        <v>68</v>
      </c>
      <c r="AY376" t="s">
        <v>69</v>
      </c>
      <c r="AZ376" t="b">
        <v>1</v>
      </c>
    </row>
    <row r="377" spans="1:52" x14ac:dyDescent="0.3">
      <c r="A377" t="s">
        <v>52</v>
      </c>
      <c r="B377" t="s">
        <v>53</v>
      </c>
      <c r="C377" t="s">
        <v>54</v>
      </c>
      <c r="D377" t="s">
        <v>55</v>
      </c>
      <c r="E377" t="s">
        <v>770</v>
      </c>
      <c r="F377" t="s">
        <v>176</v>
      </c>
      <c r="G377" t="s">
        <v>338</v>
      </c>
      <c r="H377" t="s">
        <v>339</v>
      </c>
      <c r="I377" t="s">
        <v>339</v>
      </c>
      <c r="J377" t="s">
        <v>60</v>
      </c>
      <c r="K377" t="s">
        <v>219</v>
      </c>
      <c r="L377" t="s">
        <v>62</v>
      </c>
      <c r="M377" t="s">
        <v>219</v>
      </c>
      <c r="N377" t="s">
        <v>340</v>
      </c>
      <c r="O377" t="s">
        <v>341</v>
      </c>
      <c r="P377">
        <v>-19.666964</v>
      </c>
      <c r="Q377">
        <v>-43.884436999999998</v>
      </c>
      <c r="R377" s="2" t="str">
        <f>HYPERLINK("https://www.google.com/maps?q=-19.6669640,-43.8844370","Abrir no Google Maps")</f>
        <v>Abrir no Google Maps</v>
      </c>
      <c r="S377">
        <v>3</v>
      </c>
      <c r="T377">
        <v>957.0047152726122</v>
      </c>
      <c r="U377">
        <v>4</v>
      </c>
      <c r="V377">
        <v>17</v>
      </c>
      <c r="W377">
        <v>1</v>
      </c>
      <c r="X377">
        <v>17</v>
      </c>
      <c r="Y377">
        <v>3</v>
      </c>
      <c r="Z377">
        <v>558.02655966087093</v>
      </c>
      <c r="AA377">
        <v>2</v>
      </c>
      <c r="AB377">
        <v>3</v>
      </c>
      <c r="AC377">
        <v>7</v>
      </c>
      <c r="AD377">
        <v>23.52</v>
      </c>
      <c r="AE377">
        <v>253</v>
      </c>
      <c r="AF377">
        <v>15</v>
      </c>
      <c r="AG377">
        <v>55</v>
      </c>
      <c r="AH377">
        <v>32</v>
      </c>
      <c r="AI377">
        <v>5.93</v>
      </c>
      <c r="AJ377">
        <v>21.74</v>
      </c>
      <c r="AK377">
        <v>12.65</v>
      </c>
      <c r="AL377">
        <v>-19.66693374999997</v>
      </c>
      <c r="AM377">
        <v>-43.884551162820181</v>
      </c>
      <c r="AN377">
        <v>-19.66693374999997</v>
      </c>
      <c r="AO377">
        <v>-43.884551162820181</v>
      </c>
      <c r="AP377">
        <v>-19.666964</v>
      </c>
      <c r="AQ377">
        <v>-43.884436999999998</v>
      </c>
      <c r="AR377">
        <v>12.43199920714442</v>
      </c>
      <c r="AS377" t="s">
        <v>65</v>
      </c>
      <c r="AT377">
        <v>1</v>
      </c>
      <c r="AU377" t="s">
        <v>342</v>
      </c>
      <c r="AV377" t="s">
        <v>343</v>
      </c>
      <c r="AW377" t="s">
        <v>60</v>
      </c>
      <c r="AX377" t="s">
        <v>68</v>
      </c>
      <c r="AY377" t="s">
        <v>69</v>
      </c>
      <c r="AZ377" t="b">
        <v>1</v>
      </c>
    </row>
    <row r="378" spans="1:52" x14ac:dyDescent="0.3">
      <c r="A378" t="s">
        <v>52</v>
      </c>
      <c r="B378" t="s">
        <v>53</v>
      </c>
      <c r="C378" t="s">
        <v>54</v>
      </c>
      <c r="D378" t="s">
        <v>55</v>
      </c>
      <c r="E378" t="s">
        <v>770</v>
      </c>
      <c r="F378" t="s">
        <v>176</v>
      </c>
      <c r="G378" t="s">
        <v>484</v>
      </c>
      <c r="H378" t="s">
        <v>485</v>
      </c>
      <c r="I378" t="s">
        <v>485</v>
      </c>
      <c r="J378" t="s">
        <v>60</v>
      </c>
      <c r="K378" t="s">
        <v>486</v>
      </c>
      <c r="L378" t="s">
        <v>62</v>
      </c>
      <c r="M378" t="s">
        <v>486</v>
      </c>
      <c r="N378" t="s">
        <v>487</v>
      </c>
      <c r="O378" t="s">
        <v>488</v>
      </c>
      <c r="P378">
        <v>-19.599471999999999</v>
      </c>
      <c r="Q378">
        <v>-43.904423999999999</v>
      </c>
      <c r="R378" s="2" t="str">
        <f>HYPERLINK("https://www.google.com/maps?q=-19.5994720,-43.9044240","Abrir no Google Maps")</f>
        <v>Abrir no Google Maps</v>
      </c>
      <c r="S378">
        <v>3</v>
      </c>
      <c r="T378">
        <v>0</v>
      </c>
      <c r="U378">
        <v>4</v>
      </c>
      <c r="V378">
        <v>16</v>
      </c>
      <c r="W378">
        <v>1</v>
      </c>
      <c r="X378">
        <v>16</v>
      </c>
      <c r="Y378">
        <v>2</v>
      </c>
      <c r="Z378">
        <v>112.207711482489</v>
      </c>
      <c r="AA378">
        <v>2</v>
      </c>
      <c r="AB378">
        <v>3</v>
      </c>
      <c r="AC378">
        <v>7</v>
      </c>
      <c r="AD378">
        <v>23.52</v>
      </c>
      <c r="AE378">
        <v>253</v>
      </c>
      <c r="AF378">
        <v>15</v>
      </c>
      <c r="AG378">
        <v>55</v>
      </c>
      <c r="AH378">
        <v>32</v>
      </c>
      <c r="AI378">
        <v>5.93</v>
      </c>
      <c r="AJ378">
        <v>21.74</v>
      </c>
      <c r="AK378">
        <v>12.65</v>
      </c>
      <c r="AL378">
        <v>-19.599417149999969</v>
      </c>
      <c r="AM378">
        <v>-43.904309145074677</v>
      </c>
      <c r="AN378">
        <v>-19.599417149999969</v>
      </c>
      <c r="AO378">
        <v>-43.904309145074677</v>
      </c>
      <c r="AP378">
        <v>-19.599471999999999</v>
      </c>
      <c r="AQ378">
        <v>-43.904423999999999</v>
      </c>
      <c r="AR378">
        <v>13.50409975769734</v>
      </c>
      <c r="AS378" t="s">
        <v>65</v>
      </c>
      <c r="AT378">
        <v>1</v>
      </c>
      <c r="AU378" t="s">
        <v>489</v>
      </c>
      <c r="AV378" t="s">
        <v>490</v>
      </c>
      <c r="AW378" t="s">
        <v>60</v>
      </c>
      <c r="AX378" t="s">
        <v>68</v>
      </c>
      <c r="AY378" t="s">
        <v>69</v>
      </c>
      <c r="AZ378" t="b">
        <v>1</v>
      </c>
    </row>
    <row r="379" spans="1:52" x14ac:dyDescent="0.3">
      <c r="A379" t="s">
        <v>52</v>
      </c>
      <c r="B379" t="s">
        <v>53</v>
      </c>
      <c r="C379" t="s">
        <v>54</v>
      </c>
      <c r="D379" t="s">
        <v>55</v>
      </c>
      <c r="E379" t="s">
        <v>770</v>
      </c>
      <c r="F379" t="s">
        <v>176</v>
      </c>
      <c r="G379" t="s">
        <v>350</v>
      </c>
      <c r="H379" t="s">
        <v>351</v>
      </c>
      <c r="I379" t="s">
        <v>351</v>
      </c>
      <c r="J379" t="s">
        <v>60</v>
      </c>
      <c r="K379" t="s">
        <v>352</v>
      </c>
      <c r="L379" t="s">
        <v>62</v>
      </c>
      <c r="M379" t="s">
        <v>352</v>
      </c>
      <c r="N379" t="s">
        <v>353</v>
      </c>
      <c r="O379" t="s">
        <v>354</v>
      </c>
      <c r="P379">
        <v>-19.595734</v>
      </c>
      <c r="Q379">
        <v>-43.900387000000002</v>
      </c>
      <c r="R379" s="2" t="str">
        <f>HYPERLINK("https://www.google.com/maps?q=-19.5957340,-43.9003870","Abrir no Google Maps")</f>
        <v>Abrir no Google Maps</v>
      </c>
      <c r="S379">
        <v>3</v>
      </c>
      <c r="T379">
        <v>600.67809066127609</v>
      </c>
      <c r="U379">
        <v>4</v>
      </c>
      <c r="V379">
        <v>26</v>
      </c>
      <c r="W379">
        <v>1</v>
      </c>
      <c r="X379">
        <v>26</v>
      </c>
      <c r="Y379">
        <v>2</v>
      </c>
      <c r="Z379">
        <v>676.06682548988681</v>
      </c>
      <c r="AA379">
        <v>2</v>
      </c>
      <c r="AB379">
        <v>3</v>
      </c>
      <c r="AC379">
        <v>7</v>
      </c>
      <c r="AD379">
        <v>23.52</v>
      </c>
      <c r="AE379">
        <v>253</v>
      </c>
      <c r="AF379">
        <v>15</v>
      </c>
      <c r="AG379">
        <v>55</v>
      </c>
      <c r="AH379">
        <v>32</v>
      </c>
      <c r="AI379">
        <v>5.93</v>
      </c>
      <c r="AJ379">
        <v>21.74</v>
      </c>
      <c r="AK379">
        <v>12.65</v>
      </c>
      <c r="AL379">
        <v>-19.595574149999951</v>
      </c>
      <c r="AM379">
        <v>-43.900265035317688</v>
      </c>
      <c r="AN379">
        <v>-19.595574149999951</v>
      </c>
      <c r="AO379">
        <v>-43.900265035317688</v>
      </c>
      <c r="AP379">
        <v>-19.595734</v>
      </c>
      <c r="AQ379">
        <v>-43.900387000000002</v>
      </c>
      <c r="AR379">
        <v>21.91456243504582</v>
      </c>
      <c r="AS379" t="s">
        <v>65</v>
      </c>
      <c r="AT379">
        <v>1</v>
      </c>
      <c r="AU379" t="s">
        <v>355</v>
      </c>
      <c r="AV379" t="s">
        <v>356</v>
      </c>
      <c r="AW379" t="s">
        <v>60</v>
      </c>
      <c r="AX379" t="s">
        <v>68</v>
      </c>
      <c r="AY379" t="s">
        <v>69</v>
      </c>
      <c r="AZ379" t="b">
        <v>1</v>
      </c>
    </row>
    <row r="380" spans="1:52" x14ac:dyDescent="0.3">
      <c r="A380" t="s">
        <v>52</v>
      </c>
      <c r="B380" t="s">
        <v>53</v>
      </c>
      <c r="C380" t="s">
        <v>54</v>
      </c>
      <c r="D380" t="s">
        <v>55</v>
      </c>
      <c r="E380" t="s">
        <v>770</v>
      </c>
      <c r="F380" t="s">
        <v>176</v>
      </c>
      <c r="G380" t="s">
        <v>357</v>
      </c>
      <c r="H380" t="s">
        <v>358</v>
      </c>
      <c r="I380" t="s">
        <v>358</v>
      </c>
      <c r="J380" t="s">
        <v>60</v>
      </c>
      <c r="K380" t="s">
        <v>359</v>
      </c>
      <c r="L380" t="s">
        <v>62</v>
      </c>
      <c r="M380" t="s">
        <v>359</v>
      </c>
      <c r="N380" t="s">
        <v>360</v>
      </c>
      <c r="O380" t="s">
        <v>201</v>
      </c>
      <c r="P380">
        <v>-19.601168000000001</v>
      </c>
      <c r="Q380">
        <v>-43.896143000000002</v>
      </c>
      <c r="R380" s="2" t="str">
        <f>HYPERLINK("https://www.google.com/maps?q=-19.6011680,-43.8961430","Abrir no Google Maps")</f>
        <v>Abrir no Google Maps</v>
      </c>
      <c r="S380">
        <v>3</v>
      </c>
      <c r="T380">
        <v>886.80074895427902</v>
      </c>
      <c r="U380">
        <v>4</v>
      </c>
      <c r="V380">
        <v>16</v>
      </c>
      <c r="W380">
        <v>1</v>
      </c>
      <c r="X380">
        <v>16</v>
      </c>
      <c r="Y380">
        <v>2</v>
      </c>
      <c r="Z380">
        <v>807.27931110193254</v>
      </c>
      <c r="AA380">
        <v>2</v>
      </c>
      <c r="AB380">
        <v>3</v>
      </c>
      <c r="AC380">
        <v>7</v>
      </c>
      <c r="AD380">
        <v>23.52</v>
      </c>
      <c r="AE380">
        <v>253</v>
      </c>
      <c r="AF380">
        <v>15</v>
      </c>
      <c r="AG380">
        <v>55</v>
      </c>
      <c r="AH380">
        <v>32</v>
      </c>
      <c r="AI380">
        <v>5.93</v>
      </c>
      <c r="AJ380">
        <v>21.74</v>
      </c>
      <c r="AK380">
        <v>12.65</v>
      </c>
      <c r="AL380">
        <v>-19.60112959999995</v>
      </c>
      <c r="AM380">
        <v>-43.896049426747439</v>
      </c>
      <c r="AN380">
        <v>-19.60112959999995</v>
      </c>
      <c r="AO380">
        <v>-43.896049426747439</v>
      </c>
      <c r="AP380">
        <v>-19.601168000000001</v>
      </c>
      <c r="AQ380">
        <v>-43.896143000000002</v>
      </c>
      <c r="AR380">
        <v>10.703588298793671</v>
      </c>
      <c r="AS380" t="s">
        <v>65</v>
      </c>
      <c r="AT380">
        <v>1</v>
      </c>
      <c r="AU380" t="s">
        <v>361</v>
      </c>
      <c r="AV380" t="s">
        <v>362</v>
      </c>
      <c r="AW380" t="s">
        <v>60</v>
      </c>
      <c r="AX380" t="s">
        <v>68</v>
      </c>
      <c r="AY380" t="s">
        <v>69</v>
      </c>
      <c r="AZ380" t="b">
        <v>1</v>
      </c>
    </row>
    <row r="381" spans="1:52" x14ac:dyDescent="0.3">
      <c r="A381" t="s">
        <v>52</v>
      </c>
      <c r="B381" t="s">
        <v>53</v>
      </c>
      <c r="C381" t="s">
        <v>54</v>
      </c>
      <c r="D381" t="s">
        <v>55</v>
      </c>
      <c r="E381" t="s">
        <v>770</v>
      </c>
      <c r="F381" t="s">
        <v>176</v>
      </c>
      <c r="G381" t="s">
        <v>500</v>
      </c>
      <c r="H381" t="s">
        <v>501</v>
      </c>
      <c r="I381" t="s">
        <v>501</v>
      </c>
      <c r="J381" t="s">
        <v>60</v>
      </c>
      <c r="K381" t="s">
        <v>164</v>
      </c>
      <c r="L381" t="s">
        <v>62</v>
      </c>
      <c r="M381" t="s">
        <v>164</v>
      </c>
      <c r="N381" t="s">
        <v>502</v>
      </c>
      <c r="O381" t="s">
        <v>503</v>
      </c>
      <c r="P381">
        <v>-19.665816</v>
      </c>
      <c r="Q381">
        <v>-43.886322999999997</v>
      </c>
      <c r="R381" s="2" t="str">
        <f>HYPERLINK("https://www.google.com/maps?q=-19.6658160,-43.8863230","Abrir no Google Maps")</f>
        <v>Abrir no Google Maps</v>
      </c>
      <c r="S381">
        <v>3</v>
      </c>
      <c r="T381">
        <v>1149.957610345353</v>
      </c>
      <c r="U381">
        <v>4</v>
      </c>
      <c r="V381">
        <v>22</v>
      </c>
      <c r="W381">
        <v>1</v>
      </c>
      <c r="X381">
        <v>22</v>
      </c>
      <c r="Y381">
        <v>1</v>
      </c>
      <c r="Z381">
        <v>381.605286477493</v>
      </c>
      <c r="AA381">
        <v>2</v>
      </c>
      <c r="AB381">
        <v>3</v>
      </c>
      <c r="AC381">
        <v>7</v>
      </c>
      <c r="AD381">
        <v>23.52</v>
      </c>
      <c r="AE381">
        <v>253</v>
      </c>
      <c r="AF381">
        <v>15</v>
      </c>
      <c r="AG381">
        <v>55</v>
      </c>
      <c r="AH381">
        <v>32</v>
      </c>
      <c r="AI381">
        <v>5.93</v>
      </c>
      <c r="AJ381">
        <v>21.74</v>
      </c>
      <c r="AK381">
        <v>12.65</v>
      </c>
      <c r="AL381">
        <v>-19.665844049999951</v>
      </c>
      <c r="AM381">
        <v>-43.886344205728712</v>
      </c>
      <c r="AN381">
        <v>-19.665844049999951</v>
      </c>
      <c r="AO381">
        <v>-43.886344205728712</v>
      </c>
      <c r="AP381">
        <v>-19.665816</v>
      </c>
      <c r="AQ381">
        <v>-43.886322999999997</v>
      </c>
      <c r="AR381">
        <v>3.8329604058735098</v>
      </c>
      <c r="AS381" t="s">
        <v>65</v>
      </c>
      <c r="AT381">
        <v>1</v>
      </c>
      <c r="AU381" t="s">
        <v>504</v>
      </c>
      <c r="AV381" t="s">
        <v>505</v>
      </c>
      <c r="AW381" t="s">
        <v>60</v>
      </c>
      <c r="AX381" t="s">
        <v>68</v>
      </c>
      <c r="AY381" t="s">
        <v>69</v>
      </c>
      <c r="AZ381" t="b">
        <v>1</v>
      </c>
    </row>
    <row r="382" spans="1:52" x14ac:dyDescent="0.3">
      <c r="A382" t="s">
        <v>52</v>
      </c>
      <c r="B382" t="s">
        <v>53</v>
      </c>
      <c r="C382" t="s">
        <v>54</v>
      </c>
      <c r="D382" t="s">
        <v>55</v>
      </c>
      <c r="E382" t="s">
        <v>770</v>
      </c>
      <c r="F382" t="s">
        <v>176</v>
      </c>
      <c r="G382" t="s">
        <v>506</v>
      </c>
      <c r="H382" t="s">
        <v>507</v>
      </c>
      <c r="I382" t="s">
        <v>507</v>
      </c>
      <c r="J382" t="s">
        <v>60</v>
      </c>
      <c r="K382" t="s">
        <v>219</v>
      </c>
      <c r="L382" t="s">
        <v>62</v>
      </c>
      <c r="M382" t="s">
        <v>219</v>
      </c>
      <c r="N382" t="s">
        <v>508</v>
      </c>
      <c r="O382" t="s">
        <v>509</v>
      </c>
      <c r="P382">
        <v>-19.663573</v>
      </c>
      <c r="Q382">
        <v>-43.884306000000002</v>
      </c>
      <c r="R382" s="2" t="str">
        <f>HYPERLINK("https://www.google.com/maps?q=-19.6635730,-43.8843060","Abrir no Google Maps")</f>
        <v>Abrir no Google Maps</v>
      </c>
      <c r="S382">
        <v>3</v>
      </c>
      <c r="T382">
        <v>1293.040666597964</v>
      </c>
      <c r="U382">
        <v>4</v>
      </c>
      <c r="V382">
        <v>16</v>
      </c>
      <c r="W382">
        <v>1</v>
      </c>
      <c r="X382">
        <v>16</v>
      </c>
      <c r="Y382">
        <v>1</v>
      </c>
      <c r="Z382">
        <v>649.69199246551727</v>
      </c>
      <c r="AA382">
        <v>2</v>
      </c>
      <c r="AB382">
        <v>3</v>
      </c>
      <c r="AC382">
        <v>7</v>
      </c>
      <c r="AD382">
        <v>23.52</v>
      </c>
      <c r="AE382">
        <v>253</v>
      </c>
      <c r="AF382">
        <v>15</v>
      </c>
      <c r="AG382">
        <v>55</v>
      </c>
      <c r="AH382">
        <v>32</v>
      </c>
      <c r="AI382">
        <v>5.93</v>
      </c>
      <c r="AJ382">
        <v>21.74</v>
      </c>
      <c r="AK382">
        <v>12.65</v>
      </c>
      <c r="AL382">
        <v>-19.663616899999969</v>
      </c>
      <c r="AM382">
        <v>-43.884279937960187</v>
      </c>
      <c r="AN382">
        <v>-19.663616899999969</v>
      </c>
      <c r="AO382">
        <v>-43.884279937960187</v>
      </c>
      <c r="AP382">
        <v>-19.663573</v>
      </c>
      <c r="AQ382">
        <v>-43.884306000000002</v>
      </c>
      <c r="AR382">
        <v>5.5987767285658263</v>
      </c>
      <c r="AS382" t="s">
        <v>65</v>
      </c>
      <c r="AT382">
        <v>1</v>
      </c>
      <c r="AU382" t="s">
        <v>510</v>
      </c>
      <c r="AV382" t="s">
        <v>511</v>
      </c>
      <c r="AW382" t="s">
        <v>60</v>
      </c>
      <c r="AX382" t="s">
        <v>68</v>
      </c>
      <c r="AY382" t="s">
        <v>69</v>
      </c>
      <c r="AZ382" t="b">
        <v>1</v>
      </c>
    </row>
    <row r="383" spans="1:52" x14ac:dyDescent="0.3">
      <c r="A383" t="s">
        <v>52</v>
      </c>
      <c r="B383" t="s">
        <v>53</v>
      </c>
      <c r="C383" t="s">
        <v>54</v>
      </c>
      <c r="D383" t="s">
        <v>55</v>
      </c>
      <c r="E383" t="s">
        <v>770</v>
      </c>
      <c r="F383" t="s">
        <v>176</v>
      </c>
      <c r="G383" t="s">
        <v>394</v>
      </c>
      <c r="H383" t="s">
        <v>395</v>
      </c>
      <c r="I383" t="s">
        <v>395</v>
      </c>
      <c r="J383" t="s">
        <v>60</v>
      </c>
      <c r="K383" t="s">
        <v>286</v>
      </c>
      <c r="L383" t="s">
        <v>62</v>
      </c>
      <c r="M383" t="s">
        <v>286</v>
      </c>
      <c r="N383" t="s">
        <v>396</v>
      </c>
      <c r="O383" t="s">
        <v>88</v>
      </c>
      <c r="P383">
        <v>-19.636932999999999</v>
      </c>
      <c r="Q383">
        <v>-43.882691999999999</v>
      </c>
      <c r="R383" s="2" t="str">
        <f>HYPERLINK("https://www.google.com/maps?q=-19.6369330,-43.8826920","Abrir no Google Maps")</f>
        <v>Abrir no Google Maps</v>
      </c>
      <c r="S383">
        <v>3</v>
      </c>
      <c r="T383">
        <v>523.52675813688109</v>
      </c>
      <c r="U383">
        <v>3</v>
      </c>
      <c r="V383">
        <v>14</v>
      </c>
      <c r="W383">
        <v>1</v>
      </c>
      <c r="X383">
        <v>14</v>
      </c>
      <c r="Y383">
        <v>10</v>
      </c>
      <c r="Z383">
        <v>372.58135532659509</v>
      </c>
      <c r="AA383">
        <v>2</v>
      </c>
      <c r="AB383">
        <v>3</v>
      </c>
      <c r="AC383">
        <v>7</v>
      </c>
      <c r="AD383">
        <v>23.52</v>
      </c>
      <c r="AE383">
        <v>253</v>
      </c>
      <c r="AF383">
        <v>15</v>
      </c>
      <c r="AG383">
        <v>55</v>
      </c>
      <c r="AH383">
        <v>32</v>
      </c>
      <c r="AI383">
        <v>5.93</v>
      </c>
      <c r="AJ383">
        <v>21.74</v>
      </c>
      <c r="AK383">
        <v>12.65</v>
      </c>
      <c r="AL383">
        <v>-19.637159949999951</v>
      </c>
      <c r="AM383">
        <v>-43.882643289441461</v>
      </c>
      <c r="AN383">
        <v>-19.637159949999951</v>
      </c>
      <c r="AO383">
        <v>-43.882643289441461</v>
      </c>
      <c r="AP383">
        <v>-19.636932999999999</v>
      </c>
      <c r="AQ383">
        <v>-43.882691999999999</v>
      </c>
      <c r="AR383">
        <v>25.775099947452478</v>
      </c>
      <c r="AS383" t="s">
        <v>65</v>
      </c>
      <c r="AT383">
        <v>1</v>
      </c>
      <c r="AU383" t="s">
        <v>397</v>
      </c>
      <c r="AV383" t="s">
        <v>398</v>
      </c>
      <c r="AW383" t="s">
        <v>60</v>
      </c>
      <c r="AX383" t="s">
        <v>68</v>
      </c>
      <c r="AY383" t="s">
        <v>69</v>
      </c>
      <c r="AZ383" t="b">
        <v>1</v>
      </c>
    </row>
    <row r="384" spans="1:52" x14ac:dyDescent="0.3">
      <c r="A384" t="s">
        <v>52</v>
      </c>
      <c r="B384" t="s">
        <v>53</v>
      </c>
      <c r="C384" t="s">
        <v>54</v>
      </c>
      <c r="D384" t="s">
        <v>55</v>
      </c>
      <c r="E384" t="s">
        <v>770</v>
      </c>
      <c r="F384" t="s">
        <v>176</v>
      </c>
      <c r="G384" t="s">
        <v>291</v>
      </c>
      <c r="H384" t="s">
        <v>292</v>
      </c>
      <c r="I384" t="s">
        <v>292</v>
      </c>
      <c r="J384" t="s">
        <v>60</v>
      </c>
      <c r="K384" t="s">
        <v>286</v>
      </c>
      <c r="L384" t="s">
        <v>62</v>
      </c>
      <c r="M384" t="s">
        <v>286</v>
      </c>
      <c r="N384" t="s">
        <v>293</v>
      </c>
      <c r="O384" t="s">
        <v>294</v>
      </c>
      <c r="P384">
        <v>-19.640333999999999</v>
      </c>
      <c r="Q384">
        <v>-43.880004999999997</v>
      </c>
      <c r="R384" s="2" t="str">
        <f>HYPERLINK("https://www.google.com/maps?q=-19.6403340,-43.8800050","Abrir no Google Maps")</f>
        <v>Abrir no Google Maps</v>
      </c>
      <c r="S384">
        <v>3</v>
      </c>
      <c r="T384">
        <v>276.80943817309782</v>
      </c>
      <c r="U384">
        <v>3</v>
      </c>
      <c r="V384">
        <v>14</v>
      </c>
      <c r="W384">
        <v>1</v>
      </c>
      <c r="X384">
        <v>14</v>
      </c>
      <c r="Y384">
        <v>10</v>
      </c>
      <c r="Z384">
        <v>361.98332038983392</v>
      </c>
      <c r="AA384">
        <v>2</v>
      </c>
      <c r="AB384">
        <v>3</v>
      </c>
      <c r="AC384">
        <v>7</v>
      </c>
      <c r="AD384">
        <v>23.52</v>
      </c>
      <c r="AE384">
        <v>253</v>
      </c>
      <c r="AF384">
        <v>15</v>
      </c>
      <c r="AG384">
        <v>55</v>
      </c>
      <c r="AH384">
        <v>32</v>
      </c>
      <c r="AI384">
        <v>5.93</v>
      </c>
      <c r="AJ384">
        <v>21.74</v>
      </c>
      <c r="AK384">
        <v>12.65</v>
      </c>
      <c r="AL384">
        <v>-19.640260249999951</v>
      </c>
      <c r="AM384">
        <v>-43.880090474326408</v>
      </c>
      <c r="AN384">
        <v>-19.640260249999951</v>
      </c>
      <c r="AO384">
        <v>-43.880090474326408</v>
      </c>
      <c r="AP384">
        <v>-19.640333999999999</v>
      </c>
      <c r="AQ384">
        <v>-43.880004999999997</v>
      </c>
      <c r="AR384">
        <v>12.153556195359609</v>
      </c>
      <c r="AS384" t="s">
        <v>65</v>
      </c>
      <c r="AT384">
        <v>1</v>
      </c>
      <c r="AU384" t="s">
        <v>295</v>
      </c>
      <c r="AV384" t="s">
        <v>296</v>
      </c>
      <c r="AW384" t="s">
        <v>60</v>
      </c>
      <c r="AX384" t="s">
        <v>68</v>
      </c>
      <c r="AY384" t="s">
        <v>69</v>
      </c>
      <c r="AZ384" t="b">
        <v>1</v>
      </c>
    </row>
    <row r="385" spans="1:52" x14ac:dyDescent="0.3">
      <c r="A385" t="s">
        <v>52</v>
      </c>
      <c r="B385" t="s">
        <v>53</v>
      </c>
      <c r="C385" t="s">
        <v>54</v>
      </c>
      <c r="D385" t="s">
        <v>55</v>
      </c>
      <c r="E385" t="s">
        <v>770</v>
      </c>
      <c r="F385" t="s">
        <v>176</v>
      </c>
      <c r="G385" t="s">
        <v>557</v>
      </c>
      <c r="H385" t="s">
        <v>558</v>
      </c>
      <c r="I385" t="s">
        <v>558</v>
      </c>
      <c r="J385" t="s">
        <v>60</v>
      </c>
      <c r="K385" t="s">
        <v>445</v>
      </c>
      <c r="L385" t="s">
        <v>62</v>
      </c>
      <c r="M385" t="s">
        <v>445</v>
      </c>
      <c r="N385" t="s">
        <v>559</v>
      </c>
      <c r="O385" t="s">
        <v>560</v>
      </c>
      <c r="P385">
        <v>-19.641839000000001</v>
      </c>
      <c r="Q385">
        <v>-43.876227</v>
      </c>
      <c r="R385" s="2" t="str">
        <f>HYPERLINK("https://www.google.com/maps?q=-19.6418390,-43.8762270","Abrir no Google Maps")</f>
        <v>Abrir no Google Maps</v>
      </c>
      <c r="S385">
        <v>3</v>
      </c>
      <c r="T385">
        <v>564.50471877254449</v>
      </c>
      <c r="U385">
        <v>3</v>
      </c>
      <c r="V385">
        <v>13</v>
      </c>
      <c r="W385">
        <v>0.85</v>
      </c>
      <c r="X385">
        <v>11.05</v>
      </c>
      <c r="Y385">
        <v>10</v>
      </c>
      <c r="Z385">
        <v>490.40238336341412</v>
      </c>
      <c r="AA385">
        <v>2</v>
      </c>
      <c r="AB385">
        <v>3</v>
      </c>
      <c r="AC385">
        <v>7</v>
      </c>
      <c r="AD385">
        <v>23.52</v>
      </c>
      <c r="AE385">
        <v>253</v>
      </c>
      <c r="AF385">
        <v>15</v>
      </c>
      <c r="AG385">
        <v>55</v>
      </c>
      <c r="AH385">
        <v>32</v>
      </c>
      <c r="AI385">
        <v>5.93</v>
      </c>
      <c r="AJ385">
        <v>21.74</v>
      </c>
      <c r="AK385">
        <v>12.65</v>
      </c>
      <c r="AL385">
        <v>-19.641880699999941</v>
      </c>
      <c r="AM385">
        <v>-43.876185869580858</v>
      </c>
      <c r="AN385">
        <v>-19.641880699999941</v>
      </c>
      <c r="AO385">
        <v>-43.876185869580858</v>
      </c>
      <c r="AP385">
        <v>-19.641839000000001</v>
      </c>
      <c r="AQ385">
        <v>-43.876227</v>
      </c>
      <c r="AR385">
        <v>6.3359121862683301</v>
      </c>
      <c r="AS385" t="s">
        <v>65</v>
      </c>
      <c r="AT385">
        <v>1</v>
      </c>
      <c r="AU385" t="s">
        <v>561</v>
      </c>
      <c r="AV385" t="s">
        <v>562</v>
      </c>
      <c r="AW385" t="s">
        <v>60</v>
      </c>
      <c r="AX385" t="s">
        <v>68</v>
      </c>
      <c r="AY385" t="s">
        <v>69</v>
      </c>
      <c r="AZ385" t="b">
        <v>1</v>
      </c>
    </row>
    <row r="386" spans="1:52" x14ac:dyDescent="0.3">
      <c r="A386" t="s">
        <v>52</v>
      </c>
      <c r="B386" t="s">
        <v>53</v>
      </c>
      <c r="C386" t="s">
        <v>54</v>
      </c>
      <c r="D386" t="s">
        <v>55</v>
      </c>
      <c r="E386" t="s">
        <v>770</v>
      </c>
      <c r="F386" t="s">
        <v>176</v>
      </c>
      <c r="G386" t="s">
        <v>405</v>
      </c>
      <c r="H386" t="s">
        <v>406</v>
      </c>
      <c r="I386" t="s">
        <v>406</v>
      </c>
      <c r="J386" t="s">
        <v>60</v>
      </c>
      <c r="K386" t="s">
        <v>286</v>
      </c>
      <c r="L386" t="s">
        <v>62</v>
      </c>
      <c r="M386" t="s">
        <v>286</v>
      </c>
      <c r="N386" t="s">
        <v>407</v>
      </c>
      <c r="O386" t="s">
        <v>408</v>
      </c>
      <c r="P386">
        <v>-19.646345</v>
      </c>
      <c r="Q386">
        <v>-43.882294999999999</v>
      </c>
      <c r="R386" s="2" t="str">
        <f>HYPERLINK("https://www.google.com/maps?q=-19.6463450,-43.8822950","Abrir no Google Maps")</f>
        <v>Abrir no Google Maps</v>
      </c>
      <c r="S386">
        <v>3</v>
      </c>
      <c r="T386">
        <v>450.3180538635894</v>
      </c>
      <c r="U386">
        <v>3</v>
      </c>
      <c r="V386">
        <v>13</v>
      </c>
      <c r="W386">
        <v>1</v>
      </c>
      <c r="X386">
        <v>13</v>
      </c>
      <c r="Y386">
        <v>10</v>
      </c>
      <c r="Z386">
        <v>349.23341775902583</v>
      </c>
      <c r="AA386">
        <v>2</v>
      </c>
      <c r="AB386">
        <v>3</v>
      </c>
      <c r="AC386">
        <v>7</v>
      </c>
      <c r="AD386">
        <v>23.52</v>
      </c>
      <c r="AE386">
        <v>253</v>
      </c>
      <c r="AF386">
        <v>15</v>
      </c>
      <c r="AG386">
        <v>55</v>
      </c>
      <c r="AH386">
        <v>32</v>
      </c>
      <c r="AI386">
        <v>5.93</v>
      </c>
      <c r="AJ386">
        <v>21.74</v>
      </c>
      <c r="AK386">
        <v>12.65</v>
      </c>
      <c r="AL386">
        <v>-19.646391649999941</v>
      </c>
      <c r="AM386">
        <v>-43.882007396993302</v>
      </c>
      <c r="AN386">
        <v>-19.646391649999941</v>
      </c>
      <c r="AO386">
        <v>-43.882007396993302</v>
      </c>
      <c r="AP386">
        <v>-19.646345</v>
      </c>
      <c r="AQ386">
        <v>-43.882294999999999</v>
      </c>
      <c r="AR386">
        <v>30.596105513395301</v>
      </c>
      <c r="AS386" t="s">
        <v>65</v>
      </c>
      <c r="AT386">
        <v>1</v>
      </c>
      <c r="AU386" t="s">
        <v>409</v>
      </c>
      <c r="AV386" t="s">
        <v>410</v>
      </c>
      <c r="AW386" t="s">
        <v>60</v>
      </c>
      <c r="AX386" t="s">
        <v>68</v>
      </c>
      <c r="AY386" t="s">
        <v>69</v>
      </c>
      <c r="AZ386" t="b">
        <v>1</v>
      </c>
    </row>
    <row r="387" spans="1:52" x14ac:dyDescent="0.3">
      <c r="A387" t="s">
        <v>52</v>
      </c>
      <c r="B387" t="s">
        <v>53</v>
      </c>
      <c r="C387" t="s">
        <v>54</v>
      </c>
      <c r="D387" t="s">
        <v>55</v>
      </c>
      <c r="E387" t="s">
        <v>770</v>
      </c>
      <c r="F387" t="s">
        <v>176</v>
      </c>
      <c r="G387" t="s">
        <v>309</v>
      </c>
      <c r="H387" t="s">
        <v>676</v>
      </c>
      <c r="I387" t="s">
        <v>676</v>
      </c>
      <c r="J387" t="s">
        <v>60</v>
      </c>
      <c r="K387" t="s">
        <v>311</v>
      </c>
      <c r="L387" t="s">
        <v>62</v>
      </c>
      <c r="M387" t="s">
        <v>311</v>
      </c>
      <c r="N387" t="s">
        <v>677</v>
      </c>
      <c r="O387" t="s">
        <v>678</v>
      </c>
      <c r="P387">
        <v>-19.567574</v>
      </c>
      <c r="Q387">
        <v>-43.916691</v>
      </c>
      <c r="R387" s="2" t="str">
        <f>HYPERLINK("https://www.google.com/maps?q=-19.5675740,-43.9166910","Abrir no Google Maps")</f>
        <v>Abrir no Google Maps</v>
      </c>
      <c r="S387">
        <v>3</v>
      </c>
      <c r="T387">
        <v>964.07840012317956</v>
      </c>
      <c r="U387">
        <v>3</v>
      </c>
      <c r="V387">
        <v>13</v>
      </c>
      <c r="W387">
        <v>1</v>
      </c>
      <c r="X387">
        <v>13</v>
      </c>
      <c r="Y387">
        <v>5</v>
      </c>
      <c r="Z387">
        <v>848.74171565955544</v>
      </c>
      <c r="AA387">
        <v>2</v>
      </c>
      <c r="AB387">
        <v>3</v>
      </c>
      <c r="AC387">
        <v>7</v>
      </c>
      <c r="AD387">
        <v>23.52</v>
      </c>
      <c r="AE387">
        <v>253</v>
      </c>
      <c r="AF387">
        <v>15</v>
      </c>
      <c r="AG387">
        <v>55</v>
      </c>
      <c r="AH387">
        <v>32</v>
      </c>
      <c r="AI387">
        <v>5.93</v>
      </c>
      <c r="AJ387">
        <v>21.74</v>
      </c>
      <c r="AK387">
        <v>12.65</v>
      </c>
      <c r="AL387">
        <v>-19.568204099999971</v>
      </c>
      <c r="AM387">
        <v>-43.914085447159053</v>
      </c>
      <c r="AN387">
        <v>-19.568204099999971</v>
      </c>
      <c r="AO387">
        <v>-43.914085447159053</v>
      </c>
      <c r="AP387">
        <v>-19.567574</v>
      </c>
      <c r="AQ387">
        <v>-43.916691</v>
      </c>
      <c r="AR387">
        <v>282.15548573552991</v>
      </c>
      <c r="AS387" t="s">
        <v>65</v>
      </c>
      <c r="AT387">
        <v>1</v>
      </c>
      <c r="AU387" t="s">
        <v>679</v>
      </c>
      <c r="AV387" t="s">
        <v>680</v>
      </c>
      <c r="AW387" t="s">
        <v>60</v>
      </c>
      <c r="AX387" t="s">
        <v>68</v>
      </c>
      <c r="AY387" t="s">
        <v>69</v>
      </c>
      <c r="AZ387" t="b">
        <v>1</v>
      </c>
    </row>
    <row r="388" spans="1:52" x14ac:dyDescent="0.3">
      <c r="A388" t="s">
        <v>52</v>
      </c>
      <c r="B388" t="s">
        <v>53</v>
      </c>
      <c r="C388" t="s">
        <v>54</v>
      </c>
      <c r="D388" t="s">
        <v>55</v>
      </c>
      <c r="E388" t="s">
        <v>770</v>
      </c>
      <c r="F388" t="s">
        <v>176</v>
      </c>
      <c r="G388" t="s">
        <v>771</v>
      </c>
      <c r="H388" t="s">
        <v>772</v>
      </c>
      <c r="I388" t="s">
        <v>772</v>
      </c>
      <c r="J388" t="s">
        <v>60</v>
      </c>
      <c r="K388" t="s">
        <v>311</v>
      </c>
      <c r="L388" t="s">
        <v>62</v>
      </c>
      <c r="M388" t="s">
        <v>311</v>
      </c>
      <c r="N388" t="s">
        <v>773</v>
      </c>
      <c r="O388" t="s">
        <v>282</v>
      </c>
      <c r="P388">
        <v>-19.577828</v>
      </c>
      <c r="Q388">
        <v>-43.913378999999999</v>
      </c>
      <c r="R388" s="2" t="str">
        <f>HYPERLINK("https://www.google.com/maps?q=-19.5778280,-43.9133790","Abrir no Google Maps")</f>
        <v>Abrir no Google Maps</v>
      </c>
      <c r="S388">
        <v>3</v>
      </c>
      <c r="T388">
        <v>859.03342664962076</v>
      </c>
      <c r="U388">
        <v>3</v>
      </c>
      <c r="V388">
        <v>11</v>
      </c>
      <c r="W388">
        <v>0.85</v>
      </c>
      <c r="X388">
        <v>9.35</v>
      </c>
      <c r="Y388">
        <v>5</v>
      </c>
      <c r="Z388">
        <v>914.62514325481504</v>
      </c>
      <c r="AA388">
        <v>2</v>
      </c>
      <c r="AB388">
        <v>3</v>
      </c>
      <c r="AC388">
        <v>7</v>
      </c>
      <c r="AD388">
        <v>23.52</v>
      </c>
      <c r="AE388">
        <v>253</v>
      </c>
      <c r="AF388">
        <v>15</v>
      </c>
      <c r="AG388">
        <v>55</v>
      </c>
      <c r="AH388">
        <v>32</v>
      </c>
      <c r="AI388">
        <v>5.93</v>
      </c>
      <c r="AJ388">
        <v>21.74</v>
      </c>
      <c r="AK388">
        <v>12.65</v>
      </c>
      <c r="AL388">
        <v>-19.578014799999949</v>
      </c>
      <c r="AM388">
        <v>-43.913225677886878</v>
      </c>
      <c r="AN388">
        <v>-19.578014799999949</v>
      </c>
      <c r="AO388">
        <v>-43.913225677886878</v>
      </c>
      <c r="AP388">
        <v>-19.577828</v>
      </c>
      <c r="AQ388">
        <v>-43.913378999999999</v>
      </c>
      <c r="AR388">
        <v>26.287162248725519</v>
      </c>
      <c r="AS388" t="s">
        <v>65</v>
      </c>
      <c r="AT388">
        <v>1</v>
      </c>
      <c r="AU388" t="s">
        <v>774</v>
      </c>
      <c r="AV388" t="s">
        <v>775</v>
      </c>
      <c r="AW388" t="s">
        <v>60</v>
      </c>
      <c r="AX388" t="s">
        <v>68</v>
      </c>
      <c r="AY388" t="s">
        <v>69</v>
      </c>
      <c r="AZ388" t="b">
        <v>1</v>
      </c>
    </row>
    <row r="389" spans="1:52" x14ac:dyDescent="0.3">
      <c r="A389" t="s">
        <v>52</v>
      </c>
      <c r="B389" t="s">
        <v>53</v>
      </c>
      <c r="C389" t="s">
        <v>54</v>
      </c>
      <c r="D389" t="s">
        <v>55</v>
      </c>
      <c r="E389" t="s">
        <v>770</v>
      </c>
      <c r="F389" t="s">
        <v>176</v>
      </c>
      <c r="G389" t="s">
        <v>427</v>
      </c>
      <c r="H389" t="s">
        <v>428</v>
      </c>
      <c r="I389" t="s">
        <v>428</v>
      </c>
      <c r="J389" t="s">
        <v>60</v>
      </c>
      <c r="K389" t="s">
        <v>311</v>
      </c>
      <c r="L389" t="s">
        <v>62</v>
      </c>
      <c r="M389" t="s">
        <v>311</v>
      </c>
      <c r="N389" t="s">
        <v>429</v>
      </c>
      <c r="O389" t="s">
        <v>430</v>
      </c>
      <c r="P389">
        <v>-19.574636999999999</v>
      </c>
      <c r="Q389">
        <v>-43.919919999999998</v>
      </c>
      <c r="R389" s="2" t="str">
        <f>HYPERLINK("https://www.google.com/maps?q=-19.5746370,-43.9199200","Abrir no Google Maps")</f>
        <v>Abrir no Google Maps</v>
      </c>
      <c r="S389">
        <v>3</v>
      </c>
      <c r="T389">
        <v>0</v>
      </c>
      <c r="U389">
        <v>3</v>
      </c>
      <c r="V389">
        <v>13</v>
      </c>
      <c r="W389">
        <v>1</v>
      </c>
      <c r="X389">
        <v>13</v>
      </c>
      <c r="Y389">
        <v>5</v>
      </c>
      <c r="Z389">
        <v>161.2304444692663</v>
      </c>
      <c r="AA389">
        <v>2</v>
      </c>
      <c r="AB389">
        <v>3</v>
      </c>
      <c r="AC389">
        <v>7</v>
      </c>
      <c r="AD389">
        <v>23.52</v>
      </c>
      <c r="AE389">
        <v>253</v>
      </c>
      <c r="AF389">
        <v>15</v>
      </c>
      <c r="AG389">
        <v>55</v>
      </c>
      <c r="AH389">
        <v>32</v>
      </c>
      <c r="AI389">
        <v>5.93</v>
      </c>
      <c r="AJ389">
        <v>21.74</v>
      </c>
      <c r="AK389">
        <v>12.65</v>
      </c>
      <c r="AL389">
        <v>-19.57444484999996</v>
      </c>
      <c r="AM389">
        <v>-43.920497272225433</v>
      </c>
      <c r="AN389">
        <v>-19.57444484999996</v>
      </c>
      <c r="AO389">
        <v>-43.920497272225433</v>
      </c>
      <c r="AP389">
        <v>-19.574636999999999</v>
      </c>
      <c r="AQ389">
        <v>-43.919919999999998</v>
      </c>
      <c r="AR389">
        <v>64.215298992893679</v>
      </c>
      <c r="AS389" t="s">
        <v>65</v>
      </c>
      <c r="AT389">
        <v>1</v>
      </c>
      <c r="AU389" t="s">
        <v>431</v>
      </c>
      <c r="AV389" t="s">
        <v>432</v>
      </c>
      <c r="AW389" t="s">
        <v>60</v>
      </c>
      <c r="AX389" t="s">
        <v>68</v>
      </c>
      <c r="AY389" t="s">
        <v>69</v>
      </c>
      <c r="AZ389" t="b">
        <v>1</v>
      </c>
    </row>
    <row r="390" spans="1:52" x14ac:dyDescent="0.3">
      <c r="A390" t="s">
        <v>52</v>
      </c>
      <c r="B390" t="s">
        <v>53</v>
      </c>
      <c r="C390" t="s">
        <v>54</v>
      </c>
      <c r="D390" t="s">
        <v>55</v>
      </c>
      <c r="E390" t="s">
        <v>770</v>
      </c>
      <c r="F390" t="s">
        <v>176</v>
      </c>
      <c r="G390" t="s">
        <v>433</v>
      </c>
      <c r="H390" t="s">
        <v>434</v>
      </c>
      <c r="I390" t="s">
        <v>434</v>
      </c>
      <c r="J390" t="s">
        <v>60</v>
      </c>
      <c r="K390" t="s">
        <v>311</v>
      </c>
      <c r="L390" t="s">
        <v>62</v>
      </c>
      <c r="M390" t="s">
        <v>311</v>
      </c>
      <c r="N390" t="s">
        <v>435</v>
      </c>
      <c r="O390" t="s">
        <v>120</v>
      </c>
      <c r="P390">
        <v>-19.563834</v>
      </c>
      <c r="Q390">
        <v>-43.917617</v>
      </c>
      <c r="R390" s="2" t="str">
        <f>HYPERLINK("https://www.google.com/maps?q=-19.5638340,-43.9176170","Abrir no Google Maps")</f>
        <v>Abrir no Google Maps</v>
      </c>
      <c r="S390">
        <v>3</v>
      </c>
      <c r="T390">
        <v>1208.4380275937069</v>
      </c>
      <c r="U390">
        <v>3</v>
      </c>
      <c r="V390">
        <v>14</v>
      </c>
      <c r="W390">
        <v>1</v>
      </c>
      <c r="X390">
        <v>14</v>
      </c>
      <c r="Y390">
        <v>5</v>
      </c>
      <c r="Z390">
        <v>1239.357315084522</v>
      </c>
      <c r="AA390">
        <v>2</v>
      </c>
      <c r="AB390">
        <v>3</v>
      </c>
      <c r="AC390">
        <v>7</v>
      </c>
      <c r="AD390">
        <v>23.52</v>
      </c>
      <c r="AE390">
        <v>253</v>
      </c>
      <c r="AF390">
        <v>15</v>
      </c>
      <c r="AG390">
        <v>55</v>
      </c>
      <c r="AH390">
        <v>32</v>
      </c>
      <c r="AI390">
        <v>5.93</v>
      </c>
      <c r="AJ390">
        <v>21.74</v>
      </c>
      <c r="AK390">
        <v>12.65</v>
      </c>
      <c r="AL390">
        <v>-19.563932349999959</v>
      </c>
      <c r="AM390">
        <v>-43.917383104532327</v>
      </c>
      <c r="AN390">
        <v>-19.563932349999959</v>
      </c>
      <c r="AO390">
        <v>-43.917383104532327</v>
      </c>
      <c r="AP390">
        <v>-19.563834</v>
      </c>
      <c r="AQ390">
        <v>-43.917617</v>
      </c>
      <c r="AR390">
        <v>26.86608405010627</v>
      </c>
      <c r="AS390" t="s">
        <v>65</v>
      </c>
      <c r="AT390">
        <v>1</v>
      </c>
      <c r="AU390" t="s">
        <v>436</v>
      </c>
      <c r="AV390" t="s">
        <v>437</v>
      </c>
      <c r="AW390" t="s">
        <v>60</v>
      </c>
      <c r="AX390" t="s">
        <v>68</v>
      </c>
      <c r="AY390" t="s">
        <v>69</v>
      </c>
      <c r="AZ390" t="b">
        <v>1</v>
      </c>
    </row>
    <row r="391" spans="1:52" x14ac:dyDescent="0.3">
      <c r="A391" t="s">
        <v>52</v>
      </c>
      <c r="B391" t="s">
        <v>53</v>
      </c>
      <c r="C391" t="s">
        <v>54</v>
      </c>
      <c r="D391" t="s">
        <v>55</v>
      </c>
      <c r="E391" t="s">
        <v>770</v>
      </c>
      <c r="F391" t="s">
        <v>176</v>
      </c>
      <c r="G391" t="s">
        <v>664</v>
      </c>
      <c r="H391" t="s">
        <v>701</v>
      </c>
      <c r="I391" t="s">
        <v>701</v>
      </c>
      <c r="J391" t="s">
        <v>60</v>
      </c>
      <c r="K391" t="s">
        <v>311</v>
      </c>
      <c r="L391" t="s">
        <v>62</v>
      </c>
      <c r="M391" t="s">
        <v>311</v>
      </c>
      <c r="N391" t="s">
        <v>435</v>
      </c>
      <c r="O391" t="s">
        <v>702</v>
      </c>
      <c r="P391">
        <v>-19.565729000000001</v>
      </c>
      <c r="Q391">
        <v>-43.920665999999997</v>
      </c>
      <c r="R391" s="2" t="str">
        <f>HYPERLINK("https://www.google.com/maps?q=-19.5657290,-43.9206660","Abrir no Google Maps")</f>
        <v>Abrir no Google Maps</v>
      </c>
      <c r="S391">
        <v>3</v>
      </c>
      <c r="T391">
        <v>849.43063667308161</v>
      </c>
      <c r="U391">
        <v>3</v>
      </c>
      <c r="V391">
        <v>12</v>
      </c>
      <c r="W391">
        <v>0.85</v>
      </c>
      <c r="X391">
        <v>10.199999999999999</v>
      </c>
      <c r="Y391">
        <v>5</v>
      </c>
      <c r="Z391">
        <v>643.17339424023237</v>
      </c>
      <c r="AA391">
        <v>2</v>
      </c>
      <c r="AB391">
        <v>3</v>
      </c>
      <c r="AC391">
        <v>7</v>
      </c>
      <c r="AD391">
        <v>23.52</v>
      </c>
      <c r="AE391">
        <v>253</v>
      </c>
      <c r="AF391">
        <v>15</v>
      </c>
      <c r="AG391">
        <v>55</v>
      </c>
      <c r="AH391">
        <v>32</v>
      </c>
      <c r="AI391">
        <v>5.93</v>
      </c>
      <c r="AJ391">
        <v>21.74</v>
      </c>
      <c r="AK391">
        <v>12.65</v>
      </c>
      <c r="AL391">
        <v>-19.56682334999994</v>
      </c>
      <c r="AM391">
        <v>-43.921453383422516</v>
      </c>
      <c r="AN391">
        <v>-19.56682334999994</v>
      </c>
      <c r="AO391">
        <v>-43.921453383422516</v>
      </c>
      <c r="AP391">
        <v>-19.565729000000001</v>
      </c>
      <c r="AQ391">
        <v>-43.920665999999997</v>
      </c>
      <c r="AR391">
        <v>147.17990898184439</v>
      </c>
      <c r="AS391" t="s">
        <v>65</v>
      </c>
      <c r="AT391">
        <v>1</v>
      </c>
      <c r="AU391" t="s">
        <v>703</v>
      </c>
      <c r="AV391" t="s">
        <v>704</v>
      </c>
      <c r="AW391" t="s">
        <v>60</v>
      </c>
      <c r="AX391" t="s">
        <v>68</v>
      </c>
      <c r="AY391" t="s">
        <v>69</v>
      </c>
      <c r="AZ391" t="b">
        <v>1</v>
      </c>
    </row>
    <row r="392" spans="1:52" x14ac:dyDescent="0.3">
      <c r="A392" t="s">
        <v>52</v>
      </c>
      <c r="B392" t="s">
        <v>53</v>
      </c>
      <c r="C392" t="s">
        <v>54</v>
      </c>
      <c r="D392" t="s">
        <v>55</v>
      </c>
      <c r="E392" t="s">
        <v>770</v>
      </c>
      <c r="F392" t="s">
        <v>176</v>
      </c>
      <c r="G392" t="s">
        <v>712</v>
      </c>
      <c r="H392" t="s">
        <v>713</v>
      </c>
      <c r="I392" t="s">
        <v>713</v>
      </c>
      <c r="J392" t="s">
        <v>60</v>
      </c>
      <c r="K392" t="s">
        <v>192</v>
      </c>
      <c r="L392" t="s">
        <v>62</v>
      </c>
      <c r="M392" t="s">
        <v>192</v>
      </c>
      <c r="N392" t="s">
        <v>714</v>
      </c>
      <c r="O392" t="s">
        <v>715</v>
      </c>
      <c r="P392">
        <v>-19.653379999999999</v>
      </c>
      <c r="Q392">
        <v>-43.914634999999997</v>
      </c>
      <c r="R392" s="2" t="str">
        <f>HYPERLINK("https://www.google.com/maps?q=-19.6533800,-43.9146350","Abrir no Google Maps")</f>
        <v>Abrir no Google Maps</v>
      </c>
      <c r="S392">
        <v>3</v>
      </c>
      <c r="T392">
        <v>1209.6845317210091</v>
      </c>
      <c r="U392">
        <v>3</v>
      </c>
      <c r="V392">
        <v>10</v>
      </c>
      <c r="W392">
        <v>1</v>
      </c>
      <c r="X392">
        <v>10</v>
      </c>
      <c r="Y392">
        <v>4</v>
      </c>
      <c r="Z392">
        <v>948.79528152345983</v>
      </c>
      <c r="AA392">
        <v>2</v>
      </c>
      <c r="AB392">
        <v>3</v>
      </c>
      <c r="AC392">
        <v>7</v>
      </c>
      <c r="AD392">
        <v>23.52</v>
      </c>
      <c r="AE392">
        <v>253</v>
      </c>
      <c r="AF392">
        <v>15</v>
      </c>
      <c r="AG392">
        <v>55</v>
      </c>
      <c r="AH392">
        <v>32</v>
      </c>
      <c r="AI392">
        <v>5.93</v>
      </c>
      <c r="AJ392">
        <v>21.74</v>
      </c>
      <c r="AK392">
        <v>12.65</v>
      </c>
      <c r="AL392">
        <v>-19.653402249999939</v>
      </c>
      <c r="AM392">
        <v>-43.91489200796137</v>
      </c>
      <c r="AN392">
        <v>-19.653402249999939</v>
      </c>
      <c r="AO392">
        <v>-43.91489200796137</v>
      </c>
      <c r="AP392">
        <v>-19.653379999999999</v>
      </c>
      <c r="AQ392">
        <v>-43.914634999999997</v>
      </c>
      <c r="AR392">
        <v>27.0570338493382</v>
      </c>
      <c r="AS392" t="s">
        <v>65</v>
      </c>
      <c r="AT392">
        <v>1</v>
      </c>
      <c r="AU392" t="s">
        <v>716</v>
      </c>
      <c r="AV392" t="s">
        <v>717</v>
      </c>
      <c r="AW392" t="s">
        <v>60</v>
      </c>
      <c r="AX392" t="s">
        <v>68</v>
      </c>
      <c r="AY392" t="s">
        <v>69</v>
      </c>
      <c r="AZ392" t="b">
        <v>1</v>
      </c>
    </row>
    <row r="393" spans="1:52" x14ac:dyDescent="0.3">
      <c r="A393" t="s">
        <v>52</v>
      </c>
      <c r="B393" t="s">
        <v>53</v>
      </c>
      <c r="C393" t="s">
        <v>54</v>
      </c>
      <c r="D393" t="s">
        <v>55</v>
      </c>
      <c r="E393" t="s">
        <v>770</v>
      </c>
      <c r="F393" t="s">
        <v>176</v>
      </c>
      <c r="G393" t="s">
        <v>443</v>
      </c>
      <c r="H393" t="s">
        <v>444</v>
      </c>
      <c r="I393" t="s">
        <v>444</v>
      </c>
      <c r="J393" t="s">
        <v>60</v>
      </c>
      <c r="K393" t="s">
        <v>445</v>
      </c>
      <c r="L393" t="s">
        <v>62</v>
      </c>
      <c r="M393" t="s">
        <v>445</v>
      </c>
      <c r="N393" t="s">
        <v>446</v>
      </c>
      <c r="O393" t="s">
        <v>447</v>
      </c>
      <c r="P393">
        <v>-19.650062999999999</v>
      </c>
      <c r="Q393">
        <v>-43.878337000000002</v>
      </c>
      <c r="R393" s="2" t="str">
        <f>HYPERLINK("https://www.google.com/maps?q=-19.6500630,-43.8783370","Abrir no Google Maps")</f>
        <v>Abrir no Google Maps</v>
      </c>
      <c r="S393">
        <v>3</v>
      </c>
      <c r="T393">
        <v>839.11860749856135</v>
      </c>
      <c r="U393">
        <v>3</v>
      </c>
      <c r="V393">
        <v>10</v>
      </c>
      <c r="W393">
        <v>1</v>
      </c>
      <c r="X393">
        <v>10</v>
      </c>
      <c r="Y393">
        <v>3</v>
      </c>
      <c r="Z393">
        <v>698.86168887476526</v>
      </c>
      <c r="AA393">
        <v>2</v>
      </c>
      <c r="AB393">
        <v>3</v>
      </c>
      <c r="AC393">
        <v>7</v>
      </c>
      <c r="AD393">
        <v>23.52</v>
      </c>
      <c r="AE393">
        <v>253</v>
      </c>
      <c r="AF393">
        <v>15</v>
      </c>
      <c r="AG393">
        <v>55</v>
      </c>
      <c r="AH393">
        <v>32</v>
      </c>
      <c r="AI393">
        <v>5.93</v>
      </c>
      <c r="AJ393">
        <v>21.74</v>
      </c>
      <c r="AK393">
        <v>12.65</v>
      </c>
      <c r="AL393">
        <v>-19.650555399999941</v>
      </c>
      <c r="AM393">
        <v>-43.878603008553611</v>
      </c>
      <c r="AN393">
        <v>-19.650555399999941</v>
      </c>
      <c r="AO393">
        <v>-43.878603008553611</v>
      </c>
      <c r="AP393">
        <v>-19.650062999999999</v>
      </c>
      <c r="AQ393">
        <v>-43.878337000000002</v>
      </c>
      <c r="AR393">
        <v>61.500273251918507</v>
      </c>
      <c r="AS393" t="s">
        <v>65</v>
      </c>
      <c r="AT393">
        <v>1</v>
      </c>
      <c r="AU393" t="s">
        <v>448</v>
      </c>
      <c r="AV393" t="s">
        <v>449</v>
      </c>
      <c r="AW393" t="s">
        <v>60</v>
      </c>
      <c r="AX393" t="s">
        <v>68</v>
      </c>
      <c r="AY393" t="s">
        <v>69</v>
      </c>
      <c r="AZ393" t="b">
        <v>1</v>
      </c>
    </row>
    <row r="394" spans="1:52" x14ac:dyDescent="0.3">
      <c r="A394" t="s">
        <v>52</v>
      </c>
      <c r="B394" t="s">
        <v>53</v>
      </c>
      <c r="C394" t="s">
        <v>54</v>
      </c>
      <c r="D394" t="s">
        <v>55</v>
      </c>
      <c r="E394" t="s">
        <v>770</v>
      </c>
      <c r="F394" t="s">
        <v>176</v>
      </c>
      <c r="G394" t="s">
        <v>462</v>
      </c>
      <c r="H394" t="s">
        <v>463</v>
      </c>
      <c r="I394" t="s">
        <v>463</v>
      </c>
      <c r="J394" t="s">
        <v>60</v>
      </c>
      <c r="K394" t="s">
        <v>464</v>
      </c>
      <c r="L394" t="s">
        <v>62</v>
      </c>
      <c r="M394" t="s">
        <v>464</v>
      </c>
      <c r="N394" t="s">
        <v>465</v>
      </c>
      <c r="O394" t="s">
        <v>414</v>
      </c>
      <c r="P394">
        <v>-19.655408000000001</v>
      </c>
      <c r="Q394">
        <v>-43.862772999999997</v>
      </c>
      <c r="R394" s="2" t="str">
        <f>HYPERLINK("https://www.google.com/maps?q=-19.6554080,-43.8627730","Abrir no Google Maps")</f>
        <v>Abrir no Google Maps</v>
      </c>
      <c r="S394">
        <v>3</v>
      </c>
      <c r="T394">
        <v>877.50781603676592</v>
      </c>
      <c r="U394">
        <v>3</v>
      </c>
      <c r="V394">
        <v>10</v>
      </c>
      <c r="W394">
        <v>1</v>
      </c>
      <c r="X394">
        <v>10</v>
      </c>
      <c r="Y394">
        <v>3</v>
      </c>
      <c r="Z394">
        <v>1005.9680098732809</v>
      </c>
      <c r="AA394">
        <v>2</v>
      </c>
      <c r="AB394">
        <v>3</v>
      </c>
      <c r="AC394">
        <v>7</v>
      </c>
      <c r="AD394">
        <v>23.52</v>
      </c>
      <c r="AE394">
        <v>253</v>
      </c>
      <c r="AF394">
        <v>15</v>
      </c>
      <c r="AG394">
        <v>55</v>
      </c>
      <c r="AH394">
        <v>32</v>
      </c>
      <c r="AI394">
        <v>5.93</v>
      </c>
      <c r="AJ394">
        <v>21.74</v>
      </c>
      <c r="AK394">
        <v>12.65</v>
      </c>
      <c r="AL394">
        <v>-19.655455099999951</v>
      </c>
      <c r="AM394">
        <v>-43.863149342001513</v>
      </c>
      <c r="AN394">
        <v>-19.655455099999951</v>
      </c>
      <c r="AO394">
        <v>-43.863149342001513</v>
      </c>
      <c r="AP394">
        <v>-19.655408000000001</v>
      </c>
      <c r="AQ394">
        <v>-43.862772999999997</v>
      </c>
      <c r="AR394">
        <v>39.800175805630573</v>
      </c>
      <c r="AS394" t="s">
        <v>65</v>
      </c>
      <c r="AT394">
        <v>1</v>
      </c>
      <c r="AU394" t="s">
        <v>466</v>
      </c>
      <c r="AV394" t="s">
        <v>467</v>
      </c>
      <c r="AW394" t="s">
        <v>60</v>
      </c>
      <c r="AX394" t="s">
        <v>68</v>
      </c>
      <c r="AY394" t="s">
        <v>69</v>
      </c>
      <c r="AZ394" t="b">
        <v>1</v>
      </c>
    </row>
    <row r="395" spans="1:52" x14ac:dyDescent="0.3">
      <c r="A395" t="s">
        <v>52</v>
      </c>
      <c r="B395" t="s">
        <v>53</v>
      </c>
      <c r="C395" t="s">
        <v>54</v>
      </c>
      <c r="D395" t="s">
        <v>55</v>
      </c>
      <c r="E395" t="s">
        <v>770</v>
      </c>
      <c r="F395" t="s">
        <v>176</v>
      </c>
      <c r="G395" t="s">
        <v>438</v>
      </c>
      <c r="H395" t="s">
        <v>718</v>
      </c>
      <c r="I395" t="s">
        <v>718</v>
      </c>
      <c r="J395" t="s">
        <v>60</v>
      </c>
      <c r="K395" t="s">
        <v>719</v>
      </c>
      <c r="L395" t="s">
        <v>62</v>
      </c>
      <c r="M395" t="s">
        <v>719</v>
      </c>
      <c r="N395" t="s">
        <v>720</v>
      </c>
      <c r="O395" t="s">
        <v>721</v>
      </c>
      <c r="P395">
        <v>-19.659696</v>
      </c>
      <c r="Q395">
        <v>-43.878183</v>
      </c>
      <c r="R395" s="2" t="str">
        <f>HYPERLINK("https://www.google.com/maps?q=-19.6596960,-43.8781830","Abrir no Google Maps")</f>
        <v>Abrir no Google Maps</v>
      </c>
      <c r="S395">
        <v>3</v>
      </c>
      <c r="T395">
        <v>1123.545826977394</v>
      </c>
      <c r="U395">
        <v>3</v>
      </c>
      <c r="V395">
        <v>13</v>
      </c>
      <c r="W395">
        <v>1</v>
      </c>
      <c r="X395">
        <v>13</v>
      </c>
      <c r="Y395">
        <v>3</v>
      </c>
      <c r="Z395">
        <v>1050.5223173666111</v>
      </c>
      <c r="AA395">
        <v>2</v>
      </c>
      <c r="AB395">
        <v>3</v>
      </c>
      <c r="AC395">
        <v>7</v>
      </c>
      <c r="AD395">
        <v>23.52</v>
      </c>
      <c r="AE395">
        <v>253</v>
      </c>
      <c r="AF395">
        <v>15</v>
      </c>
      <c r="AG395">
        <v>55</v>
      </c>
      <c r="AH395">
        <v>32</v>
      </c>
      <c r="AI395">
        <v>5.93</v>
      </c>
      <c r="AJ395">
        <v>21.74</v>
      </c>
      <c r="AK395">
        <v>12.65</v>
      </c>
      <c r="AL395">
        <v>-19.65964904999996</v>
      </c>
      <c r="AM395">
        <v>-43.878129467040978</v>
      </c>
      <c r="AN395">
        <v>-19.65964904999996</v>
      </c>
      <c r="AO395">
        <v>-43.878129467040978</v>
      </c>
      <c r="AP395">
        <v>-19.659696</v>
      </c>
      <c r="AQ395">
        <v>-43.878183</v>
      </c>
      <c r="AR395">
        <v>7.6687382643842978</v>
      </c>
      <c r="AS395" t="s">
        <v>65</v>
      </c>
      <c r="AT395">
        <v>1</v>
      </c>
      <c r="AU395" t="s">
        <v>722</v>
      </c>
      <c r="AV395" t="s">
        <v>723</v>
      </c>
      <c r="AW395" t="s">
        <v>60</v>
      </c>
      <c r="AX395" t="s">
        <v>68</v>
      </c>
      <c r="AY395" t="s">
        <v>69</v>
      </c>
      <c r="AZ395" t="b">
        <v>1</v>
      </c>
    </row>
    <row r="396" spans="1:52" x14ac:dyDescent="0.3">
      <c r="A396" t="s">
        <v>52</v>
      </c>
      <c r="B396" t="s">
        <v>53</v>
      </c>
      <c r="C396" t="s">
        <v>54</v>
      </c>
      <c r="D396" t="s">
        <v>55</v>
      </c>
      <c r="E396" t="s">
        <v>770</v>
      </c>
      <c r="F396" t="s">
        <v>176</v>
      </c>
      <c r="G396" t="s">
        <v>331</v>
      </c>
      <c r="H396" t="s">
        <v>332</v>
      </c>
      <c r="I396" t="s">
        <v>332</v>
      </c>
      <c r="J396" t="s">
        <v>60</v>
      </c>
      <c r="K396" t="s">
        <v>333</v>
      </c>
      <c r="L396" t="s">
        <v>62</v>
      </c>
      <c r="M396" t="s">
        <v>333</v>
      </c>
      <c r="N396" t="s">
        <v>334</v>
      </c>
      <c r="O396" t="s">
        <v>335</v>
      </c>
      <c r="P396">
        <v>-19.638455</v>
      </c>
      <c r="Q396">
        <v>-43.911239000000002</v>
      </c>
      <c r="R396" s="2" t="str">
        <f>HYPERLINK("https://www.google.com/maps?q=-19.6384550,-43.9112390","Abrir no Google Maps")</f>
        <v>Abrir no Google Maps</v>
      </c>
      <c r="S396">
        <v>3</v>
      </c>
      <c r="T396">
        <v>488.53051432983438</v>
      </c>
      <c r="U396">
        <v>3</v>
      </c>
      <c r="V396">
        <v>12</v>
      </c>
      <c r="W396">
        <v>1</v>
      </c>
      <c r="X396">
        <v>12</v>
      </c>
      <c r="Y396">
        <v>3</v>
      </c>
      <c r="Z396">
        <v>503.17412324010428</v>
      </c>
      <c r="AA396">
        <v>2</v>
      </c>
      <c r="AB396">
        <v>3</v>
      </c>
      <c r="AC396">
        <v>7</v>
      </c>
      <c r="AD396">
        <v>23.52</v>
      </c>
      <c r="AE396">
        <v>253</v>
      </c>
      <c r="AF396">
        <v>15</v>
      </c>
      <c r="AG396">
        <v>55</v>
      </c>
      <c r="AH396">
        <v>32</v>
      </c>
      <c r="AI396">
        <v>5.93</v>
      </c>
      <c r="AJ396">
        <v>21.74</v>
      </c>
      <c r="AK396">
        <v>12.65</v>
      </c>
      <c r="AL396">
        <v>-19.63853704999994</v>
      </c>
      <c r="AM396">
        <v>-43.911098254478723</v>
      </c>
      <c r="AN396">
        <v>-19.63853704999994</v>
      </c>
      <c r="AO396">
        <v>-43.911098254478723</v>
      </c>
      <c r="AP396">
        <v>-19.638455</v>
      </c>
      <c r="AQ396">
        <v>-43.911239000000002</v>
      </c>
      <c r="AR396">
        <v>17.354491692685801</v>
      </c>
      <c r="AS396" t="s">
        <v>65</v>
      </c>
      <c r="AT396">
        <v>1</v>
      </c>
      <c r="AU396" t="s">
        <v>336</v>
      </c>
      <c r="AV396" t="s">
        <v>337</v>
      </c>
      <c r="AW396" t="s">
        <v>60</v>
      </c>
      <c r="AX396" t="s">
        <v>68</v>
      </c>
      <c r="AY396" t="s">
        <v>69</v>
      </c>
      <c r="AZ396" t="b">
        <v>1</v>
      </c>
    </row>
    <row r="397" spans="1:52" x14ac:dyDescent="0.3">
      <c r="A397" t="s">
        <v>52</v>
      </c>
      <c r="B397" t="s">
        <v>53</v>
      </c>
      <c r="C397" t="s">
        <v>54</v>
      </c>
      <c r="D397" t="s">
        <v>55</v>
      </c>
      <c r="E397" t="s">
        <v>770</v>
      </c>
      <c r="F397" t="s">
        <v>176</v>
      </c>
      <c r="G397" t="s">
        <v>344</v>
      </c>
      <c r="H397" t="s">
        <v>345</v>
      </c>
      <c r="I397" t="s">
        <v>345</v>
      </c>
      <c r="J397" t="s">
        <v>60</v>
      </c>
      <c r="K397" t="s">
        <v>326</v>
      </c>
      <c r="L397" t="s">
        <v>62</v>
      </c>
      <c r="M397" t="s">
        <v>326</v>
      </c>
      <c r="N397" t="s">
        <v>346</v>
      </c>
      <c r="O397" t="s">
        <v>347</v>
      </c>
      <c r="P397">
        <v>-19.659784999999999</v>
      </c>
      <c r="Q397">
        <v>-43.868257999999997</v>
      </c>
      <c r="R397" s="2" t="str">
        <f>HYPERLINK("https://www.google.com/maps?q=-19.6597850,-43.8682580","Abrir no Google Maps")</f>
        <v>Abrir no Google Maps</v>
      </c>
      <c r="S397">
        <v>3</v>
      </c>
      <c r="T397">
        <v>887.40196140413514</v>
      </c>
      <c r="U397">
        <v>3</v>
      </c>
      <c r="V397">
        <v>10</v>
      </c>
      <c r="W397">
        <v>1</v>
      </c>
      <c r="X397">
        <v>10</v>
      </c>
      <c r="Y397">
        <v>3</v>
      </c>
      <c r="Z397">
        <v>951.67106090939239</v>
      </c>
      <c r="AA397">
        <v>2</v>
      </c>
      <c r="AB397">
        <v>3</v>
      </c>
      <c r="AC397">
        <v>7</v>
      </c>
      <c r="AD397">
        <v>23.52</v>
      </c>
      <c r="AE397">
        <v>253</v>
      </c>
      <c r="AF397">
        <v>15</v>
      </c>
      <c r="AG397">
        <v>55</v>
      </c>
      <c r="AH397">
        <v>32</v>
      </c>
      <c r="AI397">
        <v>5.93</v>
      </c>
      <c r="AJ397">
        <v>21.74</v>
      </c>
      <c r="AK397">
        <v>12.65</v>
      </c>
      <c r="AL397">
        <v>-19.659938849999971</v>
      </c>
      <c r="AM397">
        <v>-43.868426732971933</v>
      </c>
      <c r="AN397">
        <v>-19.659938849999971</v>
      </c>
      <c r="AO397">
        <v>-43.868426732971933</v>
      </c>
      <c r="AP397">
        <v>-19.659784999999999</v>
      </c>
      <c r="AQ397">
        <v>-43.868257999999997</v>
      </c>
      <c r="AR397">
        <v>24.621113441172451</v>
      </c>
      <c r="AS397" t="s">
        <v>65</v>
      </c>
      <c r="AT397">
        <v>1</v>
      </c>
      <c r="AU397" t="s">
        <v>348</v>
      </c>
      <c r="AV397" t="s">
        <v>349</v>
      </c>
      <c r="AW397" t="s">
        <v>60</v>
      </c>
      <c r="AX397" t="s">
        <v>68</v>
      </c>
      <c r="AY397" t="s">
        <v>69</v>
      </c>
      <c r="AZ397" t="b">
        <v>1</v>
      </c>
    </row>
    <row r="398" spans="1:52" x14ac:dyDescent="0.3">
      <c r="A398" t="s">
        <v>52</v>
      </c>
      <c r="B398" t="s">
        <v>53</v>
      </c>
      <c r="C398" t="s">
        <v>54</v>
      </c>
      <c r="D398" t="s">
        <v>55</v>
      </c>
      <c r="E398" t="s">
        <v>770</v>
      </c>
      <c r="F398" t="s">
        <v>176</v>
      </c>
      <c r="G398" t="s">
        <v>371</v>
      </c>
      <c r="H398" t="s">
        <v>372</v>
      </c>
      <c r="I398" t="s">
        <v>372</v>
      </c>
      <c r="J398" t="s">
        <v>60</v>
      </c>
      <c r="K398" t="s">
        <v>352</v>
      </c>
      <c r="L398" t="s">
        <v>62</v>
      </c>
      <c r="M398" t="s">
        <v>352</v>
      </c>
      <c r="N398" t="s">
        <v>353</v>
      </c>
      <c r="O398" t="s">
        <v>373</v>
      </c>
      <c r="P398">
        <v>-19.596541999999999</v>
      </c>
      <c r="Q398">
        <v>-43.900803000000003</v>
      </c>
      <c r="R398" s="2" t="str">
        <f>HYPERLINK("https://www.google.com/maps?q=-19.5965420,-43.9008030","Abrir no Google Maps")</f>
        <v>Abrir no Google Maps</v>
      </c>
      <c r="S398">
        <v>3</v>
      </c>
      <c r="T398">
        <v>401.18305899095373</v>
      </c>
      <c r="U398">
        <v>3</v>
      </c>
      <c r="V398">
        <v>10</v>
      </c>
      <c r="W398">
        <v>1</v>
      </c>
      <c r="X398">
        <v>10</v>
      </c>
      <c r="Y398">
        <v>2</v>
      </c>
      <c r="Z398">
        <v>484.51228510119228</v>
      </c>
      <c r="AA398">
        <v>2</v>
      </c>
      <c r="AB398">
        <v>3</v>
      </c>
      <c r="AC398">
        <v>7</v>
      </c>
      <c r="AD398">
        <v>23.52</v>
      </c>
      <c r="AE398">
        <v>253</v>
      </c>
      <c r="AF398">
        <v>15</v>
      </c>
      <c r="AG398">
        <v>55</v>
      </c>
      <c r="AH398">
        <v>32</v>
      </c>
      <c r="AI398">
        <v>5.93</v>
      </c>
      <c r="AJ398">
        <v>21.74</v>
      </c>
      <c r="AK398">
        <v>12.65</v>
      </c>
      <c r="AL398">
        <v>-19.596464449999932</v>
      </c>
      <c r="AM398">
        <v>-43.902090320142641</v>
      </c>
      <c r="AN398">
        <v>-19.596464449999932</v>
      </c>
      <c r="AO398">
        <v>-43.902090320142641</v>
      </c>
      <c r="AP398">
        <v>-19.596541999999999</v>
      </c>
      <c r="AQ398">
        <v>-43.900803000000003</v>
      </c>
      <c r="AR398">
        <v>135.27975170069479</v>
      </c>
      <c r="AS398" t="s">
        <v>65</v>
      </c>
      <c r="AT398">
        <v>1</v>
      </c>
      <c r="AU398" t="s">
        <v>374</v>
      </c>
      <c r="AV398" t="s">
        <v>375</v>
      </c>
      <c r="AW398" t="s">
        <v>60</v>
      </c>
      <c r="AX398" t="s">
        <v>68</v>
      </c>
      <c r="AY398" t="s">
        <v>69</v>
      </c>
      <c r="AZ398" t="b">
        <v>1</v>
      </c>
    </row>
    <row r="399" spans="1:52" x14ac:dyDescent="0.3">
      <c r="A399" t="s">
        <v>52</v>
      </c>
      <c r="B399" t="s">
        <v>53</v>
      </c>
      <c r="C399" t="s">
        <v>54</v>
      </c>
      <c r="D399" t="s">
        <v>55</v>
      </c>
      <c r="E399" t="s">
        <v>770</v>
      </c>
      <c r="F399" t="s">
        <v>176</v>
      </c>
      <c r="G399" t="s">
        <v>376</v>
      </c>
      <c r="H399" t="s">
        <v>377</v>
      </c>
      <c r="I399" t="s">
        <v>377</v>
      </c>
      <c r="J399" t="s">
        <v>60</v>
      </c>
      <c r="K399" t="s">
        <v>352</v>
      </c>
      <c r="L399" t="s">
        <v>62</v>
      </c>
      <c r="M399" t="s">
        <v>352</v>
      </c>
      <c r="N399" t="s">
        <v>378</v>
      </c>
      <c r="O399" t="s">
        <v>379</v>
      </c>
      <c r="P399">
        <v>-19.596966999999999</v>
      </c>
      <c r="Q399">
        <v>-43.90155</v>
      </c>
      <c r="R399" s="2" t="str">
        <f>HYPERLINK("https://www.google.com/maps?q=-19.5969670,-43.9015500","Abrir no Google Maps")</f>
        <v>Abrir no Google Maps</v>
      </c>
      <c r="S399">
        <v>3</v>
      </c>
      <c r="T399">
        <v>366.5160120865408</v>
      </c>
      <c r="U399">
        <v>3</v>
      </c>
      <c r="V399">
        <v>14</v>
      </c>
      <c r="W399">
        <v>1</v>
      </c>
      <c r="X399">
        <v>14</v>
      </c>
      <c r="Y399">
        <v>2</v>
      </c>
      <c r="Z399">
        <v>437.88042928493138</v>
      </c>
      <c r="AA399">
        <v>2</v>
      </c>
      <c r="AB399">
        <v>3</v>
      </c>
      <c r="AC399">
        <v>7</v>
      </c>
      <c r="AD399">
        <v>23.52</v>
      </c>
      <c r="AE399">
        <v>253</v>
      </c>
      <c r="AF399">
        <v>15</v>
      </c>
      <c r="AG399">
        <v>55</v>
      </c>
      <c r="AH399">
        <v>32</v>
      </c>
      <c r="AI399">
        <v>5.93</v>
      </c>
      <c r="AJ399">
        <v>21.74</v>
      </c>
      <c r="AK399">
        <v>12.65</v>
      </c>
      <c r="AL399">
        <v>-19.597188549999942</v>
      </c>
      <c r="AM399">
        <v>-43.901724335633787</v>
      </c>
      <c r="AN399">
        <v>-19.597188549999942</v>
      </c>
      <c r="AO399">
        <v>-43.901724335633787</v>
      </c>
      <c r="AP399">
        <v>-19.596966999999999</v>
      </c>
      <c r="AQ399">
        <v>-43.90155</v>
      </c>
      <c r="AR399">
        <v>30.700556875456439</v>
      </c>
      <c r="AS399" t="s">
        <v>65</v>
      </c>
      <c r="AT399">
        <v>1</v>
      </c>
      <c r="AU399" t="s">
        <v>380</v>
      </c>
      <c r="AV399" t="s">
        <v>381</v>
      </c>
      <c r="AW399" t="s">
        <v>60</v>
      </c>
      <c r="AX399" t="s">
        <v>68</v>
      </c>
      <c r="AY399" t="s">
        <v>69</v>
      </c>
      <c r="AZ399" t="b">
        <v>1</v>
      </c>
    </row>
    <row r="400" spans="1:52" x14ac:dyDescent="0.3">
      <c r="A400" t="s">
        <v>52</v>
      </c>
      <c r="B400" t="s">
        <v>53</v>
      </c>
      <c r="C400" t="s">
        <v>54</v>
      </c>
      <c r="D400" t="s">
        <v>55</v>
      </c>
      <c r="E400" t="s">
        <v>770</v>
      </c>
      <c r="F400" t="s">
        <v>176</v>
      </c>
      <c r="G400" t="s">
        <v>382</v>
      </c>
      <c r="H400" t="s">
        <v>383</v>
      </c>
      <c r="I400" t="s">
        <v>383</v>
      </c>
      <c r="J400" t="s">
        <v>60</v>
      </c>
      <c r="K400" t="s">
        <v>185</v>
      </c>
      <c r="L400" t="s">
        <v>62</v>
      </c>
      <c r="M400" t="s">
        <v>185</v>
      </c>
      <c r="N400" t="s">
        <v>384</v>
      </c>
      <c r="O400" t="s">
        <v>385</v>
      </c>
      <c r="P400">
        <v>-19.623774000000001</v>
      </c>
      <c r="Q400">
        <v>-43.886352000000002</v>
      </c>
      <c r="R400" s="2" t="str">
        <f>HYPERLINK("https://www.google.com/maps?q=-19.6237740,-43.8863520","Abrir no Google Maps")</f>
        <v>Abrir no Google Maps</v>
      </c>
      <c r="S400">
        <v>3</v>
      </c>
      <c r="T400">
        <v>818.17252856383368</v>
      </c>
      <c r="U400">
        <v>3</v>
      </c>
      <c r="V400">
        <v>13</v>
      </c>
      <c r="W400">
        <v>1</v>
      </c>
      <c r="X400">
        <v>13</v>
      </c>
      <c r="Y400">
        <v>0</v>
      </c>
      <c r="Z400">
        <v>327.32213182525902</v>
      </c>
      <c r="AA400">
        <v>2</v>
      </c>
      <c r="AB400">
        <v>3</v>
      </c>
      <c r="AC400">
        <v>7</v>
      </c>
      <c r="AD400">
        <v>23.52</v>
      </c>
      <c r="AE400">
        <v>253</v>
      </c>
      <c r="AF400">
        <v>15</v>
      </c>
      <c r="AG400">
        <v>55</v>
      </c>
      <c r="AH400">
        <v>32</v>
      </c>
      <c r="AI400">
        <v>5.93</v>
      </c>
      <c r="AJ400">
        <v>21.74</v>
      </c>
      <c r="AK400">
        <v>12.65</v>
      </c>
      <c r="AL400">
        <v>-19.623056299999941</v>
      </c>
      <c r="AM400">
        <v>-43.886837120297002</v>
      </c>
      <c r="AN400">
        <v>-19.623056299999941</v>
      </c>
      <c r="AO400">
        <v>-43.886837120297002</v>
      </c>
      <c r="AP400">
        <v>-19.623774000000001</v>
      </c>
      <c r="AQ400">
        <v>-43.886352000000002</v>
      </c>
      <c r="AR400">
        <v>94.713149059175393</v>
      </c>
      <c r="AS400" t="s">
        <v>65</v>
      </c>
      <c r="AT400">
        <v>1</v>
      </c>
      <c r="AU400" t="s">
        <v>386</v>
      </c>
      <c r="AV400" t="s">
        <v>387</v>
      </c>
      <c r="AW400" t="s">
        <v>60</v>
      </c>
      <c r="AX400" t="s">
        <v>68</v>
      </c>
      <c r="AY400" t="s">
        <v>69</v>
      </c>
      <c r="AZ400" t="b">
        <v>1</v>
      </c>
    </row>
    <row r="401" spans="1:52" x14ac:dyDescent="0.3">
      <c r="A401" t="s">
        <v>52</v>
      </c>
      <c r="B401" t="s">
        <v>53</v>
      </c>
      <c r="C401" t="s">
        <v>54</v>
      </c>
      <c r="D401" t="s">
        <v>55</v>
      </c>
      <c r="E401" t="s">
        <v>770</v>
      </c>
      <c r="F401" t="s">
        <v>512</v>
      </c>
      <c r="G401" t="s">
        <v>58</v>
      </c>
      <c r="H401" t="s">
        <v>59</v>
      </c>
      <c r="I401" t="s">
        <v>59</v>
      </c>
      <c r="J401" t="s">
        <v>60</v>
      </c>
      <c r="K401" t="s">
        <v>61</v>
      </c>
      <c r="L401" t="s">
        <v>62</v>
      </c>
      <c r="M401" t="s">
        <v>61</v>
      </c>
      <c r="N401" t="s">
        <v>63</v>
      </c>
      <c r="O401" t="s">
        <v>64</v>
      </c>
      <c r="P401">
        <v>-19.631502000000001</v>
      </c>
      <c r="Q401">
        <v>-43.910241999999997</v>
      </c>
      <c r="R401" s="2" t="str">
        <f>HYPERLINK("https://www.google.com/maps?q=-19.6315020,-43.9102420","Abrir no Google Maps")</f>
        <v>Abrir no Google Maps</v>
      </c>
      <c r="S401">
        <v>4</v>
      </c>
      <c r="T401">
        <v>789.20099406682743</v>
      </c>
      <c r="U401">
        <v>4</v>
      </c>
      <c r="V401">
        <v>25</v>
      </c>
      <c r="W401">
        <v>1</v>
      </c>
      <c r="X401">
        <v>25</v>
      </c>
      <c r="Y401">
        <v>10</v>
      </c>
      <c r="Z401">
        <v>691.44930074509864</v>
      </c>
      <c r="AA401">
        <v>2</v>
      </c>
      <c r="AB401">
        <v>3</v>
      </c>
      <c r="AC401">
        <v>7</v>
      </c>
      <c r="AD401">
        <v>23.52</v>
      </c>
      <c r="AE401">
        <v>253</v>
      </c>
      <c r="AF401">
        <v>15</v>
      </c>
      <c r="AG401">
        <v>55</v>
      </c>
      <c r="AH401">
        <v>32</v>
      </c>
      <c r="AI401">
        <v>5.93</v>
      </c>
      <c r="AJ401">
        <v>21.74</v>
      </c>
      <c r="AK401">
        <v>12.65</v>
      </c>
      <c r="AL401">
        <v>-19.631719749999949</v>
      </c>
      <c r="AM401">
        <v>-43.910102324517517</v>
      </c>
      <c r="AN401">
        <v>-19.631719749999949</v>
      </c>
      <c r="AO401">
        <v>-43.910102324517517</v>
      </c>
      <c r="AP401">
        <v>-19.631502000000001</v>
      </c>
      <c r="AQ401">
        <v>-43.910241999999997</v>
      </c>
      <c r="AR401">
        <v>28.320416429206599</v>
      </c>
      <c r="AS401" t="s">
        <v>65</v>
      </c>
      <c r="AT401">
        <v>1</v>
      </c>
      <c r="AU401" t="s">
        <v>66</v>
      </c>
      <c r="AV401" t="s">
        <v>67</v>
      </c>
      <c r="AW401" t="s">
        <v>60</v>
      </c>
      <c r="AX401" t="s">
        <v>68</v>
      </c>
      <c r="AY401" t="s">
        <v>69</v>
      </c>
      <c r="AZ401" t="b">
        <v>1</v>
      </c>
    </row>
    <row r="402" spans="1:52" x14ac:dyDescent="0.3">
      <c r="A402" t="s">
        <v>52</v>
      </c>
      <c r="B402" t="s">
        <v>53</v>
      </c>
      <c r="C402" t="s">
        <v>54</v>
      </c>
      <c r="D402" t="s">
        <v>55</v>
      </c>
      <c r="E402" t="s">
        <v>770</v>
      </c>
      <c r="F402" t="s">
        <v>512</v>
      </c>
      <c r="G402" t="s">
        <v>77</v>
      </c>
      <c r="H402" t="s">
        <v>78</v>
      </c>
      <c r="I402" t="s">
        <v>78</v>
      </c>
      <c r="J402" t="s">
        <v>60</v>
      </c>
      <c r="K402" t="s">
        <v>79</v>
      </c>
      <c r="L402" t="s">
        <v>62</v>
      </c>
      <c r="M402" t="s">
        <v>79</v>
      </c>
      <c r="N402" t="s">
        <v>80</v>
      </c>
      <c r="O402" t="s">
        <v>81</v>
      </c>
      <c r="P402">
        <v>-19.632463999999999</v>
      </c>
      <c r="Q402">
        <v>-43.904927999999998</v>
      </c>
      <c r="R402" s="2" t="str">
        <f>HYPERLINK("https://www.google.com/maps?q=-19.6324640,-43.9049280","Abrir no Google Maps")</f>
        <v>Abrir no Google Maps</v>
      </c>
      <c r="S402">
        <v>4</v>
      </c>
      <c r="T402">
        <v>244.1735197453369</v>
      </c>
      <c r="U402">
        <v>4</v>
      </c>
      <c r="V402">
        <v>15</v>
      </c>
      <c r="W402">
        <v>1</v>
      </c>
      <c r="X402">
        <v>15</v>
      </c>
      <c r="Y402">
        <v>10</v>
      </c>
      <c r="Z402">
        <v>287.26068152447448</v>
      </c>
      <c r="AA402">
        <v>2</v>
      </c>
      <c r="AB402">
        <v>3</v>
      </c>
      <c r="AC402">
        <v>7</v>
      </c>
      <c r="AD402">
        <v>23.52</v>
      </c>
      <c r="AE402">
        <v>253</v>
      </c>
      <c r="AF402">
        <v>15</v>
      </c>
      <c r="AG402">
        <v>55</v>
      </c>
      <c r="AH402">
        <v>32</v>
      </c>
      <c r="AI402">
        <v>5.93</v>
      </c>
      <c r="AJ402">
        <v>21.74</v>
      </c>
      <c r="AK402">
        <v>12.65</v>
      </c>
      <c r="AL402">
        <v>-19.63247099999996</v>
      </c>
      <c r="AM402">
        <v>-43.904964174285787</v>
      </c>
      <c r="AN402">
        <v>-19.63247099999996</v>
      </c>
      <c r="AO402">
        <v>-43.904964174285787</v>
      </c>
      <c r="AP402">
        <v>-19.632463999999999</v>
      </c>
      <c r="AQ402">
        <v>-43.904927999999998</v>
      </c>
      <c r="AR402">
        <v>3.8720457500200469</v>
      </c>
      <c r="AS402" t="s">
        <v>65</v>
      </c>
      <c r="AT402">
        <v>1</v>
      </c>
      <c r="AU402" t="s">
        <v>82</v>
      </c>
      <c r="AV402" t="s">
        <v>83</v>
      </c>
      <c r="AW402" t="s">
        <v>60</v>
      </c>
      <c r="AX402" t="s">
        <v>68</v>
      </c>
      <c r="AY402" t="s">
        <v>69</v>
      </c>
      <c r="AZ402" t="b">
        <v>1</v>
      </c>
    </row>
    <row r="403" spans="1:52" x14ac:dyDescent="0.3">
      <c r="A403" t="s">
        <v>52</v>
      </c>
      <c r="B403" t="s">
        <v>53</v>
      </c>
      <c r="C403" t="s">
        <v>54</v>
      </c>
      <c r="D403" t="s">
        <v>55</v>
      </c>
      <c r="E403" t="s">
        <v>770</v>
      </c>
      <c r="F403" t="s">
        <v>512</v>
      </c>
      <c r="G403" t="s">
        <v>91</v>
      </c>
      <c r="H403" t="s">
        <v>92</v>
      </c>
      <c r="I403" t="s">
        <v>92</v>
      </c>
      <c r="J403" t="s">
        <v>60</v>
      </c>
      <c r="K403" t="s">
        <v>86</v>
      </c>
      <c r="L403" t="s">
        <v>62</v>
      </c>
      <c r="M403" t="s">
        <v>86</v>
      </c>
      <c r="N403" t="s">
        <v>93</v>
      </c>
      <c r="O403" t="s">
        <v>94</v>
      </c>
      <c r="P403">
        <v>-19.630676999999999</v>
      </c>
      <c r="Q403">
        <v>-43.907255999999997</v>
      </c>
      <c r="R403" s="2" t="str">
        <f>HYPERLINK("https://www.google.com/maps?q=-19.6306770,-43.9072560","Abrir no Google Maps")</f>
        <v>Abrir no Google Maps</v>
      </c>
      <c r="S403">
        <v>4</v>
      </c>
      <c r="T403">
        <v>545.39374622597825</v>
      </c>
      <c r="U403">
        <v>4</v>
      </c>
      <c r="V403">
        <v>18</v>
      </c>
      <c r="W403">
        <v>1</v>
      </c>
      <c r="X403">
        <v>18</v>
      </c>
      <c r="Y403">
        <v>10</v>
      </c>
      <c r="Z403">
        <v>559.94033759457182</v>
      </c>
      <c r="AA403">
        <v>2</v>
      </c>
      <c r="AB403">
        <v>3</v>
      </c>
      <c r="AC403">
        <v>7</v>
      </c>
      <c r="AD403">
        <v>23.52</v>
      </c>
      <c r="AE403">
        <v>253</v>
      </c>
      <c r="AF403">
        <v>15</v>
      </c>
      <c r="AG403">
        <v>55</v>
      </c>
      <c r="AH403">
        <v>32</v>
      </c>
      <c r="AI403">
        <v>5.93</v>
      </c>
      <c r="AJ403">
        <v>21.74</v>
      </c>
      <c r="AK403">
        <v>12.65</v>
      </c>
      <c r="AL403">
        <v>-19.630448649999941</v>
      </c>
      <c r="AM403">
        <v>-43.907268502495313</v>
      </c>
      <c r="AN403">
        <v>-19.630448649999941</v>
      </c>
      <c r="AO403">
        <v>-43.907268502495313</v>
      </c>
      <c r="AP403">
        <v>-19.630676999999999</v>
      </c>
      <c r="AQ403">
        <v>-43.907255999999997</v>
      </c>
      <c r="AR403">
        <v>25.453700276562468</v>
      </c>
      <c r="AS403" t="s">
        <v>65</v>
      </c>
      <c r="AT403">
        <v>1</v>
      </c>
      <c r="AU403" t="s">
        <v>95</v>
      </c>
      <c r="AV403" t="s">
        <v>96</v>
      </c>
      <c r="AW403" t="s">
        <v>60</v>
      </c>
      <c r="AX403" t="s">
        <v>68</v>
      </c>
      <c r="AY403" t="s">
        <v>69</v>
      </c>
      <c r="AZ403" t="b">
        <v>1</v>
      </c>
    </row>
    <row r="404" spans="1:52" x14ac:dyDescent="0.3">
      <c r="A404" t="s">
        <v>52</v>
      </c>
      <c r="B404" t="s">
        <v>53</v>
      </c>
      <c r="C404" t="s">
        <v>54</v>
      </c>
      <c r="D404" t="s">
        <v>55</v>
      </c>
      <c r="E404" t="s">
        <v>770</v>
      </c>
      <c r="F404" t="s">
        <v>512</v>
      </c>
      <c r="G404" t="s">
        <v>70</v>
      </c>
      <c r="H404" t="s">
        <v>71</v>
      </c>
      <c r="I404" t="s">
        <v>71</v>
      </c>
      <c r="J404" t="s">
        <v>60</v>
      </c>
      <c r="K404" t="s">
        <v>72</v>
      </c>
      <c r="L404" t="s">
        <v>62</v>
      </c>
      <c r="M404" t="s">
        <v>72</v>
      </c>
      <c r="N404" t="s">
        <v>73</v>
      </c>
      <c r="O404" t="s">
        <v>74</v>
      </c>
      <c r="P404">
        <v>-19.632581999999999</v>
      </c>
      <c r="Q404">
        <v>-43.902416000000002</v>
      </c>
      <c r="R404" s="2" t="str">
        <f>HYPERLINK("https://www.google.com/maps?q=-19.6325820,-43.9024160","Abrir no Google Maps")</f>
        <v>Abrir no Google Maps</v>
      </c>
      <c r="S404">
        <v>4</v>
      </c>
      <c r="T404">
        <v>0</v>
      </c>
      <c r="U404">
        <v>3</v>
      </c>
      <c r="V404">
        <v>10</v>
      </c>
      <c r="W404">
        <v>1</v>
      </c>
      <c r="X404">
        <v>10</v>
      </c>
      <c r="Y404">
        <v>10</v>
      </c>
      <c r="Z404">
        <v>146.6968158874696</v>
      </c>
      <c r="AA404">
        <v>2</v>
      </c>
      <c r="AB404">
        <v>3</v>
      </c>
      <c r="AC404">
        <v>7</v>
      </c>
      <c r="AD404">
        <v>23.52</v>
      </c>
      <c r="AE404">
        <v>253</v>
      </c>
      <c r="AF404">
        <v>15</v>
      </c>
      <c r="AG404">
        <v>55</v>
      </c>
      <c r="AH404">
        <v>32</v>
      </c>
      <c r="AI404">
        <v>5.93</v>
      </c>
      <c r="AJ404">
        <v>21.74</v>
      </c>
      <c r="AK404">
        <v>12.65</v>
      </c>
      <c r="AL404">
        <v>-19.63271449999996</v>
      </c>
      <c r="AM404">
        <v>-43.902649897389402</v>
      </c>
      <c r="AN404">
        <v>-19.63271449999996</v>
      </c>
      <c r="AO404">
        <v>-43.902649897389402</v>
      </c>
      <c r="AP404">
        <v>-19.632581999999999</v>
      </c>
      <c r="AQ404">
        <v>-43.902416000000002</v>
      </c>
      <c r="AR404">
        <v>28.617753432996459</v>
      </c>
      <c r="AS404" t="s">
        <v>65</v>
      </c>
      <c r="AT404">
        <v>1</v>
      </c>
      <c r="AU404" t="s">
        <v>75</v>
      </c>
      <c r="AV404" t="s">
        <v>76</v>
      </c>
      <c r="AW404" t="s">
        <v>60</v>
      </c>
      <c r="AX404" t="s">
        <v>68</v>
      </c>
      <c r="AY404" t="s">
        <v>69</v>
      </c>
      <c r="AZ404" t="b">
        <v>1</v>
      </c>
    </row>
    <row r="405" spans="1:52" x14ac:dyDescent="0.3">
      <c r="A405" t="s">
        <v>52</v>
      </c>
      <c r="B405" t="s">
        <v>53</v>
      </c>
      <c r="C405" t="s">
        <v>54</v>
      </c>
      <c r="D405" t="s">
        <v>55</v>
      </c>
      <c r="E405" t="s">
        <v>770</v>
      </c>
      <c r="F405" t="s">
        <v>512</v>
      </c>
      <c r="G405" t="s">
        <v>84</v>
      </c>
      <c r="H405" t="s">
        <v>85</v>
      </c>
      <c r="I405" t="s">
        <v>85</v>
      </c>
      <c r="J405" t="s">
        <v>60</v>
      </c>
      <c r="K405" t="s">
        <v>86</v>
      </c>
      <c r="L405" t="s">
        <v>62</v>
      </c>
      <c r="M405" t="s">
        <v>86</v>
      </c>
      <c r="N405" t="s">
        <v>87</v>
      </c>
      <c r="O405" t="s">
        <v>88</v>
      </c>
      <c r="P405">
        <v>-19.629436999999999</v>
      </c>
      <c r="Q405">
        <v>-43.910398999999998</v>
      </c>
      <c r="R405" s="2" t="str">
        <f>HYPERLINK("https://www.google.com/maps?q=-19.6294370,-43.9103990","Abrir no Google Maps")</f>
        <v>Abrir no Google Maps</v>
      </c>
      <c r="S405">
        <v>4</v>
      </c>
      <c r="T405">
        <v>888.82060643108082</v>
      </c>
      <c r="U405">
        <v>3</v>
      </c>
      <c r="V405">
        <v>14</v>
      </c>
      <c r="W405">
        <v>1</v>
      </c>
      <c r="X405">
        <v>14</v>
      </c>
      <c r="Y405">
        <v>10</v>
      </c>
      <c r="Z405">
        <v>867.42797341651737</v>
      </c>
      <c r="AA405">
        <v>2</v>
      </c>
      <c r="AB405">
        <v>3</v>
      </c>
      <c r="AC405">
        <v>7</v>
      </c>
      <c r="AD405">
        <v>23.52</v>
      </c>
      <c r="AE405">
        <v>253</v>
      </c>
      <c r="AF405">
        <v>15</v>
      </c>
      <c r="AG405">
        <v>55</v>
      </c>
      <c r="AH405">
        <v>32</v>
      </c>
      <c r="AI405">
        <v>5.93</v>
      </c>
      <c r="AJ405">
        <v>21.74</v>
      </c>
      <c r="AK405">
        <v>12.65</v>
      </c>
      <c r="AL405">
        <v>-19.62934694999996</v>
      </c>
      <c r="AM405">
        <v>-43.910344699357317</v>
      </c>
      <c r="AN405">
        <v>-19.62934694999996</v>
      </c>
      <c r="AO405">
        <v>-43.910344699357331</v>
      </c>
      <c r="AP405">
        <v>-19.629436999999999</v>
      </c>
      <c r="AQ405">
        <v>-43.910398999999998</v>
      </c>
      <c r="AR405">
        <v>11.52837377953678</v>
      </c>
      <c r="AS405" t="s">
        <v>65</v>
      </c>
      <c r="AT405">
        <v>1</v>
      </c>
      <c r="AU405" t="s">
        <v>89</v>
      </c>
      <c r="AV405" t="s">
        <v>90</v>
      </c>
      <c r="AW405" t="s">
        <v>60</v>
      </c>
      <c r="AX405" t="s">
        <v>68</v>
      </c>
      <c r="AY405" t="s">
        <v>69</v>
      </c>
      <c r="AZ405" t="b">
        <v>1</v>
      </c>
    </row>
    <row r="406" spans="1:52" x14ac:dyDescent="0.3">
      <c r="A406" t="s">
        <v>52</v>
      </c>
      <c r="B406" t="s">
        <v>53</v>
      </c>
      <c r="C406" t="s">
        <v>54</v>
      </c>
      <c r="D406" t="s">
        <v>55</v>
      </c>
      <c r="E406" t="s">
        <v>770</v>
      </c>
      <c r="F406" t="s">
        <v>512</v>
      </c>
      <c r="G406" t="s">
        <v>97</v>
      </c>
      <c r="H406" t="s">
        <v>98</v>
      </c>
      <c r="I406" t="s">
        <v>98</v>
      </c>
      <c r="J406" t="s">
        <v>60</v>
      </c>
      <c r="K406" t="s">
        <v>99</v>
      </c>
      <c r="L406" t="s">
        <v>62</v>
      </c>
      <c r="M406" t="s">
        <v>99</v>
      </c>
      <c r="N406" t="s">
        <v>100</v>
      </c>
      <c r="O406" t="s">
        <v>101</v>
      </c>
      <c r="P406">
        <v>-19.629822000000001</v>
      </c>
      <c r="Q406">
        <v>-43.905341</v>
      </c>
      <c r="R406" s="2" t="str">
        <f>HYPERLINK("https://www.google.com/maps?q=-19.6298220,-43.9053410","Abrir no Google Maps")</f>
        <v>Abrir no Google Maps</v>
      </c>
      <c r="S406">
        <v>4</v>
      </c>
      <c r="T406">
        <v>441.30597341744129</v>
      </c>
      <c r="U406">
        <v>3</v>
      </c>
      <c r="V406">
        <v>14</v>
      </c>
      <c r="W406">
        <v>1</v>
      </c>
      <c r="X406">
        <v>14</v>
      </c>
      <c r="Y406">
        <v>10</v>
      </c>
      <c r="Z406">
        <v>513.56493751010987</v>
      </c>
      <c r="AA406">
        <v>2</v>
      </c>
      <c r="AB406">
        <v>3</v>
      </c>
      <c r="AC406">
        <v>7</v>
      </c>
      <c r="AD406">
        <v>23.52</v>
      </c>
      <c r="AE406">
        <v>253</v>
      </c>
      <c r="AF406">
        <v>15</v>
      </c>
      <c r="AG406">
        <v>55</v>
      </c>
      <c r="AH406">
        <v>32</v>
      </c>
      <c r="AI406">
        <v>5.93</v>
      </c>
      <c r="AJ406">
        <v>21.74</v>
      </c>
      <c r="AK406">
        <v>12.65</v>
      </c>
      <c r="AL406">
        <v>-19.629671599999941</v>
      </c>
      <c r="AM406">
        <v>-43.905369597920988</v>
      </c>
      <c r="AN406">
        <v>-19.629671599999931</v>
      </c>
      <c r="AO406">
        <v>-43.905369597920988</v>
      </c>
      <c r="AP406">
        <v>-19.629822000000001</v>
      </c>
      <c r="AQ406">
        <v>-43.905341</v>
      </c>
      <c r="AR406">
        <v>17.008917699186132</v>
      </c>
      <c r="AS406" t="s">
        <v>65</v>
      </c>
      <c r="AT406">
        <v>1</v>
      </c>
      <c r="AU406" t="s">
        <v>102</v>
      </c>
      <c r="AV406" t="s">
        <v>103</v>
      </c>
      <c r="AW406" t="s">
        <v>60</v>
      </c>
      <c r="AX406" t="s">
        <v>68</v>
      </c>
      <c r="AY406" t="s">
        <v>69</v>
      </c>
      <c r="AZ406" t="b">
        <v>1</v>
      </c>
    </row>
    <row r="407" spans="1:52" x14ac:dyDescent="0.3">
      <c r="A407" t="s">
        <v>52</v>
      </c>
      <c r="B407" t="s">
        <v>53</v>
      </c>
      <c r="C407" t="s">
        <v>54</v>
      </c>
      <c r="D407" t="s">
        <v>55</v>
      </c>
      <c r="E407" t="s">
        <v>770</v>
      </c>
      <c r="F407" t="s">
        <v>512</v>
      </c>
      <c r="G407" t="s">
        <v>513</v>
      </c>
      <c r="H407" t="s">
        <v>514</v>
      </c>
      <c r="I407" t="s">
        <v>514</v>
      </c>
      <c r="J407" t="s">
        <v>60</v>
      </c>
      <c r="K407" t="s">
        <v>185</v>
      </c>
      <c r="L407" t="s">
        <v>62</v>
      </c>
      <c r="M407" t="s">
        <v>185</v>
      </c>
      <c r="N407" t="s">
        <v>515</v>
      </c>
      <c r="O407" t="s">
        <v>516</v>
      </c>
      <c r="P407">
        <v>-19.63184</v>
      </c>
      <c r="Q407">
        <v>-43.899625999999998</v>
      </c>
      <c r="R407" s="2" t="str">
        <f>HYPERLINK("https://www.google.com/maps?q=-19.6318400,-43.8996260","Abrir no Google Maps")</f>
        <v>Abrir no Google Maps</v>
      </c>
      <c r="S407">
        <v>4</v>
      </c>
      <c r="T407">
        <v>317.05369638212568</v>
      </c>
      <c r="U407">
        <v>2</v>
      </c>
      <c r="V407">
        <v>10</v>
      </c>
      <c r="W407">
        <v>0.85</v>
      </c>
      <c r="X407">
        <v>8.5</v>
      </c>
      <c r="Y407">
        <v>10</v>
      </c>
      <c r="Z407">
        <v>467.39112963581732</v>
      </c>
      <c r="AA407">
        <v>2</v>
      </c>
      <c r="AB407">
        <v>3</v>
      </c>
      <c r="AC407">
        <v>7</v>
      </c>
      <c r="AD407">
        <v>23.52</v>
      </c>
      <c r="AE407">
        <v>253</v>
      </c>
      <c r="AF407">
        <v>15</v>
      </c>
      <c r="AG407">
        <v>55</v>
      </c>
      <c r="AH407">
        <v>32</v>
      </c>
      <c r="AI407">
        <v>5.93</v>
      </c>
      <c r="AJ407">
        <v>21.74</v>
      </c>
      <c r="AK407">
        <v>12.65</v>
      </c>
      <c r="AL407">
        <v>-19.631819699999941</v>
      </c>
      <c r="AM407">
        <v>-43.89977767057065</v>
      </c>
      <c r="AN407">
        <v>-19.631819699999941</v>
      </c>
      <c r="AO407">
        <v>-43.89977767057065</v>
      </c>
      <c r="AP407">
        <v>-19.63184</v>
      </c>
      <c r="AQ407">
        <v>-43.899625999999998</v>
      </c>
      <c r="AR407">
        <v>16.062279375806241</v>
      </c>
      <c r="AS407" t="s">
        <v>65</v>
      </c>
      <c r="AT407">
        <v>1</v>
      </c>
      <c r="AU407" t="s">
        <v>517</v>
      </c>
      <c r="AV407" t="s">
        <v>518</v>
      </c>
      <c r="AW407" t="s">
        <v>60</v>
      </c>
      <c r="AX407" t="s">
        <v>68</v>
      </c>
      <c r="AY407" t="s">
        <v>69</v>
      </c>
      <c r="AZ407" t="b">
        <v>1</v>
      </c>
    </row>
    <row r="408" spans="1:52" x14ac:dyDescent="0.3">
      <c r="A408" t="s">
        <v>52</v>
      </c>
      <c r="B408" t="s">
        <v>53</v>
      </c>
      <c r="C408" t="s">
        <v>54</v>
      </c>
      <c r="D408" t="s">
        <v>55</v>
      </c>
      <c r="E408" t="s">
        <v>770</v>
      </c>
      <c r="F408" t="s">
        <v>512</v>
      </c>
      <c r="G408" t="s">
        <v>519</v>
      </c>
      <c r="H408" t="s">
        <v>520</v>
      </c>
      <c r="I408" t="s">
        <v>520</v>
      </c>
      <c r="J408" t="s">
        <v>60</v>
      </c>
      <c r="K408" t="s">
        <v>72</v>
      </c>
      <c r="L408" t="s">
        <v>62</v>
      </c>
      <c r="M408" t="s">
        <v>72</v>
      </c>
      <c r="N408" t="s">
        <v>521</v>
      </c>
      <c r="O408" t="s">
        <v>522</v>
      </c>
      <c r="P408">
        <v>-19.634713000000001</v>
      </c>
      <c r="Q408">
        <v>-43.908909999999999</v>
      </c>
      <c r="R408" s="2" t="str">
        <f>HYPERLINK("https://www.google.com/maps?q=-19.6347130,-43.9089100","Abrir no Google Maps")</f>
        <v>Abrir no Google Maps</v>
      </c>
      <c r="S408">
        <v>4</v>
      </c>
      <c r="T408">
        <v>700.74700083720154</v>
      </c>
      <c r="U408">
        <v>1</v>
      </c>
      <c r="V408">
        <v>0</v>
      </c>
      <c r="W408">
        <v>0.85</v>
      </c>
      <c r="X408">
        <v>0</v>
      </c>
      <c r="Y408">
        <v>10</v>
      </c>
      <c r="Z408">
        <v>557.86159429038207</v>
      </c>
      <c r="AA408">
        <v>2</v>
      </c>
      <c r="AB408">
        <v>3</v>
      </c>
      <c r="AC408">
        <v>7</v>
      </c>
      <c r="AD408">
        <v>23.52</v>
      </c>
      <c r="AE408">
        <v>253</v>
      </c>
      <c r="AF408">
        <v>15</v>
      </c>
      <c r="AG408">
        <v>55</v>
      </c>
      <c r="AH408">
        <v>32</v>
      </c>
      <c r="AI408">
        <v>5.93</v>
      </c>
      <c r="AJ408">
        <v>21.74</v>
      </c>
      <c r="AK408">
        <v>12.65</v>
      </c>
      <c r="AL408">
        <v>-19.634626949999959</v>
      </c>
      <c r="AM408">
        <v>-43.909020333181857</v>
      </c>
      <c r="AN408">
        <v>-19.634626949999959</v>
      </c>
      <c r="AO408">
        <v>-43.909020333181857</v>
      </c>
      <c r="AP408">
        <v>-19.634713000000001</v>
      </c>
      <c r="AQ408">
        <v>-43.908909999999999</v>
      </c>
      <c r="AR408">
        <v>15.01933861967664</v>
      </c>
      <c r="AS408" t="s">
        <v>65</v>
      </c>
      <c r="AT408">
        <v>1</v>
      </c>
      <c r="AU408" t="s">
        <v>523</v>
      </c>
      <c r="AV408" t="s">
        <v>524</v>
      </c>
      <c r="AW408" t="s">
        <v>60</v>
      </c>
      <c r="AX408" t="s">
        <v>68</v>
      </c>
      <c r="AY408" t="s">
        <v>69</v>
      </c>
      <c r="AZ408" t="b">
        <v>1</v>
      </c>
    </row>
    <row r="409" spans="1:52" x14ac:dyDescent="0.3">
      <c r="A409" t="s">
        <v>52</v>
      </c>
      <c r="B409" t="s">
        <v>53</v>
      </c>
      <c r="C409" t="s">
        <v>54</v>
      </c>
      <c r="D409" t="s">
        <v>55</v>
      </c>
      <c r="E409" t="s">
        <v>770</v>
      </c>
      <c r="F409" t="s">
        <v>512</v>
      </c>
      <c r="G409" t="s">
        <v>284</v>
      </c>
      <c r="H409" t="s">
        <v>285</v>
      </c>
      <c r="I409" t="s">
        <v>285</v>
      </c>
      <c r="J409" t="s">
        <v>60</v>
      </c>
      <c r="K409" t="s">
        <v>286</v>
      </c>
      <c r="L409" t="s">
        <v>62</v>
      </c>
      <c r="M409" t="s">
        <v>286</v>
      </c>
      <c r="N409" t="s">
        <v>287</v>
      </c>
      <c r="O409" t="s">
        <v>288</v>
      </c>
      <c r="P409">
        <v>-19.639790000000001</v>
      </c>
      <c r="Q409">
        <v>-43.882798999999999</v>
      </c>
      <c r="R409" s="2" t="str">
        <f>HYPERLINK("https://www.google.com/maps?q=-19.6397900,-43.8827990","Abrir no Google Maps")</f>
        <v>Abrir no Google Maps</v>
      </c>
      <c r="S409">
        <v>3</v>
      </c>
      <c r="T409">
        <v>242.7052058134478</v>
      </c>
      <c r="U409">
        <v>4</v>
      </c>
      <c r="V409">
        <v>18</v>
      </c>
      <c r="W409">
        <v>1</v>
      </c>
      <c r="X409">
        <v>18</v>
      </c>
      <c r="Y409">
        <v>10</v>
      </c>
      <c r="Z409">
        <v>187.2088809462339</v>
      </c>
      <c r="AA409">
        <v>2</v>
      </c>
      <c r="AB409">
        <v>3</v>
      </c>
      <c r="AC409">
        <v>7</v>
      </c>
      <c r="AD409">
        <v>23.52</v>
      </c>
      <c r="AE409">
        <v>253</v>
      </c>
      <c r="AF409">
        <v>15</v>
      </c>
      <c r="AG409">
        <v>55</v>
      </c>
      <c r="AH409">
        <v>32</v>
      </c>
      <c r="AI409">
        <v>5.93</v>
      </c>
      <c r="AJ409">
        <v>21.74</v>
      </c>
      <c r="AK409">
        <v>12.65</v>
      </c>
      <c r="AL409">
        <v>-19.639855599999951</v>
      </c>
      <c r="AM409">
        <v>-43.882909745178452</v>
      </c>
      <c r="AN409">
        <v>-19.639855599999951</v>
      </c>
      <c r="AO409">
        <v>-43.882909745178452</v>
      </c>
      <c r="AP409">
        <v>-19.639790000000001</v>
      </c>
      <c r="AQ409">
        <v>-43.882798999999999</v>
      </c>
      <c r="AR409">
        <v>13.716486068571211</v>
      </c>
      <c r="AS409" t="s">
        <v>65</v>
      </c>
      <c r="AT409">
        <v>1</v>
      </c>
      <c r="AU409" t="s">
        <v>289</v>
      </c>
      <c r="AV409" t="s">
        <v>290</v>
      </c>
      <c r="AW409" t="s">
        <v>60</v>
      </c>
      <c r="AX409" t="s">
        <v>68</v>
      </c>
      <c r="AY409" t="s">
        <v>69</v>
      </c>
      <c r="AZ409" t="b">
        <v>1</v>
      </c>
    </row>
    <row r="410" spans="1:52" x14ac:dyDescent="0.3">
      <c r="A410" t="s">
        <v>52</v>
      </c>
      <c r="B410" t="s">
        <v>53</v>
      </c>
      <c r="C410" t="s">
        <v>54</v>
      </c>
      <c r="D410" t="s">
        <v>55</v>
      </c>
      <c r="E410" t="s">
        <v>770</v>
      </c>
      <c r="F410" t="s">
        <v>512</v>
      </c>
      <c r="G410" t="s">
        <v>394</v>
      </c>
      <c r="H410" t="s">
        <v>395</v>
      </c>
      <c r="I410" t="s">
        <v>395</v>
      </c>
      <c r="J410" t="s">
        <v>60</v>
      </c>
      <c r="K410" t="s">
        <v>286</v>
      </c>
      <c r="L410" t="s">
        <v>62</v>
      </c>
      <c r="M410" t="s">
        <v>286</v>
      </c>
      <c r="N410" t="s">
        <v>396</v>
      </c>
      <c r="O410" t="s">
        <v>88</v>
      </c>
      <c r="P410">
        <v>-19.636932999999999</v>
      </c>
      <c r="Q410">
        <v>-43.882691999999999</v>
      </c>
      <c r="R410" s="2" t="str">
        <f>HYPERLINK("https://www.google.com/maps?q=-19.6369330,-43.8826920","Abrir no Google Maps")</f>
        <v>Abrir no Google Maps</v>
      </c>
      <c r="S410">
        <v>3</v>
      </c>
      <c r="T410">
        <v>523.52675813688109</v>
      </c>
      <c r="U410">
        <v>3</v>
      </c>
      <c r="V410">
        <v>14</v>
      </c>
      <c r="W410">
        <v>1</v>
      </c>
      <c r="X410">
        <v>14</v>
      </c>
      <c r="Y410">
        <v>10</v>
      </c>
      <c r="Z410">
        <v>372.58135532659509</v>
      </c>
      <c r="AA410">
        <v>2</v>
      </c>
      <c r="AB410">
        <v>3</v>
      </c>
      <c r="AC410">
        <v>7</v>
      </c>
      <c r="AD410">
        <v>23.52</v>
      </c>
      <c r="AE410">
        <v>253</v>
      </c>
      <c r="AF410">
        <v>15</v>
      </c>
      <c r="AG410">
        <v>55</v>
      </c>
      <c r="AH410">
        <v>32</v>
      </c>
      <c r="AI410">
        <v>5.93</v>
      </c>
      <c r="AJ410">
        <v>21.74</v>
      </c>
      <c r="AK410">
        <v>12.65</v>
      </c>
      <c r="AL410">
        <v>-19.637159949999951</v>
      </c>
      <c r="AM410">
        <v>-43.882643289441461</v>
      </c>
      <c r="AN410">
        <v>-19.637159949999951</v>
      </c>
      <c r="AO410">
        <v>-43.882643289441461</v>
      </c>
      <c r="AP410">
        <v>-19.636932999999999</v>
      </c>
      <c r="AQ410">
        <v>-43.882691999999999</v>
      </c>
      <c r="AR410">
        <v>25.775099947452478</v>
      </c>
      <c r="AS410" t="s">
        <v>65</v>
      </c>
      <c r="AT410">
        <v>1</v>
      </c>
      <c r="AU410" t="s">
        <v>397</v>
      </c>
      <c r="AV410" t="s">
        <v>398</v>
      </c>
      <c r="AW410" t="s">
        <v>60</v>
      </c>
      <c r="AX410" t="s">
        <v>68</v>
      </c>
      <c r="AY410" t="s">
        <v>69</v>
      </c>
      <c r="AZ410" t="b">
        <v>1</v>
      </c>
    </row>
    <row r="411" spans="1:52" x14ac:dyDescent="0.3">
      <c r="A411" t="s">
        <v>52</v>
      </c>
      <c r="B411" t="s">
        <v>53</v>
      </c>
      <c r="C411" t="s">
        <v>54</v>
      </c>
      <c r="D411" t="s">
        <v>55</v>
      </c>
      <c r="E411" t="s">
        <v>770</v>
      </c>
      <c r="F411" t="s">
        <v>512</v>
      </c>
      <c r="G411" t="s">
        <v>291</v>
      </c>
      <c r="H411" t="s">
        <v>292</v>
      </c>
      <c r="I411" t="s">
        <v>292</v>
      </c>
      <c r="J411" t="s">
        <v>60</v>
      </c>
      <c r="K411" t="s">
        <v>286</v>
      </c>
      <c r="L411" t="s">
        <v>62</v>
      </c>
      <c r="M411" t="s">
        <v>286</v>
      </c>
      <c r="N411" t="s">
        <v>293</v>
      </c>
      <c r="O411" t="s">
        <v>294</v>
      </c>
      <c r="P411">
        <v>-19.640333999999999</v>
      </c>
      <c r="Q411">
        <v>-43.880004999999997</v>
      </c>
      <c r="R411" s="2" t="str">
        <f>HYPERLINK("https://www.google.com/maps?q=-19.6403340,-43.8800050","Abrir no Google Maps")</f>
        <v>Abrir no Google Maps</v>
      </c>
      <c r="S411">
        <v>3</v>
      </c>
      <c r="T411">
        <v>276.80943817309782</v>
      </c>
      <c r="U411">
        <v>3</v>
      </c>
      <c r="V411">
        <v>14</v>
      </c>
      <c r="W411">
        <v>1</v>
      </c>
      <c r="X411">
        <v>14</v>
      </c>
      <c r="Y411">
        <v>10</v>
      </c>
      <c r="Z411">
        <v>361.98332038983392</v>
      </c>
      <c r="AA411">
        <v>2</v>
      </c>
      <c r="AB411">
        <v>3</v>
      </c>
      <c r="AC411">
        <v>7</v>
      </c>
      <c r="AD411">
        <v>23.52</v>
      </c>
      <c r="AE411">
        <v>253</v>
      </c>
      <c r="AF411">
        <v>15</v>
      </c>
      <c r="AG411">
        <v>55</v>
      </c>
      <c r="AH411">
        <v>32</v>
      </c>
      <c r="AI411">
        <v>5.93</v>
      </c>
      <c r="AJ411">
        <v>21.74</v>
      </c>
      <c r="AK411">
        <v>12.65</v>
      </c>
      <c r="AL411">
        <v>-19.640260249999951</v>
      </c>
      <c r="AM411">
        <v>-43.880090474326408</v>
      </c>
      <c r="AN411">
        <v>-19.640260249999951</v>
      </c>
      <c r="AO411">
        <v>-43.880090474326408</v>
      </c>
      <c r="AP411">
        <v>-19.640333999999999</v>
      </c>
      <c r="AQ411">
        <v>-43.880004999999997</v>
      </c>
      <c r="AR411">
        <v>12.153556195359609</v>
      </c>
      <c r="AS411" t="s">
        <v>65</v>
      </c>
      <c r="AT411">
        <v>1</v>
      </c>
      <c r="AU411" t="s">
        <v>295</v>
      </c>
      <c r="AV411" t="s">
        <v>296</v>
      </c>
      <c r="AW411" t="s">
        <v>60</v>
      </c>
      <c r="AX411" t="s">
        <v>68</v>
      </c>
      <c r="AY411" t="s">
        <v>69</v>
      </c>
      <c r="AZ411" t="b">
        <v>1</v>
      </c>
    </row>
    <row r="412" spans="1:52" x14ac:dyDescent="0.3">
      <c r="A412" t="s">
        <v>52</v>
      </c>
      <c r="B412" t="s">
        <v>53</v>
      </c>
      <c r="C412" t="s">
        <v>54</v>
      </c>
      <c r="D412" t="s">
        <v>55</v>
      </c>
      <c r="E412" t="s">
        <v>770</v>
      </c>
      <c r="F412" t="s">
        <v>512</v>
      </c>
      <c r="G412" t="s">
        <v>557</v>
      </c>
      <c r="H412" t="s">
        <v>558</v>
      </c>
      <c r="I412" t="s">
        <v>558</v>
      </c>
      <c r="J412" t="s">
        <v>60</v>
      </c>
      <c r="K412" t="s">
        <v>445</v>
      </c>
      <c r="L412" t="s">
        <v>62</v>
      </c>
      <c r="M412" t="s">
        <v>445</v>
      </c>
      <c r="N412" t="s">
        <v>559</v>
      </c>
      <c r="O412" t="s">
        <v>560</v>
      </c>
      <c r="P412">
        <v>-19.641839000000001</v>
      </c>
      <c r="Q412">
        <v>-43.876227</v>
      </c>
      <c r="R412" s="2" t="str">
        <f>HYPERLINK("https://www.google.com/maps?q=-19.6418390,-43.8762270","Abrir no Google Maps")</f>
        <v>Abrir no Google Maps</v>
      </c>
      <c r="S412">
        <v>3</v>
      </c>
      <c r="T412">
        <v>564.50471877254449</v>
      </c>
      <c r="U412">
        <v>3</v>
      </c>
      <c r="V412">
        <v>13</v>
      </c>
      <c r="W412">
        <v>0.85</v>
      </c>
      <c r="X412">
        <v>11.05</v>
      </c>
      <c r="Y412">
        <v>10</v>
      </c>
      <c r="Z412">
        <v>490.40238336341412</v>
      </c>
      <c r="AA412">
        <v>2</v>
      </c>
      <c r="AB412">
        <v>3</v>
      </c>
      <c r="AC412">
        <v>7</v>
      </c>
      <c r="AD412">
        <v>23.52</v>
      </c>
      <c r="AE412">
        <v>253</v>
      </c>
      <c r="AF412">
        <v>15</v>
      </c>
      <c r="AG412">
        <v>55</v>
      </c>
      <c r="AH412">
        <v>32</v>
      </c>
      <c r="AI412">
        <v>5.93</v>
      </c>
      <c r="AJ412">
        <v>21.74</v>
      </c>
      <c r="AK412">
        <v>12.65</v>
      </c>
      <c r="AL412">
        <v>-19.641880699999941</v>
      </c>
      <c r="AM412">
        <v>-43.876185869580858</v>
      </c>
      <c r="AN412">
        <v>-19.641880699999941</v>
      </c>
      <c r="AO412">
        <v>-43.876185869580858</v>
      </c>
      <c r="AP412">
        <v>-19.641839000000001</v>
      </c>
      <c r="AQ412">
        <v>-43.876227</v>
      </c>
      <c r="AR412">
        <v>6.3359121862683301</v>
      </c>
      <c r="AS412" t="s">
        <v>65</v>
      </c>
      <c r="AT412">
        <v>1</v>
      </c>
      <c r="AU412" t="s">
        <v>561</v>
      </c>
      <c r="AV412" t="s">
        <v>562</v>
      </c>
      <c r="AW412" t="s">
        <v>60</v>
      </c>
      <c r="AX412" t="s">
        <v>68</v>
      </c>
      <c r="AY412" t="s">
        <v>69</v>
      </c>
      <c r="AZ412" t="b">
        <v>1</v>
      </c>
    </row>
    <row r="413" spans="1:52" x14ac:dyDescent="0.3">
      <c r="A413" t="s">
        <v>52</v>
      </c>
      <c r="B413" t="s">
        <v>53</v>
      </c>
      <c r="C413" t="s">
        <v>54</v>
      </c>
      <c r="D413" t="s">
        <v>55</v>
      </c>
      <c r="E413" t="s">
        <v>770</v>
      </c>
      <c r="F413" t="s">
        <v>512</v>
      </c>
      <c r="G413" t="s">
        <v>405</v>
      </c>
      <c r="H413" t="s">
        <v>406</v>
      </c>
      <c r="I413" t="s">
        <v>406</v>
      </c>
      <c r="J413" t="s">
        <v>60</v>
      </c>
      <c r="K413" t="s">
        <v>286</v>
      </c>
      <c r="L413" t="s">
        <v>62</v>
      </c>
      <c r="M413" t="s">
        <v>286</v>
      </c>
      <c r="N413" t="s">
        <v>407</v>
      </c>
      <c r="O413" t="s">
        <v>408</v>
      </c>
      <c r="P413">
        <v>-19.646345</v>
      </c>
      <c r="Q413">
        <v>-43.882294999999999</v>
      </c>
      <c r="R413" s="2" t="str">
        <f>HYPERLINK("https://www.google.com/maps?q=-19.6463450,-43.8822950","Abrir no Google Maps")</f>
        <v>Abrir no Google Maps</v>
      </c>
      <c r="S413">
        <v>3</v>
      </c>
      <c r="T413">
        <v>450.3180538635894</v>
      </c>
      <c r="U413">
        <v>3</v>
      </c>
      <c r="V413">
        <v>13</v>
      </c>
      <c r="W413">
        <v>1</v>
      </c>
      <c r="X413">
        <v>13</v>
      </c>
      <c r="Y413">
        <v>10</v>
      </c>
      <c r="Z413">
        <v>349.23341775902583</v>
      </c>
      <c r="AA413">
        <v>2</v>
      </c>
      <c r="AB413">
        <v>3</v>
      </c>
      <c r="AC413">
        <v>7</v>
      </c>
      <c r="AD413">
        <v>23.52</v>
      </c>
      <c r="AE413">
        <v>253</v>
      </c>
      <c r="AF413">
        <v>15</v>
      </c>
      <c r="AG413">
        <v>55</v>
      </c>
      <c r="AH413">
        <v>32</v>
      </c>
      <c r="AI413">
        <v>5.93</v>
      </c>
      <c r="AJ413">
        <v>21.74</v>
      </c>
      <c r="AK413">
        <v>12.65</v>
      </c>
      <c r="AL413">
        <v>-19.646391649999941</v>
      </c>
      <c r="AM413">
        <v>-43.882007396993302</v>
      </c>
      <c r="AN413">
        <v>-19.646391649999941</v>
      </c>
      <c r="AO413">
        <v>-43.882007396993302</v>
      </c>
      <c r="AP413">
        <v>-19.646345</v>
      </c>
      <c r="AQ413">
        <v>-43.882294999999999</v>
      </c>
      <c r="AR413">
        <v>30.596105513395301</v>
      </c>
      <c r="AS413" t="s">
        <v>65</v>
      </c>
      <c r="AT413">
        <v>1</v>
      </c>
      <c r="AU413" t="s">
        <v>409</v>
      </c>
      <c r="AV413" t="s">
        <v>410</v>
      </c>
      <c r="AW413" t="s">
        <v>60</v>
      </c>
      <c r="AX413" t="s">
        <v>68</v>
      </c>
      <c r="AY413" t="s">
        <v>69</v>
      </c>
      <c r="AZ413" t="b">
        <v>1</v>
      </c>
    </row>
    <row r="414" spans="1:52" x14ac:dyDescent="0.3">
      <c r="A414" t="s">
        <v>52</v>
      </c>
      <c r="B414" t="s">
        <v>53</v>
      </c>
      <c r="C414" t="s">
        <v>54</v>
      </c>
      <c r="D414" t="s">
        <v>55</v>
      </c>
      <c r="E414" t="s">
        <v>770</v>
      </c>
      <c r="F414" t="s">
        <v>512</v>
      </c>
      <c r="G414" t="s">
        <v>525</v>
      </c>
      <c r="H414" t="s">
        <v>526</v>
      </c>
      <c r="I414" t="s">
        <v>526</v>
      </c>
      <c r="J414" t="s">
        <v>60</v>
      </c>
      <c r="K414" t="s">
        <v>286</v>
      </c>
      <c r="L414" t="s">
        <v>62</v>
      </c>
      <c r="M414" t="s">
        <v>286</v>
      </c>
      <c r="N414" t="s">
        <v>527</v>
      </c>
      <c r="O414" t="s">
        <v>113</v>
      </c>
      <c r="P414">
        <v>-19.629049999999999</v>
      </c>
      <c r="Q414">
        <v>-43.887543000000001</v>
      </c>
      <c r="R414" s="2" t="str">
        <f>HYPERLINK("https://www.google.com/maps?q=-19.6290500,-43.8875430","Abrir no Google Maps")</f>
        <v>Abrir no Google Maps</v>
      </c>
      <c r="S414">
        <v>3</v>
      </c>
      <c r="T414">
        <v>420.9244758141914</v>
      </c>
      <c r="U414">
        <v>2</v>
      </c>
      <c r="V414">
        <v>9</v>
      </c>
      <c r="W414">
        <v>0.85</v>
      </c>
      <c r="X414">
        <v>7.6499999999999986</v>
      </c>
      <c r="Y414">
        <v>18</v>
      </c>
      <c r="Z414">
        <v>298.16529694300579</v>
      </c>
      <c r="AA414">
        <v>2</v>
      </c>
      <c r="AB414">
        <v>3</v>
      </c>
      <c r="AC414">
        <v>7</v>
      </c>
      <c r="AD414">
        <v>23.52</v>
      </c>
      <c r="AE414">
        <v>253</v>
      </c>
      <c r="AF414">
        <v>15</v>
      </c>
      <c r="AG414">
        <v>55</v>
      </c>
      <c r="AH414">
        <v>32</v>
      </c>
      <c r="AI414">
        <v>5.93</v>
      </c>
      <c r="AJ414">
        <v>21.74</v>
      </c>
      <c r="AK414">
        <v>12.65</v>
      </c>
      <c r="AL414">
        <v>-19.62914789999996</v>
      </c>
      <c r="AM414">
        <v>-43.887659532387332</v>
      </c>
      <c r="AN414">
        <v>-19.62914789999996</v>
      </c>
      <c r="AO414">
        <v>-43.887659532387332</v>
      </c>
      <c r="AP414">
        <v>-19.629049999999999</v>
      </c>
      <c r="AQ414">
        <v>-43.887543000000001</v>
      </c>
      <c r="AR414">
        <v>16.372645779361299</v>
      </c>
      <c r="AS414" t="s">
        <v>65</v>
      </c>
      <c r="AT414">
        <v>1</v>
      </c>
      <c r="AU414" t="s">
        <v>528</v>
      </c>
      <c r="AV414" t="s">
        <v>529</v>
      </c>
      <c r="AW414" t="s">
        <v>60</v>
      </c>
      <c r="AX414" t="s">
        <v>68</v>
      </c>
      <c r="AY414" t="s">
        <v>69</v>
      </c>
      <c r="AZ414" t="b">
        <v>1</v>
      </c>
    </row>
    <row r="415" spans="1:52" x14ac:dyDescent="0.3">
      <c r="A415" t="s">
        <v>52</v>
      </c>
      <c r="B415" t="s">
        <v>53</v>
      </c>
      <c r="C415" t="s">
        <v>54</v>
      </c>
      <c r="D415" t="s">
        <v>55</v>
      </c>
      <c r="E415" t="s">
        <v>770</v>
      </c>
      <c r="F415" t="s">
        <v>512</v>
      </c>
      <c r="G415" t="s">
        <v>388</v>
      </c>
      <c r="H415" t="s">
        <v>389</v>
      </c>
      <c r="I415" t="s">
        <v>389</v>
      </c>
      <c r="J415" t="s">
        <v>60</v>
      </c>
      <c r="K415" t="s">
        <v>185</v>
      </c>
      <c r="L415" t="s">
        <v>62</v>
      </c>
      <c r="M415" t="s">
        <v>185</v>
      </c>
      <c r="N415" t="s">
        <v>390</v>
      </c>
      <c r="O415" t="s">
        <v>391</v>
      </c>
      <c r="P415">
        <v>-19.628802</v>
      </c>
      <c r="Q415">
        <v>-43.891649000000001</v>
      </c>
      <c r="R415" s="2" t="str">
        <f>HYPERLINK("https://www.google.com/maps?q=-19.6288020,-43.8916490","Abrir no Google Maps")</f>
        <v>Abrir no Google Maps</v>
      </c>
      <c r="S415">
        <v>3</v>
      </c>
      <c r="T415">
        <v>0</v>
      </c>
      <c r="U415">
        <v>2</v>
      </c>
      <c r="V415">
        <v>7</v>
      </c>
      <c r="W415">
        <v>0.85</v>
      </c>
      <c r="X415">
        <v>5.95</v>
      </c>
      <c r="Y415">
        <v>18</v>
      </c>
      <c r="Z415">
        <v>117.5064585283839</v>
      </c>
      <c r="AA415">
        <v>2</v>
      </c>
      <c r="AB415">
        <v>3</v>
      </c>
      <c r="AC415">
        <v>7</v>
      </c>
      <c r="AD415">
        <v>23.52</v>
      </c>
      <c r="AE415">
        <v>253</v>
      </c>
      <c r="AF415">
        <v>15</v>
      </c>
      <c r="AG415">
        <v>55</v>
      </c>
      <c r="AH415">
        <v>32</v>
      </c>
      <c r="AI415">
        <v>5.93</v>
      </c>
      <c r="AJ415">
        <v>21.74</v>
      </c>
      <c r="AK415">
        <v>12.65</v>
      </c>
      <c r="AL415">
        <v>-19.628865499999961</v>
      </c>
      <c r="AM415">
        <v>-43.891662391334172</v>
      </c>
      <c r="AN415">
        <v>-19.628865499999961</v>
      </c>
      <c r="AO415">
        <v>-43.891662391334172</v>
      </c>
      <c r="AP415">
        <v>-19.628802</v>
      </c>
      <c r="AQ415">
        <v>-43.891649000000001</v>
      </c>
      <c r="AR415">
        <v>7.2069201904448459</v>
      </c>
      <c r="AS415" t="s">
        <v>65</v>
      </c>
      <c r="AT415">
        <v>1</v>
      </c>
      <c r="AU415" t="s">
        <v>392</v>
      </c>
      <c r="AV415" t="s">
        <v>393</v>
      </c>
      <c r="AW415" t="s">
        <v>60</v>
      </c>
      <c r="AX415" t="s">
        <v>68</v>
      </c>
      <c r="AY415" t="s">
        <v>69</v>
      </c>
      <c r="AZ415" t="b">
        <v>1</v>
      </c>
    </row>
    <row r="416" spans="1:52" x14ac:dyDescent="0.3">
      <c r="A416" t="s">
        <v>52</v>
      </c>
      <c r="B416" t="s">
        <v>53</v>
      </c>
      <c r="C416" t="s">
        <v>54</v>
      </c>
      <c r="D416" t="s">
        <v>55</v>
      </c>
      <c r="E416" t="s">
        <v>770</v>
      </c>
      <c r="F416" t="s">
        <v>512</v>
      </c>
      <c r="G416" t="s">
        <v>530</v>
      </c>
      <c r="H416" t="s">
        <v>531</v>
      </c>
      <c r="I416" t="s">
        <v>531</v>
      </c>
      <c r="J416" t="s">
        <v>60</v>
      </c>
      <c r="K416" t="s">
        <v>185</v>
      </c>
      <c r="L416" t="s">
        <v>62</v>
      </c>
      <c r="M416" t="s">
        <v>185</v>
      </c>
      <c r="N416" t="s">
        <v>532</v>
      </c>
      <c r="O416" t="s">
        <v>533</v>
      </c>
      <c r="P416">
        <v>-19.625264000000001</v>
      </c>
      <c r="Q416">
        <v>-43.889451000000001</v>
      </c>
      <c r="R416" s="2" t="str">
        <f>HYPERLINK("https://www.google.com/maps?q=-19.6252640,-43.8894510","Abrir no Google Maps")</f>
        <v>Abrir no Google Maps</v>
      </c>
      <c r="S416">
        <v>3</v>
      </c>
      <c r="T416">
        <v>466.11340370665903</v>
      </c>
      <c r="U416">
        <v>2</v>
      </c>
      <c r="V416">
        <v>6</v>
      </c>
      <c r="W416">
        <v>0.85</v>
      </c>
      <c r="X416">
        <v>5.0999999999999996</v>
      </c>
      <c r="Y416">
        <v>18</v>
      </c>
      <c r="Z416">
        <v>320.77337440837812</v>
      </c>
      <c r="AA416">
        <v>2</v>
      </c>
      <c r="AB416">
        <v>3</v>
      </c>
      <c r="AC416">
        <v>7</v>
      </c>
      <c r="AD416">
        <v>23.52</v>
      </c>
      <c r="AE416">
        <v>253</v>
      </c>
      <c r="AF416">
        <v>15</v>
      </c>
      <c r="AG416">
        <v>55</v>
      </c>
      <c r="AH416">
        <v>32</v>
      </c>
      <c r="AI416">
        <v>5.93</v>
      </c>
      <c r="AJ416">
        <v>21.74</v>
      </c>
      <c r="AK416">
        <v>12.65</v>
      </c>
      <c r="AL416">
        <v>-19.62516189999997</v>
      </c>
      <c r="AM416">
        <v>-43.88954614566876</v>
      </c>
      <c r="AN416">
        <v>-19.62516189999997</v>
      </c>
      <c r="AO416">
        <v>-43.88954614566876</v>
      </c>
      <c r="AP416">
        <v>-19.625264000000001</v>
      </c>
      <c r="AQ416">
        <v>-43.889451000000001</v>
      </c>
      <c r="AR416">
        <v>15.12310549834147</v>
      </c>
      <c r="AS416" t="s">
        <v>65</v>
      </c>
      <c r="AT416">
        <v>1</v>
      </c>
      <c r="AU416" t="s">
        <v>534</v>
      </c>
      <c r="AV416" t="s">
        <v>535</v>
      </c>
      <c r="AW416" t="s">
        <v>60</v>
      </c>
      <c r="AX416" t="s">
        <v>68</v>
      </c>
      <c r="AY416" t="s">
        <v>69</v>
      </c>
      <c r="AZ416" t="b">
        <v>1</v>
      </c>
    </row>
    <row r="417" spans="1:52" x14ac:dyDescent="0.3">
      <c r="A417" t="s">
        <v>52</v>
      </c>
      <c r="B417" t="s">
        <v>53</v>
      </c>
      <c r="C417" t="s">
        <v>54</v>
      </c>
      <c r="D417" t="s">
        <v>55</v>
      </c>
      <c r="E417" t="s">
        <v>770</v>
      </c>
      <c r="F417" t="s">
        <v>512</v>
      </c>
      <c r="G417" t="s">
        <v>536</v>
      </c>
      <c r="H417" t="s">
        <v>537</v>
      </c>
      <c r="I417" t="s">
        <v>537</v>
      </c>
      <c r="J417" t="s">
        <v>60</v>
      </c>
      <c r="K417" t="s">
        <v>185</v>
      </c>
      <c r="L417" t="s">
        <v>62</v>
      </c>
      <c r="M417" t="s">
        <v>185</v>
      </c>
      <c r="N417" t="s">
        <v>538</v>
      </c>
      <c r="O417" t="s">
        <v>408</v>
      </c>
      <c r="P417">
        <v>-19.630147999999998</v>
      </c>
      <c r="Q417">
        <v>-43.893844000000001</v>
      </c>
      <c r="R417" s="2" t="str">
        <f>HYPERLINK("https://www.google.com/maps?q=-19.6301480,-43.8938440","Abrir no Google Maps")</f>
        <v>Abrir no Google Maps</v>
      </c>
      <c r="S417">
        <v>3</v>
      </c>
      <c r="T417">
        <v>262.94285160220159</v>
      </c>
      <c r="U417">
        <v>2</v>
      </c>
      <c r="V417">
        <v>5</v>
      </c>
      <c r="W417">
        <v>0.85</v>
      </c>
      <c r="X417">
        <v>4.25</v>
      </c>
      <c r="Y417">
        <v>18</v>
      </c>
      <c r="Z417">
        <v>351.25774094845309</v>
      </c>
      <c r="AA417">
        <v>2</v>
      </c>
      <c r="AB417">
        <v>3</v>
      </c>
      <c r="AC417">
        <v>7</v>
      </c>
      <c r="AD417">
        <v>23.52</v>
      </c>
      <c r="AE417">
        <v>253</v>
      </c>
      <c r="AF417">
        <v>15</v>
      </c>
      <c r="AG417">
        <v>55</v>
      </c>
      <c r="AH417">
        <v>32</v>
      </c>
      <c r="AI417">
        <v>5.93</v>
      </c>
      <c r="AJ417">
        <v>21.74</v>
      </c>
      <c r="AK417">
        <v>12.65</v>
      </c>
      <c r="AL417">
        <v>-19.630177599999939</v>
      </c>
      <c r="AM417">
        <v>-43.893752755034278</v>
      </c>
      <c r="AN417">
        <v>-19.630177599999939</v>
      </c>
      <c r="AO417">
        <v>-43.893752755034278</v>
      </c>
      <c r="AP417">
        <v>-19.630147999999998</v>
      </c>
      <c r="AQ417">
        <v>-43.893844000000001</v>
      </c>
      <c r="AR417">
        <v>10.1185927114604</v>
      </c>
      <c r="AS417" t="s">
        <v>65</v>
      </c>
      <c r="AT417">
        <v>1</v>
      </c>
      <c r="AU417" t="s">
        <v>539</v>
      </c>
      <c r="AV417" t="s">
        <v>540</v>
      </c>
      <c r="AW417" t="s">
        <v>60</v>
      </c>
      <c r="AX417" t="s">
        <v>68</v>
      </c>
      <c r="AY417" t="s">
        <v>69</v>
      </c>
      <c r="AZ417" t="b">
        <v>1</v>
      </c>
    </row>
    <row r="418" spans="1:52" x14ac:dyDescent="0.3">
      <c r="A418" t="s">
        <v>52</v>
      </c>
      <c r="B418" t="s">
        <v>53</v>
      </c>
      <c r="C418" t="s">
        <v>54</v>
      </c>
      <c r="D418" t="s">
        <v>55</v>
      </c>
      <c r="E418" t="s">
        <v>770</v>
      </c>
      <c r="F418" t="s">
        <v>512</v>
      </c>
      <c r="G418" t="s">
        <v>399</v>
      </c>
      <c r="H418" t="s">
        <v>400</v>
      </c>
      <c r="I418" t="s">
        <v>400</v>
      </c>
      <c r="J418" t="s">
        <v>60</v>
      </c>
      <c r="K418" t="s">
        <v>286</v>
      </c>
      <c r="L418" t="s">
        <v>62</v>
      </c>
      <c r="M418" t="s">
        <v>286</v>
      </c>
      <c r="N418" t="s">
        <v>401</v>
      </c>
      <c r="O418" t="s">
        <v>402</v>
      </c>
      <c r="P418">
        <v>-19.639906</v>
      </c>
      <c r="Q418">
        <v>-43.886059000000003</v>
      </c>
      <c r="R418" s="2" t="str">
        <f>HYPERLINK("https://www.google.com/maps?q=-19.6399060,-43.8860590","Abrir no Google Maps")</f>
        <v>Abrir no Google Maps</v>
      </c>
      <c r="S418">
        <v>3</v>
      </c>
      <c r="T418">
        <v>256.0748811302048</v>
      </c>
      <c r="U418">
        <v>2</v>
      </c>
      <c r="V418">
        <v>7</v>
      </c>
      <c r="W418">
        <v>1</v>
      </c>
      <c r="X418">
        <v>7</v>
      </c>
      <c r="Y418">
        <v>10</v>
      </c>
      <c r="Z418">
        <v>205.06236700857289</v>
      </c>
      <c r="AA418">
        <v>2</v>
      </c>
      <c r="AB418">
        <v>3</v>
      </c>
      <c r="AC418">
        <v>7</v>
      </c>
      <c r="AD418">
        <v>23.52</v>
      </c>
      <c r="AE418">
        <v>253</v>
      </c>
      <c r="AF418">
        <v>15</v>
      </c>
      <c r="AG418">
        <v>55</v>
      </c>
      <c r="AH418">
        <v>32</v>
      </c>
      <c r="AI418">
        <v>5.93</v>
      </c>
      <c r="AJ418">
        <v>21.74</v>
      </c>
      <c r="AK418">
        <v>12.65</v>
      </c>
      <c r="AL418">
        <v>-19.639789499999949</v>
      </c>
      <c r="AM418">
        <v>-43.885737855031408</v>
      </c>
      <c r="AN418">
        <v>-19.639789499999949</v>
      </c>
      <c r="AO418">
        <v>-43.885737855031408</v>
      </c>
      <c r="AP418">
        <v>-19.639906</v>
      </c>
      <c r="AQ418">
        <v>-43.886059000000003</v>
      </c>
      <c r="AR418">
        <v>36.081349702130403</v>
      </c>
      <c r="AS418" t="s">
        <v>65</v>
      </c>
      <c r="AT418">
        <v>1</v>
      </c>
      <c r="AU418" t="s">
        <v>403</v>
      </c>
      <c r="AV418" t="s">
        <v>404</v>
      </c>
      <c r="AW418" t="s">
        <v>60</v>
      </c>
      <c r="AX418" t="s">
        <v>68</v>
      </c>
      <c r="AY418" t="s">
        <v>69</v>
      </c>
      <c r="AZ418" t="b">
        <v>1</v>
      </c>
    </row>
    <row r="419" spans="1:52" x14ac:dyDescent="0.3">
      <c r="A419" t="s">
        <v>52</v>
      </c>
      <c r="B419" t="s">
        <v>53</v>
      </c>
      <c r="C419" t="s">
        <v>54</v>
      </c>
      <c r="D419" t="s">
        <v>55</v>
      </c>
      <c r="E419" t="s">
        <v>770</v>
      </c>
      <c r="F419" t="s">
        <v>512</v>
      </c>
      <c r="G419" t="s">
        <v>541</v>
      </c>
      <c r="H419" t="s">
        <v>542</v>
      </c>
      <c r="I419" t="s">
        <v>542</v>
      </c>
      <c r="J419" t="s">
        <v>60</v>
      </c>
      <c r="K419" t="s">
        <v>445</v>
      </c>
      <c r="L419" t="s">
        <v>62</v>
      </c>
      <c r="M419" t="s">
        <v>445</v>
      </c>
      <c r="N419" t="s">
        <v>543</v>
      </c>
      <c r="O419" t="s">
        <v>328</v>
      </c>
      <c r="P419">
        <v>-19.642263</v>
      </c>
      <c r="Q419">
        <v>-43.881428999999997</v>
      </c>
      <c r="R419" s="2" t="str">
        <f>HYPERLINK("https://www.google.com/maps?q=-19.6422630,-43.8814290","Abrir no Google Maps")</f>
        <v>Abrir no Google Maps</v>
      </c>
      <c r="S419">
        <v>3</v>
      </c>
      <c r="T419">
        <v>0</v>
      </c>
      <c r="U419">
        <v>2</v>
      </c>
      <c r="V419">
        <v>5</v>
      </c>
      <c r="W419">
        <v>0.85</v>
      </c>
      <c r="X419">
        <v>4.25</v>
      </c>
      <c r="Y419">
        <v>10</v>
      </c>
      <c r="Z419">
        <v>162.4764384685345</v>
      </c>
      <c r="AA419">
        <v>2</v>
      </c>
      <c r="AB419">
        <v>3</v>
      </c>
      <c r="AC419">
        <v>7</v>
      </c>
      <c r="AD419">
        <v>23.52</v>
      </c>
      <c r="AE419">
        <v>253</v>
      </c>
      <c r="AF419">
        <v>15</v>
      </c>
      <c r="AG419">
        <v>55</v>
      </c>
      <c r="AH419">
        <v>32</v>
      </c>
      <c r="AI419">
        <v>5.93</v>
      </c>
      <c r="AJ419">
        <v>21.74</v>
      </c>
      <c r="AK419">
        <v>12.65</v>
      </c>
      <c r="AL419">
        <v>-19.642346249999949</v>
      </c>
      <c r="AM419">
        <v>-43.881546938715289</v>
      </c>
      <c r="AN419">
        <v>-19.642346249999939</v>
      </c>
      <c r="AO419">
        <v>-43.881546938715289</v>
      </c>
      <c r="AP419">
        <v>-19.642263</v>
      </c>
      <c r="AQ419">
        <v>-43.881428999999997</v>
      </c>
      <c r="AR419">
        <v>15.45239906956777</v>
      </c>
      <c r="AS419" t="s">
        <v>65</v>
      </c>
      <c r="AT419">
        <v>1</v>
      </c>
      <c r="AU419" t="s">
        <v>544</v>
      </c>
      <c r="AV419" t="s">
        <v>545</v>
      </c>
      <c r="AW419" t="s">
        <v>60</v>
      </c>
      <c r="AX419" t="s">
        <v>68</v>
      </c>
      <c r="AY419" t="s">
        <v>69</v>
      </c>
      <c r="AZ419" t="b">
        <v>1</v>
      </c>
    </row>
    <row r="420" spans="1:52" x14ac:dyDescent="0.3">
      <c r="A420" t="s">
        <v>52</v>
      </c>
      <c r="B420" t="s">
        <v>53</v>
      </c>
      <c r="C420" t="s">
        <v>54</v>
      </c>
      <c r="D420" t="s">
        <v>55</v>
      </c>
      <c r="E420" t="s">
        <v>770</v>
      </c>
      <c r="F420" t="s">
        <v>512</v>
      </c>
      <c r="G420" t="s">
        <v>552</v>
      </c>
      <c r="H420" t="s">
        <v>553</v>
      </c>
      <c r="I420" t="s">
        <v>553</v>
      </c>
      <c r="J420" t="s">
        <v>60</v>
      </c>
      <c r="K420" t="s">
        <v>445</v>
      </c>
      <c r="L420" t="s">
        <v>62</v>
      </c>
      <c r="M420" t="s">
        <v>445</v>
      </c>
      <c r="N420" t="s">
        <v>554</v>
      </c>
      <c r="O420" t="s">
        <v>207</v>
      </c>
      <c r="P420">
        <v>-19.641549999999999</v>
      </c>
      <c r="Q420">
        <v>-43.873263999999999</v>
      </c>
      <c r="R420" s="2" t="str">
        <f>HYPERLINK("https://www.google.com/maps?q=-19.6415500,-43.8732640","Abrir no Google Maps")</f>
        <v>Abrir no Google Maps</v>
      </c>
      <c r="S420">
        <v>3</v>
      </c>
      <c r="T420">
        <v>879.45465995735231</v>
      </c>
      <c r="U420">
        <v>2</v>
      </c>
      <c r="V420">
        <v>8</v>
      </c>
      <c r="W420">
        <v>0.85</v>
      </c>
      <c r="X420">
        <v>6.8</v>
      </c>
      <c r="Y420">
        <v>10</v>
      </c>
      <c r="Z420">
        <v>830.70905214077095</v>
      </c>
      <c r="AA420">
        <v>2</v>
      </c>
      <c r="AB420">
        <v>3</v>
      </c>
      <c r="AC420">
        <v>7</v>
      </c>
      <c r="AD420">
        <v>23.52</v>
      </c>
      <c r="AE420">
        <v>253</v>
      </c>
      <c r="AF420">
        <v>15</v>
      </c>
      <c r="AG420">
        <v>55</v>
      </c>
      <c r="AH420">
        <v>32</v>
      </c>
      <c r="AI420">
        <v>5.93</v>
      </c>
      <c r="AJ420">
        <v>21.74</v>
      </c>
      <c r="AK420">
        <v>12.65</v>
      </c>
      <c r="AL420">
        <v>-19.641459949999959</v>
      </c>
      <c r="AM420">
        <v>-43.873212145688711</v>
      </c>
      <c r="AN420">
        <v>-19.641459949999959</v>
      </c>
      <c r="AO420">
        <v>-43.873212145688711</v>
      </c>
      <c r="AP420">
        <v>-19.641549999999999</v>
      </c>
      <c r="AQ420">
        <v>-43.873263999999999</v>
      </c>
      <c r="AR420">
        <v>11.40368340137019</v>
      </c>
      <c r="AS420" t="s">
        <v>65</v>
      </c>
      <c r="AT420">
        <v>1</v>
      </c>
      <c r="AU420" t="s">
        <v>555</v>
      </c>
      <c r="AV420" t="s">
        <v>556</v>
      </c>
      <c r="AW420" t="s">
        <v>60</v>
      </c>
      <c r="AX420" t="s">
        <v>68</v>
      </c>
      <c r="AY420" t="s">
        <v>69</v>
      </c>
      <c r="AZ420" t="b">
        <v>1</v>
      </c>
    </row>
    <row r="421" spans="1:52" x14ac:dyDescent="0.3">
      <c r="A421" t="s">
        <v>52</v>
      </c>
      <c r="B421" t="s">
        <v>53</v>
      </c>
      <c r="C421" t="s">
        <v>54</v>
      </c>
      <c r="D421" t="s">
        <v>55</v>
      </c>
      <c r="E421" t="s">
        <v>770</v>
      </c>
      <c r="F421" t="s">
        <v>512</v>
      </c>
      <c r="G421" t="s">
        <v>563</v>
      </c>
      <c r="H421" t="s">
        <v>564</v>
      </c>
      <c r="I421" t="s">
        <v>564</v>
      </c>
      <c r="J421" t="s">
        <v>60</v>
      </c>
      <c r="K421" t="s">
        <v>445</v>
      </c>
      <c r="L421" t="s">
        <v>62</v>
      </c>
      <c r="M421" t="s">
        <v>445</v>
      </c>
      <c r="N421" t="s">
        <v>565</v>
      </c>
      <c r="O421" t="s">
        <v>566</v>
      </c>
      <c r="P421">
        <v>-19.645859000000002</v>
      </c>
      <c r="Q421">
        <v>-43.878008000000001</v>
      </c>
      <c r="R421" s="2" t="str">
        <f>HYPERLINK("https://www.google.com/maps?q=-19.6458590,-43.8780080","Abrir no Google Maps")</f>
        <v>Abrir no Google Maps</v>
      </c>
      <c r="S421">
        <v>3</v>
      </c>
      <c r="T421">
        <v>535.60651658514928</v>
      </c>
      <c r="U421">
        <v>2</v>
      </c>
      <c r="V421">
        <v>5</v>
      </c>
      <c r="W421">
        <v>0.85</v>
      </c>
      <c r="X421">
        <v>4.25</v>
      </c>
      <c r="Y421">
        <v>10</v>
      </c>
      <c r="Z421">
        <v>356.77070476702067</v>
      </c>
      <c r="AA421">
        <v>2</v>
      </c>
      <c r="AB421">
        <v>3</v>
      </c>
      <c r="AC421">
        <v>7</v>
      </c>
      <c r="AD421">
        <v>23.52</v>
      </c>
      <c r="AE421">
        <v>253</v>
      </c>
      <c r="AF421">
        <v>15</v>
      </c>
      <c r="AG421">
        <v>55</v>
      </c>
      <c r="AH421">
        <v>32</v>
      </c>
      <c r="AI421">
        <v>5.93</v>
      </c>
      <c r="AJ421">
        <v>21.74</v>
      </c>
      <c r="AK421">
        <v>12.65</v>
      </c>
      <c r="AL421">
        <v>-19.645894599999959</v>
      </c>
      <c r="AM421">
        <v>-43.878073476665591</v>
      </c>
      <c r="AN421">
        <v>-19.645894599999959</v>
      </c>
      <c r="AO421">
        <v>-43.878073476665591</v>
      </c>
      <c r="AP421">
        <v>-19.645859000000002</v>
      </c>
      <c r="AQ421">
        <v>-43.878008000000001</v>
      </c>
      <c r="AR421">
        <v>7.9263849189726594</v>
      </c>
      <c r="AS421" t="s">
        <v>65</v>
      </c>
      <c r="AT421">
        <v>1</v>
      </c>
      <c r="AU421" t="s">
        <v>567</v>
      </c>
      <c r="AV421" t="s">
        <v>568</v>
      </c>
      <c r="AW421" t="s">
        <v>60</v>
      </c>
      <c r="AX421" t="s">
        <v>68</v>
      </c>
      <c r="AY421" t="s">
        <v>69</v>
      </c>
      <c r="AZ421" t="b">
        <v>1</v>
      </c>
    </row>
    <row r="422" spans="1:52" x14ac:dyDescent="0.3">
      <c r="A422" t="s">
        <v>52</v>
      </c>
      <c r="B422" t="s">
        <v>53</v>
      </c>
      <c r="C422" t="s">
        <v>54</v>
      </c>
      <c r="D422" t="s">
        <v>55</v>
      </c>
      <c r="E422" t="s">
        <v>770</v>
      </c>
      <c r="F422" t="s">
        <v>512</v>
      </c>
      <c r="G422" t="s">
        <v>569</v>
      </c>
      <c r="H422" t="s">
        <v>570</v>
      </c>
      <c r="I422" t="s">
        <v>570</v>
      </c>
      <c r="J422" t="s">
        <v>60</v>
      </c>
      <c r="K422" t="s">
        <v>445</v>
      </c>
      <c r="L422" t="s">
        <v>62</v>
      </c>
      <c r="M422" t="s">
        <v>445</v>
      </c>
      <c r="N422" t="s">
        <v>571</v>
      </c>
      <c r="O422" t="s">
        <v>572</v>
      </c>
      <c r="P422">
        <v>-19.646602999999999</v>
      </c>
      <c r="Q422">
        <v>-43.879826000000001</v>
      </c>
      <c r="R422" s="2" t="str">
        <f>HYPERLINK("https://www.google.com/maps?q=-19.6466030,-43.8798260","Abrir no Google Maps")</f>
        <v>Abrir no Google Maps</v>
      </c>
      <c r="S422">
        <v>3</v>
      </c>
      <c r="T422">
        <v>497.89126003830972</v>
      </c>
      <c r="U422">
        <v>2</v>
      </c>
      <c r="V422">
        <v>6</v>
      </c>
      <c r="W422">
        <v>0.85</v>
      </c>
      <c r="X422">
        <v>5.0999999999999996</v>
      </c>
      <c r="Y422">
        <v>10</v>
      </c>
      <c r="Z422">
        <v>228.69190976735251</v>
      </c>
      <c r="AA422">
        <v>2</v>
      </c>
      <c r="AB422">
        <v>3</v>
      </c>
      <c r="AC422">
        <v>7</v>
      </c>
      <c r="AD422">
        <v>23.52</v>
      </c>
      <c r="AE422">
        <v>253</v>
      </c>
      <c r="AF422">
        <v>15</v>
      </c>
      <c r="AG422">
        <v>55</v>
      </c>
      <c r="AH422">
        <v>32</v>
      </c>
      <c r="AI422">
        <v>5.93</v>
      </c>
      <c r="AJ422">
        <v>21.74</v>
      </c>
      <c r="AK422">
        <v>12.65</v>
      </c>
      <c r="AL422">
        <v>-19.646577499999982</v>
      </c>
      <c r="AM422">
        <v>-43.879934131171261</v>
      </c>
      <c r="AN422">
        <v>-19.646577499999971</v>
      </c>
      <c r="AO422">
        <v>-43.879934131171261</v>
      </c>
      <c r="AP422">
        <v>-19.646602999999999</v>
      </c>
      <c r="AQ422">
        <v>-43.879826000000001</v>
      </c>
      <c r="AR422">
        <v>11.68641198848764</v>
      </c>
      <c r="AS422" t="s">
        <v>65</v>
      </c>
      <c r="AT422">
        <v>1</v>
      </c>
      <c r="AU422" t="s">
        <v>573</v>
      </c>
      <c r="AV422" t="s">
        <v>574</v>
      </c>
      <c r="AW422" t="s">
        <v>60</v>
      </c>
      <c r="AX422" t="s">
        <v>68</v>
      </c>
      <c r="AY422" t="s">
        <v>69</v>
      </c>
      <c r="AZ422" t="b">
        <v>1</v>
      </c>
    </row>
    <row r="423" spans="1:52" x14ac:dyDescent="0.3">
      <c r="A423" t="s">
        <v>52</v>
      </c>
      <c r="B423" t="s">
        <v>53</v>
      </c>
      <c r="C423" t="s">
        <v>54</v>
      </c>
      <c r="D423" t="s">
        <v>55</v>
      </c>
      <c r="E423" t="s">
        <v>770</v>
      </c>
      <c r="F423" t="s">
        <v>512</v>
      </c>
      <c r="G423" t="s">
        <v>580</v>
      </c>
      <c r="H423" t="s">
        <v>581</v>
      </c>
      <c r="I423" t="s">
        <v>581</v>
      </c>
      <c r="J423" t="s">
        <v>60</v>
      </c>
      <c r="K423" t="s">
        <v>179</v>
      </c>
      <c r="L423" t="s">
        <v>62</v>
      </c>
      <c r="M423" t="s">
        <v>179</v>
      </c>
      <c r="N423" t="s">
        <v>582</v>
      </c>
      <c r="O423" t="s">
        <v>583</v>
      </c>
      <c r="P423">
        <v>-19.651917999999998</v>
      </c>
      <c r="Q423">
        <v>-43.888081</v>
      </c>
      <c r="R423" s="2" t="str">
        <f>HYPERLINK("https://www.google.com/maps?q=-19.6519180,-43.8880810","Abrir no Google Maps")</f>
        <v>Abrir no Google Maps</v>
      </c>
      <c r="S423">
        <v>3</v>
      </c>
      <c r="T423">
        <v>1192.758363020145</v>
      </c>
      <c r="U423">
        <v>2</v>
      </c>
      <c r="V423">
        <v>9</v>
      </c>
      <c r="W423">
        <v>0.85</v>
      </c>
      <c r="X423">
        <v>7.6499999999999986</v>
      </c>
      <c r="Y423">
        <v>10</v>
      </c>
      <c r="Z423">
        <v>1164.020417046748</v>
      </c>
      <c r="AA423">
        <v>2</v>
      </c>
      <c r="AB423">
        <v>3</v>
      </c>
      <c r="AC423">
        <v>7</v>
      </c>
      <c r="AD423">
        <v>23.52</v>
      </c>
      <c r="AE423">
        <v>253</v>
      </c>
      <c r="AF423">
        <v>15</v>
      </c>
      <c r="AG423">
        <v>55</v>
      </c>
      <c r="AH423">
        <v>32</v>
      </c>
      <c r="AI423">
        <v>5.93</v>
      </c>
      <c r="AJ423">
        <v>21.74</v>
      </c>
      <c r="AK423">
        <v>12.65</v>
      </c>
      <c r="AL423">
        <v>-19.65182809999996</v>
      </c>
      <c r="AM423">
        <v>-43.887955347266519</v>
      </c>
      <c r="AN423">
        <v>-19.65182809999996</v>
      </c>
      <c r="AO423">
        <v>-43.887955347266519</v>
      </c>
      <c r="AP423">
        <v>-19.651917999999998</v>
      </c>
      <c r="AQ423">
        <v>-43.888081</v>
      </c>
      <c r="AR423">
        <v>16.543262936495491</v>
      </c>
      <c r="AS423" t="s">
        <v>65</v>
      </c>
      <c r="AT423">
        <v>1</v>
      </c>
      <c r="AU423" t="s">
        <v>584</v>
      </c>
      <c r="AV423" t="s">
        <v>585</v>
      </c>
      <c r="AW423" t="s">
        <v>60</v>
      </c>
      <c r="AX423" t="s">
        <v>68</v>
      </c>
      <c r="AY423" t="s">
        <v>69</v>
      </c>
      <c r="AZ423" t="b">
        <v>1</v>
      </c>
    </row>
    <row r="424" spans="1:52" x14ac:dyDescent="0.3">
      <c r="A424" t="s">
        <v>52</v>
      </c>
      <c r="B424" t="s">
        <v>53</v>
      </c>
      <c r="C424" t="s">
        <v>54</v>
      </c>
      <c r="D424" t="s">
        <v>55</v>
      </c>
      <c r="E424" t="s">
        <v>770</v>
      </c>
      <c r="F424" t="s">
        <v>512</v>
      </c>
      <c r="G424" t="s">
        <v>586</v>
      </c>
      <c r="H424" t="s">
        <v>587</v>
      </c>
      <c r="I424" t="s">
        <v>587</v>
      </c>
      <c r="J424" t="s">
        <v>60</v>
      </c>
      <c r="K424" t="s">
        <v>286</v>
      </c>
      <c r="L424" t="s">
        <v>62</v>
      </c>
      <c r="M424" t="s">
        <v>286</v>
      </c>
      <c r="N424" t="s">
        <v>588</v>
      </c>
      <c r="O424" t="s">
        <v>589</v>
      </c>
      <c r="P424">
        <v>-19.638362999999998</v>
      </c>
      <c r="Q424">
        <v>-43.887081000000002</v>
      </c>
      <c r="R424" s="2" t="str">
        <f>HYPERLINK("https://www.google.com/maps?q=-19.6383630,-43.8870810","Abrir no Google Maps")</f>
        <v>Abrir no Google Maps</v>
      </c>
      <c r="S424">
        <v>3</v>
      </c>
      <c r="T424">
        <v>521.16909902210193</v>
      </c>
      <c r="U424">
        <v>2</v>
      </c>
      <c r="V424">
        <v>8</v>
      </c>
      <c r="W424">
        <v>0.85</v>
      </c>
      <c r="X424">
        <v>6.8</v>
      </c>
      <c r="Y424">
        <v>10</v>
      </c>
      <c r="Z424">
        <v>416.66355243950221</v>
      </c>
      <c r="AA424">
        <v>2</v>
      </c>
      <c r="AB424">
        <v>3</v>
      </c>
      <c r="AC424">
        <v>7</v>
      </c>
      <c r="AD424">
        <v>23.52</v>
      </c>
      <c r="AE424">
        <v>253</v>
      </c>
      <c r="AF424">
        <v>15</v>
      </c>
      <c r="AG424">
        <v>55</v>
      </c>
      <c r="AH424">
        <v>32</v>
      </c>
      <c r="AI424">
        <v>5.93</v>
      </c>
      <c r="AJ424">
        <v>21.74</v>
      </c>
      <c r="AK424">
        <v>12.65</v>
      </c>
      <c r="AL424">
        <v>-19.638074649999961</v>
      </c>
      <c r="AM424">
        <v>-43.887517684870552</v>
      </c>
      <c r="AN424">
        <v>-19.638074649999961</v>
      </c>
      <c r="AO424">
        <v>-43.887517684870552</v>
      </c>
      <c r="AP424">
        <v>-19.638362999999998</v>
      </c>
      <c r="AQ424">
        <v>-43.887081000000002</v>
      </c>
      <c r="AR424">
        <v>55.915550702564907</v>
      </c>
      <c r="AS424" t="s">
        <v>65</v>
      </c>
      <c r="AT424">
        <v>1</v>
      </c>
      <c r="AU424" t="s">
        <v>590</v>
      </c>
      <c r="AV424" t="s">
        <v>591</v>
      </c>
      <c r="AW424" t="s">
        <v>60</v>
      </c>
      <c r="AX424" t="s">
        <v>68</v>
      </c>
      <c r="AY424" t="s">
        <v>69</v>
      </c>
      <c r="AZ424" t="b">
        <v>1</v>
      </c>
    </row>
    <row r="425" spans="1:52" x14ac:dyDescent="0.3">
      <c r="A425" t="s">
        <v>52</v>
      </c>
      <c r="B425" t="s">
        <v>53</v>
      </c>
      <c r="C425" t="s">
        <v>54</v>
      </c>
      <c r="D425" t="s">
        <v>55</v>
      </c>
      <c r="E425" t="s">
        <v>770</v>
      </c>
      <c r="F425" t="s">
        <v>512</v>
      </c>
      <c r="G425" t="s">
        <v>411</v>
      </c>
      <c r="H425" t="s">
        <v>412</v>
      </c>
      <c r="I425" t="s">
        <v>412</v>
      </c>
      <c r="J425" t="s">
        <v>60</v>
      </c>
      <c r="K425" t="s">
        <v>179</v>
      </c>
      <c r="L425" t="s">
        <v>62</v>
      </c>
      <c r="M425" t="s">
        <v>179</v>
      </c>
      <c r="N425" t="s">
        <v>413</v>
      </c>
      <c r="O425" t="s">
        <v>414</v>
      </c>
      <c r="P425">
        <v>-19.650079000000002</v>
      </c>
      <c r="Q425">
        <v>-43.884253999999999</v>
      </c>
      <c r="R425" s="2" t="str">
        <f>HYPERLINK("https://www.google.com/maps?q=-19.6500790,-43.8842540","Abrir no Google Maps")</f>
        <v>Abrir no Google Maps</v>
      </c>
      <c r="S425">
        <v>3</v>
      </c>
      <c r="T425">
        <v>797.21430129715498</v>
      </c>
      <c r="U425">
        <v>2</v>
      </c>
      <c r="V425">
        <v>8</v>
      </c>
      <c r="W425">
        <v>1</v>
      </c>
      <c r="X425">
        <v>8</v>
      </c>
      <c r="Y425">
        <v>10</v>
      </c>
      <c r="Z425">
        <v>774.04145012702554</v>
      </c>
      <c r="AA425">
        <v>2</v>
      </c>
      <c r="AB425">
        <v>3</v>
      </c>
      <c r="AC425">
        <v>7</v>
      </c>
      <c r="AD425">
        <v>23.52</v>
      </c>
      <c r="AE425">
        <v>253</v>
      </c>
      <c r="AF425">
        <v>15</v>
      </c>
      <c r="AG425">
        <v>55</v>
      </c>
      <c r="AH425">
        <v>32</v>
      </c>
      <c r="AI425">
        <v>5.93</v>
      </c>
      <c r="AJ425">
        <v>21.74</v>
      </c>
      <c r="AK425">
        <v>12.65</v>
      </c>
      <c r="AL425">
        <v>-19.649199399999961</v>
      </c>
      <c r="AM425">
        <v>-43.883888390043637</v>
      </c>
      <c r="AN425">
        <v>-19.649199399999961</v>
      </c>
      <c r="AO425">
        <v>-43.883888390043637</v>
      </c>
      <c r="AP425">
        <v>-19.650079000000002</v>
      </c>
      <c r="AQ425">
        <v>-43.884253999999999</v>
      </c>
      <c r="AR425">
        <v>105.1518915696123</v>
      </c>
      <c r="AS425" t="s">
        <v>65</v>
      </c>
      <c r="AT425">
        <v>1</v>
      </c>
      <c r="AU425" t="s">
        <v>415</v>
      </c>
      <c r="AV425" t="s">
        <v>416</v>
      </c>
      <c r="AW425" t="s">
        <v>60</v>
      </c>
      <c r="AX425" t="s">
        <v>68</v>
      </c>
      <c r="AY425" t="s">
        <v>69</v>
      </c>
      <c r="AZ425" t="b">
        <v>1</v>
      </c>
    </row>
    <row r="426" spans="1:52" x14ac:dyDescent="0.3">
      <c r="A426" t="s">
        <v>52</v>
      </c>
      <c r="B426" t="s">
        <v>53</v>
      </c>
      <c r="C426" t="s">
        <v>54</v>
      </c>
      <c r="D426" t="s">
        <v>55</v>
      </c>
      <c r="E426" t="s">
        <v>770</v>
      </c>
      <c r="F426" t="s">
        <v>512</v>
      </c>
      <c r="G426" t="s">
        <v>546</v>
      </c>
      <c r="H426" t="s">
        <v>547</v>
      </c>
      <c r="I426" t="s">
        <v>547</v>
      </c>
      <c r="J426" t="s">
        <v>60</v>
      </c>
      <c r="K426" t="s">
        <v>445</v>
      </c>
      <c r="L426" t="s">
        <v>62</v>
      </c>
      <c r="M426" t="s">
        <v>445</v>
      </c>
      <c r="N426" t="s">
        <v>548</v>
      </c>
      <c r="O426" t="s">
        <v>549</v>
      </c>
      <c r="P426">
        <v>-19.642752999999999</v>
      </c>
      <c r="Q426">
        <v>-43.879080999999999</v>
      </c>
      <c r="R426" s="2" t="str">
        <f>HYPERLINK("https://www.google.com/maps?q=-19.6427530,-43.8790810","Abrir no Google Maps")</f>
        <v>Abrir no Google Maps</v>
      </c>
      <c r="S426">
        <v>3</v>
      </c>
      <c r="T426">
        <v>256.19518367376457</v>
      </c>
      <c r="U426">
        <v>1</v>
      </c>
      <c r="V426">
        <v>3</v>
      </c>
      <c r="W426">
        <v>0.85</v>
      </c>
      <c r="X426">
        <v>2.5499999999999998</v>
      </c>
      <c r="Y426">
        <v>10</v>
      </c>
      <c r="Z426">
        <v>192.73978446408199</v>
      </c>
      <c r="AA426">
        <v>2</v>
      </c>
      <c r="AB426">
        <v>3</v>
      </c>
      <c r="AC426">
        <v>7</v>
      </c>
      <c r="AD426">
        <v>23.52</v>
      </c>
      <c r="AE426">
        <v>253</v>
      </c>
      <c r="AF426">
        <v>15</v>
      </c>
      <c r="AG426">
        <v>55</v>
      </c>
      <c r="AH426">
        <v>32</v>
      </c>
      <c r="AI426">
        <v>5.93</v>
      </c>
      <c r="AJ426">
        <v>21.74</v>
      </c>
      <c r="AK426">
        <v>12.65</v>
      </c>
      <c r="AL426">
        <v>-19.642703749999949</v>
      </c>
      <c r="AM426">
        <v>-43.879132974738582</v>
      </c>
      <c r="AN426">
        <v>-19.642703749999949</v>
      </c>
      <c r="AO426">
        <v>-43.879132974738582</v>
      </c>
      <c r="AP426">
        <v>-19.642752999999999</v>
      </c>
      <c r="AQ426">
        <v>-43.879080999999999</v>
      </c>
      <c r="AR426">
        <v>7.7298757823687696</v>
      </c>
      <c r="AS426" t="s">
        <v>65</v>
      </c>
      <c r="AT426">
        <v>1</v>
      </c>
      <c r="AU426" t="s">
        <v>550</v>
      </c>
      <c r="AV426" t="s">
        <v>551</v>
      </c>
      <c r="AW426" t="s">
        <v>60</v>
      </c>
      <c r="AX426" t="s">
        <v>68</v>
      </c>
      <c r="AY426" t="s">
        <v>69</v>
      </c>
      <c r="AZ426" t="b">
        <v>1</v>
      </c>
    </row>
    <row r="427" spans="1:52" x14ac:dyDescent="0.3">
      <c r="A427" t="s">
        <v>52</v>
      </c>
      <c r="B427" t="s">
        <v>53</v>
      </c>
      <c r="C427" t="s">
        <v>54</v>
      </c>
      <c r="D427" t="s">
        <v>55</v>
      </c>
      <c r="E427" t="s">
        <v>770</v>
      </c>
      <c r="F427" t="s">
        <v>512</v>
      </c>
      <c r="G427" t="s">
        <v>575</v>
      </c>
      <c r="H427" t="s">
        <v>576</v>
      </c>
      <c r="I427" t="s">
        <v>576</v>
      </c>
      <c r="J427" t="s">
        <v>60</v>
      </c>
      <c r="K427" t="s">
        <v>445</v>
      </c>
      <c r="L427" t="s">
        <v>62</v>
      </c>
      <c r="M427" t="s">
        <v>445</v>
      </c>
      <c r="N427" t="s">
        <v>577</v>
      </c>
      <c r="O427" t="s">
        <v>214</v>
      </c>
      <c r="P427">
        <v>-19.639865</v>
      </c>
      <c r="Q427">
        <v>-43.877858000000003</v>
      </c>
      <c r="R427" s="2" t="str">
        <f>HYPERLINK("https://www.google.com/maps?q=-19.6398650,-43.8778580","Abrir no Google Maps")</f>
        <v>Abrir no Google Maps</v>
      </c>
      <c r="S427">
        <v>3</v>
      </c>
      <c r="T427">
        <v>497.47318171010488</v>
      </c>
      <c r="U427">
        <v>1</v>
      </c>
      <c r="V427">
        <v>4</v>
      </c>
      <c r="W427">
        <v>0.85</v>
      </c>
      <c r="X427">
        <v>3.4</v>
      </c>
      <c r="Y427">
        <v>10</v>
      </c>
      <c r="Z427">
        <v>547.08184956634818</v>
      </c>
      <c r="AA427">
        <v>2</v>
      </c>
      <c r="AB427">
        <v>3</v>
      </c>
      <c r="AC427">
        <v>7</v>
      </c>
      <c r="AD427">
        <v>23.52</v>
      </c>
      <c r="AE427">
        <v>253</v>
      </c>
      <c r="AF427">
        <v>15</v>
      </c>
      <c r="AG427">
        <v>55</v>
      </c>
      <c r="AH427">
        <v>32</v>
      </c>
      <c r="AI427">
        <v>5.93</v>
      </c>
      <c r="AJ427">
        <v>21.74</v>
      </c>
      <c r="AK427">
        <v>12.65</v>
      </c>
      <c r="AL427">
        <v>-19.639907499999961</v>
      </c>
      <c r="AM427">
        <v>-43.877561677180587</v>
      </c>
      <c r="AN427">
        <v>-19.639907499999961</v>
      </c>
      <c r="AO427">
        <v>-43.877561677180587</v>
      </c>
      <c r="AP427">
        <v>-19.639865</v>
      </c>
      <c r="AQ427">
        <v>-43.877858000000003</v>
      </c>
      <c r="AR427">
        <v>31.4257813556037</v>
      </c>
      <c r="AS427" t="s">
        <v>65</v>
      </c>
      <c r="AT427">
        <v>1</v>
      </c>
      <c r="AU427" t="s">
        <v>578</v>
      </c>
      <c r="AV427" t="s">
        <v>579</v>
      </c>
      <c r="AW427" t="s">
        <v>60</v>
      </c>
      <c r="AX427" t="s">
        <v>68</v>
      </c>
      <c r="AY427" t="s">
        <v>69</v>
      </c>
      <c r="AZ427" t="b">
        <v>1</v>
      </c>
    </row>
    <row r="428" spans="1:52" x14ac:dyDescent="0.3">
      <c r="A428" t="s">
        <v>52</v>
      </c>
      <c r="B428" t="s">
        <v>53</v>
      </c>
      <c r="C428" t="s">
        <v>54</v>
      </c>
      <c r="D428" t="s">
        <v>55</v>
      </c>
      <c r="E428" t="s">
        <v>770</v>
      </c>
      <c r="F428" t="s">
        <v>512</v>
      </c>
      <c r="G428" t="s">
        <v>592</v>
      </c>
      <c r="H428" t="s">
        <v>593</v>
      </c>
      <c r="I428" t="s">
        <v>593</v>
      </c>
      <c r="J428" t="s">
        <v>60</v>
      </c>
      <c r="K428" t="s">
        <v>445</v>
      </c>
      <c r="L428" t="s">
        <v>62</v>
      </c>
      <c r="M428" t="s">
        <v>445</v>
      </c>
      <c r="N428" t="s">
        <v>594</v>
      </c>
      <c r="O428" t="s">
        <v>477</v>
      </c>
      <c r="P428">
        <v>-19.640709000000001</v>
      </c>
      <c r="Q428">
        <v>-43.868687999999999</v>
      </c>
      <c r="R428" s="2" t="str">
        <f>HYPERLINK("https://www.google.com/maps?q=-19.6407090,-43.8686880","Abrir no Google Maps")</f>
        <v>Abrir no Google Maps</v>
      </c>
      <c r="S428">
        <v>1</v>
      </c>
      <c r="T428">
        <v>1174.9679995958841</v>
      </c>
      <c r="U428">
        <v>4</v>
      </c>
      <c r="V428">
        <v>16</v>
      </c>
      <c r="W428">
        <v>1</v>
      </c>
      <c r="X428">
        <v>16</v>
      </c>
      <c r="Y428">
        <v>10</v>
      </c>
      <c r="Z428">
        <v>1230.8029594060461</v>
      </c>
      <c r="AA428">
        <v>2</v>
      </c>
      <c r="AB428">
        <v>3</v>
      </c>
      <c r="AC428">
        <v>7</v>
      </c>
      <c r="AD428">
        <v>23.52</v>
      </c>
      <c r="AE428">
        <v>253</v>
      </c>
      <c r="AF428">
        <v>15</v>
      </c>
      <c r="AG428">
        <v>55</v>
      </c>
      <c r="AH428">
        <v>32</v>
      </c>
      <c r="AI428">
        <v>5.93</v>
      </c>
      <c r="AJ428">
        <v>21.74</v>
      </c>
      <c r="AK428">
        <v>12.65</v>
      </c>
      <c r="AL428">
        <v>-19.641057949999979</v>
      </c>
      <c r="AM428">
        <v>-43.868800137485707</v>
      </c>
      <c r="AN428">
        <v>-19.641057949999979</v>
      </c>
      <c r="AO428">
        <v>-43.868800137485707</v>
      </c>
      <c r="AP428">
        <v>-19.640709000000001</v>
      </c>
      <c r="AQ428">
        <v>-43.868687999999999</v>
      </c>
      <c r="AR428">
        <v>40.585293798071682</v>
      </c>
      <c r="AS428" t="s">
        <v>65</v>
      </c>
      <c r="AT428">
        <v>1</v>
      </c>
      <c r="AU428" t="s">
        <v>595</v>
      </c>
      <c r="AV428" t="s">
        <v>596</v>
      </c>
      <c r="AW428" t="s">
        <v>60</v>
      </c>
      <c r="AX428" t="s">
        <v>68</v>
      </c>
      <c r="AY428" t="s">
        <v>69</v>
      </c>
      <c r="AZ428" t="b">
        <v>1</v>
      </c>
    </row>
    <row r="429" spans="1:52" x14ac:dyDescent="0.3">
      <c r="A429" t="s">
        <v>52</v>
      </c>
      <c r="B429" t="s">
        <v>53</v>
      </c>
      <c r="C429" t="s">
        <v>54</v>
      </c>
      <c r="D429" t="s">
        <v>55</v>
      </c>
      <c r="E429" t="s">
        <v>770</v>
      </c>
      <c r="F429" t="s">
        <v>512</v>
      </c>
      <c r="G429" t="s">
        <v>597</v>
      </c>
      <c r="H429" t="s">
        <v>598</v>
      </c>
      <c r="I429" t="s">
        <v>598</v>
      </c>
      <c r="J429" t="s">
        <v>60</v>
      </c>
      <c r="K429" t="s">
        <v>445</v>
      </c>
      <c r="L429" t="s">
        <v>62</v>
      </c>
      <c r="M429" t="s">
        <v>445</v>
      </c>
      <c r="N429" t="s">
        <v>599</v>
      </c>
      <c r="O429" t="s">
        <v>391</v>
      </c>
      <c r="P429">
        <v>-19.637060999999999</v>
      </c>
      <c r="Q429">
        <v>-43.871026000000001</v>
      </c>
      <c r="R429" s="2" t="str">
        <f>HYPERLINK("https://www.google.com/maps?q=-19.6370610,-43.8710260","Abrir no Google Maps")</f>
        <v>Abrir no Google Maps</v>
      </c>
      <c r="S429">
        <v>1</v>
      </c>
      <c r="T429">
        <v>737.61884389282102</v>
      </c>
      <c r="U429">
        <v>2</v>
      </c>
      <c r="V429">
        <v>8</v>
      </c>
      <c r="W429">
        <v>1</v>
      </c>
      <c r="X429">
        <v>8</v>
      </c>
      <c r="Y429">
        <v>10</v>
      </c>
      <c r="Z429">
        <v>1331.4501394006061</v>
      </c>
      <c r="AA429">
        <v>2</v>
      </c>
      <c r="AB429">
        <v>3</v>
      </c>
      <c r="AC429">
        <v>7</v>
      </c>
      <c r="AD429">
        <v>23.52</v>
      </c>
      <c r="AE429">
        <v>253</v>
      </c>
      <c r="AF429">
        <v>15</v>
      </c>
      <c r="AG429">
        <v>55</v>
      </c>
      <c r="AH429">
        <v>32</v>
      </c>
      <c r="AI429">
        <v>5.93</v>
      </c>
      <c r="AJ429">
        <v>21.74</v>
      </c>
      <c r="AK429">
        <v>12.65</v>
      </c>
      <c r="AL429">
        <v>-19.637111899999951</v>
      </c>
      <c r="AM429">
        <v>-43.870888931681193</v>
      </c>
      <c r="AN429">
        <v>-19.637111899999951</v>
      </c>
      <c r="AO429">
        <v>-43.870888931681193</v>
      </c>
      <c r="AP429">
        <v>-19.637060999999999</v>
      </c>
      <c r="AQ429">
        <v>-43.871026000000001</v>
      </c>
      <c r="AR429">
        <v>15.44770924391884</v>
      </c>
      <c r="AS429" t="s">
        <v>65</v>
      </c>
      <c r="AT429">
        <v>1</v>
      </c>
      <c r="AU429" t="s">
        <v>600</v>
      </c>
      <c r="AV429" t="s">
        <v>601</v>
      </c>
      <c r="AW429" t="s">
        <v>60</v>
      </c>
      <c r="AX429" t="s">
        <v>68</v>
      </c>
      <c r="AY429" t="s">
        <v>69</v>
      </c>
      <c r="AZ429" t="b">
        <v>1</v>
      </c>
    </row>
    <row r="430" spans="1:52" x14ac:dyDescent="0.3">
      <c r="A430" t="s">
        <v>52</v>
      </c>
      <c r="B430" t="s">
        <v>53</v>
      </c>
      <c r="C430" t="s">
        <v>54</v>
      </c>
      <c r="D430" t="s">
        <v>55</v>
      </c>
      <c r="E430" t="s">
        <v>770</v>
      </c>
      <c r="F430" t="s">
        <v>512</v>
      </c>
      <c r="G430" t="s">
        <v>602</v>
      </c>
      <c r="H430" t="s">
        <v>603</v>
      </c>
      <c r="I430" t="s">
        <v>603</v>
      </c>
      <c r="J430" t="s">
        <v>60</v>
      </c>
      <c r="K430" t="s">
        <v>185</v>
      </c>
      <c r="L430" t="s">
        <v>62</v>
      </c>
      <c r="M430" t="s">
        <v>185</v>
      </c>
      <c r="N430" t="s">
        <v>604</v>
      </c>
      <c r="O430" t="s">
        <v>341</v>
      </c>
      <c r="P430">
        <v>-19.624801999999999</v>
      </c>
      <c r="Q430">
        <v>-43.891128999999999</v>
      </c>
      <c r="R430" s="2" t="str">
        <f>HYPERLINK("https://www.google.com/maps?q=-19.6248020,-43.8911290","Abrir no Google Maps")</f>
        <v>Abrir no Google Maps</v>
      </c>
      <c r="S430">
        <v>1</v>
      </c>
      <c r="T430">
        <v>340.53720321500958</v>
      </c>
      <c r="U430">
        <v>1</v>
      </c>
      <c r="V430">
        <v>0</v>
      </c>
      <c r="W430">
        <v>0.85</v>
      </c>
      <c r="X430">
        <v>0</v>
      </c>
      <c r="Y430">
        <v>18</v>
      </c>
      <c r="Z430">
        <v>362.68114540183888</v>
      </c>
      <c r="AA430">
        <v>2</v>
      </c>
      <c r="AB430">
        <v>3</v>
      </c>
      <c r="AC430">
        <v>7</v>
      </c>
      <c r="AD430">
        <v>23.52</v>
      </c>
      <c r="AE430">
        <v>253</v>
      </c>
      <c r="AF430">
        <v>15</v>
      </c>
      <c r="AG430">
        <v>55</v>
      </c>
      <c r="AH430">
        <v>32</v>
      </c>
      <c r="AI430">
        <v>5.93</v>
      </c>
      <c r="AJ430">
        <v>21.74</v>
      </c>
      <c r="AK430">
        <v>12.65</v>
      </c>
      <c r="AL430">
        <v>-19.625033299999959</v>
      </c>
      <c r="AM430">
        <v>-43.891084256403538</v>
      </c>
      <c r="AN430">
        <v>-19.625033299999959</v>
      </c>
      <c r="AO430">
        <v>-43.891084256403538</v>
      </c>
      <c r="AP430">
        <v>-19.624801999999999</v>
      </c>
      <c r="AQ430">
        <v>-43.891128999999999</v>
      </c>
      <c r="AR430">
        <v>26.172240371022362</v>
      </c>
      <c r="AS430" t="s">
        <v>65</v>
      </c>
      <c r="AT430">
        <v>1</v>
      </c>
      <c r="AU430" t="s">
        <v>605</v>
      </c>
      <c r="AV430" t="s">
        <v>606</v>
      </c>
      <c r="AW430" t="s">
        <v>60</v>
      </c>
      <c r="AX430" t="s">
        <v>68</v>
      </c>
      <c r="AY430" t="s">
        <v>69</v>
      </c>
      <c r="AZ430" t="b">
        <v>1</v>
      </c>
    </row>
    <row r="431" spans="1:52" x14ac:dyDescent="0.3">
      <c r="A431" t="s">
        <v>52</v>
      </c>
      <c r="B431" t="s">
        <v>53</v>
      </c>
      <c r="C431" t="s">
        <v>54</v>
      </c>
      <c r="D431" t="s">
        <v>55</v>
      </c>
      <c r="E431" t="s">
        <v>770</v>
      </c>
      <c r="F431" t="s">
        <v>512</v>
      </c>
      <c r="G431" t="s">
        <v>123</v>
      </c>
      <c r="H431" t="s">
        <v>607</v>
      </c>
      <c r="I431" t="s">
        <v>607</v>
      </c>
      <c r="J431" t="s">
        <v>60</v>
      </c>
      <c r="K431" t="s">
        <v>333</v>
      </c>
      <c r="L431" t="s">
        <v>62</v>
      </c>
      <c r="M431" t="s">
        <v>333</v>
      </c>
      <c r="N431" t="s">
        <v>125</v>
      </c>
      <c r="O431" t="s">
        <v>608</v>
      </c>
      <c r="P431">
        <v>-19.636002999999999</v>
      </c>
      <c r="Q431">
        <v>-43.908445</v>
      </c>
      <c r="R431" s="2" t="str">
        <f>HYPERLINK("https://www.google.com/maps?q=-19.6360030,-43.9084450","Abrir no Google Maps")</f>
        <v>Abrir no Google Maps</v>
      </c>
      <c r="S431">
        <v>1</v>
      </c>
      <c r="T431">
        <v>612.64850802557942</v>
      </c>
      <c r="U431">
        <v>1</v>
      </c>
      <c r="V431">
        <v>4</v>
      </c>
      <c r="W431">
        <v>0.85</v>
      </c>
      <c r="X431">
        <v>3.4</v>
      </c>
      <c r="Y431">
        <v>10</v>
      </c>
      <c r="Z431">
        <v>606.91793961222209</v>
      </c>
      <c r="AA431">
        <v>2</v>
      </c>
      <c r="AB431">
        <v>3</v>
      </c>
      <c r="AC431">
        <v>7</v>
      </c>
      <c r="AD431">
        <v>23.52</v>
      </c>
      <c r="AE431">
        <v>253</v>
      </c>
      <c r="AF431">
        <v>15</v>
      </c>
      <c r="AG431">
        <v>55</v>
      </c>
      <c r="AH431">
        <v>32</v>
      </c>
      <c r="AI431">
        <v>5.93</v>
      </c>
      <c r="AJ431">
        <v>21.74</v>
      </c>
      <c r="AK431">
        <v>12.65</v>
      </c>
      <c r="AL431">
        <v>-19.63618049999997</v>
      </c>
      <c r="AM431">
        <v>-43.908471095478113</v>
      </c>
      <c r="AN431">
        <v>-19.63618049999997</v>
      </c>
      <c r="AO431">
        <v>-43.908471095478113</v>
      </c>
      <c r="AP431">
        <v>-19.636002999999999</v>
      </c>
      <c r="AQ431">
        <v>-43.908445</v>
      </c>
      <c r="AR431">
        <v>19.947824476218141</v>
      </c>
      <c r="AS431" t="s">
        <v>65</v>
      </c>
      <c r="AT431">
        <v>1</v>
      </c>
      <c r="AU431" t="s">
        <v>609</v>
      </c>
      <c r="AV431" t="s">
        <v>610</v>
      </c>
      <c r="AW431" t="s">
        <v>60</v>
      </c>
      <c r="AX431" t="s">
        <v>68</v>
      </c>
      <c r="AY431" t="s">
        <v>69</v>
      </c>
      <c r="AZ431" t="b">
        <v>1</v>
      </c>
    </row>
    <row r="432" spans="1:52" x14ac:dyDescent="0.3">
      <c r="A432" t="s">
        <v>52</v>
      </c>
      <c r="B432" t="s">
        <v>53</v>
      </c>
      <c r="C432" t="s">
        <v>54</v>
      </c>
      <c r="D432" t="s">
        <v>55</v>
      </c>
      <c r="E432" t="s">
        <v>770</v>
      </c>
      <c r="F432" t="s">
        <v>512</v>
      </c>
      <c r="G432" t="s">
        <v>611</v>
      </c>
      <c r="H432" t="s">
        <v>612</v>
      </c>
      <c r="I432" t="s">
        <v>612</v>
      </c>
      <c r="J432" t="s">
        <v>60</v>
      </c>
      <c r="K432" t="s">
        <v>445</v>
      </c>
      <c r="L432" t="s">
        <v>62</v>
      </c>
      <c r="M432" t="s">
        <v>445</v>
      </c>
      <c r="N432" t="s">
        <v>613</v>
      </c>
      <c r="O432" t="s">
        <v>94</v>
      </c>
      <c r="P432">
        <v>-19.639271999999998</v>
      </c>
      <c r="Q432">
        <v>-43.875624000000002</v>
      </c>
      <c r="R432" s="2" t="str">
        <f>HYPERLINK("https://www.google.com/maps?q=-19.6392720,-43.8756240","Abrir no Google Maps")</f>
        <v>Abrir no Google Maps</v>
      </c>
      <c r="S432">
        <v>1</v>
      </c>
      <c r="T432">
        <v>618.4798639458262</v>
      </c>
      <c r="U432">
        <v>1</v>
      </c>
      <c r="V432">
        <v>3</v>
      </c>
      <c r="W432">
        <v>0.85</v>
      </c>
      <c r="X432">
        <v>2.5499999999999998</v>
      </c>
      <c r="Y432">
        <v>10</v>
      </c>
      <c r="Z432">
        <v>724.62991660382431</v>
      </c>
      <c r="AA432">
        <v>2</v>
      </c>
      <c r="AB432">
        <v>3</v>
      </c>
      <c r="AC432">
        <v>7</v>
      </c>
      <c r="AD432">
        <v>23.52</v>
      </c>
      <c r="AE432">
        <v>253</v>
      </c>
      <c r="AF432">
        <v>15</v>
      </c>
      <c r="AG432">
        <v>55</v>
      </c>
      <c r="AH432">
        <v>32</v>
      </c>
      <c r="AI432">
        <v>5.93</v>
      </c>
      <c r="AJ432">
        <v>21.74</v>
      </c>
      <c r="AK432">
        <v>12.65</v>
      </c>
      <c r="AL432">
        <v>-19.639239899999978</v>
      </c>
      <c r="AM432">
        <v>-43.875497463228079</v>
      </c>
      <c r="AN432">
        <v>-19.639239899999978</v>
      </c>
      <c r="AO432">
        <v>-43.875497463228079</v>
      </c>
      <c r="AP432">
        <v>-19.639271999999998</v>
      </c>
      <c r="AQ432">
        <v>-43.875624000000002</v>
      </c>
      <c r="AR432">
        <v>13.73946951590594</v>
      </c>
      <c r="AS432" t="s">
        <v>65</v>
      </c>
      <c r="AT432">
        <v>1</v>
      </c>
      <c r="AU432" t="s">
        <v>614</v>
      </c>
      <c r="AV432" t="s">
        <v>615</v>
      </c>
      <c r="AW432" t="s">
        <v>60</v>
      </c>
      <c r="AX432" t="s">
        <v>68</v>
      </c>
      <c r="AY432" t="s">
        <v>69</v>
      </c>
      <c r="AZ432" t="b">
        <v>1</v>
      </c>
    </row>
    <row r="433" spans="1:52" x14ac:dyDescent="0.3">
      <c r="A433" t="s">
        <v>52</v>
      </c>
      <c r="B433" t="s">
        <v>53</v>
      </c>
      <c r="C433" t="s">
        <v>54</v>
      </c>
      <c r="D433" t="s">
        <v>55</v>
      </c>
      <c r="E433" t="s">
        <v>776</v>
      </c>
      <c r="F433" t="s">
        <v>57</v>
      </c>
      <c r="G433" t="s">
        <v>58</v>
      </c>
      <c r="H433" t="s">
        <v>59</v>
      </c>
      <c r="I433" t="s">
        <v>59</v>
      </c>
      <c r="J433" t="s">
        <v>60</v>
      </c>
      <c r="K433" t="s">
        <v>61</v>
      </c>
      <c r="L433" t="s">
        <v>62</v>
      </c>
      <c r="M433" t="s">
        <v>61</v>
      </c>
      <c r="N433" t="s">
        <v>63</v>
      </c>
      <c r="O433" t="s">
        <v>64</v>
      </c>
      <c r="P433">
        <v>-19.631502000000001</v>
      </c>
      <c r="Q433">
        <v>-43.910241999999997</v>
      </c>
      <c r="R433" s="2" t="str">
        <f>HYPERLINK("https://www.google.com/maps?q=-19.6315020,-43.9102420","Abrir no Google Maps")</f>
        <v>Abrir no Google Maps</v>
      </c>
      <c r="S433">
        <v>4</v>
      </c>
      <c r="T433">
        <v>789.20099406682743</v>
      </c>
      <c r="U433">
        <v>4</v>
      </c>
      <c r="V433">
        <v>33</v>
      </c>
      <c r="W433">
        <v>1</v>
      </c>
      <c r="X433">
        <v>33</v>
      </c>
      <c r="Y433">
        <v>10</v>
      </c>
      <c r="Z433">
        <v>691.44930074509864</v>
      </c>
      <c r="AA433">
        <v>2</v>
      </c>
      <c r="AB433">
        <v>3</v>
      </c>
      <c r="AC433">
        <v>7</v>
      </c>
      <c r="AD433">
        <v>25.45</v>
      </c>
      <c r="AE433">
        <v>253</v>
      </c>
      <c r="AF433">
        <v>15</v>
      </c>
      <c r="AG433">
        <v>62</v>
      </c>
      <c r="AH433">
        <v>32</v>
      </c>
      <c r="AI433">
        <v>5.93</v>
      </c>
      <c r="AJ433">
        <v>24.51</v>
      </c>
      <c r="AK433">
        <v>12.65</v>
      </c>
      <c r="AL433">
        <v>-19.631719749999949</v>
      </c>
      <c r="AM433">
        <v>-43.910102324517517</v>
      </c>
      <c r="AN433">
        <v>-19.631719749999949</v>
      </c>
      <c r="AO433">
        <v>-43.910102324517517</v>
      </c>
      <c r="AP433">
        <v>-19.631502000000001</v>
      </c>
      <c r="AQ433">
        <v>-43.910241999999997</v>
      </c>
      <c r="AR433">
        <v>28.320416429206599</v>
      </c>
      <c r="AS433" t="s">
        <v>65</v>
      </c>
      <c r="AT433">
        <v>1</v>
      </c>
      <c r="AU433" t="s">
        <v>66</v>
      </c>
      <c r="AV433" t="s">
        <v>67</v>
      </c>
      <c r="AW433" t="s">
        <v>60</v>
      </c>
      <c r="AX433" t="s">
        <v>68</v>
      </c>
      <c r="AY433" t="s">
        <v>69</v>
      </c>
      <c r="AZ433" t="b">
        <v>1</v>
      </c>
    </row>
    <row r="434" spans="1:52" x14ac:dyDescent="0.3">
      <c r="A434" t="s">
        <v>52</v>
      </c>
      <c r="B434" t="s">
        <v>53</v>
      </c>
      <c r="C434" t="s">
        <v>54</v>
      </c>
      <c r="D434" t="s">
        <v>55</v>
      </c>
      <c r="E434" t="s">
        <v>776</v>
      </c>
      <c r="F434" t="s">
        <v>57</v>
      </c>
      <c r="G434" t="s">
        <v>70</v>
      </c>
      <c r="H434" t="s">
        <v>71</v>
      </c>
      <c r="I434" t="s">
        <v>71</v>
      </c>
      <c r="J434" t="s">
        <v>60</v>
      </c>
      <c r="K434" t="s">
        <v>72</v>
      </c>
      <c r="L434" t="s">
        <v>62</v>
      </c>
      <c r="M434" t="s">
        <v>72</v>
      </c>
      <c r="N434" t="s">
        <v>73</v>
      </c>
      <c r="O434" t="s">
        <v>74</v>
      </c>
      <c r="P434">
        <v>-19.632581999999999</v>
      </c>
      <c r="Q434">
        <v>-43.902416000000002</v>
      </c>
      <c r="R434" s="2" t="str">
        <f>HYPERLINK("https://www.google.com/maps?q=-19.6325820,-43.9024160","Abrir no Google Maps")</f>
        <v>Abrir no Google Maps</v>
      </c>
      <c r="S434">
        <v>4</v>
      </c>
      <c r="T434">
        <v>0</v>
      </c>
      <c r="U434">
        <v>4</v>
      </c>
      <c r="V434">
        <v>18</v>
      </c>
      <c r="W434">
        <v>1</v>
      </c>
      <c r="X434">
        <v>18</v>
      </c>
      <c r="Y434">
        <v>10</v>
      </c>
      <c r="Z434">
        <v>146.6968158874696</v>
      </c>
      <c r="AA434">
        <v>2</v>
      </c>
      <c r="AB434">
        <v>3</v>
      </c>
      <c r="AC434">
        <v>7</v>
      </c>
      <c r="AD434">
        <v>25.45</v>
      </c>
      <c r="AE434">
        <v>253</v>
      </c>
      <c r="AF434">
        <v>15</v>
      </c>
      <c r="AG434">
        <v>62</v>
      </c>
      <c r="AH434">
        <v>32</v>
      </c>
      <c r="AI434">
        <v>5.93</v>
      </c>
      <c r="AJ434">
        <v>24.51</v>
      </c>
      <c r="AK434">
        <v>12.65</v>
      </c>
      <c r="AL434">
        <v>-19.63271449999996</v>
      </c>
      <c r="AM434">
        <v>-43.902649897389402</v>
      </c>
      <c r="AN434">
        <v>-19.63271449999996</v>
      </c>
      <c r="AO434">
        <v>-43.902649897389402</v>
      </c>
      <c r="AP434">
        <v>-19.632581999999999</v>
      </c>
      <c r="AQ434">
        <v>-43.902416000000002</v>
      </c>
      <c r="AR434">
        <v>28.617753432996459</v>
      </c>
      <c r="AS434" t="s">
        <v>65</v>
      </c>
      <c r="AT434">
        <v>1</v>
      </c>
      <c r="AU434" t="s">
        <v>75</v>
      </c>
      <c r="AV434" t="s">
        <v>76</v>
      </c>
      <c r="AW434" t="s">
        <v>60</v>
      </c>
      <c r="AX434" t="s">
        <v>68</v>
      </c>
      <c r="AY434" t="s">
        <v>69</v>
      </c>
      <c r="AZ434" t="b">
        <v>1</v>
      </c>
    </row>
    <row r="435" spans="1:52" x14ac:dyDescent="0.3">
      <c r="A435" t="s">
        <v>52</v>
      </c>
      <c r="B435" t="s">
        <v>53</v>
      </c>
      <c r="C435" t="s">
        <v>54</v>
      </c>
      <c r="D435" t="s">
        <v>55</v>
      </c>
      <c r="E435" t="s">
        <v>776</v>
      </c>
      <c r="F435" t="s">
        <v>57</v>
      </c>
      <c r="G435" t="s">
        <v>177</v>
      </c>
      <c r="H435" t="s">
        <v>178</v>
      </c>
      <c r="I435" t="s">
        <v>178</v>
      </c>
      <c r="J435" t="s">
        <v>60</v>
      </c>
      <c r="K435" t="s">
        <v>179</v>
      </c>
      <c r="L435" t="s">
        <v>62</v>
      </c>
      <c r="M435" t="s">
        <v>179</v>
      </c>
      <c r="N435" t="s">
        <v>180</v>
      </c>
      <c r="O435" t="s">
        <v>120</v>
      </c>
      <c r="P435">
        <v>-19.651526</v>
      </c>
      <c r="Q435">
        <v>-43.891382999999998</v>
      </c>
      <c r="R435" s="2" t="str">
        <f>HYPERLINK("https://www.google.com/maps?q=-19.6515260,-43.8913830","Abrir no Google Maps")</f>
        <v>Abrir no Google Maps</v>
      </c>
      <c r="S435">
        <v>4</v>
      </c>
      <c r="T435">
        <v>925.67779296789433</v>
      </c>
      <c r="U435">
        <v>4</v>
      </c>
      <c r="V435">
        <v>18</v>
      </c>
      <c r="W435">
        <v>1</v>
      </c>
      <c r="X435">
        <v>18</v>
      </c>
      <c r="Y435">
        <v>7</v>
      </c>
      <c r="Z435">
        <v>1193.102297436121</v>
      </c>
      <c r="AA435">
        <v>2</v>
      </c>
      <c r="AB435">
        <v>3</v>
      </c>
      <c r="AC435">
        <v>7</v>
      </c>
      <c r="AD435">
        <v>25.45</v>
      </c>
      <c r="AE435">
        <v>253</v>
      </c>
      <c r="AF435">
        <v>15</v>
      </c>
      <c r="AG435">
        <v>62</v>
      </c>
      <c r="AH435">
        <v>32</v>
      </c>
      <c r="AI435">
        <v>5.93</v>
      </c>
      <c r="AJ435">
        <v>24.51</v>
      </c>
      <c r="AK435">
        <v>12.65</v>
      </c>
      <c r="AL435">
        <v>-19.651590199999958</v>
      </c>
      <c r="AM435">
        <v>-43.891399191449963</v>
      </c>
      <c r="AN435">
        <v>-19.651590199999958</v>
      </c>
      <c r="AO435">
        <v>-43.891399191449963</v>
      </c>
      <c r="AP435">
        <v>-19.651526</v>
      </c>
      <c r="AQ435">
        <v>-43.891382999999998</v>
      </c>
      <c r="AR435">
        <v>7.3455622550785931</v>
      </c>
      <c r="AS435" t="s">
        <v>65</v>
      </c>
      <c r="AT435">
        <v>1</v>
      </c>
      <c r="AU435" t="s">
        <v>181</v>
      </c>
      <c r="AV435" t="s">
        <v>182</v>
      </c>
      <c r="AW435" t="s">
        <v>60</v>
      </c>
      <c r="AX435" t="s">
        <v>68</v>
      </c>
      <c r="AY435" t="s">
        <v>69</v>
      </c>
      <c r="AZ435" t="b">
        <v>1</v>
      </c>
    </row>
    <row r="436" spans="1:52" x14ac:dyDescent="0.3">
      <c r="A436" t="s">
        <v>52</v>
      </c>
      <c r="B436" t="s">
        <v>53</v>
      </c>
      <c r="C436" t="s">
        <v>54</v>
      </c>
      <c r="D436" t="s">
        <v>55</v>
      </c>
      <c r="E436" t="s">
        <v>776</v>
      </c>
      <c r="F436" t="s">
        <v>57</v>
      </c>
      <c r="G436" t="s">
        <v>104</v>
      </c>
      <c r="H436" t="s">
        <v>105</v>
      </c>
      <c r="I436" t="s">
        <v>105</v>
      </c>
      <c r="J436" t="s">
        <v>60</v>
      </c>
      <c r="K436" t="s">
        <v>99</v>
      </c>
      <c r="L436" t="s">
        <v>62</v>
      </c>
      <c r="M436" t="s">
        <v>99</v>
      </c>
      <c r="N436" t="s">
        <v>106</v>
      </c>
      <c r="O436" t="s">
        <v>107</v>
      </c>
      <c r="P436">
        <v>-19.627993</v>
      </c>
      <c r="Q436">
        <v>-43.904820000000001</v>
      </c>
      <c r="R436" s="2" t="str">
        <f>HYPERLINK("https://www.google.com/maps?q=-19.6279930,-43.9048200","Abrir no Google Maps")</f>
        <v>Abrir no Google Maps</v>
      </c>
      <c r="S436">
        <v>4</v>
      </c>
      <c r="T436">
        <v>573.16526621674666</v>
      </c>
      <c r="U436">
        <v>4</v>
      </c>
      <c r="V436">
        <v>26</v>
      </c>
      <c r="W436">
        <v>1</v>
      </c>
      <c r="X436">
        <v>26</v>
      </c>
      <c r="Y436">
        <v>7</v>
      </c>
      <c r="Z436">
        <v>659.04372306144853</v>
      </c>
      <c r="AA436">
        <v>2</v>
      </c>
      <c r="AB436">
        <v>3</v>
      </c>
      <c r="AC436">
        <v>7</v>
      </c>
      <c r="AD436">
        <v>25.45</v>
      </c>
      <c r="AE436">
        <v>253</v>
      </c>
      <c r="AF436">
        <v>15</v>
      </c>
      <c r="AG436">
        <v>62</v>
      </c>
      <c r="AH436">
        <v>32</v>
      </c>
      <c r="AI436">
        <v>5.93</v>
      </c>
      <c r="AJ436">
        <v>24.51</v>
      </c>
      <c r="AK436">
        <v>12.65</v>
      </c>
      <c r="AL436">
        <v>-19.627956249999951</v>
      </c>
      <c r="AM436">
        <v>-43.904807634206207</v>
      </c>
      <c r="AN436">
        <v>-19.627956249999951</v>
      </c>
      <c r="AO436">
        <v>-43.904807634206207</v>
      </c>
      <c r="AP436">
        <v>-19.627993</v>
      </c>
      <c r="AQ436">
        <v>-43.904820000000001</v>
      </c>
      <c r="AR436">
        <v>4.291557430205998</v>
      </c>
      <c r="AS436" t="s">
        <v>65</v>
      </c>
      <c r="AT436">
        <v>1</v>
      </c>
      <c r="AU436" t="s">
        <v>108</v>
      </c>
      <c r="AV436" t="s">
        <v>103</v>
      </c>
      <c r="AW436" t="s">
        <v>60</v>
      </c>
      <c r="AX436" t="s">
        <v>68</v>
      </c>
      <c r="AY436" t="s">
        <v>69</v>
      </c>
      <c r="AZ436" t="b">
        <v>1</v>
      </c>
    </row>
    <row r="437" spans="1:52" x14ac:dyDescent="0.3">
      <c r="A437" t="s">
        <v>52</v>
      </c>
      <c r="B437" t="s">
        <v>53</v>
      </c>
      <c r="C437" t="s">
        <v>54</v>
      </c>
      <c r="D437" t="s">
        <v>55</v>
      </c>
      <c r="E437" t="s">
        <v>776</v>
      </c>
      <c r="F437" t="s">
        <v>57</v>
      </c>
      <c r="G437" t="s">
        <v>197</v>
      </c>
      <c r="H437" t="s">
        <v>198</v>
      </c>
      <c r="I437" t="s">
        <v>198</v>
      </c>
      <c r="J437" t="s">
        <v>60</v>
      </c>
      <c r="K437" t="s">
        <v>199</v>
      </c>
      <c r="L437" t="s">
        <v>62</v>
      </c>
      <c r="M437" t="s">
        <v>199</v>
      </c>
      <c r="N437" t="s">
        <v>200</v>
      </c>
      <c r="O437" t="s">
        <v>201</v>
      </c>
      <c r="P437">
        <v>-19.639250000000001</v>
      </c>
      <c r="Q437">
        <v>-43.916449999999998</v>
      </c>
      <c r="R437" s="2" t="str">
        <f>HYPERLINK("https://www.google.com/maps?q=-19.6392500,-43.9164500","Abrir no Google Maps")</f>
        <v>Abrir no Google Maps</v>
      </c>
      <c r="S437">
        <v>4</v>
      </c>
      <c r="T437">
        <v>249.46350881074861</v>
      </c>
      <c r="U437">
        <v>4</v>
      </c>
      <c r="V437">
        <v>16</v>
      </c>
      <c r="W437">
        <v>1</v>
      </c>
      <c r="X437">
        <v>16</v>
      </c>
      <c r="Y437">
        <v>3</v>
      </c>
      <c r="Z437">
        <v>267.54148787490578</v>
      </c>
      <c r="AA437">
        <v>2</v>
      </c>
      <c r="AB437">
        <v>3</v>
      </c>
      <c r="AC437">
        <v>7</v>
      </c>
      <c r="AD437">
        <v>25.45</v>
      </c>
      <c r="AE437">
        <v>253</v>
      </c>
      <c r="AF437">
        <v>15</v>
      </c>
      <c r="AG437">
        <v>62</v>
      </c>
      <c r="AH437">
        <v>32</v>
      </c>
      <c r="AI437">
        <v>5.93</v>
      </c>
      <c r="AJ437">
        <v>24.51</v>
      </c>
      <c r="AK437">
        <v>12.65</v>
      </c>
      <c r="AL437">
        <v>-19.639331149999951</v>
      </c>
      <c r="AM437">
        <v>-43.916434187886892</v>
      </c>
      <c r="AN437">
        <v>-19.639331149999951</v>
      </c>
      <c r="AO437">
        <v>-43.916434187886892</v>
      </c>
      <c r="AP437">
        <v>-19.639250000000001</v>
      </c>
      <c r="AQ437">
        <v>-43.916449999999998</v>
      </c>
      <c r="AR437">
        <v>9.1844750188843953</v>
      </c>
      <c r="AS437" t="s">
        <v>65</v>
      </c>
      <c r="AT437">
        <v>1</v>
      </c>
      <c r="AU437" t="s">
        <v>202</v>
      </c>
      <c r="AV437" t="s">
        <v>203</v>
      </c>
      <c r="AW437" t="s">
        <v>60</v>
      </c>
      <c r="AX437" t="s">
        <v>68</v>
      </c>
      <c r="AY437" t="s">
        <v>69</v>
      </c>
      <c r="AZ437" t="b">
        <v>1</v>
      </c>
    </row>
    <row r="438" spans="1:52" x14ac:dyDescent="0.3">
      <c r="A438" t="s">
        <v>52</v>
      </c>
      <c r="B438" t="s">
        <v>53</v>
      </c>
      <c r="C438" t="s">
        <v>54</v>
      </c>
      <c r="D438" t="s">
        <v>55</v>
      </c>
      <c r="E438" t="s">
        <v>776</v>
      </c>
      <c r="F438" t="s">
        <v>57</v>
      </c>
      <c r="G438" t="s">
        <v>204</v>
      </c>
      <c r="H438" t="s">
        <v>205</v>
      </c>
      <c r="I438" t="s">
        <v>205</v>
      </c>
      <c r="J438" t="s">
        <v>60</v>
      </c>
      <c r="K438" t="s">
        <v>171</v>
      </c>
      <c r="L438" t="s">
        <v>62</v>
      </c>
      <c r="M438" t="s">
        <v>171</v>
      </c>
      <c r="N438" t="s">
        <v>206</v>
      </c>
      <c r="O438" t="s">
        <v>207</v>
      </c>
      <c r="P438">
        <v>-19.674109000000001</v>
      </c>
      <c r="Q438">
        <v>-43.890711000000003</v>
      </c>
      <c r="R438" s="2" t="str">
        <f>HYPERLINK("https://www.google.com/maps?q=-19.6741090,-43.8907110","Abrir no Google Maps")</f>
        <v>Abrir no Google Maps</v>
      </c>
      <c r="S438">
        <v>4</v>
      </c>
      <c r="T438">
        <v>396.53059443764772</v>
      </c>
      <c r="U438">
        <v>4</v>
      </c>
      <c r="V438">
        <v>43</v>
      </c>
      <c r="W438">
        <v>1</v>
      </c>
      <c r="X438">
        <v>43</v>
      </c>
      <c r="Y438">
        <v>3</v>
      </c>
      <c r="Z438">
        <v>499.22520255557538</v>
      </c>
      <c r="AA438">
        <v>2</v>
      </c>
      <c r="AB438">
        <v>3</v>
      </c>
      <c r="AC438">
        <v>7</v>
      </c>
      <c r="AD438">
        <v>25.45</v>
      </c>
      <c r="AE438">
        <v>253</v>
      </c>
      <c r="AF438">
        <v>15</v>
      </c>
      <c r="AG438">
        <v>62</v>
      </c>
      <c r="AH438">
        <v>32</v>
      </c>
      <c r="AI438">
        <v>5.93</v>
      </c>
      <c r="AJ438">
        <v>24.51</v>
      </c>
      <c r="AK438">
        <v>12.65</v>
      </c>
      <c r="AL438">
        <v>-19.67362479999997</v>
      </c>
      <c r="AM438">
        <v>-43.89068378253377</v>
      </c>
      <c r="AN438">
        <v>-19.67362479999997</v>
      </c>
      <c r="AO438">
        <v>-43.89068378253377</v>
      </c>
      <c r="AP438">
        <v>-19.674109000000001</v>
      </c>
      <c r="AQ438">
        <v>-43.890711000000003</v>
      </c>
      <c r="AR438">
        <v>53.976595260276227</v>
      </c>
      <c r="AS438" t="s">
        <v>65</v>
      </c>
      <c r="AT438">
        <v>1</v>
      </c>
      <c r="AU438" t="s">
        <v>208</v>
      </c>
      <c r="AV438" t="s">
        <v>209</v>
      </c>
      <c r="AW438" t="s">
        <v>60</v>
      </c>
      <c r="AX438" t="s">
        <v>68</v>
      </c>
      <c r="AY438" t="s">
        <v>69</v>
      </c>
      <c r="AZ438" t="b">
        <v>1</v>
      </c>
    </row>
    <row r="439" spans="1:52" x14ac:dyDescent="0.3">
      <c r="A439" t="s">
        <v>52</v>
      </c>
      <c r="B439" t="s">
        <v>53</v>
      </c>
      <c r="C439" t="s">
        <v>54</v>
      </c>
      <c r="D439" t="s">
        <v>55</v>
      </c>
      <c r="E439" t="s">
        <v>776</v>
      </c>
      <c r="F439" t="s">
        <v>57</v>
      </c>
      <c r="G439" t="s">
        <v>123</v>
      </c>
      <c r="H439" t="s">
        <v>124</v>
      </c>
      <c r="I439" t="s">
        <v>124</v>
      </c>
      <c r="J439" t="s">
        <v>60</v>
      </c>
      <c r="K439" t="s">
        <v>72</v>
      </c>
      <c r="L439" t="s">
        <v>62</v>
      </c>
      <c r="M439" t="s">
        <v>72</v>
      </c>
      <c r="N439" t="s">
        <v>125</v>
      </c>
      <c r="O439" t="s">
        <v>126</v>
      </c>
      <c r="P439">
        <v>-19.634015000000002</v>
      </c>
      <c r="Q439">
        <v>-43.918776000000001</v>
      </c>
      <c r="R439" s="2" t="str">
        <f>HYPERLINK("https://www.google.com/maps?q=-19.6340150,-43.9187760","Abrir no Google Maps")</f>
        <v>Abrir no Google Maps</v>
      </c>
      <c r="S439">
        <v>4</v>
      </c>
      <c r="T439">
        <v>525.62818365919122</v>
      </c>
      <c r="U439">
        <v>4</v>
      </c>
      <c r="V439">
        <v>21</v>
      </c>
      <c r="W439">
        <v>1</v>
      </c>
      <c r="X439">
        <v>21</v>
      </c>
      <c r="Y439">
        <v>3</v>
      </c>
      <c r="Z439">
        <v>474.91441433808131</v>
      </c>
      <c r="AA439">
        <v>2</v>
      </c>
      <c r="AB439">
        <v>3</v>
      </c>
      <c r="AC439">
        <v>7</v>
      </c>
      <c r="AD439">
        <v>25.45</v>
      </c>
      <c r="AE439">
        <v>253</v>
      </c>
      <c r="AF439">
        <v>15</v>
      </c>
      <c r="AG439">
        <v>62</v>
      </c>
      <c r="AH439">
        <v>32</v>
      </c>
      <c r="AI439">
        <v>5.93</v>
      </c>
      <c r="AJ439">
        <v>24.51</v>
      </c>
      <c r="AK439">
        <v>12.65</v>
      </c>
      <c r="AL439">
        <v>-19.63405809999994</v>
      </c>
      <c r="AM439">
        <v>-43.919666391328043</v>
      </c>
      <c r="AN439">
        <v>-19.63405809999994</v>
      </c>
      <c r="AO439">
        <v>-43.919666391328029</v>
      </c>
      <c r="AP439">
        <v>-19.634015000000002</v>
      </c>
      <c r="AQ439">
        <v>-43.918776000000001</v>
      </c>
      <c r="AR439">
        <v>93.478621134470259</v>
      </c>
      <c r="AS439" t="s">
        <v>65</v>
      </c>
      <c r="AT439">
        <v>1</v>
      </c>
      <c r="AU439" t="s">
        <v>127</v>
      </c>
      <c r="AV439" t="s">
        <v>128</v>
      </c>
      <c r="AW439" t="s">
        <v>60</v>
      </c>
      <c r="AX439" t="s">
        <v>68</v>
      </c>
      <c r="AY439" t="s">
        <v>69</v>
      </c>
      <c r="AZ439" t="b">
        <v>1</v>
      </c>
    </row>
    <row r="440" spans="1:52" x14ac:dyDescent="0.3">
      <c r="A440" t="s">
        <v>52</v>
      </c>
      <c r="B440" t="s">
        <v>53</v>
      </c>
      <c r="C440" t="s">
        <v>54</v>
      </c>
      <c r="D440" t="s">
        <v>55</v>
      </c>
      <c r="E440" t="s">
        <v>776</v>
      </c>
      <c r="F440" t="s">
        <v>57</v>
      </c>
      <c r="G440" t="s">
        <v>129</v>
      </c>
      <c r="H440" t="s">
        <v>130</v>
      </c>
      <c r="I440" t="s">
        <v>130</v>
      </c>
      <c r="J440" t="s">
        <v>60</v>
      </c>
      <c r="K440" t="s">
        <v>131</v>
      </c>
      <c r="L440" t="s">
        <v>62</v>
      </c>
      <c r="M440" t="s">
        <v>131</v>
      </c>
      <c r="N440" t="s">
        <v>132</v>
      </c>
      <c r="O440" t="s">
        <v>133</v>
      </c>
      <c r="P440">
        <v>-19.632088</v>
      </c>
      <c r="Q440">
        <v>-43.916114999999998</v>
      </c>
      <c r="R440" s="2" t="str">
        <f>HYPERLINK("https://www.google.com/maps?q=-19.6320880,-43.9161150","Abrir no Google Maps")</f>
        <v>Abrir no Google Maps</v>
      </c>
      <c r="S440">
        <v>4</v>
      </c>
      <c r="T440">
        <v>566.5346232632869</v>
      </c>
      <c r="U440">
        <v>4</v>
      </c>
      <c r="V440">
        <v>26</v>
      </c>
      <c r="W440">
        <v>1</v>
      </c>
      <c r="X440">
        <v>26</v>
      </c>
      <c r="Y440">
        <v>3</v>
      </c>
      <c r="Z440">
        <v>488.06597434012792</v>
      </c>
      <c r="AA440">
        <v>2</v>
      </c>
      <c r="AB440">
        <v>3</v>
      </c>
      <c r="AC440">
        <v>7</v>
      </c>
      <c r="AD440">
        <v>25.45</v>
      </c>
      <c r="AE440">
        <v>253</v>
      </c>
      <c r="AF440">
        <v>15</v>
      </c>
      <c r="AG440">
        <v>62</v>
      </c>
      <c r="AH440">
        <v>32</v>
      </c>
      <c r="AI440">
        <v>5.93</v>
      </c>
      <c r="AJ440">
        <v>24.51</v>
      </c>
      <c r="AK440">
        <v>12.65</v>
      </c>
      <c r="AL440">
        <v>-19.632034449999939</v>
      </c>
      <c r="AM440">
        <v>-43.916174776913351</v>
      </c>
      <c r="AN440">
        <v>-19.632034449999939</v>
      </c>
      <c r="AO440">
        <v>-43.916174776913351</v>
      </c>
      <c r="AP440">
        <v>-19.632088</v>
      </c>
      <c r="AQ440">
        <v>-43.916114999999998</v>
      </c>
      <c r="AR440">
        <v>8.6497324882263911</v>
      </c>
      <c r="AS440" t="s">
        <v>65</v>
      </c>
      <c r="AT440">
        <v>1</v>
      </c>
      <c r="AU440" t="s">
        <v>134</v>
      </c>
      <c r="AV440" t="s">
        <v>135</v>
      </c>
      <c r="AW440" t="s">
        <v>60</v>
      </c>
      <c r="AX440" t="s">
        <v>68</v>
      </c>
      <c r="AY440" t="s">
        <v>69</v>
      </c>
      <c r="AZ440" t="b">
        <v>1</v>
      </c>
    </row>
    <row r="441" spans="1:52" x14ac:dyDescent="0.3">
      <c r="A441" t="s">
        <v>52</v>
      </c>
      <c r="B441" t="s">
        <v>53</v>
      </c>
      <c r="C441" t="s">
        <v>54</v>
      </c>
      <c r="D441" t="s">
        <v>55</v>
      </c>
      <c r="E441" t="s">
        <v>776</v>
      </c>
      <c r="F441" t="s">
        <v>57</v>
      </c>
      <c r="G441" t="s">
        <v>129</v>
      </c>
      <c r="H441" t="s">
        <v>136</v>
      </c>
      <c r="I441" t="s">
        <v>136</v>
      </c>
      <c r="J441" t="s">
        <v>60</v>
      </c>
      <c r="K441" t="s">
        <v>131</v>
      </c>
      <c r="L441" t="s">
        <v>62</v>
      </c>
      <c r="M441" t="s">
        <v>131</v>
      </c>
      <c r="N441" t="s">
        <v>132</v>
      </c>
      <c r="O441" t="s">
        <v>133</v>
      </c>
      <c r="P441">
        <v>-19.632290999999999</v>
      </c>
      <c r="Q441">
        <v>-43.916542999999997</v>
      </c>
      <c r="R441" s="2" t="str">
        <f>HYPERLINK("https://www.google.com/maps?q=-19.6322910,-43.9165430","Abrir no Google Maps")</f>
        <v>Abrir no Google Maps</v>
      </c>
      <c r="S441">
        <v>4</v>
      </c>
      <c r="T441">
        <v>556.95255545673058</v>
      </c>
      <c r="U441">
        <v>4</v>
      </c>
      <c r="V441">
        <v>29</v>
      </c>
      <c r="W441">
        <v>1</v>
      </c>
      <c r="X441">
        <v>29</v>
      </c>
      <c r="Y441">
        <v>3</v>
      </c>
      <c r="Z441">
        <v>479.66756878400719</v>
      </c>
      <c r="AA441">
        <v>2</v>
      </c>
      <c r="AB441">
        <v>3</v>
      </c>
      <c r="AC441">
        <v>7</v>
      </c>
      <c r="AD441">
        <v>25.45</v>
      </c>
      <c r="AE441">
        <v>253</v>
      </c>
      <c r="AF441">
        <v>15</v>
      </c>
      <c r="AG441">
        <v>62</v>
      </c>
      <c r="AH441">
        <v>32</v>
      </c>
      <c r="AI441">
        <v>5.93</v>
      </c>
      <c r="AJ441">
        <v>24.51</v>
      </c>
      <c r="AK441">
        <v>12.65</v>
      </c>
      <c r="AL441">
        <v>-19.63215424999996</v>
      </c>
      <c r="AM441">
        <v>-43.916542189528307</v>
      </c>
      <c r="AN441">
        <v>-19.63215424999996</v>
      </c>
      <c r="AO441">
        <v>-43.916542189528307</v>
      </c>
      <c r="AP441">
        <v>-19.632290999999999</v>
      </c>
      <c r="AQ441">
        <v>-43.916542999999997</v>
      </c>
      <c r="AR441">
        <v>15.22324717984722</v>
      </c>
      <c r="AS441" t="s">
        <v>65</v>
      </c>
      <c r="AT441">
        <v>1</v>
      </c>
      <c r="AU441" t="s">
        <v>137</v>
      </c>
      <c r="AV441" t="s">
        <v>138</v>
      </c>
      <c r="AW441" t="s">
        <v>60</v>
      </c>
      <c r="AX441" t="s">
        <v>68</v>
      </c>
      <c r="AY441" t="s">
        <v>69</v>
      </c>
      <c r="AZ441" t="b">
        <v>1</v>
      </c>
    </row>
    <row r="442" spans="1:52" x14ac:dyDescent="0.3">
      <c r="A442" t="s">
        <v>52</v>
      </c>
      <c r="B442" t="s">
        <v>53</v>
      </c>
      <c r="C442" t="s">
        <v>54</v>
      </c>
      <c r="D442" t="s">
        <v>55</v>
      </c>
      <c r="E442" t="s">
        <v>776</v>
      </c>
      <c r="F442" t="s">
        <v>57</v>
      </c>
      <c r="G442" t="s">
        <v>217</v>
      </c>
      <c r="H442" t="s">
        <v>218</v>
      </c>
      <c r="I442" t="s">
        <v>218</v>
      </c>
      <c r="J442" t="s">
        <v>60</v>
      </c>
      <c r="K442" t="s">
        <v>219</v>
      </c>
      <c r="L442" t="s">
        <v>62</v>
      </c>
      <c r="M442" t="s">
        <v>219</v>
      </c>
      <c r="N442" t="s">
        <v>220</v>
      </c>
      <c r="O442" t="s">
        <v>221</v>
      </c>
      <c r="P442">
        <v>-19.668924000000001</v>
      </c>
      <c r="Q442">
        <v>-43.888824</v>
      </c>
      <c r="R442" s="2" t="str">
        <f>HYPERLINK("https://www.google.com/maps?q=-19.6689240,-43.8888240","Abrir no Google Maps")</f>
        <v>Abrir no Google Maps</v>
      </c>
      <c r="S442">
        <v>4</v>
      </c>
      <c r="T442">
        <v>911.82770913869297</v>
      </c>
      <c r="U442">
        <v>4</v>
      </c>
      <c r="V442">
        <v>16</v>
      </c>
      <c r="W442">
        <v>1</v>
      </c>
      <c r="X442">
        <v>16</v>
      </c>
      <c r="Y442">
        <v>3</v>
      </c>
      <c r="Z442">
        <v>306.43809582423751</v>
      </c>
      <c r="AA442">
        <v>2</v>
      </c>
      <c r="AB442">
        <v>3</v>
      </c>
      <c r="AC442">
        <v>7</v>
      </c>
      <c r="AD442">
        <v>25.45</v>
      </c>
      <c r="AE442">
        <v>253</v>
      </c>
      <c r="AF442">
        <v>15</v>
      </c>
      <c r="AG442">
        <v>62</v>
      </c>
      <c r="AH442">
        <v>32</v>
      </c>
      <c r="AI442">
        <v>5.93</v>
      </c>
      <c r="AJ442">
        <v>24.51</v>
      </c>
      <c r="AK442">
        <v>12.65</v>
      </c>
      <c r="AL442">
        <v>-19.669015399999981</v>
      </c>
      <c r="AM442">
        <v>-43.88883436988452</v>
      </c>
      <c r="AN442">
        <v>-19.669015399999971</v>
      </c>
      <c r="AO442">
        <v>-43.88883436988452</v>
      </c>
      <c r="AP442">
        <v>-19.668924000000001</v>
      </c>
      <c r="AQ442">
        <v>-43.888824</v>
      </c>
      <c r="AR442">
        <v>10.23254983885769</v>
      </c>
      <c r="AS442" t="s">
        <v>65</v>
      </c>
      <c r="AT442">
        <v>1</v>
      </c>
      <c r="AU442" t="s">
        <v>222</v>
      </c>
      <c r="AV442" t="s">
        <v>223</v>
      </c>
      <c r="AW442" t="s">
        <v>60</v>
      </c>
      <c r="AX442" t="s">
        <v>68</v>
      </c>
      <c r="AY442" t="s">
        <v>69</v>
      </c>
      <c r="AZ442" t="b">
        <v>1</v>
      </c>
    </row>
    <row r="443" spans="1:52" x14ac:dyDescent="0.3">
      <c r="A443" t="s">
        <v>52</v>
      </c>
      <c r="B443" t="s">
        <v>53</v>
      </c>
      <c r="C443" t="s">
        <v>54</v>
      </c>
      <c r="D443" t="s">
        <v>55</v>
      </c>
      <c r="E443" t="s">
        <v>776</v>
      </c>
      <c r="F443" t="s">
        <v>57</v>
      </c>
      <c r="G443" t="s">
        <v>246</v>
      </c>
      <c r="H443" t="s">
        <v>247</v>
      </c>
      <c r="I443" t="s">
        <v>247</v>
      </c>
      <c r="J443" t="s">
        <v>60</v>
      </c>
      <c r="K443" t="s">
        <v>164</v>
      </c>
      <c r="L443" t="s">
        <v>62</v>
      </c>
      <c r="M443" t="s">
        <v>164</v>
      </c>
      <c r="N443" t="s">
        <v>248</v>
      </c>
      <c r="O443" t="s">
        <v>249</v>
      </c>
      <c r="P443">
        <v>-19.6448</v>
      </c>
      <c r="Q443">
        <v>-43.901600999999999</v>
      </c>
      <c r="R443" s="2" t="str">
        <f>HYPERLINK("https://www.google.com/maps?q=-19.6448000,-43.9016010","Abrir no Google Maps")</f>
        <v>Abrir no Google Maps</v>
      </c>
      <c r="S443">
        <v>4</v>
      </c>
      <c r="T443">
        <v>317.869447308274</v>
      </c>
      <c r="U443">
        <v>4</v>
      </c>
      <c r="V443">
        <v>17</v>
      </c>
      <c r="W443">
        <v>1</v>
      </c>
      <c r="X443">
        <v>17</v>
      </c>
      <c r="Y443">
        <v>1</v>
      </c>
      <c r="Z443">
        <v>349.42631749673592</v>
      </c>
      <c r="AA443">
        <v>2</v>
      </c>
      <c r="AB443">
        <v>3</v>
      </c>
      <c r="AC443">
        <v>7</v>
      </c>
      <c r="AD443">
        <v>25.45</v>
      </c>
      <c r="AE443">
        <v>253</v>
      </c>
      <c r="AF443">
        <v>15</v>
      </c>
      <c r="AG443">
        <v>62</v>
      </c>
      <c r="AH443">
        <v>32</v>
      </c>
      <c r="AI443">
        <v>5.93</v>
      </c>
      <c r="AJ443">
        <v>24.51</v>
      </c>
      <c r="AK443">
        <v>12.65</v>
      </c>
      <c r="AL443">
        <v>-19.644877249999951</v>
      </c>
      <c r="AM443">
        <v>-43.901796079893373</v>
      </c>
      <c r="AN443">
        <v>-19.644877249999951</v>
      </c>
      <c r="AO443">
        <v>-43.901796079893373</v>
      </c>
      <c r="AP443">
        <v>-19.6448</v>
      </c>
      <c r="AQ443">
        <v>-43.901600999999999</v>
      </c>
      <c r="AR443">
        <v>22.186635956426102</v>
      </c>
      <c r="AS443" t="s">
        <v>65</v>
      </c>
      <c r="AT443">
        <v>1</v>
      </c>
      <c r="AU443" t="s">
        <v>250</v>
      </c>
      <c r="AV443" t="s">
        <v>251</v>
      </c>
      <c r="AW443" t="s">
        <v>60</v>
      </c>
      <c r="AX443" t="s">
        <v>68</v>
      </c>
      <c r="AY443" t="s">
        <v>69</v>
      </c>
      <c r="AZ443" t="b">
        <v>1</v>
      </c>
    </row>
    <row r="444" spans="1:52" x14ac:dyDescent="0.3">
      <c r="A444" t="s">
        <v>52</v>
      </c>
      <c r="B444" t="s">
        <v>53</v>
      </c>
      <c r="C444" t="s">
        <v>54</v>
      </c>
      <c r="D444" t="s">
        <v>55</v>
      </c>
      <c r="E444" t="s">
        <v>776</v>
      </c>
      <c r="F444" t="s">
        <v>57</v>
      </c>
      <c r="G444" t="s">
        <v>217</v>
      </c>
      <c r="H444" t="s">
        <v>264</v>
      </c>
      <c r="I444" t="s">
        <v>264</v>
      </c>
      <c r="J444" t="s">
        <v>60</v>
      </c>
      <c r="K444" t="s">
        <v>219</v>
      </c>
      <c r="L444" t="s">
        <v>62</v>
      </c>
      <c r="M444" t="s">
        <v>219</v>
      </c>
      <c r="N444" t="s">
        <v>220</v>
      </c>
      <c r="O444" t="s">
        <v>265</v>
      </c>
      <c r="P444">
        <v>-19.668958</v>
      </c>
      <c r="Q444">
        <v>-43.890619999999998</v>
      </c>
      <c r="R444" s="2" t="str">
        <f>HYPERLINK("https://www.google.com/maps?q=-19.6689580,-43.8906200","Abrir no Google Maps")</f>
        <v>Abrir no Google Maps</v>
      </c>
      <c r="S444">
        <v>4</v>
      </c>
      <c r="T444">
        <v>893.53138484322108</v>
      </c>
      <c r="U444">
        <v>4</v>
      </c>
      <c r="V444">
        <v>19</v>
      </c>
      <c r="W444">
        <v>1</v>
      </c>
      <c r="X444">
        <v>19</v>
      </c>
      <c r="Y444">
        <v>1</v>
      </c>
      <c r="Z444">
        <v>336.68220024294959</v>
      </c>
      <c r="AA444">
        <v>2</v>
      </c>
      <c r="AB444">
        <v>3</v>
      </c>
      <c r="AC444">
        <v>7</v>
      </c>
      <c r="AD444">
        <v>25.45</v>
      </c>
      <c r="AE444">
        <v>253</v>
      </c>
      <c r="AF444">
        <v>15</v>
      </c>
      <c r="AG444">
        <v>62</v>
      </c>
      <c r="AH444">
        <v>32</v>
      </c>
      <c r="AI444">
        <v>5.93</v>
      </c>
      <c r="AJ444">
        <v>24.51</v>
      </c>
      <c r="AK444">
        <v>12.65</v>
      </c>
      <c r="AL444">
        <v>-19.669114549999961</v>
      </c>
      <c r="AM444">
        <v>-43.890740893526242</v>
      </c>
      <c r="AN444">
        <v>-19.669114549999961</v>
      </c>
      <c r="AO444">
        <v>-43.890740893526242</v>
      </c>
      <c r="AP444">
        <v>-19.668958</v>
      </c>
      <c r="AQ444">
        <v>-43.890619999999998</v>
      </c>
      <c r="AR444">
        <v>21.54764375256557</v>
      </c>
      <c r="AS444" t="s">
        <v>65</v>
      </c>
      <c r="AT444">
        <v>1</v>
      </c>
      <c r="AU444" t="s">
        <v>266</v>
      </c>
      <c r="AV444" t="s">
        <v>267</v>
      </c>
      <c r="AW444" t="s">
        <v>60</v>
      </c>
      <c r="AX444" t="s">
        <v>68</v>
      </c>
      <c r="AY444" t="s">
        <v>69</v>
      </c>
      <c r="AZ444" t="b">
        <v>1</v>
      </c>
    </row>
    <row r="445" spans="1:52" x14ac:dyDescent="0.3">
      <c r="A445" t="s">
        <v>52</v>
      </c>
      <c r="B445" t="s">
        <v>53</v>
      </c>
      <c r="C445" t="s">
        <v>54</v>
      </c>
      <c r="D445" t="s">
        <v>55</v>
      </c>
      <c r="E445" t="s">
        <v>776</v>
      </c>
      <c r="F445" t="s">
        <v>57</v>
      </c>
      <c r="G445" t="s">
        <v>268</v>
      </c>
      <c r="H445" t="s">
        <v>269</v>
      </c>
      <c r="I445" t="s">
        <v>269</v>
      </c>
      <c r="J445" t="s">
        <v>60</v>
      </c>
      <c r="K445" t="s">
        <v>164</v>
      </c>
      <c r="L445" t="s">
        <v>62</v>
      </c>
      <c r="M445" t="s">
        <v>164</v>
      </c>
      <c r="N445" t="s">
        <v>270</v>
      </c>
      <c r="O445" t="s">
        <v>113</v>
      </c>
      <c r="P445">
        <v>-19.648771</v>
      </c>
      <c r="Q445">
        <v>-43.903640000000003</v>
      </c>
      <c r="R445" s="2" t="str">
        <f>HYPERLINK("https://www.google.com/maps?q=-19.6487710,-43.9036400","Abrir no Google Maps")</f>
        <v>Abrir no Google Maps</v>
      </c>
      <c r="S445">
        <v>4</v>
      </c>
      <c r="T445">
        <v>206.63717887005251</v>
      </c>
      <c r="U445">
        <v>4</v>
      </c>
      <c r="V445">
        <v>21</v>
      </c>
      <c r="W445">
        <v>1</v>
      </c>
      <c r="X445">
        <v>21</v>
      </c>
      <c r="Y445">
        <v>1</v>
      </c>
      <c r="Z445">
        <v>200.80459056276209</v>
      </c>
      <c r="AA445">
        <v>2</v>
      </c>
      <c r="AB445">
        <v>3</v>
      </c>
      <c r="AC445">
        <v>7</v>
      </c>
      <c r="AD445">
        <v>25.45</v>
      </c>
      <c r="AE445">
        <v>253</v>
      </c>
      <c r="AF445">
        <v>15</v>
      </c>
      <c r="AG445">
        <v>62</v>
      </c>
      <c r="AH445">
        <v>32</v>
      </c>
      <c r="AI445">
        <v>5.93</v>
      </c>
      <c r="AJ445">
        <v>24.51</v>
      </c>
      <c r="AK445">
        <v>12.65</v>
      </c>
      <c r="AL445">
        <v>-19.648938299999969</v>
      </c>
      <c r="AM445">
        <v>-43.903687287450857</v>
      </c>
      <c r="AN445">
        <v>-19.648938299999969</v>
      </c>
      <c r="AO445">
        <v>-43.903687287450857</v>
      </c>
      <c r="AP445">
        <v>-19.648771</v>
      </c>
      <c r="AQ445">
        <v>-43.903640000000003</v>
      </c>
      <c r="AR445">
        <v>19.272369946853829</v>
      </c>
      <c r="AS445" t="s">
        <v>65</v>
      </c>
      <c r="AT445">
        <v>1</v>
      </c>
      <c r="AU445" t="s">
        <v>271</v>
      </c>
      <c r="AV445" t="s">
        <v>272</v>
      </c>
      <c r="AW445" t="s">
        <v>60</v>
      </c>
      <c r="AX445" t="s">
        <v>68</v>
      </c>
      <c r="AY445" t="s">
        <v>69</v>
      </c>
      <c r="AZ445" t="b">
        <v>1</v>
      </c>
    </row>
    <row r="446" spans="1:52" x14ac:dyDescent="0.3">
      <c r="A446" t="s">
        <v>52</v>
      </c>
      <c r="B446" t="s">
        <v>53</v>
      </c>
      <c r="C446" t="s">
        <v>54</v>
      </c>
      <c r="D446" t="s">
        <v>55</v>
      </c>
      <c r="E446" t="s">
        <v>776</v>
      </c>
      <c r="F446" t="s">
        <v>57</v>
      </c>
      <c r="G446" t="s">
        <v>273</v>
      </c>
      <c r="H446" t="s">
        <v>274</v>
      </c>
      <c r="I446" t="s">
        <v>274</v>
      </c>
      <c r="J446" t="s">
        <v>60</v>
      </c>
      <c r="K446" t="s">
        <v>171</v>
      </c>
      <c r="L446" t="s">
        <v>62</v>
      </c>
      <c r="M446" t="s">
        <v>171</v>
      </c>
      <c r="N446" t="s">
        <v>275</v>
      </c>
      <c r="O446" t="s">
        <v>276</v>
      </c>
      <c r="P446">
        <v>-19.679956000000001</v>
      </c>
      <c r="Q446">
        <v>-43.888520999999997</v>
      </c>
      <c r="R446" s="2" t="str">
        <f>HYPERLINK("https://www.google.com/maps?q=-19.6799560,-43.8885210","Abrir no Google Maps")</f>
        <v>Abrir no Google Maps</v>
      </c>
      <c r="S446">
        <v>4</v>
      </c>
      <c r="T446">
        <v>346.2974251077423</v>
      </c>
      <c r="U446">
        <v>4</v>
      </c>
      <c r="V446">
        <v>21</v>
      </c>
      <c r="W446">
        <v>1</v>
      </c>
      <c r="X446">
        <v>21</v>
      </c>
      <c r="Y446">
        <v>0</v>
      </c>
      <c r="Z446">
        <v>223.68420981797229</v>
      </c>
      <c r="AA446">
        <v>2</v>
      </c>
      <c r="AB446">
        <v>3</v>
      </c>
      <c r="AC446">
        <v>7</v>
      </c>
      <c r="AD446">
        <v>25.45</v>
      </c>
      <c r="AE446">
        <v>253</v>
      </c>
      <c r="AF446">
        <v>15</v>
      </c>
      <c r="AG446">
        <v>62</v>
      </c>
      <c r="AH446">
        <v>32</v>
      </c>
      <c r="AI446">
        <v>5.93</v>
      </c>
      <c r="AJ446">
        <v>24.51</v>
      </c>
      <c r="AK446">
        <v>12.65</v>
      </c>
      <c r="AL446">
        <v>-19.67989189999998</v>
      </c>
      <c r="AM446">
        <v>-43.888485157753777</v>
      </c>
      <c r="AN446">
        <v>-19.67989189999998</v>
      </c>
      <c r="AO446">
        <v>-43.888485157753777</v>
      </c>
      <c r="AP446">
        <v>-19.679956000000001</v>
      </c>
      <c r="AQ446">
        <v>-43.888520999999997</v>
      </c>
      <c r="AR446">
        <v>8.0641961934087583</v>
      </c>
      <c r="AS446" t="s">
        <v>65</v>
      </c>
      <c r="AT446">
        <v>1</v>
      </c>
      <c r="AU446" t="s">
        <v>277</v>
      </c>
      <c r="AV446" t="s">
        <v>278</v>
      </c>
      <c r="AW446" t="s">
        <v>60</v>
      </c>
      <c r="AX446" t="s">
        <v>68</v>
      </c>
      <c r="AY446" t="s">
        <v>69</v>
      </c>
      <c r="AZ446" t="b">
        <v>1</v>
      </c>
    </row>
    <row r="447" spans="1:52" x14ac:dyDescent="0.3">
      <c r="A447" t="s">
        <v>52</v>
      </c>
      <c r="B447" t="s">
        <v>53</v>
      </c>
      <c r="C447" t="s">
        <v>54</v>
      </c>
      <c r="D447" t="s">
        <v>55</v>
      </c>
      <c r="E447" t="s">
        <v>776</v>
      </c>
      <c r="F447" t="s">
        <v>57</v>
      </c>
      <c r="G447" t="s">
        <v>169</v>
      </c>
      <c r="H447" t="s">
        <v>170</v>
      </c>
      <c r="I447" t="s">
        <v>170</v>
      </c>
      <c r="J447" t="s">
        <v>60</v>
      </c>
      <c r="K447" t="s">
        <v>171</v>
      </c>
      <c r="L447" t="s">
        <v>62</v>
      </c>
      <c r="M447" t="s">
        <v>171</v>
      </c>
      <c r="N447" t="s">
        <v>172</v>
      </c>
      <c r="O447" t="s">
        <v>173</v>
      </c>
      <c r="P447">
        <v>-19.676233</v>
      </c>
      <c r="Q447">
        <v>-43.88861</v>
      </c>
      <c r="R447" s="2" t="str">
        <f>HYPERLINK("https://www.google.com/maps?q=-19.6762330,-43.8886100","Abrir no Google Maps")</f>
        <v>Abrir no Google Maps</v>
      </c>
      <c r="S447">
        <v>4</v>
      </c>
      <c r="T447">
        <v>209.5772620412292</v>
      </c>
      <c r="U447">
        <v>4</v>
      </c>
      <c r="V447">
        <v>16</v>
      </c>
      <c r="W447">
        <v>1</v>
      </c>
      <c r="X447">
        <v>16</v>
      </c>
      <c r="Y447">
        <v>0</v>
      </c>
      <c r="Z447">
        <v>194.26571923644971</v>
      </c>
      <c r="AA447">
        <v>2</v>
      </c>
      <c r="AB447">
        <v>3</v>
      </c>
      <c r="AC447">
        <v>7</v>
      </c>
      <c r="AD447">
        <v>25.45</v>
      </c>
      <c r="AE447">
        <v>253</v>
      </c>
      <c r="AF447">
        <v>15</v>
      </c>
      <c r="AG447">
        <v>62</v>
      </c>
      <c r="AH447">
        <v>32</v>
      </c>
      <c r="AI447">
        <v>5.93</v>
      </c>
      <c r="AJ447">
        <v>24.51</v>
      </c>
      <c r="AK447">
        <v>12.65</v>
      </c>
      <c r="AL447">
        <v>-19.676097449999961</v>
      </c>
      <c r="AM447">
        <v>-43.888455613153738</v>
      </c>
      <c r="AN447">
        <v>-19.676097449999961</v>
      </c>
      <c r="AO447">
        <v>-43.888455613153738</v>
      </c>
      <c r="AP447">
        <v>-19.676233</v>
      </c>
      <c r="AQ447">
        <v>-43.88861</v>
      </c>
      <c r="AR447">
        <v>22.126352434234079</v>
      </c>
      <c r="AS447" t="s">
        <v>65</v>
      </c>
      <c r="AT447">
        <v>1</v>
      </c>
      <c r="AU447" t="s">
        <v>174</v>
      </c>
      <c r="AV447" t="s">
        <v>175</v>
      </c>
      <c r="AW447" t="s">
        <v>60</v>
      </c>
      <c r="AX447" t="s">
        <v>68</v>
      </c>
      <c r="AY447" t="s">
        <v>69</v>
      </c>
      <c r="AZ447" t="b">
        <v>1</v>
      </c>
    </row>
    <row r="448" spans="1:52" x14ac:dyDescent="0.3">
      <c r="A448" t="s">
        <v>52</v>
      </c>
      <c r="B448" t="s">
        <v>53</v>
      </c>
      <c r="C448" t="s">
        <v>54</v>
      </c>
      <c r="D448" t="s">
        <v>55</v>
      </c>
      <c r="E448" t="s">
        <v>776</v>
      </c>
      <c r="F448" t="s">
        <v>176</v>
      </c>
      <c r="G448" t="s">
        <v>77</v>
      </c>
      <c r="H448" t="s">
        <v>78</v>
      </c>
      <c r="I448" t="s">
        <v>78</v>
      </c>
      <c r="J448" t="s">
        <v>60</v>
      </c>
      <c r="K448" t="s">
        <v>79</v>
      </c>
      <c r="L448" t="s">
        <v>62</v>
      </c>
      <c r="M448" t="s">
        <v>79</v>
      </c>
      <c r="N448" t="s">
        <v>80</v>
      </c>
      <c r="O448" t="s">
        <v>81</v>
      </c>
      <c r="P448">
        <v>-19.632463999999999</v>
      </c>
      <c r="Q448">
        <v>-43.904927999999998</v>
      </c>
      <c r="R448" s="2" t="str">
        <f>HYPERLINK("https://www.google.com/maps?q=-19.6324640,-43.9049280","Abrir no Google Maps")</f>
        <v>Abrir no Google Maps</v>
      </c>
      <c r="S448">
        <v>4</v>
      </c>
      <c r="T448">
        <v>244.1735197453369</v>
      </c>
      <c r="U448">
        <v>3</v>
      </c>
      <c r="V448">
        <v>15</v>
      </c>
      <c r="W448">
        <v>1</v>
      </c>
      <c r="X448">
        <v>15</v>
      </c>
      <c r="Y448">
        <v>10</v>
      </c>
      <c r="Z448">
        <v>287.26068152447448</v>
      </c>
      <c r="AA448">
        <v>2</v>
      </c>
      <c r="AB448">
        <v>3</v>
      </c>
      <c r="AC448">
        <v>7</v>
      </c>
      <c r="AD448">
        <v>25.45</v>
      </c>
      <c r="AE448">
        <v>253</v>
      </c>
      <c r="AF448">
        <v>15</v>
      </c>
      <c r="AG448">
        <v>62</v>
      </c>
      <c r="AH448">
        <v>32</v>
      </c>
      <c r="AI448">
        <v>5.93</v>
      </c>
      <c r="AJ448">
        <v>24.51</v>
      </c>
      <c r="AK448">
        <v>12.65</v>
      </c>
      <c r="AL448">
        <v>-19.63247099999996</v>
      </c>
      <c r="AM448">
        <v>-43.904964174285787</v>
      </c>
      <c r="AN448">
        <v>-19.63247099999996</v>
      </c>
      <c r="AO448">
        <v>-43.904964174285787</v>
      </c>
      <c r="AP448">
        <v>-19.632463999999999</v>
      </c>
      <c r="AQ448">
        <v>-43.904927999999998</v>
      </c>
      <c r="AR448">
        <v>3.8720457500200469</v>
      </c>
      <c r="AS448" t="s">
        <v>65</v>
      </c>
      <c r="AT448">
        <v>1</v>
      </c>
      <c r="AU448" t="s">
        <v>82</v>
      </c>
      <c r="AV448" t="s">
        <v>83</v>
      </c>
      <c r="AW448" t="s">
        <v>60</v>
      </c>
      <c r="AX448" t="s">
        <v>68</v>
      </c>
      <c r="AY448" t="s">
        <v>69</v>
      </c>
      <c r="AZ448" t="b">
        <v>1</v>
      </c>
    </row>
    <row r="449" spans="1:52" x14ac:dyDescent="0.3">
      <c r="A449" t="s">
        <v>52</v>
      </c>
      <c r="B449" t="s">
        <v>53</v>
      </c>
      <c r="C449" t="s">
        <v>54</v>
      </c>
      <c r="D449" t="s">
        <v>55</v>
      </c>
      <c r="E449" t="s">
        <v>776</v>
      </c>
      <c r="F449" t="s">
        <v>176</v>
      </c>
      <c r="G449" t="s">
        <v>84</v>
      </c>
      <c r="H449" t="s">
        <v>85</v>
      </c>
      <c r="I449" t="s">
        <v>85</v>
      </c>
      <c r="J449" t="s">
        <v>60</v>
      </c>
      <c r="K449" t="s">
        <v>86</v>
      </c>
      <c r="L449" t="s">
        <v>62</v>
      </c>
      <c r="M449" t="s">
        <v>86</v>
      </c>
      <c r="N449" t="s">
        <v>87</v>
      </c>
      <c r="O449" t="s">
        <v>88</v>
      </c>
      <c r="P449">
        <v>-19.629436999999999</v>
      </c>
      <c r="Q449">
        <v>-43.910398999999998</v>
      </c>
      <c r="R449" s="2" t="str">
        <f>HYPERLINK("https://www.google.com/maps?q=-19.6294370,-43.9103990","Abrir no Google Maps")</f>
        <v>Abrir no Google Maps</v>
      </c>
      <c r="S449">
        <v>4</v>
      </c>
      <c r="T449">
        <v>888.82060643108082</v>
      </c>
      <c r="U449">
        <v>3</v>
      </c>
      <c r="V449">
        <v>14</v>
      </c>
      <c r="W449">
        <v>1</v>
      </c>
      <c r="X449">
        <v>14</v>
      </c>
      <c r="Y449">
        <v>10</v>
      </c>
      <c r="Z449">
        <v>867.42797341651737</v>
      </c>
      <c r="AA449">
        <v>2</v>
      </c>
      <c r="AB449">
        <v>3</v>
      </c>
      <c r="AC449">
        <v>7</v>
      </c>
      <c r="AD449">
        <v>25.45</v>
      </c>
      <c r="AE449">
        <v>253</v>
      </c>
      <c r="AF449">
        <v>15</v>
      </c>
      <c r="AG449">
        <v>62</v>
      </c>
      <c r="AH449">
        <v>32</v>
      </c>
      <c r="AI449">
        <v>5.93</v>
      </c>
      <c r="AJ449">
        <v>24.51</v>
      </c>
      <c r="AK449">
        <v>12.65</v>
      </c>
      <c r="AL449">
        <v>-19.62934694999996</v>
      </c>
      <c r="AM449">
        <v>-43.910344699357317</v>
      </c>
      <c r="AN449">
        <v>-19.62934694999996</v>
      </c>
      <c r="AO449">
        <v>-43.910344699357331</v>
      </c>
      <c r="AP449">
        <v>-19.629436999999999</v>
      </c>
      <c r="AQ449">
        <v>-43.910398999999998</v>
      </c>
      <c r="AR449">
        <v>11.52837377953678</v>
      </c>
      <c r="AS449" t="s">
        <v>65</v>
      </c>
      <c r="AT449">
        <v>1</v>
      </c>
      <c r="AU449" t="s">
        <v>89</v>
      </c>
      <c r="AV449" t="s">
        <v>90</v>
      </c>
      <c r="AW449" t="s">
        <v>60</v>
      </c>
      <c r="AX449" t="s">
        <v>68</v>
      </c>
      <c r="AY449" t="s">
        <v>69</v>
      </c>
      <c r="AZ449" t="b">
        <v>1</v>
      </c>
    </row>
    <row r="450" spans="1:52" x14ac:dyDescent="0.3">
      <c r="A450" t="s">
        <v>52</v>
      </c>
      <c r="B450" t="s">
        <v>53</v>
      </c>
      <c r="C450" t="s">
        <v>54</v>
      </c>
      <c r="D450" t="s">
        <v>55</v>
      </c>
      <c r="E450" t="s">
        <v>776</v>
      </c>
      <c r="F450" t="s">
        <v>176</v>
      </c>
      <c r="G450" t="s">
        <v>97</v>
      </c>
      <c r="H450" t="s">
        <v>98</v>
      </c>
      <c r="I450" t="s">
        <v>98</v>
      </c>
      <c r="J450" t="s">
        <v>60</v>
      </c>
      <c r="K450" t="s">
        <v>99</v>
      </c>
      <c r="L450" t="s">
        <v>62</v>
      </c>
      <c r="M450" t="s">
        <v>99</v>
      </c>
      <c r="N450" t="s">
        <v>100</v>
      </c>
      <c r="O450" t="s">
        <v>101</v>
      </c>
      <c r="P450">
        <v>-19.629822000000001</v>
      </c>
      <c r="Q450">
        <v>-43.905341</v>
      </c>
      <c r="R450" s="2" t="str">
        <f>HYPERLINK("https://www.google.com/maps?q=-19.6298220,-43.9053410","Abrir no Google Maps")</f>
        <v>Abrir no Google Maps</v>
      </c>
      <c r="S450">
        <v>4</v>
      </c>
      <c r="T450">
        <v>441.30597341744129</v>
      </c>
      <c r="U450">
        <v>3</v>
      </c>
      <c r="V450">
        <v>14</v>
      </c>
      <c r="W450">
        <v>1</v>
      </c>
      <c r="X450">
        <v>14</v>
      </c>
      <c r="Y450">
        <v>10</v>
      </c>
      <c r="Z450">
        <v>513.56493751010987</v>
      </c>
      <c r="AA450">
        <v>2</v>
      </c>
      <c r="AB450">
        <v>3</v>
      </c>
      <c r="AC450">
        <v>7</v>
      </c>
      <c r="AD450">
        <v>25.45</v>
      </c>
      <c r="AE450">
        <v>253</v>
      </c>
      <c r="AF450">
        <v>15</v>
      </c>
      <c r="AG450">
        <v>62</v>
      </c>
      <c r="AH450">
        <v>32</v>
      </c>
      <c r="AI450">
        <v>5.93</v>
      </c>
      <c r="AJ450">
        <v>24.51</v>
      </c>
      <c r="AK450">
        <v>12.65</v>
      </c>
      <c r="AL450">
        <v>-19.629671599999941</v>
      </c>
      <c r="AM450">
        <v>-43.905369597920988</v>
      </c>
      <c r="AN450">
        <v>-19.629671599999931</v>
      </c>
      <c r="AO450">
        <v>-43.905369597920988</v>
      </c>
      <c r="AP450">
        <v>-19.629822000000001</v>
      </c>
      <c r="AQ450">
        <v>-43.905341</v>
      </c>
      <c r="AR450">
        <v>17.008917699186132</v>
      </c>
      <c r="AS450" t="s">
        <v>65</v>
      </c>
      <c r="AT450">
        <v>1</v>
      </c>
      <c r="AU450" t="s">
        <v>102</v>
      </c>
      <c r="AV450" t="s">
        <v>103</v>
      </c>
      <c r="AW450" t="s">
        <v>60</v>
      </c>
      <c r="AX450" t="s">
        <v>68</v>
      </c>
      <c r="AY450" t="s">
        <v>69</v>
      </c>
      <c r="AZ450" t="b">
        <v>1</v>
      </c>
    </row>
    <row r="451" spans="1:52" x14ac:dyDescent="0.3">
      <c r="A451" t="s">
        <v>52</v>
      </c>
      <c r="B451" t="s">
        <v>53</v>
      </c>
      <c r="C451" t="s">
        <v>54</v>
      </c>
      <c r="D451" t="s">
        <v>55</v>
      </c>
      <c r="E451" t="s">
        <v>776</v>
      </c>
      <c r="F451" t="s">
        <v>176</v>
      </c>
      <c r="G451" t="s">
        <v>617</v>
      </c>
      <c r="H451" t="s">
        <v>618</v>
      </c>
      <c r="I451" t="s">
        <v>618</v>
      </c>
      <c r="J451" t="s">
        <v>60</v>
      </c>
      <c r="K451" t="s">
        <v>164</v>
      </c>
      <c r="L451" t="s">
        <v>62</v>
      </c>
      <c r="M451" t="s">
        <v>164</v>
      </c>
      <c r="N451" t="s">
        <v>619</v>
      </c>
      <c r="O451" t="s">
        <v>533</v>
      </c>
      <c r="P451">
        <v>-19.647825000000001</v>
      </c>
      <c r="Q451">
        <v>-43.908369</v>
      </c>
      <c r="R451" s="2" t="str">
        <f>HYPERLINK("https://www.google.com/maps?q=-19.6478250,-43.9083690","Abrir no Google Maps")</f>
        <v>Abrir no Google Maps</v>
      </c>
      <c r="S451">
        <v>4</v>
      </c>
      <c r="T451">
        <v>492.67524679338959</v>
      </c>
      <c r="U451">
        <v>3</v>
      </c>
      <c r="V451">
        <v>11</v>
      </c>
      <c r="W451">
        <v>1</v>
      </c>
      <c r="X451">
        <v>11</v>
      </c>
      <c r="Y451">
        <v>4</v>
      </c>
      <c r="Z451">
        <v>410.3082448803296</v>
      </c>
      <c r="AA451">
        <v>2</v>
      </c>
      <c r="AB451">
        <v>3</v>
      </c>
      <c r="AC451">
        <v>7</v>
      </c>
      <c r="AD451">
        <v>25.45</v>
      </c>
      <c r="AE451">
        <v>253</v>
      </c>
      <c r="AF451">
        <v>15</v>
      </c>
      <c r="AG451">
        <v>62</v>
      </c>
      <c r="AH451">
        <v>32</v>
      </c>
      <c r="AI451">
        <v>5.93</v>
      </c>
      <c r="AJ451">
        <v>24.51</v>
      </c>
      <c r="AK451">
        <v>12.65</v>
      </c>
      <c r="AL451">
        <v>-19.647879399999969</v>
      </c>
      <c r="AM451">
        <v>-43.908372097349897</v>
      </c>
      <c r="AN451">
        <v>-19.647879399999969</v>
      </c>
      <c r="AO451">
        <v>-43.908372097349897</v>
      </c>
      <c r="AP451">
        <v>-19.647825000000001</v>
      </c>
      <c r="AQ451">
        <v>-43.908369</v>
      </c>
      <c r="AR451">
        <v>6.06450779015137</v>
      </c>
      <c r="AS451" t="s">
        <v>65</v>
      </c>
      <c r="AT451">
        <v>1</v>
      </c>
      <c r="AU451" t="s">
        <v>620</v>
      </c>
      <c r="AV451" t="s">
        <v>621</v>
      </c>
      <c r="AW451" t="s">
        <v>60</v>
      </c>
      <c r="AX451" t="s">
        <v>68</v>
      </c>
      <c r="AY451" t="s">
        <v>69</v>
      </c>
      <c r="AZ451" t="b">
        <v>1</v>
      </c>
    </row>
    <row r="452" spans="1:52" x14ac:dyDescent="0.3">
      <c r="A452" t="s">
        <v>52</v>
      </c>
      <c r="B452" t="s">
        <v>53</v>
      </c>
      <c r="C452" t="s">
        <v>54</v>
      </c>
      <c r="D452" t="s">
        <v>55</v>
      </c>
      <c r="E452" t="s">
        <v>776</v>
      </c>
      <c r="F452" t="s">
        <v>176</v>
      </c>
      <c r="G452" t="s">
        <v>109</v>
      </c>
      <c r="H452" t="s">
        <v>110</v>
      </c>
      <c r="I452" t="s">
        <v>110</v>
      </c>
      <c r="J452" t="s">
        <v>60</v>
      </c>
      <c r="K452" t="s">
        <v>111</v>
      </c>
      <c r="L452" t="s">
        <v>62</v>
      </c>
      <c r="M452" t="s">
        <v>111</v>
      </c>
      <c r="N452" t="s">
        <v>112</v>
      </c>
      <c r="O452" t="s">
        <v>113</v>
      </c>
      <c r="P452">
        <v>-19.654686000000002</v>
      </c>
      <c r="Q452">
        <v>-43.907240000000002</v>
      </c>
      <c r="R452" s="2" t="str">
        <f>HYPERLINK("https://www.google.com/maps?q=-19.6546860,-43.9072400","Abrir no Google Maps")</f>
        <v>Abrir no Google Maps</v>
      </c>
      <c r="S452">
        <v>4</v>
      </c>
      <c r="T452">
        <v>824.24450564548704</v>
      </c>
      <c r="U452">
        <v>3</v>
      </c>
      <c r="V452">
        <v>11</v>
      </c>
      <c r="W452">
        <v>1</v>
      </c>
      <c r="X452">
        <v>11</v>
      </c>
      <c r="Y452">
        <v>4</v>
      </c>
      <c r="Z452">
        <v>524.70106879290392</v>
      </c>
      <c r="AA452">
        <v>2</v>
      </c>
      <c r="AB452">
        <v>3</v>
      </c>
      <c r="AC452">
        <v>7</v>
      </c>
      <c r="AD452">
        <v>25.45</v>
      </c>
      <c r="AE452">
        <v>253</v>
      </c>
      <c r="AF452">
        <v>15</v>
      </c>
      <c r="AG452">
        <v>62</v>
      </c>
      <c r="AH452">
        <v>32</v>
      </c>
      <c r="AI452">
        <v>5.93</v>
      </c>
      <c r="AJ452">
        <v>24.51</v>
      </c>
      <c r="AK452">
        <v>12.65</v>
      </c>
      <c r="AL452">
        <v>-19.65511684999996</v>
      </c>
      <c r="AM452">
        <v>-43.905662999837993</v>
      </c>
      <c r="AN452">
        <v>-19.65511684999996</v>
      </c>
      <c r="AO452">
        <v>-43.905662999837993</v>
      </c>
      <c r="AP452">
        <v>-19.654686000000002</v>
      </c>
      <c r="AQ452">
        <v>-43.907240000000002</v>
      </c>
      <c r="AR452">
        <v>172.13969981835351</v>
      </c>
      <c r="AS452" t="s">
        <v>65</v>
      </c>
      <c r="AT452">
        <v>1</v>
      </c>
      <c r="AU452" t="s">
        <v>114</v>
      </c>
      <c r="AV452" t="s">
        <v>115</v>
      </c>
      <c r="AW452" t="s">
        <v>60</v>
      </c>
      <c r="AX452" t="s">
        <v>68</v>
      </c>
      <c r="AY452" t="s">
        <v>69</v>
      </c>
      <c r="AZ452" t="b">
        <v>1</v>
      </c>
    </row>
    <row r="453" spans="1:52" x14ac:dyDescent="0.3">
      <c r="A453" t="s">
        <v>52</v>
      </c>
      <c r="B453" t="s">
        <v>53</v>
      </c>
      <c r="C453" t="s">
        <v>54</v>
      </c>
      <c r="D453" t="s">
        <v>55</v>
      </c>
      <c r="E453" t="s">
        <v>776</v>
      </c>
      <c r="F453" t="s">
        <v>176</v>
      </c>
      <c r="G453" t="s">
        <v>190</v>
      </c>
      <c r="H453" t="s">
        <v>191</v>
      </c>
      <c r="I453" t="s">
        <v>191</v>
      </c>
      <c r="J453" t="s">
        <v>60</v>
      </c>
      <c r="K453" t="s">
        <v>192</v>
      </c>
      <c r="L453" t="s">
        <v>62</v>
      </c>
      <c r="M453" t="s">
        <v>192</v>
      </c>
      <c r="N453" t="s">
        <v>193</v>
      </c>
      <c r="O453" t="s">
        <v>194</v>
      </c>
      <c r="P453">
        <v>-19.654112000000001</v>
      </c>
      <c r="Q453">
        <v>-43.910761999999998</v>
      </c>
      <c r="R453" s="2" t="str">
        <f>HYPERLINK("https://www.google.com/maps?q=-19.6541120,-43.9107620","Abrir no Google Maps")</f>
        <v>Abrir no Google Maps</v>
      </c>
      <c r="S453">
        <v>4</v>
      </c>
      <c r="T453">
        <v>1080.0524626304521</v>
      </c>
      <c r="U453">
        <v>3</v>
      </c>
      <c r="V453">
        <v>10</v>
      </c>
      <c r="W453">
        <v>1</v>
      </c>
      <c r="X453">
        <v>10</v>
      </c>
      <c r="Y453">
        <v>4</v>
      </c>
      <c r="Z453">
        <v>666.99022879086885</v>
      </c>
      <c r="AA453">
        <v>2</v>
      </c>
      <c r="AB453">
        <v>3</v>
      </c>
      <c r="AC453">
        <v>7</v>
      </c>
      <c r="AD453">
        <v>25.45</v>
      </c>
      <c r="AE453">
        <v>253</v>
      </c>
      <c r="AF453">
        <v>15</v>
      </c>
      <c r="AG453">
        <v>62</v>
      </c>
      <c r="AH453">
        <v>32</v>
      </c>
      <c r="AI453">
        <v>5.93</v>
      </c>
      <c r="AJ453">
        <v>24.51</v>
      </c>
      <c r="AK453">
        <v>12.65</v>
      </c>
      <c r="AL453">
        <v>-19.653869149999959</v>
      </c>
      <c r="AM453">
        <v>-43.911142816432779</v>
      </c>
      <c r="AN453">
        <v>-19.653869149999959</v>
      </c>
      <c r="AO453">
        <v>-43.911142816432779</v>
      </c>
      <c r="AP453">
        <v>-19.654112000000001</v>
      </c>
      <c r="AQ453">
        <v>-43.910761999999998</v>
      </c>
      <c r="AR453">
        <v>48.214810864237499</v>
      </c>
      <c r="AS453" t="s">
        <v>65</v>
      </c>
      <c r="AT453">
        <v>1</v>
      </c>
      <c r="AU453" t="s">
        <v>195</v>
      </c>
      <c r="AV453" t="s">
        <v>196</v>
      </c>
      <c r="AW453" t="s">
        <v>60</v>
      </c>
      <c r="AX453" t="s">
        <v>68</v>
      </c>
      <c r="AY453" t="s">
        <v>69</v>
      </c>
      <c r="AZ453" t="b">
        <v>1</v>
      </c>
    </row>
    <row r="454" spans="1:52" x14ac:dyDescent="0.3">
      <c r="A454" t="s">
        <v>52</v>
      </c>
      <c r="B454" t="s">
        <v>53</v>
      </c>
      <c r="C454" t="s">
        <v>54</v>
      </c>
      <c r="D454" t="s">
        <v>55</v>
      </c>
      <c r="E454" t="s">
        <v>776</v>
      </c>
      <c r="F454" t="s">
        <v>176</v>
      </c>
      <c r="G454" t="s">
        <v>116</v>
      </c>
      <c r="H454" t="s">
        <v>117</v>
      </c>
      <c r="I454" t="s">
        <v>117</v>
      </c>
      <c r="J454" t="s">
        <v>60</v>
      </c>
      <c r="K454" t="s">
        <v>118</v>
      </c>
      <c r="L454" t="s">
        <v>62</v>
      </c>
      <c r="M454" t="s">
        <v>118</v>
      </c>
      <c r="N454" t="s">
        <v>119</v>
      </c>
      <c r="O454" t="s">
        <v>120</v>
      </c>
      <c r="P454">
        <v>-19.663869999999999</v>
      </c>
      <c r="Q454">
        <v>-43.904916999999998</v>
      </c>
      <c r="R454" s="2" t="str">
        <f>HYPERLINK("https://www.google.com/maps?q=-19.6638700,-43.9049170","Abrir no Google Maps")</f>
        <v>Abrir no Google Maps</v>
      </c>
      <c r="S454">
        <v>4</v>
      </c>
      <c r="T454">
        <v>0</v>
      </c>
      <c r="U454">
        <v>3</v>
      </c>
      <c r="V454">
        <v>11</v>
      </c>
      <c r="W454">
        <v>1</v>
      </c>
      <c r="X454">
        <v>11</v>
      </c>
      <c r="Y454">
        <v>4</v>
      </c>
      <c r="Z454">
        <v>1169.476938179705</v>
      </c>
      <c r="AA454">
        <v>2</v>
      </c>
      <c r="AB454">
        <v>3</v>
      </c>
      <c r="AC454">
        <v>7</v>
      </c>
      <c r="AD454">
        <v>25.45</v>
      </c>
      <c r="AE454">
        <v>253</v>
      </c>
      <c r="AF454">
        <v>15</v>
      </c>
      <c r="AG454">
        <v>62</v>
      </c>
      <c r="AH454">
        <v>32</v>
      </c>
      <c r="AI454">
        <v>5.93</v>
      </c>
      <c r="AJ454">
        <v>24.51</v>
      </c>
      <c r="AK454">
        <v>12.65</v>
      </c>
      <c r="AL454">
        <v>-19.657063599999962</v>
      </c>
      <c r="AM454">
        <v>-43.898074976464507</v>
      </c>
      <c r="AN454">
        <v>-19.657063599999962</v>
      </c>
      <c r="AO454">
        <v>-43.898074976464507</v>
      </c>
      <c r="AP454">
        <v>-19.663869999999999</v>
      </c>
      <c r="AQ454">
        <v>-43.904916999999998</v>
      </c>
      <c r="AR454">
        <v>1043.3426220355029</v>
      </c>
      <c r="AS454" t="s">
        <v>65</v>
      </c>
      <c r="AT454">
        <v>1</v>
      </c>
      <c r="AU454" t="s">
        <v>121</v>
      </c>
      <c r="AV454" t="s">
        <v>122</v>
      </c>
      <c r="AW454" t="s">
        <v>60</v>
      </c>
      <c r="AX454" t="s">
        <v>68</v>
      </c>
      <c r="AY454" t="s">
        <v>69</v>
      </c>
      <c r="AZ454" t="b">
        <v>1</v>
      </c>
    </row>
    <row r="455" spans="1:52" x14ac:dyDescent="0.3">
      <c r="A455" t="s">
        <v>52</v>
      </c>
      <c r="B455" t="s">
        <v>53</v>
      </c>
      <c r="C455" t="s">
        <v>54</v>
      </c>
      <c r="D455" t="s">
        <v>55</v>
      </c>
      <c r="E455" t="s">
        <v>776</v>
      </c>
      <c r="F455" t="s">
        <v>176</v>
      </c>
      <c r="G455" t="s">
        <v>139</v>
      </c>
      <c r="H455" t="s">
        <v>140</v>
      </c>
      <c r="I455" t="s">
        <v>140</v>
      </c>
      <c r="J455" t="s">
        <v>60</v>
      </c>
      <c r="K455" t="s">
        <v>79</v>
      </c>
      <c r="L455" t="s">
        <v>62</v>
      </c>
      <c r="M455" t="s">
        <v>79</v>
      </c>
      <c r="N455" t="s">
        <v>141</v>
      </c>
      <c r="O455" t="s">
        <v>142</v>
      </c>
      <c r="P455">
        <v>-19.628888</v>
      </c>
      <c r="Q455">
        <v>-43.912554</v>
      </c>
      <c r="R455" s="2" t="str">
        <f>HYPERLINK("https://www.google.com/maps?q=-19.6288880,-43.9125540","Abrir no Google Maps")</f>
        <v>Abrir no Google Maps</v>
      </c>
      <c r="S455">
        <v>4</v>
      </c>
      <c r="T455">
        <v>1013.629555558835</v>
      </c>
      <c r="U455">
        <v>3</v>
      </c>
      <c r="V455">
        <v>15</v>
      </c>
      <c r="W455">
        <v>0.85</v>
      </c>
      <c r="X455">
        <v>12.75</v>
      </c>
      <c r="Y455">
        <v>3</v>
      </c>
      <c r="Z455">
        <v>950.42126394515765</v>
      </c>
      <c r="AA455">
        <v>2</v>
      </c>
      <c r="AB455">
        <v>3</v>
      </c>
      <c r="AC455">
        <v>7</v>
      </c>
      <c r="AD455">
        <v>25.45</v>
      </c>
      <c r="AE455">
        <v>253</v>
      </c>
      <c r="AF455">
        <v>15</v>
      </c>
      <c r="AG455">
        <v>62</v>
      </c>
      <c r="AH455">
        <v>32</v>
      </c>
      <c r="AI455">
        <v>5.93</v>
      </c>
      <c r="AJ455">
        <v>24.51</v>
      </c>
      <c r="AK455">
        <v>12.65</v>
      </c>
      <c r="AL455">
        <v>-19.628472899999959</v>
      </c>
      <c r="AM455">
        <v>-43.912746118821246</v>
      </c>
      <c r="AN455">
        <v>-19.628472899999959</v>
      </c>
      <c r="AO455">
        <v>-43.912746118821246</v>
      </c>
      <c r="AP455">
        <v>-19.628888</v>
      </c>
      <c r="AQ455">
        <v>-43.912554</v>
      </c>
      <c r="AR455">
        <v>50.408750888077009</v>
      </c>
      <c r="AS455" t="s">
        <v>65</v>
      </c>
      <c r="AT455">
        <v>1</v>
      </c>
      <c r="AU455" t="s">
        <v>143</v>
      </c>
      <c r="AV455" t="s">
        <v>144</v>
      </c>
      <c r="AW455" t="s">
        <v>60</v>
      </c>
      <c r="AX455" t="s">
        <v>68</v>
      </c>
      <c r="AY455" t="s">
        <v>69</v>
      </c>
      <c r="AZ455" t="b">
        <v>1</v>
      </c>
    </row>
    <row r="456" spans="1:52" x14ac:dyDescent="0.3">
      <c r="A456" t="s">
        <v>52</v>
      </c>
      <c r="B456" t="s">
        <v>53</v>
      </c>
      <c r="C456" t="s">
        <v>54</v>
      </c>
      <c r="D456" t="s">
        <v>55</v>
      </c>
      <c r="E456" t="s">
        <v>776</v>
      </c>
      <c r="F456" t="s">
        <v>176</v>
      </c>
      <c r="G456" t="s">
        <v>145</v>
      </c>
      <c r="H456" t="s">
        <v>146</v>
      </c>
      <c r="I456" t="s">
        <v>146</v>
      </c>
      <c r="J456" t="s">
        <v>60</v>
      </c>
      <c r="K456" t="s">
        <v>147</v>
      </c>
      <c r="L456" t="s">
        <v>62</v>
      </c>
      <c r="M456" t="s">
        <v>147</v>
      </c>
      <c r="N456" t="s">
        <v>148</v>
      </c>
      <c r="O456" t="s">
        <v>81</v>
      </c>
      <c r="P456">
        <v>-19.629356999999999</v>
      </c>
      <c r="Q456">
        <v>-43.916857</v>
      </c>
      <c r="R456" s="2" t="str">
        <f>HYPERLINK("https://www.google.com/maps?q=-19.6293570,-43.9168570","Abrir no Google Maps")</f>
        <v>Abrir no Google Maps</v>
      </c>
      <c r="S456">
        <v>4</v>
      </c>
      <c r="T456">
        <v>834.49898564045827</v>
      </c>
      <c r="U456">
        <v>3</v>
      </c>
      <c r="V456">
        <v>11</v>
      </c>
      <c r="W456">
        <v>1</v>
      </c>
      <c r="X456">
        <v>11</v>
      </c>
      <c r="Y456">
        <v>3</v>
      </c>
      <c r="Z456">
        <v>774.2841152512085</v>
      </c>
      <c r="AA456">
        <v>2</v>
      </c>
      <c r="AB456">
        <v>3</v>
      </c>
      <c r="AC456">
        <v>7</v>
      </c>
      <c r="AD456">
        <v>25.45</v>
      </c>
      <c r="AE456">
        <v>253</v>
      </c>
      <c r="AF456">
        <v>15</v>
      </c>
      <c r="AG456">
        <v>62</v>
      </c>
      <c r="AH456">
        <v>32</v>
      </c>
      <c r="AI456">
        <v>5.93</v>
      </c>
      <c r="AJ456">
        <v>24.51</v>
      </c>
      <c r="AK456">
        <v>12.65</v>
      </c>
      <c r="AL456">
        <v>-19.62962324999998</v>
      </c>
      <c r="AM456">
        <v>-43.916419823634037</v>
      </c>
      <c r="AN456">
        <v>-19.62962324999998</v>
      </c>
      <c r="AO456">
        <v>-43.916419823634051</v>
      </c>
      <c r="AP456">
        <v>-19.629356999999999</v>
      </c>
      <c r="AQ456">
        <v>-43.916857</v>
      </c>
      <c r="AR456">
        <v>54.585757388798442</v>
      </c>
      <c r="AS456" t="s">
        <v>65</v>
      </c>
      <c r="AT456">
        <v>1</v>
      </c>
      <c r="AU456" t="s">
        <v>149</v>
      </c>
      <c r="AV456" t="s">
        <v>150</v>
      </c>
      <c r="AW456" t="s">
        <v>60</v>
      </c>
      <c r="AX456" t="s">
        <v>68</v>
      </c>
      <c r="AY456" t="s">
        <v>69</v>
      </c>
      <c r="AZ456" t="b">
        <v>1</v>
      </c>
    </row>
    <row r="457" spans="1:52" x14ac:dyDescent="0.3">
      <c r="A457" t="s">
        <v>52</v>
      </c>
      <c r="B457" t="s">
        <v>53</v>
      </c>
      <c r="C457" t="s">
        <v>54</v>
      </c>
      <c r="D457" t="s">
        <v>55</v>
      </c>
      <c r="E457" t="s">
        <v>776</v>
      </c>
      <c r="F457" t="s">
        <v>176</v>
      </c>
      <c r="G457" t="s">
        <v>197</v>
      </c>
      <c r="H457" t="s">
        <v>224</v>
      </c>
      <c r="I457" t="s">
        <v>224</v>
      </c>
      <c r="J457" t="s">
        <v>60</v>
      </c>
      <c r="K457" t="s">
        <v>199</v>
      </c>
      <c r="L457" t="s">
        <v>62</v>
      </c>
      <c r="M457" t="s">
        <v>199</v>
      </c>
      <c r="N457" t="s">
        <v>200</v>
      </c>
      <c r="O457" t="s">
        <v>225</v>
      </c>
      <c r="P457">
        <v>-19.637217</v>
      </c>
      <c r="Q457">
        <v>-43.916117</v>
      </c>
      <c r="R457" s="2" t="str">
        <f>HYPERLINK("https://www.google.com/maps?q=-19.6372170,-43.9161170","Abrir no Google Maps")</f>
        <v>Abrir no Google Maps</v>
      </c>
      <c r="S457">
        <v>4</v>
      </c>
      <c r="T457">
        <v>0</v>
      </c>
      <c r="U457">
        <v>3</v>
      </c>
      <c r="V457">
        <v>15</v>
      </c>
      <c r="W457">
        <v>1</v>
      </c>
      <c r="X457">
        <v>15</v>
      </c>
      <c r="Y457">
        <v>3</v>
      </c>
      <c r="Z457">
        <v>94.289538231800577</v>
      </c>
      <c r="AA457">
        <v>2</v>
      </c>
      <c r="AB457">
        <v>3</v>
      </c>
      <c r="AC457">
        <v>7</v>
      </c>
      <c r="AD457">
        <v>25.45</v>
      </c>
      <c r="AE457">
        <v>253</v>
      </c>
      <c r="AF457">
        <v>15</v>
      </c>
      <c r="AG457">
        <v>62</v>
      </c>
      <c r="AH457">
        <v>32</v>
      </c>
      <c r="AI457">
        <v>5.93</v>
      </c>
      <c r="AJ457">
        <v>24.51</v>
      </c>
      <c r="AK457">
        <v>12.65</v>
      </c>
      <c r="AL457">
        <v>-19.63714454999996</v>
      </c>
      <c r="AM457">
        <v>-43.915856532303224</v>
      </c>
      <c r="AN457">
        <v>-19.63714454999996</v>
      </c>
      <c r="AO457">
        <v>-43.915856532303224</v>
      </c>
      <c r="AP457">
        <v>-19.637217</v>
      </c>
      <c r="AQ457">
        <v>-43.916117</v>
      </c>
      <c r="AR457">
        <v>28.47493692061667</v>
      </c>
      <c r="AS457" t="s">
        <v>65</v>
      </c>
      <c r="AT457">
        <v>1</v>
      </c>
      <c r="AU457" t="s">
        <v>226</v>
      </c>
      <c r="AV457" t="s">
        <v>227</v>
      </c>
      <c r="AW457" t="s">
        <v>60</v>
      </c>
      <c r="AX457" t="s">
        <v>68</v>
      </c>
      <c r="AY457" t="s">
        <v>69</v>
      </c>
      <c r="AZ457" t="b">
        <v>1</v>
      </c>
    </row>
    <row r="458" spans="1:52" x14ac:dyDescent="0.3">
      <c r="A458" t="s">
        <v>52</v>
      </c>
      <c r="B458" t="s">
        <v>53</v>
      </c>
      <c r="C458" t="s">
        <v>54</v>
      </c>
      <c r="D458" t="s">
        <v>55</v>
      </c>
      <c r="E458" t="s">
        <v>776</v>
      </c>
      <c r="F458" t="s">
        <v>176</v>
      </c>
      <c r="G458" t="s">
        <v>228</v>
      </c>
      <c r="H458" t="s">
        <v>229</v>
      </c>
      <c r="I458" t="s">
        <v>229</v>
      </c>
      <c r="J458" t="s">
        <v>60</v>
      </c>
      <c r="K458" t="s">
        <v>199</v>
      </c>
      <c r="L458" t="s">
        <v>62</v>
      </c>
      <c r="M458" t="s">
        <v>199</v>
      </c>
      <c r="N458" t="s">
        <v>230</v>
      </c>
      <c r="O458" t="s">
        <v>88</v>
      </c>
      <c r="P458">
        <v>-19.637703999999999</v>
      </c>
      <c r="Q458">
        <v>-43.913817999999999</v>
      </c>
      <c r="R458" s="2" t="str">
        <f>HYPERLINK("https://www.google.com/maps?q=-19.6377040,-43.9138180","Abrir no Google Maps")</f>
        <v>Abrir no Google Maps</v>
      </c>
      <c r="S458">
        <v>4</v>
      </c>
      <c r="T458">
        <v>216.67225021659709</v>
      </c>
      <c r="U458">
        <v>3</v>
      </c>
      <c r="V458">
        <v>14</v>
      </c>
      <c r="W458">
        <v>1</v>
      </c>
      <c r="X458">
        <v>14</v>
      </c>
      <c r="Y458">
        <v>3</v>
      </c>
      <c r="Z458">
        <v>250.25912407368671</v>
      </c>
      <c r="AA458">
        <v>2</v>
      </c>
      <c r="AB458">
        <v>3</v>
      </c>
      <c r="AC458">
        <v>7</v>
      </c>
      <c r="AD458">
        <v>25.45</v>
      </c>
      <c r="AE458">
        <v>253</v>
      </c>
      <c r="AF458">
        <v>15</v>
      </c>
      <c r="AG458">
        <v>62</v>
      </c>
      <c r="AH458">
        <v>32</v>
      </c>
      <c r="AI458">
        <v>5.93</v>
      </c>
      <c r="AJ458">
        <v>24.51</v>
      </c>
      <c r="AK458">
        <v>12.65</v>
      </c>
      <c r="AL458">
        <v>-19.637548049999939</v>
      </c>
      <c r="AM458">
        <v>-43.91383458447649</v>
      </c>
      <c r="AN458">
        <v>-19.637548049999939</v>
      </c>
      <c r="AO458">
        <v>-43.91383458447649</v>
      </c>
      <c r="AP458">
        <v>-19.637703999999999</v>
      </c>
      <c r="AQ458">
        <v>-43.913817999999999</v>
      </c>
      <c r="AR458">
        <v>17.44721566371809</v>
      </c>
      <c r="AS458" t="s">
        <v>65</v>
      </c>
      <c r="AT458">
        <v>1</v>
      </c>
      <c r="AU458" t="s">
        <v>231</v>
      </c>
      <c r="AV458" t="s">
        <v>232</v>
      </c>
      <c r="AW458" t="s">
        <v>60</v>
      </c>
      <c r="AX458" t="s">
        <v>68</v>
      </c>
      <c r="AY458" t="s">
        <v>69</v>
      </c>
      <c r="AZ458" t="b">
        <v>1</v>
      </c>
    </row>
    <row r="459" spans="1:52" x14ac:dyDescent="0.3">
      <c r="A459" t="s">
        <v>52</v>
      </c>
      <c r="B459" t="s">
        <v>53</v>
      </c>
      <c r="C459" t="s">
        <v>54</v>
      </c>
      <c r="D459" t="s">
        <v>55</v>
      </c>
      <c r="E459" t="s">
        <v>776</v>
      </c>
      <c r="F459" t="s">
        <v>176</v>
      </c>
      <c r="G459" t="s">
        <v>151</v>
      </c>
      <c r="H459" t="s">
        <v>152</v>
      </c>
      <c r="I459" t="s">
        <v>152</v>
      </c>
      <c r="J459" t="s">
        <v>60</v>
      </c>
      <c r="K459" t="s">
        <v>72</v>
      </c>
      <c r="L459" t="s">
        <v>62</v>
      </c>
      <c r="M459" t="s">
        <v>72</v>
      </c>
      <c r="N459" t="s">
        <v>153</v>
      </c>
      <c r="O459" t="s">
        <v>81</v>
      </c>
      <c r="P459">
        <v>-19.635065999999998</v>
      </c>
      <c r="Q459">
        <v>-43.916640000000001</v>
      </c>
      <c r="R459" s="2" t="str">
        <f>HYPERLINK("https://www.google.com/maps?q=-19.6350660,-43.9166400","Abrir no Google Maps")</f>
        <v>Abrir no Google Maps</v>
      </c>
      <c r="S459">
        <v>4</v>
      </c>
      <c r="T459">
        <v>245.09875796292749</v>
      </c>
      <c r="U459">
        <v>3</v>
      </c>
      <c r="V459">
        <v>11</v>
      </c>
      <c r="W459">
        <v>1</v>
      </c>
      <c r="X459">
        <v>11</v>
      </c>
      <c r="Y459">
        <v>3</v>
      </c>
      <c r="Z459">
        <v>207.74356419317499</v>
      </c>
      <c r="AA459">
        <v>2</v>
      </c>
      <c r="AB459">
        <v>3</v>
      </c>
      <c r="AC459">
        <v>7</v>
      </c>
      <c r="AD459">
        <v>25.45</v>
      </c>
      <c r="AE459">
        <v>253</v>
      </c>
      <c r="AF459">
        <v>15</v>
      </c>
      <c r="AG459">
        <v>62</v>
      </c>
      <c r="AH459">
        <v>32</v>
      </c>
      <c r="AI459">
        <v>5.93</v>
      </c>
      <c r="AJ459">
        <v>24.51</v>
      </c>
      <c r="AK459">
        <v>12.65</v>
      </c>
      <c r="AL459">
        <v>-19.63505579999995</v>
      </c>
      <c r="AM459">
        <v>-43.916633303072622</v>
      </c>
      <c r="AN459">
        <v>-19.63505579999995</v>
      </c>
      <c r="AO459">
        <v>-43.916633303072622</v>
      </c>
      <c r="AP459">
        <v>-19.635065999999998</v>
      </c>
      <c r="AQ459">
        <v>-43.916640000000001</v>
      </c>
      <c r="AR459">
        <v>1.335026849412978</v>
      </c>
      <c r="AS459" t="s">
        <v>65</v>
      </c>
      <c r="AT459">
        <v>1</v>
      </c>
      <c r="AU459" t="s">
        <v>154</v>
      </c>
      <c r="AV459" t="s">
        <v>155</v>
      </c>
      <c r="AW459" t="s">
        <v>60</v>
      </c>
      <c r="AX459" t="s">
        <v>68</v>
      </c>
      <c r="AY459" t="s">
        <v>69</v>
      </c>
      <c r="AZ459" t="b">
        <v>1</v>
      </c>
    </row>
    <row r="460" spans="1:52" x14ac:dyDescent="0.3">
      <c r="A460" t="s">
        <v>52</v>
      </c>
      <c r="B460" t="s">
        <v>53</v>
      </c>
      <c r="C460" t="s">
        <v>54</v>
      </c>
      <c r="D460" t="s">
        <v>55</v>
      </c>
      <c r="E460" t="s">
        <v>776</v>
      </c>
      <c r="F460" t="s">
        <v>176</v>
      </c>
      <c r="G460" t="s">
        <v>156</v>
      </c>
      <c r="H460" t="s">
        <v>157</v>
      </c>
      <c r="I460" t="s">
        <v>157</v>
      </c>
      <c r="J460" t="s">
        <v>60</v>
      </c>
      <c r="K460" t="s">
        <v>79</v>
      </c>
      <c r="L460" t="s">
        <v>62</v>
      </c>
      <c r="M460" t="s">
        <v>79</v>
      </c>
      <c r="N460" t="s">
        <v>158</v>
      </c>
      <c r="O460" t="s">
        <v>159</v>
      </c>
      <c r="P460">
        <v>-19.634687</v>
      </c>
      <c r="Q460">
        <v>-43.912925999999999</v>
      </c>
      <c r="R460" s="2" t="str">
        <f>HYPERLINK("https://www.google.com/maps?q=-19.6346870,-43.9129260","Abrir no Google Maps")</f>
        <v>Abrir no Google Maps</v>
      </c>
      <c r="S460">
        <v>4</v>
      </c>
      <c r="T460">
        <v>363.69725005634331</v>
      </c>
      <c r="U460">
        <v>3</v>
      </c>
      <c r="V460">
        <v>12</v>
      </c>
      <c r="W460">
        <v>1</v>
      </c>
      <c r="X460">
        <v>12</v>
      </c>
      <c r="Y460">
        <v>3</v>
      </c>
      <c r="Z460">
        <v>343.04088334900467</v>
      </c>
      <c r="AA460">
        <v>2</v>
      </c>
      <c r="AB460">
        <v>3</v>
      </c>
      <c r="AC460">
        <v>7</v>
      </c>
      <c r="AD460">
        <v>25.45</v>
      </c>
      <c r="AE460">
        <v>253</v>
      </c>
      <c r="AF460">
        <v>15</v>
      </c>
      <c r="AG460">
        <v>62</v>
      </c>
      <c r="AH460">
        <v>32</v>
      </c>
      <c r="AI460">
        <v>5.93</v>
      </c>
      <c r="AJ460">
        <v>24.51</v>
      </c>
      <c r="AK460">
        <v>12.65</v>
      </c>
      <c r="AL460">
        <v>-19.635145849999962</v>
      </c>
      <c r="AM460">
        <v>-43.913103387269381</v>
      </c>
      <c r="AN460">
        <v>-19.635145849999962</v>
      </c>
      <c r="AO460">
        <v>-43.913103387269381</v>
      </c>
      <c r="AP460">
        <v>-19.634687</v>
      </c>
      <c r="AQ460">
        <v>-43.912925999999999</v>
      </c>
      <c r="AR460">
        <v>54.359794849827942</v>
      </c>
      <c r="AS460" t="s">
        <v>65</v>
      </c>
      <c r="AT460">
        <v>1</v>
      </c>
      <c r="AU460" t="s">
        <v>160</v>
      </c>
      <c r="AV460" t="s">
        <v>161</v>
      </c>
      <c r="AW460" t="s">
        <v>60</v>
      </c>
      <c r="AX460" t="s">
        <v>68</v>
      </c>
      <c r="AY460" t="s">
        <v>69</v>
      </c>
      <c r="AZ460" t="b">
        <v>1</v>
      </c>
    </row>
    <row r="461" spans="1:52" x14ac:dyDescent="0.3">
      <c r="A461" t="s">
        <v>52</v>
      </c>
      <c r="B461" t="s">
        <v>53</v>
      </c>
      <c r="C461" t="s">
        <v>54</v>
      </c>
      <c r="D461" t="s">
        <v>55</v>
      </c>
      <c r="E461" t="s">
        <v>776</v>
      </c>
      <c r="F461" t="s">
        <v>176</v>
      </c>
      <c r="G461" t="s">
        <v>239</v>
      </c>
      <c r="H461" t="s">
        <v>240</v>
      </c>
      <c r="I461" t="s">
        <v>240</v>
      </c>
      <c r="J461" t="s">
        <v>60</v>
      </c>
      <c r="K461" t="s">
        <v>241</v>
      </c>
      <c r="L461" t="s">
        <v>62</v>
      </c>
      <c r="M461" t="s">
        <v>241</v>
      </c>
      <c r="N461" t="s">
        <v>242</v>
      </c>
      <c r="O461" t="s">
        <v>243</v>
      </c>
      <c r="P461">
        <v>-19.64987</v>
      </c>
      <c r="Q461">
        <v>-43.901328999999997</v>
      </c>
      <c r="R461" s="2" t="str">
        <f>HYPERLINK("https://www.google.com/maps?q=-19.6498700,-43.9013290","Abrir no Google Maps")</f>
        <v>Abrir no Google Maps</v>
      </c>
      <c r="S461">
        <v>4</v>
      </c>
      <c r="T461">
        <v>379.88574886534309</v>
      </c>
      <c r="U461">
        <v>3</v>
      </c>
      <c r="V461">
        <v>13</v>
      </c>
      <c r="W461">
        <v>1</v>
      </c>
      <c r="X461">
        <v>13</v>
      </c>
      <c r="Y461">
        <v>1</v>
      </c>
      <c r="Z461">
        <v>442.33649591135162</v>
      </c>
      <c r="AA461">
        <v>2</v>
      </c>
      <c r="AB461">
        <v>3</v>
      </c>
      <c r="AC461">
        <v>7</v>
      </c>
      <c r="AD461">
        <v>25.45</v>
      </c>
      <c r="AE461">
        <v>253</v>
      </c>
      <c r="AF461">
        <v>15</v>
      </c>
      <c r="AG461">
        <v>62</v>
      </c>
      <c r="AH461">
        <v>32</v>
      </c>
      <c r="AI461">
        <v>5.93</v>
      </c>
      <c r="AJ461">
        <v>24.51</v>
      </c>
      <c r="AK461">
        <v>12.65</v>
      </c>
      <c r="AL461">
        <v>-19.64971674999995</v>
      </c>
      <c r="AM461">
        <v>-43.901441574655102</v>
      </c>
      <c r="AN461">
        <v>-19.64971674999995</v>
      </c>
      <c r="AO461">
        <v>-43.901441574655102</v>
      </c>
      <c r="AP461">
        <v>-19.64987</v>
      </c>
      <c r="AQ461">
        <v>-43.901328999999997</v>
      </c>
      <c r="AR461">
        <v>20.744262514610401</v>
      </c>
      <c r="AS461" t="s">
        <v>65</v>
      </c>
      <c r="AT461">
        <v>1</v>
      </c>
      <c r="AU461" t="s">
        <v>244</v>
      </c>
      <c r="AV461" t="s">
        <v>245</v>
      </c>
      <c r="AW461" t="s">
        <v>60</v>
      </c>
      <c r="AX461" t="s">
        <v>68</v>
      </c>
      <c r="AY461" t="s">
        <v>69</v>
      </c>
      <c r="AZ461" t="b">
        <v>1</v>
      </c>
    </row>
    <row r="462" spans="1:52" x14ac:dyDescent="0.3">
      <c r="A462" t="s">
        <v>52</v>
      </c>
      <c r="B462" t="s">
        <v>53</v>
      </c>
      <c r="C462" t="s">
        <v>54</v>
      </c>
      <c r="D462" t="s">
        <v>55</v>
      </c>
      <c r="E462" t="s">
        <v>776</v>
      </c>
      <c r="F462" t="s">
        <v>176</v>
      </c>
      <c r="G462" t="s">
        <v>632</v>
      </c>
      <c r="H462" t="s">
        <v>633</v>
      </c>
      <c r="I462" t="s">
        <v>633</v>
      </c>
      <c r="J462" t="s">
        <v>60</v>
      </c>
      <c r="K462" t="s">
        <v>164</v>
      </c>
      <c r="L462" t="s">
        <v>62</v>
      </c>
      <c r="M462" t="s">
        <v>164</v>
      </c>
      <c r="N462" t="s">
        <v>287</v>
      </c>
      <c r="O462" t="s">
        <v>634</v>
      </c>
      <c r="P462">
        <v>-19.647012</v>
      </c>
      <c r="Q462">
        <v>-43.903843000000002</v>
      </c>
      <c r="R462" s="2" t="str">
        <f>HYPERLINK("https://www.google.com/maps?q=-19.6470120,-43.9038430","Abrir no Google Maps")</f>
        <v>Abrir no Google Maps</v>
      </c>
      <c r="S462">
        <v>4</v>
      </c>
      <c r="T462">
        <v>0</v>
      </c>
      <c r="U462">
        <v>3</v>
      </c>
      <c r="V462">
        <v>11</v>
      </c>
      <c r="W462">
        <v>0.85</v>
      </c>
      <c r="X462">
        <v>9.35</v>
      </c>
      <c r="Y462">
        <v>1</v>
      </c>
      <c r="Z462">
        <v>126.45608798330009</v>
      </c>
      <c r="AA462">
        <v>2</v>
      </c>
      <c r="AB462">
        <v>3</v>
      </c>
      <c r="AC462">
        <v>7</v>
      </c>
      <c r="AD462">
        <v>25.45</v>
      </c>
      <c r="AE462">
        <v>253</v>
      </c>
      <c r="AF462">
        <v>15</v>
      </c>
      <c r="AG462">
        <v>62</v>
      </c>
      <c r="AH462">
        <v>32</v>
      </c>
      <c r="AI462">
        <v>5.93</v>
      </c>
      <c r="AJ462">
        <v>24.51</v>
      </c>
      <c r="AK462">
        <v>12.65</v>
      </c>
      <c r="AL462">
        <v>-19.647072199999968</v>
      </c>
      <c r="AM462">
        <v>-43.903751273681941</v>
      </c>
      <c r="AN462">
        <v>-19.647072199999968</v>
      </c>
      <c r="AO462">
        <v>-43.903751273681941</v>
      </c>
      <c r="AP462">
        <v>-19.647012</v>
      </c>
      <c r="AQ462">
        <v>-43.903843000000002</v>
      </c>
      <c r="AR462">
        <v>11.72121231224985</v>
      </c>
      <c r="AS462" t="s">
        <v>65</v>
      </c>
      <c r="AT462">
        <v>1</v>
      </c>
      <c r="AU462" t="s">
        <v>635</v>
      </c>
      <c r="AV462" t="s">
        <v>636</v>
      </c>
      <c r="AW462" t="s">
        <v>60</v>
      </c>
      <c r="AX462" t="s">
        <v>68</v>
      </c>
      <c r="AY462" t="s">
        <v>69</v>
      </c>
      <c r="AZ462" t="b">
        <v>1</v>
      </c>
    </row>
    <row r="463" spans="1:52" x14ac:dyDescent="0.3">
      <c r="A463" t="s">
        <v>52</v>
      </c>
      <c r="B463" t="s">
        <v>53</v>
      </c>
      <c r="C463" t="s">
        <v>54</v>
      </c>
      <c r="D463" t="s">
        <v>55</v>
      </c>
      <c r="E463" t="s">
        <v>776</v>
      </c>
      <c r="F463" t="s">
        <v>176</v>
      </c>
      <c r="G463" t="s">
        <v>252</v>
      </c>
      <c r="H463" t="s">
        <v>253</v>
      </c>
      <c r="I463" t="s">
        <v>253</v>
      </c>
      <c r="J463" t="s">
        <v>60</v>
      </c>
      <c r="K463" t="s">
        <v>164</v>
      </c>
      <c r="L463" t="s">
        <v>62</v>
      </c>
      <c r="M463" t="s">
        <v>164</v>
      </c>
      <c r="N463" t="s">
        <v>254</v>
      </c>
      <c r="O463" t="s">
        <v>255</v>
      </c>
      <c r="P463">
        <v>-19.652244</v>
      </c>
      <c r="Q463">
        <v>-43.906869</v>
      </c>
      <c r="R463" s="2" t="str">
        <f>HYPERLINK("https://www.google.com/maps?q=-19.6522440,-43.9068690","Abrir no Google Maps")</f>
        <v>Abrir no Google Maps</v>
      </c>
      <c r="S463">
        <v>4</v>
      </c>
      <c r="T463">
        <v>659.98887289357856</v>
      </c>
      <c r="U463">
        <v>3</v>
      </c>
      <c r="V463">
        <v>11</v>
      </c>
      <c r="W463">
        <v>1</v>
      </c>
      <c r="X463">
        <v>11</v>
      </c>
      <c r="Y463">
        <v>1</v>
      </c>
      <c r="Z463">
        <v>607.69009953455907</v>
      </c>
      <c r="AA463">
        <v>2</v>
      </c>
      <c r="AB463">
        <v>3</v>
      </c>
      <c r="AC463">
        <v>7</v>
      </c>
      <c r="AD463">
        <v>25.45</v>
      </c>
      <c r="AE463">
        <v>253</v>
      </c>
      <c r="AF463">
        <v>15</v>
      </c>
      <c r="AG463">
        <v>62</v>
      </c>
      <c r="AH463">
        <v>32</v>
      </c>
      <c r="AI463">
        <v>5.93</v>
      </c>
      <c r="AJ463">
        <v>24.51</v>
      </c>
      <c r="AK463">
        <v>12.65</v>
      </c>
      <c r="AL463">
        <v>-19.65225609999996</v>
      </c>
      <c r="AM463">
        <v>-43.906862663911163</v>
      </c>
      <c r="AN463">
        <v>-19.65225609999996</v>
      </c>
      <c r="AO463">
        <v>-43.906862663911149</v>
      </c>
      <c r="AP463">
        <v>-19.652244</v>
      </c>
      <c r="AQ463">
        <v>-43.906869</v>
      </c>
      <c r="AR463">
        <v>1.501852076897872</v>
      </c>
      <c r="AS463" t="s">
        <v>65</v>
      </c>
      <c r="AT463">
        <v>1</v>
      </c>
      <c r="AU463" t="s">
        <v>256</v>
      </c>
      <c r="AV463" t="s">
        <v>257</v>
      </c>
      <c r="AW463" t="s">
        <v>60</v>
      </c>
      <c r="AX463" t="s">
        <v>68</v>
      </c>
      <c r="AY463" t="s">
        <v>69</v>
      </c>
      <c r="AZ463" t="b">
        <v>1</v>
      </c>
    </row>
    <row r="464" spans="1:52" x14ac:dyDescent="0.3">
      <c r="A464" t="s">
        <v>52</v>
      </c>
      <c r="B464" t="s">
        <v>53</v>
      </c>
      <c r="C464" t="s">
        <v>54</v>
      </c>
      <c r="D464" t="s">
        <v>55</v>
      </c>
      <c r="E464" t="s">
        <v>776</v>
      </c>
      <c r="F464" t="s">
        <v>176</v>
      </c>
      <c r="G464" t="s">
        <v>622</v>
      </c>
      <c r="H464" t="s">
        <v>623</v>
      </c>
      <c r="I464" t="s">
        <v>623</v>
      </c>
      <c r="J464" t="s">
        <v>60</v>
      </c>
      <c r="K464" t="s">
        <v>219</v>
      </c>
      <c r="L464" t="s">
        <v>62</v>
      </c>
      <c r="M464" t="s">
        <v>219</v>
      </c>
      <c r="N464" t="s">
        <v>624</v>
      </c>
      <c r="O464" t="s">
        <v>113</v>
      </c>
      <c r="P464">
        <v>-19.670276999999999</v>
      </c>
      <c r="Q464">
        <v>-43.893808</v>
      </c>
      <c r="R464" s="2" t="str">
        <f>HYPERLINK("https://www.google.com/maps?q=-19.6702770,-43.8938080","Abrir no Google Maps")</f>
        <v>Abrir no Google Maps</v>
      </c>
      <c r="S464">
        <v>4</v>
      </c>
      <c r="T464">
        <v>846.9753608437735</v>
      </c>
      <c r="U464">
        <v>3</v>
      </c>
      <c r="V464">
        <v>9</v>
      </c>
      <c r="W464">
        <v>1</v>
      </c>
      <c r="X464">
        <v>9</v>
      </c>
      <c r="Y464">
        <v>1</v>
      </c>
      <c r="Z464">
        <v>600.43160852236622</v>
      </c>
      <c r="AA464">
        <v>2</v>
      </c>
      <c r="AB464">
        <v>3</v>
      </c>
      <c r="AC464">
        <v>7</v>
      </c>
      <c r="AD464">
        <v>25.45</v>
      </c>
      <c r="AE464">
        <v>253</v>
      </c>
      <c r="AF464">
        <v>15</v>
      </c>
      <c r="AG464">
        <v>62</v>
      </c>
      <c r="AH464">
        <v>32</v>
      </c>
      <c r="AI464">
        <v>5.93</v>
      </c>
      <c r="AJ464">
        <v>24.51</v>
      </c>
      <c r="AK464">
        <v>12.65</v>
      </c>
      <c r="AL464">
        <v>-19.670319349999971</v>
      </c>
      <c r="AM464">
        <v>-43.893716431206371</v>
      </c>
      <c r="AN464">
        <v>-19.670319349999971</v>
      </c>
      <c r="AO464">
        <v>-43.893716431206371</v>
      </c>
      <c r="AP464">
        <v>-19.670276999999999</v>
      </c>
      <c r="AQ464">
        <v>-43.893808</v>
      </c>
      <c r="AR464">
        <v>10.693863517034069</v>
      </c>
      <c r="AS464" t="s">
        <v>65</v>
      </c>
      <c r="AT464">
        <v>1</v>
      </c>
      <c r="AU464" t="s">
        <v>625</v>
      </c>
      <c r="AV464" t="s">
        <v>626</v>
      </c>
      <c r="AW464" t="s">
        <v>60</v>
      </c>
      <c r="AX464" t="s">
        <v>68</v>
      </c>
      <c r="AY464" t="s">
        <v>69</v>
      </c>
      <c r="AZ464" t="b">
        <v>1</v>
      </c>
    </row>
    <row r="465" spans="1:52" x14ac:dyDescent="0.3">
      <c r="A465" t="s">
        <v>52</v>
      </c>
      <c r="B465" t="s">
        <v>53</v>
      </c>
      <c r="C465" t="s">
        <v>54</v>
      </c>
      <c r="D465" t="s">
        <v>55</v>
      </c>
      <c r="E465" t="s">
        <v>776</v>
      </c>
      <c r="F465" t="s">
        <v>176</v>
      </c>
      <c r="G465" t="s">
        <v>506</v>
      </c>
      <c r="H465" t="s">
        <v>653</v>
      </c>
      <c r="I465" t="s">
        <v>653</v>
      </c>
      <c r="J465" t="s">
        <v>60</v>
      </c>
      <c r="K465" t="s">
        <v>219</v>
      </c>
      <c r="L465" t="s">
        <v>62</v>
      </c>
      <c r="M465" t="s">
        <v>219</v>
      </c>
      <c r="N465" t="s">
        <v>654</v>
      </c>
      <c r="O465" t="s">
        <v>655</v>
      </c>
      <c r="P465">
        <v>-19.663547000000001</v>
      </c>
      <c r="Q465">
        <v>-43.887289000000003</v>
      </c>
      <c r="R465" s="2" t="str">
        <f>HYPERLINK("https://www.google.com/maps?q=-19.6635470,-43.8872890","Abrir no Google Maps")</f>
        <v>Abrir no Google Maps</v>
      </c>
      <c r="S465">
        <v>4</v>
      </c>
      <c r="T465">
        <v>1322.0974038105271</v>
      </c>
      <c r="U465">
        <v>3</v>
      </c>
      <c r="V465">
        <v>11</v>
      </c>
      <c r="W465">
        <v>0.85</v>
      </c>
      <c r="X465">
        <v>9.35</v>
      </c>
      <c r="Y465">
        <v>1</v>
      </c>
      <c r="Z465">
        <v>410.01820565428989</v>
      </c>
      <c r="AA465">
        <v>2</v>
      </c>
      <c r="AB465">
        <v>3</v>
      </c>
      <c r="AC465">
        <v>7</v>
      </c>
      <c r="AD465">
        <v>25.45</v>
      </c>
      <c r="AE465">
        <v>253</v>
      </c>
      <c r="AF465">
        <v>15</v>
      </c>
      <c r="AG465">
        <v>62</v>
      </c>
      <c r="AH465">
        <v>32</v>
      </c>
      <c r="AI465">
        <v>5.93</v>
      </c>
      <c r="AJ465">
        <v>24.51</v>
      </c>
      <c r="AK465">
        <v>12.65</v>
      </c>
      <c r="AL465">
        <v>-19.663324149999969</v>
      </c>
      <c r="AM465">
        <v>-43.887335428407333</v>
      </c>
      <c r="AN465">
        <v>-19.663324149999969</v>
      </c>
      <c r="AO465">
        <v>-43.887335428407333</v>
      </c>
      <c r="AP465">
        <v>-19.663547000000001</v>
      </c>
      <c r="AQ465">
        <v>-43.887289000000003</v>
      </c>
      <c r="AR465">
        <v>25.280585055537909</v>
      </c>
      <c r="AS465" t="s">
        <v>65</v>
      </c>
      <c r="AT465">
        <v>1</v>
      </c>
      <c r="AU465" t="s">
        <v>656</v>
      </c>
      <c r="AV465" t="s">
        <v>657</v>
      </c>
      <c r="AW465" t="s">
        <v>60</v>
      </c>
      <c r="AX465" t="s">
        <v>68</v>
      </c>
      <c r="AY465" t="s">
        <v>69</v>
      </c>
      <c r="AZ465" t="b">
        <v>1</v>
      </c>
    </row>
    <row r="466" spans="1:52" x14ac:dyDescent="0.3">
      <c r="A466" t="s">
        <v>52</v>
      </c>
      <c r="B466" t="s">
        <v>53</v>
      </c>
      <c r="C466" t="s">
        <v>54</v>
      </c>
      <c r="D466" t="s">
        <v>55</v>
      </c>
      <c r="E466" t="s">
        <v>776</v>
      </c>
      <c r="F466" t="s">
        <v>176</v>
      </c>
      <c r="G466" t="s">
        <v>658</v>
      </c>
      <c r="H466" t="s">
        <v>659</v>
      </c>
      <c r="I466" t="s">
        <v>659</v>
      </c>
      <c r="J466" t="s">
        <v>60</v>
      </c>
      <c r="K466" t="s">
        <v>219</v>
      </c>
      <c r="L466" t="s">
        <v>62</v>
      </c>
      <c r="M466" t="s">
        <v>219</v>
      </c>
      <c r="N466" t="s">
        <v>660</v>
      </c>
      <c r="O466" t="s">
        <v>661</v>
      </c>
      <c r="P466">
        <v>-19.666937999999998</v>
      </c>
      <c r="Q466">
        <v>-43.888468000000003</v>
      </c>
      <c r="R466" s="2" t="str">
        <f>HYPERLINK("https://www.google.com/maps?q=-19.6669380,-43.8884680","Abrir no Google Maps")</f>
        <v>Abrir no Google Maps</v>
      </c>
      <c r="S466">
        <v>4</v>
      </c>
      <c r="T466">
        <v>1154.601486572938</v>
      </c>
      <c r="U466">
        <v>3</v>
      </c>
      <c r="V466">
        <v>14</v>
      </c>
      <c r="W466">
        <v>0.85</v>
      </c>
      <c r="X466">
        <v>11.9</v>
      </c>
      <c r="Y466">
        <v>1</v>
      </c>
      <c r="Z466">
        <v>129.9648546404961</v>
      </c>
      <c r="AA466">
        <v>2</v>
      </c>
      <c r="AB466">
        <v>3</v>
      </c>
      <c r="AC466">
        <v>7</v>
      </c>
      <c r="AD466">
        <v>25.45</v>
      </c>
      <c r="AE466">
        <v>253</v>
      </c>
      <c r="AF466">
        <v>15</v>
      </c>
      <c r="AG466">
        <v>62</v>
      </c>
      <c r="AH466">
        <v>32</v>
      </c>
      <c r="AI466">
        <v>5.93</v>
      </c>
      <c r="AJ466">
        <v>24.51</v>
      </c>
      <c r="AK466">
        <v>12.65</v>
      </c>
      <c r="AL466">
        <v>-19.666844549999951</v>
      </c>
      <c r="AM466">
        <v>-43.888501800017913</v>
      </c>
      <c r="AN466">
        <v>-19.666844549999951</v>
      </c>
      <c r="AO466">
        <v>-43.888501800017913</v>
      </c>
      <c r="AP466">
        <v>-19.666937999999998</v>
      </c>
      <c r="AQ466">
        <v>-43.888468000000003</v>
      </c>
      <c r="AR466">
        <v>10.9896825754148</v>
      </c>
      <c r="AS466" t="s">
        <v>65</v>
      </c>
      <c r="AT466">
        <v>1</v>
      </c>
      <c r="AU466" t="s">
        <v>662</v>
      </c>
      <c r="AV466" t="s">
        <v>663</v>
      </c>
      <c r="AW466" t="s">
        <v>60</v>
      </c>
      <c r="AX466" t="s">
        <v>68</v>
      </c>
      <c r="AY466" t="s">
        <v>69</v>
      </c>
      <c r="AZ466" t="b">
        <v>1</v>
      </c>
    </row>
    <row r="467" spans="1:52" x14ac:dyDescent="0.3">
      <c r="A467" t="s">
        <v>52</v>
      </c>
      <c r="B467" t="s">
        <v>53</v>
      </c>
      <c r="C467" t="s">
        <v>54</v>
      </c>
      <c r="D467" t="s">
        <v>55</v>
      </c>
      <c r="E467" t="s">
        <v>776</v>
      </c>
      <c r="F467" t="s">
        <v>176</v>
      </c>
      <c r="G467" t="s">
        <v>162</v>
      </c>
      <c r="H467" t="s">
        <v>163</v>
      </c>
      <c r="I467" t="s">
        <v>163</v>
      </c>
      <c r="J467" t="s">
        <v>60</v>
      </c>
      <c r="K467" t="s">
        <v>164</v>
      </c>
      <c r="L467" t="s">
        <v>62</v>
      </c>
      <c r="M467" t="s">
        <v>164</v>
      </c>
      <c r="N467" t="s">
        <v>165</v>
      </c>
      <c r="O467" t="s">
        <v>166</v>
      </c>
      <c r="P467">
        <v>-19.650033000000001</v>
      </c>
      <c r="Q467">
        <v>-43.904634000000001</v>
      </c>
      <c r="R467" s="2" t="str">
        <f>HYPERLINK("https://www.google.com/maps?q=-19.6500330,-43.9046340","Abrir no Google Maps")</f>
        <v>Abrir no Google Maps</v>
      </c>
      <c r="S467">
        <v>4</v>
      </c>
      <c r="T467">
        <v>343.61469317865811</v>
      </c>
      <c r="U467">
        <v>3</v>
      </c>
      <c r="V467">
        <v>9</v>
      </c>
      <c r="W467">
        <v>1</v>
      </c>
      <c r="X467">
        <v>9</v>
      </c>
      <c r="Y467">
        <v>1</v>
      </c>
      <c r="Z467">
        <v>351.81960241626399</v>
      </c>
      <c r="AA467">
        <v>2</v>
      </c>
      <c r="AB467">
        <v>3</v>
      </c>
      <c r="AC467">
        <v>7</v>
      </c>
      <c r="AD467">
        <v>25.45</v>
      </c>
      <c r="AE467">
        <v>253</v>
      </c>
      <c r="AF467">
        <v>15</v>
      </c>
      <c r="AG467">
        <v>62</v>
      </c>
      <c r="AH467">
        <v>32</v>
      </c>
      <c r="AI467">
        <v>5.93</v>
      </c>
      <c r="AJ467">
        <v>24.51</v>
      </c>
      <c r="AK467">
        <v>12.65</v>
      </c>
      <c r="AL467">
        <v>-19.650065899999959</v>
      </c>
      <c r="AM467">
        <v>-43.904619920569793</v>
      </c>
      <c r="AN467">
        <v>-19.650065899999959</v>
      </c>
      <c r="AO467">
        <v>-43.904619920569793</v>
      </c>
      <c r="AP467">
        <v>-19.650033000000001</v>
      </c>
      <c r="AQ467">
        <v>-43.904634000000001</v>
      </c>
      <c r="AR467">
        <v>3.9486827164921792</v>
      </c>
      <c r="AS467" t="s">
        <v>65</v>
      </c>
      <c r="AT467">
        <v>1</v>
      </c>
      <c r="AU467" t="s">
        <v>167</v>
      </c>
      <c r="AV467" t="s">
        <v>168</v>
      </c>
      <c r="AW467" t="s">
        <v>60</v>
      </c>
      <c r="AX467" t="s">
        <v>68</v>
      </c>
      <c r="AY467" t="s">
        <v>69</v>
      </c>
      <c r="AZ467" t="b">
        <v>1</v>
      </c>
    </row>
    <row r="468" spans="1:52" x14ac:dyDescent="0.3">
      <c r="A468" t="s">
        <v>52</v>
      </c>
      <c r="B468" t="s">
        <v>53</v>
      </c>
      <c r="C468" t="s">
        <v>54</v>
      </c>
      <c r="D468" t="s">
        <v>55</v>
      </c>
      <c r="E468" t="s">
        <v>776</v>
      </c>
      <c r="F468" t="s">
        <v>176</v>
      </c>
      <c r="G468" t="s">
        <v>279</v>
      </c>
      <c r="H468" t="s">
        <v>280</v>
      </c>
      <c r="I468" t="s">
        <v>280</v>
      </c>
      <c r="J468" t="s">
        <v>60</v>
      </c>
      <c r="K468" t="s">
        <v>171</v>
      </c>
      <c r="L468" t="s">
        <v>62</v>
      </c>
      <c r="M468" t="s">
        <v>171</v>
      </c>
      <c r="N468" t="s">
        <v>281</v>
      </c>
      <c r="O468" t="s">
        <v>282</v>
      </c>
      <c r="P468">
        <v>-19.677088000000001</v>
      </c>
      <c r="Q468">
        <v>-43.890014000000001</v>
      </c>
      <c r="R468" s="2" t="str">
        <f>HYPERLINK("https://www.google.com/maps?q=-19.6770880,-43.8900140","Abrir no Google Maps")</f>
        <v>Abrir no Google Maps</v>
      </c>
      <c r="S468">
        <v>4</v>
      </c>
      <c r="T468">
        <v>0</v>
      </c>
      <c r="U468">
        <v>3</v>
      </c>
      <c r="V468">
        <v>10</v>
      </c>
      <c r="W468">
        <v>1</v>
      </c>
      <c r="X468">
        <v>10</v>
      </c>
      <c r="Y468">
        <v>0</v>
      </c>
      <c r="Z468">
        <v>151.75635194559609</v>
      </c>
      <c r="AA468">
        <v>2</v>
      </c>
      <c r="AB468">
        <v>3</v>
      </c>
      <c r="AC468">
        <v>7</v>
      </c>
      <c r="AD468">
        <v>25.45</v>
      </c>
      <c r="AE468">
        <v>253</v>
      </c>
      <c r="AF468">
        <v>15</v>
      </c>
      <c r="AG468">
        <v>62</v>
      </c>
      <c r="AH468">
        <v>32</v>
      </c>
      <c r="AI468">
        <v>5.93</v>
      </c>
      <c r="AJ468">
        <v>24.51</v>
      </c>
      <c r="AK468">
        <v>12.65</v>
      </c>
      <c r="AL468">
        <v>-19.677165649999949</v>
      </c>
      <c r="AM468">
        <v>-43.890106299611283</v>
      </c>
      <c r="AN468">
        <v>-19.677165649999949</v>
      </c>
      <c r="AO468">
        <v>-43.890106299611283</v>
      </c>
      <c r="AP468">
        <v>-19.677088000000001</v>
      </c>
      <c r="AQ468">
        <v>-43.890014000000001</v>
      </c>
      <c r="AR468">
        <v>12.973833126778279</v>
      </c>
      <c r="AS468" t="s">
        <v>65</v>
      </c>
      <c r="AT468">
        <v>1</v>
      </c>
      <c r="AU468" t="s">
        <v>283</v>
      </c>
      <c r="AV468" t="s">
        <v>175</v>
      </c>
      <c r="AW468" t="s">
        <v>60</v>
      </c>
      <c r="AX468" t="s">
        <v>68</v>
      </c>
      <c r="AY468" t="s">
        <v>69</v>
      </c>
      <c r="AZ468" t="b">
        <v>1</v>
      </c>
    </row>
    <row r="469" spans="1:52" x14ac:dyDescent="0.3">
      <c r="A469" t="s">
        <v>52</v>
      </c>
      <c r="B469" t="s">
        <v>53</v>
      </c>
      <c r="C469" t="s">
        <v>54</v>
      </c>
      <c r="D469" t="s">
        <v>55</v>
      </c>
      <c r="E469" t="s">
        <v>776</v>
      </c>
      <c r="F469" t="s">
        <v>176</v>
      </c>
      <c r="G469" t="s">
        <v>394</v>
      </c>
      <c r="H469" t="s">
        <v>395</v>
      </c>
      <c r="I469" t="s">
        <v>395</v>
      </c>
      <c r="J469" t="s">
        <v>60</v>
      </c>
      <c r="K469" t="s">
        <v>286</v>
      </c>
      <c r="L469" t="s">
        <v>62</v>
      </c>
      <c r="M469" t="s">
        <v>286</v>
      </c>
      <c r="N469" t="s">
        <v>396</v>
      </c>
      <c r="O469" t="s">
        <v>88</v>
      </c>
      <c r="P469">
        <v>-19.636932999999999</v>
      </c>
      <c r="Q469">
        <v>-43.882691999999999</v>
      </c>
      <c r="R469" s="2" t="str">
        <f>HYPERLINK("https://www.google.com/maps?q=-19.6369330,-43.8826920","Abrir no Google Maps")</f>
        <v>Abrir no Google Maps</v>
      </c>
      <c r="S469">
        <v>3</v>
      </c>
      <c r="T469">
        <v>523.52675813688109</v>
      </c>
      <c r="U469">
        <v>4</v>
      </c>
      <c r="V469">
        <v>17</v>
      </c>
      <c r="W469">
        <v>1</v>
      </c>
      <c r="X469">
        <v>17</v>
      </c>
      <c r="Y469">
        <v>10</v>
      </c>
      <c r="Z469">
        <v>372.58135532659509</v>
      </c>
      <c r="AA469">
        <v>2</v>
      </c>
      <c r="AB469">
        <v>3</v>
      </c>
      <c r="AC469">
        <v>7</v>
      </c>
      <c r="AD469">
        <v>25.45</v>
      </c>
      <c r="AE469">
        <v>253</v>
      </c>
      <c r="AF469">
        <v>15</v>
      </c>
      <c r="AG469">
        <v>62</v>
      </c>
      <c r="AH469">
        <v>32</v>
      </c>
      <c r="AI469">
        <v>5.93</v>
      </c>
      <c r="AJ469">
        <v>24.51</v>
      </c>
      <c r="AK469">
        <v>12.65</v>
      </c>
      <c r="AL469">
        <v>-19.637159949999951</v>
      </c>
      <c r="AM469">
        <v>-43.882643289441461</v>
      </c>
      <c r="AN469">
        <v>-19.637159949999951</v>
      </c>
      <c r="AO469">
        <v>-43.882643289441461</v>
      </c>
      <c r="AP469">
        <v>-19.636932999999999</v>
      </c>
      <c r="AQ469">
        <v>-43.882691999999999</v>
      </c>
      <c r="AR469">
        <v>25.775099947452478</v>
      </c>
      <c r="AS469" t="s">
        <v>65</v>
      </c>
      <c r="AT469">
        <v>1</v>
      </c>
      <c r="AU469" t="s">
        <v>397</v>
      </c>
      <c r="AV469" t="s">
        <v>398</v>
      </c>
      <c r="AW469" t="s">
        <v>60</v>
      </c>
      <c r="AX469" t="s">
        <v>68</v>
      </c>
      <c r="AY469" t="s">
        <v>69</v>
      </c>
      <c r="AZ469" t="b">
        <v>1</v>
      </c>
    </row>
    <row r="470" spans="1:52" x14ac:dyDescent="0.3">
      <c r="A470" t="s">
        <v>52</v>
      </c>
      <c r="B470" t="s">
        <v>53</v>
      </c>
      <c r="C470" t="s">
        <v>54</v>
      </c>
      <c r="D470" t="s">
        <v>55</v>
      </c>
      <c r="E470" t="s">
        <v>776</v>
      </c>
      <c r="F470" t="s">
        <v>176</v>
      </c>
      <c r="G470" t="s">
        <v>284</v>
      </c>
      <c r="H470" t="s">
        <v>285</v>
      </c>
      <c r="I470" t="s">
        <v>285</v>
      </c>
      <c r="J470" t="s">
        <v>60</v>
      </c>
      <c r="K470" t="s">
        <v>286</v>
      </c>
      <c r="L470" t="s">
        <v>62</v>
      </c>
      <c r="M470" t="s">
        <v>286</v>
      </c>
      <c r="N470" t="s">
        <v>287</v>
      </c>
      <c r="O470" t="s">
        <v>288</v>
      </c>
      <c r="P470">
        <v>-19.639790000000001</v>
      </c>
      <c r="Q470">
        <v>-43.882798999999999</v>
      </c>
      <c r="R470" s="2" t="str">
        <f>HYPERLINK("https://www.google.com/maps?q=-19.6397900,-43.8827990","Abrir no Google Maps")</f>
        <v>Abrir no Google Maps</v>
      </c>
      <c r="S470">
        <v>3</v>
      </c>
      <c r="T470">
        <v>242.7052058134478</v>
      </c>
      <c r="U470">
        <v>4</v>
      </c>
      <c r="V470">
        <v>27</v>
      </c>
      <c r="W470">
        <v>1</v>
      </c>
      <c r="X470">
        <v>27</v>
      </c>
      <c r="Y470">
        <v>10</v>
      </c>
      <c r="Z470">
        <v>187.2088809462339</v>
      </c>
      <c r="AA470">
        <v>2</v>
      </c>
      <c r="AB470">
        <v>3</v>
      </c>
      <c r="AC470">
        <v>7</v>
      </c>
      <c r="AD470">
        <v>25.45</v>
      </c>
      <c r="AE470">
        <v>253</v>
      </c>
      <c r="AF470">
        <v>15</v>
      </c>
      <c r="AG470">
        <v>62</v>
      </c>
      <c r="AH470">
        <v>32</v>
      </c>
      <c r="AI470">
        <v>5.93</v>
      </c>
      <c r="AJ470">
        <v>24.51</v>
      </c>
      <c r="AK470">
        <v>12.65</v>
      </c>
      <c r="AL470">
        <v>-19.639855599999951</v>
      </c>
      <c r="AM470">
        <v>-43.882909745178452</v>
      </c>
      <c r="AN470">
        <v>-19.639855599999951</v>
      </c>
      <c r="AO470">
        <v>-43.882909745178452</v>
      </c>
      <c r="AP470">
        <v>-19.639790000000001</v>
      </c>
      <c r="AQ470">
        <v>-43.882798999999999</v>
      </c>
      <c r="AR470">
        <v>13.716486068571211</v>
      </c>
      <c r="AS470" t="s">
        <v>65</v>
      </c>
      <c r="AT470">
        <v>1</v>
      </c>
      <c r="AU470" t="s">
        <v>289</v>
      </c>
      <c r="AV470" t="s">
        <v>290</v>
      </c>
      <c r="AW470" t="s">
        <v>60</v>
      </c>
      <c r="AX470" t="s">
        <v>68</v>
      </c>
      <c r="AY470" t="s">
        <v>69</v>
      </c>
      <c r="AZ470" t="b">
        <v>1</v>
      </c>
    </row>
    <row r="471" spans="1:52" x14ac:dyDescent="0.3">
      <c r="A471" t="s">
        <v>52</v>
      </c>
      <c r="B471" t="s">
        <v>53</v>
      </c>
      <c r="C471" t="s">
        <v>54</v>
      </c>
      <c r="D471" t="s">
        <v>55</v>
      </c>
      <c r="E471" t="s">
        <v>776</v>
      </c>
      <c r="F471" t="s">
        <v>176</v>
      </c>
      <c r="G471" t="s">
        <v>291</v>
      </c>
      <c r="H471" t="s">
        <v>292</v>
      </c>
      <c r="I471" t="s">
        <v>292</v>
      </c>
      <c r="J471" t="s">
        <v>60</v>
      </c>
      <c r="K471" t="s">
        <v>286</v>
      </c>
      <c r="L471" t="s">
        <v>62</v>
      </c>
      <c r="M471" t="s">
        <v>286</v>
      </c>
      <c r="N471" t="s">
        <v>293</v>
      </c>
      <c r="O471" t="s">
        <v>294</v>
      </c>
      <c r="P471">
        <v>-19.640333999999999</v>
      </c>
      <c r="Q471">
        <v>-43.880004999999997</v>
      </c>
      <c r="R471" s="2" t="str">
        <f>HYPERLINK("https://www.google.com/maps?q=-19.6403340,-43.8800050","Abrir no Google Maps")</f>
        <v>Abrir no Google Maps</v>
      </c>
      <c r="S471">
        <v>3</v>
      </c>
      <c r="T471">
        <v>276.80943817309782</v>
      </c>
      <c r="U471">
        <v>4</v>
      </c>
      <c r="V471">
        <v>18</v>
      </c>
      <c r="W471">
        <v>1</v>
      </c>
      <c r="X471">
        <v>18</v>
      </c>
      <c r="Y471">
        <v>10</v>
      </c>
      <c r="Z471">
        <v>361.98332038983392</v>
      </c>
      <c r="AA471">
        <v>2</v>
      </c>
      <c r="AB471">
        <v>3</v>
      </c>
      <c r="AC471">
        <v>7</v>
      </c>
      <c r="AD471">
        <v>25.45</v>
      </c>
      <c r="AE471">
        <v>253</v>
      </c>
      <c r="AF471">
        <v>15</v>
      </c>
      <c r="AG471">
        <v>62</v>
      </c>
      <c r="AH471">
        <v>32</v>
      </c>
      <c r="AI471">
        <v>5.93</v>
      </c>
      <c r="AJ471">
        <v>24.51</v>
      </c>
      <c r="AK471">
        <v>12.65</v>
      </c>
      <c r="AL471">
        <v>-19.640260249999951</v>
      </c>
      <c r="AM471">
        <v>-43.880090474326408</v>
      </c>
      <c r="AN471">
        <v>-19.640260249999951</v>
      </c>
      <c r="AO471">
        <v>-43.880090474326408</v>
      </c>
      <c r="AP471">
        <v>-19.640333999999999</v>
      </c>
      <c r="AQ471">
        <v>-43.880004999999997</v>
      </c>
      <c r="AR471">
        <v>12.153556195359609</v>
      </c>
      <c r="AS471" t="s">
        <v>65</v>
      </c>
      <c r="AT471">
        <v>1</v>
      </c>
      <c r="AU471" t="s">
        <v>295</v>
      </c>
      <c r="AV471" t="s">
        <v>296</v>
      </c>
      <c r="AW471" t="s">
        <v>60</v>
      </c>
      <c r="AX471" t="s">
        <v>68</v>
      </c>
      <c r="AY471" t="s">
        <v>69</v>
      </c>
      <c r="AZ471" t="b">
        <v>1</v>
      </c>
    </row>
    <row r="472" spans="1:52" x14ac:dyDescent="0.3">
      <c r="A472" t="s">
        <v>52</v>
      </c>
      <c r="B472" t="s">
        <v>53</v>
      </c>
      <c r="C472" t="s">
        <v>54</v>
      </c>
      <c r="D472" t="s">
        <v>55</v>
      </c>
      <c r="E472" t="s">
        <v>776</v>
      </c>
      <c r="F472" t="s">
        <v>176</v>
      </c>
      <c r="G472" t="s">
        <v>417</v>
      </c>
      <c r="H472" t="s">
        <v>418</v>
      </c>
      <c r="I472" t="s">
        <v>418</v>
      </c>
      <c r="J472" t="s">
        <v>60</v>
      </c>
      <c r="K472" t="s">
        <v>179</v>
      </c>
      <c r="L472" t="s">
        <v>62</v>
      </c>
      <c r="M472" t="s">
        <v>179</v>
      </c>
      <c r="N472" t="s">
        <v>419</v>
      </c>
      <c r="O472" t="s">
        <v>420</v>
      </c>
      <c r="P472">
        <v>-19.646516999999999</v>
      </c>
      <c r="Q472">
        <v>-43.889716</v>
      </c>
      <c r="R472" s="2" t="str">
        <f>HYPERLINK("https://www.google.com/maps?q=-19.6465170,-43.8897160","Abrir no Google Maps")</f>
        <v>Abrir no Google Maps</v>
      </c>
      <c r="S472">
        <v>3</v>
      </c>
      <c r="T472">
        <v>796.8355517653099</v>
      </c>
      <c r="U472">
        <v>4</v>
      </c>
      <c r="V472">
        <v>16</v>
      </c>
      <c r="W472">
        <v>1</v>
      </c>
      <c r="X472">
        <v>16</v>
      </c>
      <c r="Y472">
        <v>7</v>
      </c>
      <c r="Z472">
        <v>749.72812632947034</v>
      </c>
      <c r="AA472">
        <v>2</v>
      </c>
      <c r="AB472">
        <v>3</v>
      </c>
      <c r="AC472">
        <v>7</v>
      </c>
      <c r="AD472">
        <v>25.45</v>
      </c>
      <c r="AE472">
        <v>253</v>
      </c>
      <c r="AF472">
        <v>15</v>
      </c>
      <c r="AG472">
        <v>62</v>
      </c>
      <c r="AH472">
        <v>32</v>
      </c>
      <c r="AI472">
        <v>5.93</v>
      </c>
      <c r="AJ472">
        <v>24.51</v>
      </c>
      <c r="AK472">
        <v>12.65</v>
      </c>
      <c r="AL472">
        <v>-19.646452649999961</v>
      </c>
      <c r="AM472">
        <v>-43.88991036523079</v>
      </c>
      <c r="AN472">
        <v>-19.646452649999961</v>
      </c>
      <c r="AO472">
        <v>-43.88991036523079</v>
      </c>
      <c r="AP472">
        <v>-19.646516999999999</v>
      </c>
      <c r="AQ472">
        <v>-43.889716</v>
      </c>
      <c r="AR472">
        <v>21.599617922669939</v>
      </c>
      <c r="AS472" t="s">
        <v>65</v>
      </c>
      <c r="AT472">
        <v>1</v>
      </c>
      <c r="AU472" t="s">
        <v>421</v>
      </c>
      <c r="AV472" t="s">
        <v>422</v>
      </c>
      <c r="AW472" t="s">
        <v>60</v>
      </c>
      <c r="AX472" t="s">
        <v>68</v>
      </c>
      <c r="AY472" t="s">
        <v>69</v>
      </c>
      <c r="AZ472" t="b">
        <v>1</v>
      </c>
    </row>
    <row r="473" spans="1:52" x14ac:dyDescent="0.3">
      <c r="A473" t="s">
        <v>52</v>
      </c>
      <c r="B473" t="s">
        <v>53</v>
      </c>
      <c r="C473" t="s">
        <v>54</v>
      </c>
      <c r="D473" t="s">
        <v>55</v>
      </c>
      <c r="E473" t="s">
        <v>776</v>
      </c>
      <c r="F473" t="s">
        <v>176</v>
      </c>
      <c r="G473" t="s">
        <v>228</v>
      </c>
      <c r="H473" t="s">
        <v>423</v>
      </c>
      <c r="I473" t="s">
        <v>423</v>
      </c>
      <c r="J473" t="s">
        <v>60</v>
      </c>
      <c r="K473" t="s">
        <v>286</v>
      </c>
      <c r="L473" t="s">
        <v>62</v>
      </c>
      <c r="M473" t="s">
        <v>286</v>
      </c>
      <c r="N473" t="s">
        <v>230</v>
      </c>
      <c r="O473" t="s">
        <v>424</v>
      </c>
      <c r="P473">
        <v>-19.641656999999999</v>
      </c>
      <c r="Q473">
        <v>-43.884228999999998</v>
      </c>
      <c r="R473" s="2" t="str">
        <f>HYPERLINK("https://www.google.com/maps?q=-19.6416570,-43.8842290","Abrir no Google Maps")</f>
        <v>Abrir no Google Maps</v>
      </c>
      <c r="S473">
        <v>3</v>
      </c>
      <c r="T473">
        <v>0</v>
      </c>
      <c r="U473">
        <v>4</v>
      </c>
      <c r="V473">
        <v>17</v>
      </c>
      <c r="W473">
        <v>1</v>
      </c>
      <c r="X473">
        <v>17</v>
      </c>
      <c r="Y473">
        <v>7</v>
      </c>
      <c r="Z473">
        <v>67.727401070752876</v>
      </c>
      <c r="AA473">
        <v>2</v>
      </c>
      <c r="AB473">
        <v>3</v>
      </c>
      <c r="AC473">
        <v>7</v>
      </c>
      <c r="AD473">
        <v>25.45</v>
      </c>
      <c r="AE473">
        <v>253</v>
      </c>
      <c r="AF473">
        <v>15</v>
      </c>
      <c r="AG473">
        <v>62</v>
      </c>
      <c r="AH473">
        <v>32</v>
      </c>
      <c r="AI473">
        <v>5.93</v>
      </c>
      <c r="AJ473">
        <v>24.51</v>
      </c>
      <c r="AK473">
        <v>12.65</v>
      </c>
      <c r="AL473">
        <v>-19.641634199999942</v>
      </c>
      <c r="AM473">
        <v>-43.884263743972831</v>
      </c>
      <c r="AN473">
        <v>-19.641634199999942</v>
      </c>
      <c r="AO473">
        <v>-43.884263743972831</v>
      </c>
      <c r="AP473">
        <v>-19.641656999999999</v>
      </c>
      <c r="AQ473">
        <v>-43.884228999999998</v>
      </c>
      <c r="AR473">
        <v>4.4396888961435659</v>
      </c>
      <c r="AS473" t="s">
        <v>65</v>
      </c>
      <c r="AT473">
        <v>1</v>
      </c>
      <c r="AU473" t="s">
        <v>425</v>
      </c>
      <c r="AV473" t="s">
        <v>426</v>
      </c>
      <c r="AW473" t="s">
        <v>60</v>
      </c>
      <c r="AX473" t="s">
        <v>68</v>
      </c>
      <c r="AY473" t="s">
        <v>69</v>
      </c>
      <c r="AZ473" t="b">
        <v>1</v>
      </c>
    </row>
    <row r="474" spans="1:52" x14ac:dyDescent="0.3">
      <c r="A474" t="s">
        <v>52</v>
      </c>
      <c r="B474" t="s">
        <v>53</v>
      </c>
      <c r="C474" t="s">
        <v>54</v>
      </c>
      <c r="D474" t="s">
        <v>55</v>
      </c>
      <c r="E474" t="s">
        <v>776</v>
      </c>
      <c r="F474" t="s">
        <v>176</v>
      </c>
      <c r="G474" t="s">
        <v>670</v>
      </c>
      <c r="H474" t="s">
        <v>671</v>
      </c>
      <c r="I474" t="s">
        <v>671</v>
      </c>
      <c r="J474" t="s">
        <v>60</v>
      </c>
      <c r="K474" t="s">
        <v>672</v>
      </c>
      <c r="L474" t="s">
        <v>62</v>
      </c>
      <c r="M474" t="s">
        <v>672</v>
      </c>
      <c r="N474" t="s">
        <v>673</v>
      </c>
      <c r="O474" t="s">
        <v>424</v>
      </c>
      <c r="P474">
        <v>-19.574909999999999</v>
      </c>
      <c r="Q474">
        <v>-43.906655999999998</v>
      </c>
      <c r="R474" s="2" t="str">
        <f>HYPERLINK("https://www.google.com/maps?q=-19.5749100,-43.9066560","Abrir no Google Maps")</f>
        <v>Abrir no Google Maps</v>
      </c>
      <c r="S474">
        <v>3</v>
      </c>
      <c r="T474">
        <v>1366.716412286687</v>
      </c>
      <c r="U474">
        <v>4</v>
      </c>
      <c r="V474">
        <v>32</v>
      </c>
      <c r="W474">
        <v>1</v>
      </c>
      <c r="X474">
        <v>32</v>
      </c>
      <c r="Y474">
        <v>7</v>
      </c>
      <c r="Z474">
        <v>1153.3004962806151</v>
      </c>
      <c r="AA474">
        <v>2</v>
      </c>
      <c r="AB474">
        <v>3</v>
      </c>
      <c r="AC474">
        <v>7</v>
      </c>
      <c r="AD474">
        <v>25.45</v>
      </c>
      <c r="AE474">
        <v>253</v>
      </c>
      <c r="AF474">
        <v>15</v>
      </c>
      <c r="AG474">
        <v>62</v>
      </c>
      <c r="AH474">
        <v>32</v>
      </c>
      <c r="AI474">
        <v>5.93</v>
      </c>
      <c r="AJ474">
        <v>24.51</v>
      </c>
      <c r="AK474">
        <v>12.65</v>
      </c>
      <c r="AL474">
        <v>-19.574026899999978</v>
      </c>
      <c r="AM474">
        <v>-43.907476033591983</v>
      </c>
      <c r="AN474">
        <v>-19.574026899999978</v>
      </c>
      <c r="AO474">
        <v>-43.907476033591983</v>
      </c>
      <c r="AP474">
        <v>-19.574909999999999</v>
      </c>
      <c r="AQ474">
        <v>-43.906655999999998</v>
      </c>
      <c r="AR474">
        <v>130.62174183264671</v>
      </c>
      <c r="AS474" t="s">
        <v>65</v>
      </c>
      <c r="AT474">
        <v>1</v>
      </c>
      <c r="AU474" t="s">
        <v>674</v>
      </c>
      <c r="AV474" t="s">
        <v>675</v>
      </c>
      <c r="AW474" t="s">
        <v>60</v>
      </c>
      <c r="AX474" t="s">
        <v>68</v>
      </c>
      <c r="AY474" t="s">
        <v>69</v>
      </c>
      <c r="AZ474" t="b">
        <v>1</v>
      </c>
    </row>
    <row r="475" spans="1:52" x14ac:dyDescent="0.3">
      <c r="A475" t="s">
        <v>52</v>
      </c>
      <c r="B475" t="s">
        <v>53</v>
      </c>
      <c r="C475" t="s">
        <v>54</v>
      </c>
      <c r="D475" t="s">
        <v>55</v>
      </c>
      <c r="E475" t="s">
        <v>776</v>
      </c>
      <c r="F475" t="s">
        <v>176</v>
      </c>
      <c r="G475" t="s">
        <v>309</v>
      </c>
      <c r="H475" t="s">
        <v>310</v>
      </c>
      <c r="I475" t="s">
        <v>310</v>
      </c>
      <c r="J475" t="s">
        <v>60</v>
      </c>
      <c r="K475" t="s">
        <v>311</v>
      </c>
      <c r="L475" t="s">
        <v>62</v>
      </c>
      <c r="M475" t="s">
        <v>311</v>
      </c>
      <c r="N475" t="s">
        <v>312</v>
      </c>
      <c r="O475" t="s">
        <v>313</v>
      </c>
      <c r="P475">
        <v>-19.576996999999999</v>
      </c>
      <c r="Q475">
        <v>-43.919024999999998</v>
      </c>
      <c r="R475" s="2" t="str">
        <f>HYPERLINK("https://www.google.com/maps?q=-19.5769970,-43.9190250","Abrir no Google Maps")</f>
        <v>Abrir no Google Maps</v>
      </c>
      <c r="S475">
        <v>3</v>
      </c>
      <c r="T475">
        <v>316.64266747869789</v>
      </c>
      <c r="U475">
        <v>4</v>
      </c>
      <c r="V475">
        <v>30</v>
      </c>
      <c r="W475">
        <v>0.85</v>
      </c>
      <c r="X475">
        <v>25.5</v>
      </c>
      <c r="Y475">
        <v>5</v>
      </c>
      <c r="Z475">
        <v>411.74435151529269</v>
      </c>
      <c r="AA475">
        <v>2</v>
      </c>
      <c r="AB475">
        <v>3</v>
      </c>
      <c r="AC475">
        <v>7</v>
      </c>
      <c r="AD475">
        <v>25.45</v>
      </c>
      <c r="AE475">
        <v>253</v>
      </c>
      <c r="AF475">
        <v>15</v>
      </c>
      <c r="AG475">
        <v>62</v>
      </c>
      <c r="AH475">
        <v>32</v>
      </c>
      <c r="AI475">
        <v>5.93</v>
      </c>
      <c r="AJ475">
        <v>24.51</v>
      </c>
      <c r="AK475">
        <v>12.65</v>
      </c>
      <c r="AL475">
        <v>-19.576964999999941</v>
      </c>
      <c r="AM475">
        <v>-43.919068241233632</v>
      </c>
      <c r="AN475">
        <v>-19.576964999999941</v>
      </c>
      <c r="AO475">
        <v>-43.919068241233632</v>
      </c>
      <c r="AP475">
        <v>-19.576996999999999</v>
      </c>
      <c r="AQ475">
        <v>-43.919024999999998</v>
      </c>
      <c r="AR475">
        <v>5.7670575161946216</v>
      </c>
      <c r="AS475" t="s">
        <v>65</v>
      </c>
      <c r="AT475">
        <v>1</v>
      </c>
      <c r="AU475" t="s">
        <v>314</v>
      </c>
      <c r="AV475" t="s">
        <v>315</v>
      </c>
      <c r="AW475" t="s">
        <v>60</v>
      </c>
      <c r="AX475" t="s">
        <v>68</v>
      </c>
      <c r="AY475" t="s">
        <v>69</v>
      </c>
      <c r="AZ475" t="b">
        <v>1</v>
      </c>
    </row>
    <row r="476" spans="1:52" x14ac:dyDescent="0.3">
      <c r="A476" t="s">
        <v>52</v>
      </c>
      <c r="B476" t="s">
        <v>53</v>
      </c>
      <c r="C476" t="s">
        <v>54</v>
      </c>
      <c r="D476" t="s">
        <v>55</v>
      </c>
      <c r="E476" t="s">
        <v>776</v>
      </c>
      <c r="F476" t="s">
        <v>176</v>
      </c>
      <c r="G476" t="s">
        <v>309</v>
      </c>
      <c r="H476" t="s">
        <v>316</v>
      </c>
      <c r="I476" t="s">
        <v>316</v>
      </c>
      <c r="J476" t="s">
        <v>60</v>
      </c>
      <c r="K476" t="s">
        <v>311</v>
      </c>
      <c r="L476" t="s">
        <v>62</v>
      </c>
      <c r="M476" t="s">
        <v>311</v>
      </c>
      <c r="N476" t="s">
        <v>317</v>
      </c>
      <c r="O476" t="s">
        <v>313</v>
      </c>
      <c r="P476">
        <v>-19.580131999999999</v>
      </c>
      <c r="Q476">
        <v>-43.918303000000002</v>
      </c>
      <c r="R476" s="2" t="str">
        <f>HYPERLINK("https://www.google.com/maps?q=-19.5801320,-43.9183030","Abrir no Google Maps")</f>
        <v>Abrir no Google Maps</v>
      </c>
      <c r="S476">
        <v>3</v>
      </c>
      <c r="T476">
        <v>665.05989403461285</v>
      </c>
      <c r="U476">
        <v>4</v>
      </c>
      <c r="V476">
        <v>27</v>
      </c>
      <c r="W476">
        <v>1</v>
      </c>
      <c r="X476">
        <v>27</v>
      </c>
      <c r="Y476">
        <v>5</v>
      </c>
      <c r="Z476">
        <v>743.64474333505098</v>
      </c>
      <c r="AA476">
        <v>2</v>
      </c>
      <c r="AB476">
        <v>3</v>
      </c>
      <c r="AC476">
        <v>7</v>
      </c>
      <c r="AD476">
        <v>25.45</v>
      </c>
      <c r="AE476">
        <v>253</v>
      </c>
      <c r="AF476">
        <v>15</v>
      </c>
      <c r="AG476">
        <v>62</v>
      </c>
      <c r="AH476">
        <v>32</v>
      </c>
      <c r="AI476">
        <v>5.93</v>
      </c>
      <c r="AJ476">
        <v>24.51</v>
      </c>
      <c r="AK476">
        <v>12.65</v>
      </c>
      <c r="AL476">
        <v>-19.58010349999995</v>
      </c>
      <c r="AM476">
        <v>-43.918363319288602</v>
      </c>
      <c r="AN476">
        <v>-19.58010349999995</v>
      </c>
      <c r="AO476">
        <v>-43.918363319288602</v>
      </c>
      <c r="AP476">
        <v>-19.580131999999999</v>
      </c>
      <c r="AQ476">
        <v>-43.918303000000002</v>
      </c>
      <c r="AR476">
        <v>7.0773977790944862</v>
      </c>
      <c r="AS476" t="s">
        <v>65</v>
      </c>
      <c r="AT476">
        <v>1</v>
      </c>
      <c r="AU476" t="s">
        <v>318</v>
      </c>
      <c r="AV476" t="s">
        <v>319</v>
      </c>
      <c r="AW476" t="s">
        <v>60</v>
      </c>
      <c r="AX476" t="s">
        <v>68</v>
      </c>
      <c r="AY476" t="s">
        <v>69</v>
      </c>
      <c r="AZ476" t="b">
        <v>1</v>
      </c>
    </row>
    <row r="477" spans="1:52" x14ac:dyDescent="0.3">
      <c r="A477" t="s">
        <v>52</v>
      </c>
      <c r="B477" t="s">
        <v>53</v>
      </c>
      <c r="C477" t="s">
        <v>54</v>
      </c>
      <c r="D477" t="s">
        <v>55</v>
      </c>
      <c r="E477" t="s">
        <v>776</v>
      </c>
      <c r="F477" t="s">
        <v>176</v>
      </c>
      <c r="G477" t="s">
        <v>433</v>
      </c>
      <c r="H477" t="s">
        <v>434</v>
      </c>
      <c r="I477" t="s">
        <v>434</v>
      </c>
      <c r="J477" t="s">
        <v>60</v>
      </c>
      <c r="K477" t="s">
        <v>311</v>
      </c>
      <c r="L477" t="s">
        <v>62</v>
      </c>
      <c r="M477" t="s">
        <v>311</v>
      </c>
      <c r="N477" t="s">
        <v>435</v>
      </c>
      <c r="O477" t="s">
        <v>120</v>
      </c>
      <c r="P477">
        <v>-19.563834</v>
      </c>
      <c r="Q477">
        <v>-43.917617</v>
      </c>
      <c r="R477" s="2" t="str">
        <f>HYPERLINK("https://www.google.com/maps?q=-19.5638340,-43.9176170","Abrir no Google Maps")</f>
        <v>Abrir no Google Maps</v>
      </c>
      <c r="S477">
        <v>3</v>
      </c>
      <c r="T477">
        <v>1208.4380275937069</v>
      </c>
      <c r="U477">
        <v>4</v>
      </c>
      <c r="V477">
        <v>16</v>
      </c>
      <c r="W477">
        <v>1</v>
      </c>
      <c r="X477">
        <v>16</v>
      </c>
      <c r="Y477">
        <v>5</v>
      </c>
      <c r="Z477">
        <v>1239.357315084522</v>
      </c>
      <c r="AA477">
        <v>2</v>
      </c>
      <c r="AB477">
        <v>3</v>
      </c>
      <c r="AC477">
        <v>7</v>
      </c>
      <c r="AD477">
        <v>25.45</v>
      </c>
      <c r="AE477">
        <v>253</v>
      </c>
      <c r="AF477">
        <v>15</v>
      </c>
      <c r="AG477">
        <v>62</v>
      </c>
      <c r="AH477">
        <v>32</v>
      </c>
      <c r="AI477">
        <v>5.93</v>
      </c>
      <c r="AJ477">
        <v>24.51</v>
      </c>
      <c r="AK477">
        <v>12.65</v>
      </c>
      <c r="AL477">
        <v>-19.563932349999959</v>
      </c>
      <c r="AM477">
        <v>-43.917383104532327</v>
      </c>
      <c r="AN477">
        <v>-19.563932349999959</v>
      </c>
      <c r="AO477">
        <v>-43.917383104532327</v>
      </c>
      <c r="AP477">
        <v>-19.563834</v>
      </c>
      <c r="AQ477">
        <v>-43.917617</v>
      </c>
      <c r="AR477">
        <v>26.86608405010627</v>
      </c>
      <c r="AS477" t="s">
        <v>65</v>
      </c>
      <c r="AT477">
        <v>1</v>
      </c>
      <c r="AU477" t="s">
        <v>436</v>
      </c>
      <c r="AV477" t="s">
        <v>437</v>
      </c>
      <c r="AW477" t="s">
        <v>60</v>
      </c>
      <c r="AX477" t="s">
        <v>68</v>
      </c>
      <c r="AY477" t="s">
        <v>69</v>
      </c>
      <c r="AZ477" t="b">
        <v>1</v>
      </c>
    </row>
    <row r="478" spans="1:52" x14ac:dyDescent="0.3">
      <c r="A478" t="s">
        <v>52</v>
      </c>
      <c r="B478" t="s">
        <v>53</v>
      </c>
      <c r="C478" t="s">
        <v>54</v>
      </c>
      <c r="D478" t="s">
        <v>55</v>
      </c>
      <c r="E478" t="s">
        <v>776</v>
      </c>
      <c r="F478" t="s">
        <v>176</v>
      </c>
      <c r="G478" t="s">
        <v>450</v>
      </c>
      <c r="H478" t="s">
        <v>451</v>
      </c>
      <c r="I478" t="s">
        <v>451</v>
      </c>
      <c r="J478" t="s">
        <v>60</v>
      </c>
      <c r="K478" t="s">
        <v>452</v>
      </c>
      <c r="L478" t="s">
        <v>62</v>
      </c>
      <c r="M478" t="s">
        <v>452</v>
      </c>
      <c r="N478" t="s">
        <v>453</v>
      </c>
      <c r="O478" t="s">
        <v>454</v>
      </c>
      <c r="P478">
        <v>-19.649691000000001</v>
      </c>
      <c r="Q478">
        <v>-43.873970999999997</v>
      </c>
      <c r="R478" s="2" t="str">
        <f>HYPERLINK("https://www.google.com/maps?q=-19.6496910,-43.8739710","Abrir no Google Maps")</f>
        <v>Abrir no Google Maps</v>
      </c>
      <c r="S478">
        <v>3</v>
      </c>
      <c r="T478">
        <v>433.54329587849469</v>
      </c>
      <c r="U478">
        <v>4</v>
      </c>
      <c r="V478">
        <v>19</v>
      </c>
      <c r="W478">
        <v>1</v>
      </c>
      <c r="X478">
        <v>19</v>
      </c>
      <c r="Y478">
        <v>3</v>
      </c>
      <c r="Z478">
        <v>298.71042308886041</v>
      </c>
      <c r="AA478">
        <v>2</v>
      </c>
      <c r="AB478">
        <v>3</v>
      </c>
      <c r="AC478">
        <v>7</v>
      </c>
      <c r="AD478">
        <v>25.45</v>
      </c>
      <c r="AE478">
        <v>253</v>
      </c>
      <c r="AF478">
        <v>15</v>
      </c>
      <c r="AG478">
        <v>62</v>
      </c>
      <c r="AH478">
        <v>32</v>
      </c>
      <c r="AI478">
        <v>5.93</v>
      </c>
      <c r="AJ478">
        <v>24.51</v>
      </c>
      <c r="AK478">
        <v>12.65</v>
      </c>
      <c r="AL478">
        <v>-19.64973869999994</v>
      </c>
      <c r="AM478">
        <v>-43.873980587601103</v>
      </c>
      <c r="AN478">
        <v>-19.64973869999994</v>
      </c>
      <c r="AO478">
        <v>-43.873980587601103</v>
      </c>
      <c r="AP478">
        <v>-19.649691000000001</v>
      </c>
      <c r="AQ478">
        <v>-43.873970999999997</v>
      </c>
      <c r="AR478">
        <v>5.4042596125531333</v>
      </c>
      <c r="AS478" t="s">
        <v>65</v>
      </c>
      <c r="AT478">
        <v>1</v>
      </c>
      <c r="AU478" t="s">
        <v>455</v>
      </c>
      <c r="AV478" t="s">
        <v>456</v>
      </c>
      <c r="AW478" t="s">
        <v>60</v>
      </c>
      <c r="AX478" t="s">
        <v>68</v>
      </c>
      <c r="AY478" t="s">
        <v>69</v>
      </c>
      <c r="AZ478" t="b">
        <v>1</v>
      </c>
    </row>
    <row r="479" spans="1:52" x14ac:dyDescent="0.3">
      <c r="A479" t="s">
        <v>52</v>
      </c>
      <c r="B479" t="s">
        <v>53</v>
      </c>
      <c r="C479" t="s">
        <v>54</v>
      </c>
      <c r="D479" t="s">
        <v>55</v>
      </c>
      <c r="E479" t="s">
        <v>776</v>
      </c>
      <c r="F479" t="s">
        <v>176</v>
      </c>
      <c r="G479" t="s">
        <v>324</v>
      </c>
      <c r="H479" t="s">
        <v>325</v>
      </c>
      <c r="I479" t="s">
        <v>325</v>
      </c>
      <c r="J479" t="s">
        <v>60</v>
      </c>
      <c r="K479" t="s">
        <v>326</v>
      </c>
      <c r="L479" t="s">
        <v>62</v>
      </c>
      <c r="M479" t="s">
        <v>326</v>
      </c>
      <c r="N479" t="s">
        <v>327</v>
      </c>
      <c r="O479" t="s">
        <v>328</v>
      </c>
      <c r="P479">
        <v>-19.654454000000001</v>
      </c>
      <c r="Q479">
        <v>-43.874654</v>
      </c>
      <c r="R479" s="2" t="str">
        <f>HYPERLINK("https://www.google.com/maps?q=-19.6544540,-43.8746540","Abrir no Google Maps")</f>
        <v>Abrir no Google Maps</v>
      </c>
      <c r="S479">
        <v>3</v>
      </c>
      <c r="T479">
        <v>461.71515786258828</v>
      </c>
      <c r="U479">
        <v>4</v>
      </c>
      <c r="V479">
        <v>16</v>
      </c>
      <c r="W479">
        <v>1</v>
      </c>
      <c r="X479">
        <v>16</v>
      </c>
      <c r="Y479">
        <v>3</v>
      </c>
      <c r="Z479">
        <v>321.42492762576637</v>
      </c>
      <c r="AA479">
        <v>2</v>
      </c>
      <c r="AB479">
        <v>3</v>
      </c>
      <c r="AC479">
        <v>7</v>
      </c>
      <c r="AD479">
        <v>25.45</v>
      </c>
      <c r="AE479">
        <v>253</v>
      </c>
      <c r="AF479">
        <v>15</v>
      </c>
      <c r="AG479">
        <v>62</v>
      </c>
      <c r="AH479">
        <v>32</v>
      </c>
      <c r="AI479">
        <v>5.93</v>
      </c>
      <c r="AJ479">
        <v>24.51</v>
      </c>
      <c r="AK479">
        <v>12.65</v>
      </c>
      <c r="AL479">
        <v>-19.654399599999941</v>
      </c>
      <c r="AM479">
        <v>-43.87457008070222</v>
      </c>
      <c r="AN479">
        <v>-19.654399599999941</v>
      </c>
      <c r="AO479">
        <v>-43.87457008070222</v>
      </c>
      <c r="AP479">
        <v>-19.654454000000001</v>
      </c>
      <c r="AQ479">
        <v>-43.874654</v>
      </c>
      <c r="AR479">
        <v>10.68040226290562</v>
      </c>
      <c r="AS479" t="s">
        <v>65</v>
      </c>
      <c r="AT479">
        <v>1</v>
      </c>
      <c r="AU479" t="s">
        <v>329</v>
      </c>
      <c r="AV479" t="s">
        <v>330</v>
      </c>
      <c r="AW479" t="s">
        <v>60</v>
      </c>
      <c r="AX479" t="s">
        <v>68</v>
      </c>
      <c r="AY479" t="s">
        <v>69</v>
      </c>
      <c r="AZ479" t="b">
        <v>1</v>
      </c>
    </row>
    <row r="480" spans="1:52" x14ac:dyDescent="0.3">
      <c r="A480" t="s">
        <v>52</v>
      </c>
      <c r="B480" t="s">
        <v>53</v>
      </c>
      <c r="C480" t="s">
        <v>54</v>
      </c>
      <c r="D480" t="s">
        <v>55</v>
      </c>
      <c r="E480" t="s">
        <v>776</v>
      </c>
      <c r="F480" t="s">
        <v>176</v>
      </c>
      <c r="G480" t="s">
        <v>484</v>
      </c>
      <c r="H480" t="s">
        <v>485</v>
      </c>
      <c r="I480" t="s">
        <v>485</v>
      </c>
      <c r="J480" t="s">
        <v>60</v>
      </c>
      <c r="K480" t="s">
        <v>486</v>
      </c>
      <c r="L480" t="s">
        <v>62</v>
      </c>
      <c r="M480" t="s">
        <v>486</v>
      </c>
      <c r="N480" t="s">
        <v>487</v>
      </c>
      <c r="O480" t="s">
        <v>488</v>
      </c>
      <c r="P480">
        <v>-19.599471999999999</v>
      </c>
      <c r="Q480">
        <v>-43.904423999999999</v>
      </c>
      <c r="R480" s="2" t="str">
        <f>HYPERLINK("https://www.google.com/maps?q=-19.5994720,-43.9044240","Abrir no Google Maps")</f>
        <v>Abrir no Google Maps</v>
      </c>
      <c r="S480">
        <v>3</v>
      </c>
      <c r="T480">
        <v>0</v>
      </c>
      <c r="U480">
        <v>4</v>
      </c>
      <c r="V480">
        <v>16</v>
      </c>
      <c r="W480">
        <v>1</v>
      </c>
      <c r="X480">
        <v>16</v>
      </c>
      <c r="Y480">
        <v>2</v>
      </c>
      <c r="Z480">
        <v>112.207711482489</v>
      </c>
      <c r="AA480">
        <v>2</v>
      </c>
      <c r="AB480">
        <v>3</v>
      </c>
      <c r="AC480">
        <v>7</v>
      </c>
      <c r="AD480">
        <v>25.45</v>
      </c>
      <c r="AE480">
        <v>253</v>
      </c>
      <c r="AF480">
        <v>15</v>
      </c>
      <c r="AG480">
        <v>62</v>
      </c>
      <c r="AH480">
        <v>32</v>
      </c>
      <c r="AI480">
        <v>5.93</v>
      </c>
      <c r="AJ480">
        <v>24.51</v>
      </c>
      <c r="AK480">
        <v>12.65</v>
      </c>
      <c r="AL480">
        <v>-19.599417149999969</v>
      </c>
      <c r="AM480">
        <v>-43.904309145074677</v>
      </c>
      <c r="AN480">
        <v>-19.599417149999969</v>
      </c>
      <c r="AO480">
        <v>-43.904309145074677</v>
      </c>
      <c r="AP480">
        <v>-19.599471999999999</v>
      </c>
      <c r="AQ480">
        <v>-43.904423999999999</v>
      </c>
      <c r="AR480">
        <v>13.50409975769734</v>
      </c>
      <c r="AS480" t="s">
        <v>65</v>
      </c>
      <c r="AT480">
        <v>1</v>
      </c>
      <c r="AU480" t="s">
        <v>489</v>
      </c>
      <c r="AV480" t="s">
        <v>490</v>
      </c>
      <c r="AW480" t="s">
        <v>60</v>
      </c>
      <c r="AX480" t="s">
        <v>68</v>
      </c>
      <c r="AY480" t="s">
        <v>69</v>
      </c>
      <c r="AZ480" t="b">
        <v>1</v>
      </c>
    </row>
    <row r="481" spans="1:52" x14ac:dyDescent="0.3">
      <c r="A481" t="s">
        <v>52</v>
      </c>
      <c r="B481" t="s">
        <v>53</v>
      </c>
      <c r="C481" t="s">
        <v>54</v>
      </c>
      <c r="D481" t="s">
        <v>55</v>
      </c>
      <c r="E481" t="s">
        <v>776</v>
      </c>
      <c r="F481" t="s">
        <v>176</v>
      </c>
      <c r="G481" t="s">
        <v>438</v>
      </c>
      <c r="H481" t="s">
        <v>491</v>
      </c>
      <c r="I481" t="s">
        <v>491</v>
      </c>
      <c r="J481" t="s">
        <v>60</v>
      </c>
      <c r="K481" t="s">
        <v>492</v>
      </c>
      <c r="L481" t="s">
        <v>62</v>
      </c>
      <c r="M481" t="s">
        <v>492</v>
      </c>
      <c r="N481" t="s">
        <v>493</v>
      </c>
      <c r="O481" t="s">
        <v>81</v>
      </c>
      <c r="P481">
        <v>-19.599810999999999</v>
      </c>
      <c r="Q481">
        <v>-43.906267</v>
      </c>
      <c r="R481" s="2" t="str">
        <f>HYPERLINK("https://www.google.com/maps?q=-19.5998110,-43.9062670","Abrir no Google Maps")</f>
        <v>Abrir no Google Maps</v>
      </c>
      <c r="S481">
        <v>3</v>
      </c>
      <c r="T481">
        <v>214.87460546260371</v>
      </c>
      <c r="U481">
        <v>4</v>
      </c>
      <c r="V481">
        <v>19</v>
      </c>
      <c r="W481">
        <v>1</v>
      </c>
      <c r="X481">
        <v>19</v>
      </c>
      <c r="Y481">
        <v>2</v>
      </c>
      <c r="Z481">
        <v>211.0648412523515</v>
      </c>
      <c r="AA481">
        <v>2</v>
      </c>
      <c r="AB481">
        <v>3</v>
      </c>
      <c r="AC481">
        <v>7</v>
      </c>
      <c r="AD481">
        <v>25.45</v>
      </c>
      <c r="AE481">
        <v>253</v>
      </c>
      <c r="AF481">
        <v>15</v>
      </c>
      <c r="AG481">
        <v>62</v>
      </c>
      <c r="AH481">
        <v>32</v>
      </c>
      <c r="AI481">
        <v>5.93</v>
      </c>
      <c r="AJ481">
        <v>24.51</v>
      </c>
      <c r="AK481">
        <v>12.65</v>
      </c>
      <c r="AL481">
        <v>-19.600032099999961</v>
      </c>
      <c r="AM481">
        <v>-43.906252350845229</v>
      </c>
      <c r="AN481">
        <v>-19.600032099999961</v>
      </c>
      <c r="AO481">
        <v>-43.906252350845229</v>
      </c>
      <c r="AP481">
        <v>-19.599810999999999</v>
      </c>
      <c r="AQ481">
        <v>-43.906267</v>
      </c>
      <c r="AR481">
        <v>24.660749384148179</v>
      </c>
      <c r="AS481" t="s">
        <v>65</v>
      </c>
      <c r="AT481">
        <v>1</v>
      </c>
      <c r="AU481" t="s">
        <v>494</v>
      </c>
      <c r="AV481" t="s">
        <v>495</v>
      </c>
      <c r="AW481" t="s">
        <v>60</v>
      </c>
      <c r="AX481" t="s">
        <v>68</v>
      </c>
      <c r="AY481" t="s">
        <v>69</v>
      </c>
      <c r="AZ481" t="b">
        <v>1</v>
      </c>
    </row>
    <row r="482" spans="1:52" x14ac:dyDescent="0.3">
      <c r="A482" t="s">
        <v>52</v>
      </c>
      <c r="B482" t="s">
        <v>53</v>
      </c>
      <c r="C482" t="s">
        <v>54</v>
      </c>
      <c r="D482" t="s">
        <v>55</v>
      </c>
      <c r="E482" t="s">
        <v>776</v>
      </c>
      <c r="F482" t="s">
        <v>176</v>
      </c>
      <c r="G482" t="s">
        <v>350</v>
      </c>
      <c r="H482" t="s">
        <v>351</v>
      </c>
      <c r="I482" t="s">
        <v>351</v>
      </c>
      <c r="J482" t="s">
        <v>60</v>
      </c>
      <c r="K482" t="s">
        <v>352</v>
      </c>
      <c r="L482" t="s">
        <v>62</v>
      </c>
      <c r="M482" t="s">
        <v>352</v>
      </c>
      <c r="N482" t="s">
        <v>353</v>
      </c>
      <c r="O482" t="s">
        <v>354</v>
      </c>
      <c r="P482">
        <v>-19.595734</v>
      </c>
      <c r="Q482">
        <v>-43.900387000000002</v>
      </c>
      <c r="R482" s="2" t="str">
        <f>HYPERLINK("https://www.google.com/maps?q=-19.5957340,-43.9003870","Abrir no Google Maps")</f>
        <v>Abrir no Google Maps</v>
      </c>
      <c r="S482">
        <v>3</v>
      </c>
      <c r="T482">
        <v>600.67809066127609</v>
      </c>
      <c r="U482">
        <v>4</v>
      </c>
      <c r="V482">
        <v>39</v>
      </c>
      <c r="W482">
        <v>1</v>
      </c>
      <c r="X482">
        <v>39</v>
      </c>
      <c r="Y482">
        <v>2</v>
      </c>
      <c r="Z482">
        <v>676.06682548988681</v>
      </c>
      <c r="AA482">
        <v>2</v>
      </c>
      <c r="AB482">
        <v>3</v>
      </c>
      <c r="AC482">
        <v>7</v>
      </c>
      <c r="AD482">
        <v>25.45</v>
      </c>
      <c r="AE482">
        <v>253</v>
      </c>
      <c r="AF482">
        <v>15</v>
      </c>
      <c r="AG482">
        <v>62</v>
      </c>
      <c r="AH482">
        <v>32</v>
      </c>
      <c r="AI482">
        <v>5.93</v>
      </c>
      <c r="AJ482">
        <v>24.51</v>
      </c>
      <c r="AK482">
        <v>12.65</v>
      </c>
      <c r="AL482">
        <v>-19.595574149999951</v>
      </c>
      <c r="AM482">
        <v>-43.900265035317688</v>
      </c>
      <c r="AN482">
        <v>-19.595574149999951</v>
      </c>
      <c r="AO482">
        <v>-43.900265035317688</v>
      </c>
      <c r="AP482">
        <v>-19.595734</v>
      </c>
      <c r="AQ482">
        <v>-43.900387000000002</v>
      </c>
      <c r="AR482">
        <v>21.91456243504582</v>
      </c>
      <c r="AS482" t="s">
        <v>65</v>
      </c>
      <c r="AT482">
        <v>1</v>
      </c>
      <c r="AU482" t="s">
        <v>355</v>
      </c>
      <c r="AV482" t="s">
        <v>356</v>
      </c>
      <c r="AW482" t="s">
        <v>60</v>
      </c>
      <c r="AX482" t="s">
        <v>68</v>
      </c>
      <c r="AY482" t="s">
        <v>69</v>
      </c>
      <c r="AZ482" t="b">
        <v>1</v>
      </c>
    </row>
    <row r="483" spans="1:52" x14ac:dyDescent="0.3">
      <c r="A483" t="s">
        <v>52</v>
      </c>
      <c r="B483" t="s">
        <v>53</v>
      </c>
      <c r="C483" t="s">
        <v>54</v>
      </c>
      <c r="D483" t="s">
        <v>55</v>
      </c>
      <c r="E483" t="s">
        <v>776</v>
      </c>
      <c r="F483" t="s">
        <v>176</v>
      </c>
      <c r="G483" t="s">
        <v>357</v>
      </c>
      <c r="H483" t="s">
        <v>358</v>
      </c>
      <c r="I483" t="s">
        <v>358</v>
      </c>
      <c r="J483" t="s">
        <v>60</v>
      </c>
      <c r="K483" t="s">
        <v>359</v>
      </c>
      <c r="L483" t="s">
        <v>62</v>
      </c>
      <c r="M483" t="s">
        <v>359</v>
      </c>
      <c r="N483" t="s">
        <v>360</v>
      </c>
      <c r="O483" t="s">
        <v>201</v>
      </c>
      <c r="P483">
        <v>-19.601168000000001</v>
      </c>
      <c r="Q483">
        <v>-43.896143000000002</v>
      </c>
      <c r="R483" s="2" t="str">
        <f>HYPERLINK("https://www.google.com/maps?q=-19.6011680,-43.8961430","Abrir no Google Maps")</f>
        <v>Abrir no Google Maps</v>
      </c>
      <c r="S483">
        <v>3</v>
      </c>
      <c r="T483">
        <v>886.80074895427902</v>
      </c>
      <c r="U483">
        <v>4</v>
      </c>
      <c r="V483">
        <v>16</v>
      </c>
      <c r="W483">
        <v>1</v>
      </c>
      <c r="X483">
        <v>16</v>
      </c>
      <c r="Y483">
        <v>2</v>
      </c>
      <c r="Z483">
        <v>807.27931110193254</v>
      </c>
      <c r="AA483">
        <v>2</v>
      </c>
      <c r="AB483">
        <v>3</v>
      </c>
      <c r="AC483">
        <v>7</v>
      </c>
      <c r="AD483">
        <v>25.45</v>
      </c>
      <c r="AE483">
        <v>253</v>
      </c>
      <c r="AF483">
        <v>15</v>
      </c>
      <c r="AG483">
        <v>62</v>
      </c>
      <c r="AH483">
        <v>32</v>
      </c>
      <c r="AI483">
        <v>5.93</v>
      </c>
      <c r="AJ483">
        <v>24.51</v>
      </c>
      <c r="AK483">
        <v>12.65</v>
      </c>
      <c r="AL483">
        <v>-19.60112959999995</v>
      </c>
      <c r="AM483">
        <v>-43.896049426747439</v>
      </c>
      <c r="AN483">
        <v>-19.60112959999995</v>
      </c>
      <c r="AO483">
        <v>-43.896049426747439</v>
      </c>
      <c r="AP483">
        <v>-19.601168000000001</v>
      </c>
      <c r="AQ483">
        <v>-43.896143000000002</v>
      </c>
      <c r="AR483">
        <v>10.703588298793671</v>
      </c>
      <c r="AS483" t="s">
        <v>65</v>
      </c>
      <c r="AT483">
        <v>1</v>
      </c>
      <c r="AU483" t="s">
        <v>361</v>
      </c>
      <c r="AV483" t="s">
        <v>362</v>
      </c>
      <c r="AW483" t="s">
        <v>60</v>
      </c>
      <c r="AX483" t="s">
        <v>68</v>
      </c>
      <c r="AY483" t="s">
        <v>69</v>
      </c>
      <c r="AZ483" t="b">
        <v>1</v>
      </c>
    </row>
    <row r="484" spans="1:52" x14ac:dyDescent="0.3">
      <c r="A484" t="s">
        <v>52</v>
      </c>
      <c r="B484" t="s">
        <v>53</v>
      </c>
      <c r="C484" t="s">
        <v>54</v>
      </c>
      <c r="D484" t="s">
        <v>55</v>
      </c>
      <c r="E484" t="s">
        <v>776</v>
      </c>
      <c r="F484" t="s">
        <v>176</v>
      </c>
      <c r="G484" t="s">
        <v>350</v>
      </c>
      <c r="H484" t="s">
        <v>363</v>
      </c>
      <c r="I484" t="s">
        <v>363</v>
      </c>
      <c r="J484" t="s">
        <v>60</v>
      </c>
      <c r="K484" t="s">
        <v>364</v>
      </c>
      <c r="L484" t="s">
        <v>62</v>
      </c>
      <c r="M484" t="s">
        <v>364</v>
      </c>
      <c r="N484" t="s">
        <v>353</v>
      </c>
      <c r="O484" t="s">
        <v>365</v>
      </c>
      <c r="P484">
        <v>-19.594657000000002</v>
      </c>
      <c r="Q484">
        <v>-43.901567</v>
      </c>
      <c r="R484" s="2" t="str">
        <f>HYPERLINK("https://www.google.com/maps?q=-19.5946570,-43.9015670","Abrir no Google Maps")</f>
        <v>Abrir no Google Maps</v>
      </c>
      <c r="S484">
        <v>3</v>
      </c>
      <c r="T484">
        <v>592.43040989358553</v>
      </c>
      <c r="U484">
        <v>4</v>
      </c>
      <c r="V484">
        <v>30</v>
      </c>
      <c r="W484">
        <v>1</v>
      </c>
      <c r="X484">
        <v>30</v>
      </c>
      <c r="Y484">
        <v>2</v>
      </c>
      <c r="Z484">
        <v>597.4493869225131</v>
      </c>
      <c r="AA484">
        <v>2</v>
      </c>
      <c r="AB484">
        <v>3</v>
      </c>
      <c r="AC484">
        <v>7</v>
      </c>
      <c r="AD484">
        <v>25.45</v>
      </c>
      <c r="AE484">
        <v>253</v>
      </c>
      <c r="AF484">
        <v>15</v>
      </c>
      <c r="AG484">
        <v>62</v>
      </c>
      <c r="AH484">
        <v>32</v>
      </c>
      <c r="AI484">
        <v>5.93</v>
      </c>
      <c r="AJ484">
        <v>24.51</v>
      </c>
      <c r="AK484">
        <v>12.65</v>
      </c>
      <c r="AL484">
        <v>-19.59470494999994</v>
      </c>
      <c r="AM484">
        <v>-43.901629434678291</v>
      </c>
      <c r="AN484">
        <v>-19.59470494999994</v>
      </c>
      <c r="AO484">
        <v>-43.901629434678291</v>
      </c>
      <c r="AP484">
        <v>-19.594657000000002</v>
      </c>
      <c r="AQ484">
        <v>-43.901567</v>
      </c>
      <c r="AR484">
        <v>8.4477696105165858</v>
      </c>
      <c r="AS484" t="s">
        <v>65</v>
      </c>
      <c r="AT484">
        <v>1</v>
      </c>
      <c r="AU484" t="s">
        <v>366</v>
      </c>
      <c r="AV484" t="s">
        <v>367</v>
      </c>
      <c r="AW484" t="s">
        <v>60</v>
      </c>
      <c r="AX484" t="s">
        <v>68</v>
      </c>
      <c r="AY484" t="s">
        <v>69</v>
      </c>
      <c r="AZ484" t="b">
        <v>1</v>
      </c>
    </row>
    <row r="485" spans="1:52" x14ac:dyDescent="0.3">
      <c r="A485" t="s">
        <v>52</v>
      </c>
      <c r="B485" t="s">
        <v>53</v>
      </c>
      <c r="C485" t="s">
        <v>54</v>
      </c>
      <c r="D485" t="s">
        <v>55</v>
      </c>
      <c r="E485" t="s">
        <v>776</v>
      </c>
      <c r="F485" t="s">
        <v>176</v>
      </c>
      <c r="G485" t="s">
        <v>350</v>
      </c>
      <c r="H485" t="s">
        <v>368</v>
      </c>
      <c r="I485" t="s">
        <v>368</v>
      </c>
      <c r="J485" t="s">
        <v>60</v>
      </c>
      <c r="K485" t="s">
        <v>364</v>
      </c>
      <c r="L485" t="s">
        <v>62</v>
      </c>
      <c r="M485" t="s">
        <v>364</v>
      </c>
      <c r="N485" t="s">
        <v>353</v>
      </c>
      <c r="O485" t="s">
        <v>365</v>
      </c>
      <c r="P485">
        <v>-19.593221</v>
      </c>
      <c r="Q485">
        <v>-43.901839000000002</v>
      </c>
      <c r="R485" s="2" t="str">
        <f>HYPERLINK("https://www.google.com/maps?q=-19.5932210,-43.9018390","Abrir no Google Maps")</f>
        <v>Abrir no Google Maps</v>
      </c>
      <c r="S485">
        <v>3</v>
      </c>
      <c r="T485">
        <v>741.77482535005606</v>
      </c>
      <c r="U485">
        <v>4</v>
      </c>
      <c r="V485">
        <v>21</v>
      </c>
      <c r="W485">
        <v>0.85</v>
      </c>
      <c r="X485">
        <v>17.850000000000001</v>
      </c>
      <c r="Y485">
        <v>2</v>
      </c>
      <c r="Z485">
        <v>790.59331647558088</v>
      </c>
      <c r="AA485">
        <v>2</v>
      </c>
      <c r="AB485">
        <v>3</v>
      </c>
      <c r="AC485">
        <v>7</v>
      </c>
      <c r="AD485">
        <v>25.45</v>
      </c>
      <c r="AE485">
        <v>253</v>
      </c>
      <c r="AF485">
        <v>15</v>
      </c>
      <c r="AG485">
        <v>62</v>
      </c>
      <c r="AH485">
        <v>32</v>
      </c>
      <c r="AI485">
        <v>5.93</v>
      </c>
      <c r="AJ485">
        <v>24.51</v>
      </c>
      <c r="AK485">
        <v>12.65</v>
      </c>
      <c r="AL485">
        <v>-19.593187449999959</v>
      </c>
      <c r="AM485">
        <v>-43.901700308057322</v>
      </c>
      <c r="AN485">
        <v>-19.593187449999959</v>
      </c>
      <c r="AO485">
        <v>-43.901700308057322</v>
      </c>
      <c r="AP485">
        <v>-19.593221</v>
      </c>
      <c r="AQ485">
        <v>-43.901839000000002</v>
      </c>
      <c r="AR485">
        <v>15.017055708279431</v>
      </c>
      <c r="AS485" t="s">
        <v>65</v>
      </c>
      <c r="AT485">
        <v>1</v>
      </c>
      <c r="AU485" t="s">
        <v>369</v>
      </c>
      <c r="AV485" t="s">
        <v>370</v>
      </c>
      <c r="AW485" t="s">
        <v>60</v>
      </c>
      <c r="AX485" t="s">
        <v>68</v>
      </c>
      <c r="AY485" t="s">
        <v>69</v>
      </c>
      <c r="AZ485" t="b">
        <v>1</v>
      </c>
    </row>
    <row r="486" spans="1:52" x14ac:dyDescent="0.3">
      <c r="A486" t="s">
        <v>52</v>
      </c>
      <c r="B486" t="s">
        <v>53</v>
      </c>
      <c r="C486" t="s">
        <v>54</v>
      </c>
      <c r="D486" t="s">
        <v>55</v>
      </c>
      <c r="E486" t="s">
        <v>776</v>
      </c>
      <c r="F486" t="s">
        <v>176</v>
      </c>
      <c r="G486" t="s">
        <v>371</v>
      </c>
      <c r="H486" t="s">
        <v>372</v>
      </c>
      <c r="I486" t="s">
        <v>372</v>
      </c>
      <c r="J486" t="s">
        <v>60</v>
      </c>
      <c r="K486" t="s">
        <v>352</v>
      </c>
      <c r="L486" t="s">
        <v>62</v>
      </c>
      <c r="M486" t="s">
        <v>352</v>
      </c>
      <c r="N486" t="s">
        <v>353</v>
      </c>
      <c r="O486" t="s">
        <v>373</v>
      </c>
      <c r="P486">
        <v>-19.596541999999999</v>
      </c>
      <c r="Q486">
        <v>-43.900803000000003</v>
      </c>
      <c r="R486" s="2" t="str">
        <f>HYPERLINK("https://www.google.com/maps?q=-19.5965420,-43.9008030","Abrir no Google Maps")</f>
        <v>Abrir no Google Maps</v>
      </c>
      <c r="S486">
        <v>3</v>
      </c>
      <c r="T486">
        <v>401.18305899095373</v>
      </c>
      <c r="U486">
        <v>4</v>
      </c>
      <c r="V486">
        <v>36</v>
      </c>
      <c r="W486">
        <v>1</v>
      </c>
      <c r="X486">
        <v>36</v>
      </c>
      <c r="Y486">
        <v>2</v>
      </c>
      <c r="Z486">
        <v>484.51228510119228</v>
      </c>
      <c r="AA486">
        <v>2</v>
      </c>
      <c r="AB486">
        <v>3</v>
      </c>
      <c r="AC486">
        <v>7</v>
      </c>
      <c r="AD486">
        <v>25.45</v>
      </c>
      <c r="AE486">
        <v>253</v>
      </c>
      <c r="AF486">
        <v>15</v>
      </c>
      <c r="AG486">
        <v>62</v>
      </c>
      <c r="AH486">
        <v>32</v>
      </c>
      <c r="AI486">
        <v>5.93</v>
      </c>
      <c r="AJ486">
        <v>24.51</v>
      </c>
      <c r="AK486">
        <v>12.65</v>
      </c>
      <c r="AL486">
        <v>-19.596464449999932</v>
      </c>
      <c r="AM486">
        <v>-43.902090320142641</v>
      </c>
      <c r="AN486">
        <v>-19.596464449999932</v>
      </c>
      <c r="AO486">
        <v>-43.902090320142641</v>
      </c>
      <c r="AP486">
        <v>-19.596541999999999</v>
      </c>
      <c r="AQ486">
        <v>-43.900803000000003</v>
      </c>
      <c r="AR486">
        <v>135.27975170069479</v>
      </c>
      <c r="AS486" t="s">
        <v>65</v>
      </c>
      <c r="AT486">
        <v>1</v>
      </c>
      <c r="AU486" t="s">
        <v>374</v>
      </c>
      <c r="AV486" t="s">
        <v>375</v>
      </c>
      <c r="AW486" t="s">
        <v>60</v>
      </c>
      <c r="AX486" t="s">
        <v>68</v>
      </c>
      <c r="AY486" t="s">
        <v>69</v>
      </c>
      <c r="AZ486" t="b">
        <v>1</v>
      </c>
    </row>
    <row r="487" spans="1:52" x14ac:dyDescent="0.3">
      <c r="A487" t="s">
        <v>52</v>
      </c>
      <c r="B487" t="s">
        <v>53</v>
      </c>
      <c r="C487" t="s">
        <v>54</v>
      </c>
      <c r="D487" t="s">
        <v>55</v>
      </c>
      <c r="E487" t="s">
        <v>776</v>
      </c>
      <c r="F487" t="s">
        <v>176</v>
      </c>
      <c r="G487" t="s">
        <v>376</v>
      </c>
      <c r="H487" t="s">
        <v>377</v>
      </c>
      <c r="I487" t="s">
        <v>377</v>
      </c>
      <c r="J487" t="s">
        <v>60</v>
      </c>
      <c r="K487" t="s">
        <v>352</v>
      </c>
      <c r="L487" t="s">
        <v>62</v>
      </c>
      <c r="M487" t="s">
        <v>352</v>
      </c>
      <c r="N487" t="s">
        <v>378</v>
      </c>
      <c r="O487" t="s">
        <v>379</v>
      </c>
      <c r="P487">
        <v>-19.596966999999999</v>
      </c>
      <c r="Q487">
        <v>-43.90155</v>
      </c>
      <c r="R487" s="2" t="str">
        <f>HYPERLINK("https://www.google.com/maps?q=-19.5969670,-43.9015500","Abrir no Google Maps")</f>
        <v>Abrir no Google Maps</v>
      </c>
      <c r="S487">
        <v>3</v>
      </c>
      <c r="T487">
        <v>366.5160120865408</v>
      </c>
      <c r="U487">
        <v>4</v>
      </c>
      <c r="V487">
        <v>22</v>
      </c>
      <c r="W487">
        <v>1</v>
      </c>
      <c r="X487">
        <v>22</v>
      </c>
      <c r="Y487">
        <v>2</v>
      </c>
      <c r="Z487">
        <v>437.88042928493138</v>
      </c>
      <c r="AA487">
        <v>2</v>
      </c>
      <c r="AB487">
        <v>3</v>
      </c>
      <c r="AC487">
        <v>7</v>
      </c>
      <c r="AD487">
        <v>25.45</v>
      </c>
      <c r="AE487">
        <v>253</v>
      </c>
      <c r="AF487">
        <v>15</v>
      </c>
      <c r="AG487">
        <v>62</v>
      </c>
      <c r="AH487">
        <v>32</v>
      </c>
      <c r="AI487">
        <v>5.93</v>
      </c>
      <c r="AJ487">
        <v>24.51</v>
      </c>
      <c r="AK487">
        <v>12.65</v>
      </c>
      <c r="AL487">
        <v>-19.597188549999942</v>
      </c>
      <c r="AM487">
        <v>-43.901724335633787</v>
      </c>
      <c r="AN487">
        <v>-19.597188549999942</v>
      </c>
      <c r="AO487">
        <v>-43.901724335633787</v>
      </c>
      <c r="AP487">
        <v>-19.596966999999999</v>
      </c>
      <c r="AQ487">
        <v>-43.90155</v>
      </c>
      <c r="AR487">
        <v>30.700556875456439</v>
      </c>
      <c r="AS487" t="s">
        <v>65</v>
      </c>
      <c r="AT487">
        <v>1</v>
      </c>
      <c r="AU487" t="s">
        <v>380</v>
      </c>
      <c r="AV487" t="s">
        <v>381</v>
      </c>
      <c r="AW487" t="s">
        <v>60</v>
      </c>
      <c r="AX487" t="s">
        <v>68</v>
      </c>
      <c r="AY487" t="s">
        <v>69</v>
      </c>
      <c r="AZ487" t="b">
        <v>1</v>
      </c>
    </row>
    <row r="488" spans="1:52" x14ac:dyDescent="0.3">
      <c r="A488" t="s">
        <v>52</v>
      </c>
      <c r="B488" t="s">
        <v>53</v>
      </c>
      <c r="C488" t="s">
        <v>54</v>
      </c>
      <c r="D488" t="s">
        <v>55</v>
      </c>
      <c r="E488" t="s">
        <v>776</v>
      </c>
      <c r="F488" t="s">
        <v>176</v>
      </c>
      <c r="G488" t="s">
        <v>500</v>
      </c>
      <c r="H488" t="s">
        <v>501</v>
      </c>
      <c r="I488" t="s">
        <v>501</v>
      </c>
      <c r="J488" t="s">
        <v>60</v>
      </c>
      <c r="K488" t="s">
        <v>164</v>
      </c>
      <c r="L488" t="s">
        <v>62</v>
      </c>
      <c r="M488" t="s">
        <v>164</v>
      </c>
      <c r="N488" t="s">
        <v>502</v>
      </c>
      <c r="O488" t="s">
        <v>503</v>
      </c>
      <c r="P488">
        <v>-19.665816</v>
      </c>
      <c r="Q488">
        <v>-43.886322999999997</v>
      </c>
      <c r="R488" s="2" t="str">
        <f>HYPERLINK("https://www.google.com/maps?q=-19.6658160,-43.8863230","Abrir no Google Maps")</f>
        <v>Abrir no Google Maps</v>
      </c>
      <c r="S488">
        <v>3</v>
      </c>
      <c r="T488">
        <v>1149.957610345353</v>
      </c>
      <c r="U488">
        <v>4</v>
      </c>
      <c r="V488">
        <v>18</v>
      </c>
      <c r="W488">
        <v>1</v>
      </c>
      <c r="X488">
        <v>18</v>
      </c>
      <c r="Y488">
        <v>1</v>
      </c>
      <c r="Z488">
        <v>381.605286477493</v>
      </c>
      <c r="AA488">
        <v>2</v>
      </c>
      <c r="AB488">
        <v>3</v>
      </c>
      <c r="AC488">
        <v>7</v>
      </c>
      <c r="AD488">
        <v>25.45</v>
      </c>
      <c r="AE488">
        <v>253</v>
      </c>
      <c r="AF488">
        <v>15</v>
      </c>
      <c r="AG488">
        <v>62</v>
      </c>
      <c r="AH488">
        <v>32</v>
      </c>
      <c r="AI488">
        <v>5.93</v>
      </c>
      <c r="AJ488">
        <v>24.51</v>
      </c>
      <c r="AK488">
        <v>12.65</v>
      </c>
      <c r="AL488">
        <v>-19.665844049999951</v>
      </c>
      <c r="AM488">
        <v>-43.886344205728712</v>
      </c>
      <c r="AN488">
        <v>-19.665844049999951</v>
      </c>
      <c r="AO488">
        <v>-43.886344205728712</v>
      </c>
      <c r="AP488">
        <v>-19.665816</v>
      </c>
      <c r="AQ488">
        <v>-43.886322999999997</v>
      </c>
      <c r="AR488">
        <v>3.8329604058735098</v>
      </c>
      <c r="AS488" t="s">
        <v>65</v>
      </c>
      <c r="AT488">
        <v>1</v>
      </c>
      <c r="AU488" t="s">
        <v>504</v>
      </c>
      <c r="AV488" t="s">
        <v>505</v>
      </c>
      <c r="AW488" t="s">
        <v>60</v>
      </c>
      <c r="AX488" t="s">
        <v>68</v>
      </c>
      <c r="AY488" t="s">
        <v>69</v>
      </c>
      <c r="AZ488" t="b">
        <v>1</v>
      </c>
    </row>
    <row r="489" spans="1:52" x14ac:dyDescent="0.3">
      <c r="A489" t="s">
        <v>52</v>
      </c>
      <c r="B489" t="s">
        <v>53</v>
      </c>
      <c r="C489" t="s">
        <v>54</v>
      </c>
      <c r="D489" t="s">
        <v>55</v>
      </c>
      <c r="E489" t="s">
        <v>776</v>
      </c>
      <c r="F489" t="s">
        <v>176</v>
      </c>
      <c r="G489" t="s">
        <v>506</v>
      </c>
      <c r="H489" t="s">
        <v>507</v>
      </c>
      <c r="I489" t="s">
        <v>507</v>
      </c>
      <c r="J489" t="s">
        <v>60</v>
      </c>
      <c r="K489" t="s">
        <v>219</v>
      </c>
      <c r="L489" t="s">
        <v>62</v>
      </c>
      <c r="M489" t="s">
        <v>219</v>
      </c>
      <c r="N489" t="s">
        <v>508</v>
      </c>
      <c r="O489" t="s">
        <v>509</v>
      </c>
      <c r="P489">
        <v>-19.663573</v>
      </c>
      <c r="Q489">
        <v>-43.884306000000002</v>
      </c>
      <c r="R489" s="2" t="str">
        <f>HYPERLINK("https://www.google.com/maps?q=-19.6635730,-43.8843060","Abrir no Google Maps")</f>
        <v>Abrir no Google Maps</v>
      </c>
      <c r="S489">
        <v>3</v>
      </c>
      <c r="T489">
        <v>1293.040666597964</v>
      </c>
      <c r="U489">
        <v>4</v>
      </c>
      <c r="V489">
        <v>21</v>
      </c>
      <c r="W489">
        <v>1</v>
      </c>
      <c r="X489">
        <v>21</v>
      </c>
      <c r="Y489">
        <v>1</v>
      </c>
      <c r="Z489">
        <v>649.69199246551727</v>
      </c>
      <c r="AA489">
        <v>2</v>
      </c>
      <c r="AB489">
        <v>3</v>
      </c>
      <c r="AC489">
        <v>7</v>
      </c>
      <c r="AD489">
        <v>25.45</v>
      </c>
      <c r="AE489">
        <v>253</v>
      </c>
      <c r="AF489">
        <v>15</v>
      </c>
      <c r="AG489">
        <v>62</v>
      </c>
      <c r="AH489">
        <v>32</v>
      </c>
      <c r="AI489">
        <v>5.93</v>
      </c>
      <c r="AJ489">
        <v>24.51</v>
      </c>
      <c r="AK489">
        <v>12.65</v>
      </c>
      <c r="AL489">
        <v>-19.663616899999969</v>
      </c>
      <c r="AM489">
        <v>-43.884279937960187</v>
      </c>
      <c r="AN489">
        <v>-19.663616899999969</v>
      </c>
      <c r="AO489">
        <v>-43.884279937960187</v>
      </c>
      <c r="AP489">
        <v>-19.663573</v>
      </c>
      <c r="AQ489">
        <v>-43.884306000000002</v>
      </c>
      <c r="AR489">
        <v>5.5987767285658263</v>
      </c>
      <c r="AS489" t="s">
        <v>65</v>
      </c>
      <c r="AT489">
        <v>1</v>
      </c>
      <c r="AU489" t="s">
        <v>510</v>
      </c>
      <c r="AV489" t="s">
        <v>511</v>
      </c>
      <c r="AW489" t="s">
        <v>60</v>
      </c>
      <c r="AX489" t="s">
        <v>68</v>
      </c>
      <c r="AY489" t="s">
        <v>69</v>
      </c>
      <c r="AZ489" t="b">
        <v>1</v>
      </c>
    </row>
    <row r="490" spans="1:52" x14ac:dyDescent="0.3">
      <c r="A490" t="s">
        <v>52</v>
      </c>
      <c r="B490" t="s">
        <v>53</v>
      </c>
      <c r="C490" t="s">
        <v>54</v>
      </c>
      <c r="D490" t="s">
        <v>55</v>
      </c>
      <c r="E490" t="s">
        <v>776</v>
      </c>
      <c r="F490" t="s">
        <v>176</v>
      </c>
      <c r="G490" t="s">
        <v>530</v>
      </c>
      <c r="H490" t="s">
        <v>531</v>
      </c>
      <c r="I490" t="s">
        <v>531</v>
      </c>
      <c r="J490" t="s">
        <v>60</v>
      </c>
      <c r="K490" t="s">
        <v>185</v>
      </c>
      <c r="L490" t="s">
        <v>62</v>
      </c>
      <c r="M490" t="s">
        <v>185</v>
      </c>
      <c r="N490" t="s">
        <v>532</v>
      </c>
      <c r="O490" t="s">
        <v>533</v>
      </c>
      <c r="P490">
        <v>-19.625264000000001</v>
      </c>
      <c r="Q490">
        <v>-43.889451000000001</v>
      </c>
      <c r="R490" s="2" t="str">
        <f>HYPERLINK("https://www.google.com/maps?q=-19.6252640,-43.8894510","Abrir no Google Maps")</f>
        <v>Abrir no Google Maps</v>
      </c>
      <c r="S490">
        <v>3</v>
      </c>
      <c r="T490">
        <v>466.11340370665903</v>
      </c>
      <c r="U490">
        <v>3</v>
      </c>
      <c r="V490">
        <v>11</v>
      </c>
      <c r="W490">
        <v>0.85</v>
      </c>
      <c r="X490">
        <v>9.35</v>
      </c>
      <c r="Y490">
        <v>18</v>
      </c>
      <c r="Z490">
        <v>320.77337440837812</v>
      </c>
      <c r="AA490">
        <v>2</v>
      </c>
      <c r="AB490">
        <v>3</v>
      </c>
      <c r="AC490">
        <v>7</v>
      </c>
      <c r="AD490">
        <v>25.45</v>
      </c>
      <c r="AE490">
        <v>253</v>
      </c>
      <c r="AF490">
        <v>15</v>
      </c>
      <c r="AG490">
        <v>62</v>
      </c>
      <c r="AH490">
        <v>32</v>
      </c>
      <c r="AI490">
        <v>5.93</v>
      </c>
      <c r="AJ490">
        <v>24.51</v>
      </c>
      <c r="AK490">
        <v>12.65</v>
      </c>
      <c r="AL490">
        <v>-19.62516189999997</v>
      </c>
      <c r="AM490">
        <v>-43.88954614566876</v>
      </c>
      <c r="AN490">
        <v>-19.62516189999997</v>
      </c>
      <c r="AO490">
        <v>-43.88954614566876</v>
      </c>
      <c r="AP490">
        <v>-19.625264000000001</v>
      </c>
      <c r="AQ490">
        <v>-43.889451000000001</v>
      </c>
      <c r="AR490">
        <v>15.12310549834147</v>
      </c>
      <c r="AS490" t="s">
        <v>65</v>
      </c>
      <c r="AT490">
        <v>1</v>
      </c>
      <c r="AU490" t="s">
        <v>534</v>
      </c>
      <c r="AV490" t="s">
        <v>535</v>
      </c>
      <c r="AW490" t="s">
        <v>60</v>
      </c>
      <c r="AX490" t="s">
        <v>68</v>
      </c>
      <c r="AY490" t="s">
        <v>69</v>
      </c>
      <c r="AZ490" t="b">
        <v>1</v>
      </c>
    </row>
    <row r="491" spans="1:52" x14ac:dyDescent="0.3">
      <c r="A491" t="s">
        <v>52</v>
      </c>
      <c r="B491" t="s">
        <v>53</v>
      </c>
      <c r="C491" t="s">
        <v>54</v>
      </c>
      <c r="D491" t="s">
        <v>55</v>
      </c>
      <c r="E491" t="s">
        <v>776</v>
      </c>
      <c r="F491" t="s">
        <v>176</v>
      </c>
      <c r="G491" t="s">
        <v>405</v>
      </c>
      <c r="H491" t="s">
        <v>406</v>
      </c>
      <c r="I491" t="s">
        <v>406</v>
      </c>
      <c r="J491" t="s">
        <v>60</v>
      </c>
      <c r="K491" t="s">
        <v>286</v>
      </c>
      <c r="L491" t="s">
        <v>62</v>
      </c>
      <c r="M491" t="s">
        <v>286</v>
      </c>
      <c r="N491" t="s">
        <v>407</v>
      </c>
      <c r="O491" t="s">
        <v>408</v>
      </c>
      <c r="P491">
        <v>-19.646345</v>
      </c>
      <c r="Q491">
        <v>-43.882294999999999</v>
      </c>
      <c r="R491" s="2" t="str">
        <f>HYPERLINK("https://www.google.com/maps?q=-19.6463450,-43.8822950","Abrir no Google Maps")</f>
        <v>Abrir no Google Maps</v>
      </c>
      <c r="S491">
        <v>3</v>
      </c>
      <c r="T491">
        <v>450.3180538635894</v>
      </c>
      <c r="U491">
        <v>3</v>
      </c>
      <c r="V491">
        <v>13</v>
      </c>
      <c r="W491">
        <v>1</v>
      </c>
      <c r="X491">
        <v>13</v>
      </c>
      <c r="Y491">
        <v>10</v>
      </c>
      <c r="Z491">
        <v>349.23341775902583</v>
      </c>
      <c r="AA491">
        <v>2</v>
      </c>
      <c r="AB491">
        <v>3</v>
      </c>
      <c r="AC491">
        <v>7</v>
      </c>
      <c r="AD491">
        <v>25.45</v>
      </c>
      <c r="AE491">
        <v>253</v>
      </c>
      <c r="AF491">
        <v>15</v>
      </c>
      <c r="AG491">
        <v>62</v>
      </c>
      <c r="AH491">
        <v>32</v>
      </c>
      <c r="AI491">
        <v>5.93</v>
      </c>
      <c r="AJ491">
        <v>24.51</v>
      </c>
      <c r="AK491">
        <v>12.65</v>
      </c>
      <c r="AL491">
        <v>-19.646391649999941</v>
      </c>
      <c r="AM491">
        <v>-43.882007396993302</v>
      </c>
      <c r="AN491">
        <v>-19.646391649999941</v>
      </c>
      <c r="AO491">
        <v>-43.882007396993302</v>
      </c>
      <c r="AP491">
        <v>-19.646345</v>
      </c>
      <c r="AQ491">
        <v>-43.882294999999999</v>
      </c>
      <c r="AR491">
        <v>30.596105513395301</v>
      </c>
      <c r="AS491" t="s">
        <v>65</v>
      </c>
      <c r="AT491">
        <v>1</v>
      </c>
      <c r="AU491" t="s">
        <v>409</v>
      </c>
      <c r="AV491" t="s">
        <v>410</v>
      </c>
      <c r="AW491" t="s">
        <v>60</v>
      </c>
      <c r="AX491" t="s">
        <v>68</v>
      </c>
      <c r="AY491" t="s">
        <v>69</v>
      </c>
      <c r="AZ491" t="b">
        <v>1</v>
      </c>
    </row>
    <row r="492" spans="1:52" x14ac:dyDescent="0.3">
      <c r="A492" t="s">
        <v>52</v>
      </c>
      <c r="B492" t="s">
        <v>53</v>
      </c>
      <c r="C492" t="s">
        <v>54</v>
      </c>
      <c r="D492" t="s">
        <v>55</v>
      </c>
      <c r="E492" t="s">
        <v>776</v>
      </c>
      <c r="F492" t="s">
        <v>176</v>
      </c>
      <c r="G492" t="s">
        <v>777</v>
      </c>
      <c r="H492" t="s">
        <v>778</v>
      </c>
      <c r="I492" t="s">
        <v>778</v>
      </c>
      <c r="J492" t="s">
        <v>60</v>
      </c>
      <c r="K492" t="s">
        <v>352</v>
      </c>
      <c r="L492" t="s">
        <v>62</v>
      </c>
      <c r="M492" t="s">
        <v>352</v>
      </c>
      <c r="N492" t="s">
        <v>779</v>
      </c>
      <c r="O492" t="s">
        <v>780</v>
      </c>
      <c r="P492">
        <v>-19.579518</v>
      </c>
      <c r="Q492">
        <v>-43.909238000000002</v>
      </c>
      <c r="R492" s="2" t="str">
        <f>HYPERLINK("https://www.google.com/maps?q=-19.5795180,-43.9092380","Abrir no Google Maps")</f>
        <v>Abrir no Google Maps</v>
      </c>
      <c r="S492">
        <v>3</v>
      </c>
      <c r="T492">
        <v>1293.9709096326289</v>
      </c>
      <c r="U492">
        <v>3</v>
      </c>
      <c r="V492">
        <v>13</v>
      </c>
      <c r="W492">
        <v>0.85</v>
      </c>
      <c r="X492">
        <v>11.05</v>
      </c>
      <c r="Y492">
        <v>7</v>
      </c>
      <c r="Z492">
        <v>1024.030940986815</v>
      </c>
      <c r="AA492">
        <v>2</v>
      </c>
      <c r="AB492">
        <v>3</v>
      </c>
      <c r="AC492">
        <v>7</v>
      </c>
      <c r="AD492">
        <v>25.45</v>
      </c>
      <c r="AE492">
        <v>253</v>
      </c>
      <c r="AF492">
        <v>15</v>
      </c>
      <c r="AG492">
        <v>62</v>
      </c>
      <c r="AH492">
        <v>32</v>
      </c>
      <c r="AI492">
        <v>5.93</v>
      </c>
      <c r="AJ492">
        <v>24.51</v>
      </c>
      <c r="AK492">
        <v>12.65</v>
      </c>
      <c r="AL492">
        <v>-19.579767999999941</v>
      </c>
      <c r="AM492">
        <v>-43.909514457818823</v>
      </c>
      <c r="AN492">
        <v>-19.579767999999941</v>
      </c>
      <c r="AO492">
        <v>-43.909514457818823</v>
      </c>
      <c r="AP492">
        <v>-19.579518</v>
      </c>
      <c r="AQ492">
        <v>-43.909238000000002</v>
      </c>
      <c r="AR492">
        <v>40.190312724728379</v>
      </c>
      <c r="AS492" t="s">
        <v>65</v>
      </c>
      <c r="AT492">
        <v>1</v>
      </c>
      <c r="AU492" t="s">
        <v>781</v>
      </c>
      <c r="AV492" t="s">
        <v>782</v>
      </c>
      <c r="AW492" t="s">
        <v>60</v>
      </c>
      <c r="AX492" t="s">
        <v>68</v>
      </c>
      <c r="AY492" t="s">
        <v>69</v>
      </c>
      <c r="AZ492" t="b">
        <v>1</v>
      </c>
    </row>
    <row r="493" spans="1:52" x14ac:dyDescent="0.3">
      <c r="A493" t="s">
        <v>52</v>
      </c>
      <c r="B493" t="s">
        <v>53</v>
      </c>
      <c r="C493" t="s">
        <v>54</v>
      </c>
      <c r="D493" t="s">
        <v>55</v>
      </c>
      <c r="E493" t="s">
        <v>776</v>
      </c>
      <c r="F493" t="s">
        <v>176</v>
      </c>
      <c r="G493" t="s">
        <v>297</v>
      </c>
      <c r="H493" t="s">
        <v>298</v>
      </c>
      <c r="I493" t="s">
        <v>298</v>
      </c>
      <c r="J493" t="s">
        <v>60</v>
      </c>
      <c r="K493" t="s">
        <v>299</v>
      </c>
      <c r="L493" t="s">
        <v>62</v>
      </c>
      <c r="M493" t="s">
        <v>299</v>
      </c>
      <c r="N493" t="s">
        <v>300</v>
      </c>
      <c r="O493" t="s">
        <v>301</v>
      </c>
      <c r="P493">
        <v>-19.679597000000001</v>
      </c>
      <c r="Q493">
        <v>-43.912095000000001</v>
      </c>
      <c r="R493" s="2" t="str">
        <f>HYPERLINK("https://www.google.com/maps?q=-19.6795970,-43.9120950","Abrir no Google Maps")</f>
        <v>Abrir no Google Maps</v>
      </c>
      <c r="S493">
        <v>3</v>
      </c>
      <c r="T493">
        <v>1581.3368267219889</v>
      </c>
      <c r="U493">
        <v>3</v>
      </c>
      <c r="V493">
        <v>15</v>
      </c>
      <c r="W493">
        <v>1</v>
      </c>
      <c r="X493">
        <v>15</v>
      </c>
      <c r="Y493">
        <v>5</v>
      </c>
      <c r="Z493">
        <v>2051.2590436749392</v>
      </c>
      <c r="AA493">
        <v>2</v>
      </c>
      <c r="AB493">
        <v>3</v>
      </c>
      <c r="AC493">
        <v>7</v>
      </c>
      <c r="AD493">
        <v>25.45</v>
      </c>
      <c r="AE493">
        <v>253</v>
      </c>
      <c r="AF493">
        <v>15</v>
      </c>
      <c r="AG493">
        <v>62</v>
      </c>
      <c r="AH493">
        <v>32</v>
      </c>
      <c r="AI493">
        <v>5.93</v>
      </c>
      <c r="AJ493">
        <v>24.51</v>
      </c>
      <c r="AK493">
        <v>12.65</v>
      </c>
      <c r="AL493">
        <v>-19.679572799999931</v>
      </c>
      <c r="AM493">
        <v>-43.912071775440793</v>
      </c>
      <c r="AN493">
        <v>-19.679572799999931</v>
      </c>
      <c r="AO493">
        <v>-43.912071775440793</v>
      </c>
      <c r="AP493">
        <v>-19.679597000000001</v>
      </c>
      <c r="AQ493">
        <v>-43.912095000000001</v>
      </c>
      <c r="AR493">
        <v>3.6308936744190978</v>
      </c>
      <c r="AS493" t="s">
        <v>65</v>
      </c>
      <c r="AT493">
        <v>1</v>
      </c>
      <c r="AU493" t="s">
        <v>302</v>
      </c>
      <c r="AV493" t="s">
        <v>303</v>
      </c>
      <c r="AW493" t="s">
        <v>60</v>
      </c>
      <c r="AX493" t="s">
        <v>68</v>
      </c>
      <c r="AY493" t="s">
        <v>69</v>
      </c>
      <c r="AZ493" t="b">
        <v>1</v>
      </c>
    </row>
    <row r="494" spans="1:52" x14ac:dyDescent="0.3">
      <c r="A494" t="s">
        <v>52</v>
      </c>
      <c r="B494" t="s">
        <v>53</v>
      </c>
      <c r="C494" t="s">
        <v>54</v>
      </c>
      <c r="D494" t="s">
        <v>55</v>
      </c>
      <c r="E494" t="s">
        <v>776</v>
      </c>
      <c r="F494" t="s">
        <v>176</v>
      </c>
      <c r="G494" t="s">
        <v>304</v>
      </c>
      <c r="H494" t="s">
        <v>305</v>
      </c>
      <c r="I494" t="s">
        <v>305</v>
      </c>
      <c r="J494" t="s">
        <v>60</v>
      </c>
      <c r="K494" t="s">
        <v>299</v>
      </c>
      <c r="L494" t="s">
        <v>62</v>
      </c>
      <c r="M494" t="s">
        <v>299</v>
      </c>
      <c r="N494" t="s">
        <v>306</v>
      </c>
      <c r="O494" t="s">
        <v>307</v>
      </c>
      <c r="P494">
        <v>-19.681051</v>
      </c>
      <c r="Q494">
        <v>-43.914375</v>
      </c>
      <c r="R494" s="2" t="str">
        <f>HYPERLINK("https://www.google.com/maps?q=-19.6810510,-43.9143750","Abrir no Google Maps")</f>
        <v>Abrir no Google Maps</v>
      </c>
      <c r="S494">
        <v>3</v>
      </c>
      <c r="T494">
        <v>1793.507056919605</v>
      </c>
      <c r="U494">
        <v>3</v>
      </c>
      <c r="V494">
        <v>15</v>
      </c>
      <c r="W494">
        <v>1</v>
      </c>
      <c r="X494">
        <v>15</v>
      </c>
      <c r="Y494">
        <v>5</v>
      </c>
      <c r="Z494">
        <v>2183.7125920783069</v>
      </c>
      <c r="AA494">
        <v>2</v>
      </c>
      <c r="AB494">
        <v>3</v>
      </c>
      <c r="AC494">
        <v>7</v>
      </c>
      <c r="AD494">
        <v>25.45</v>
      </c>
      <c r="AE494">
        <v>253</v>
      </c>
      <c r="AF494">
        <v>15</v>
      </c>
      <c r="AG494">
        <v>62</v>
      </c>
      <c r="AH494">
        <v>32</v>
      </c>
      <c r="AI494">
        <v>5.93</v>
      </c>
      <c r="AJ494">
        <v>24.51</v>
      </c>
      <c r="AK494">
        <v>12.65</v>
      </c>
      <c r="AL494">
        <v>-19.680967149999962</v>
      </c>
      <c r="AM494">
        <v>-43.914383884426663</v>
      </c>
      <c r="AN494">
        <v>-19.680967149999962</v>
      </c>
      <c r="AO494">
        <v>-43.914383884426663</v>
      </c>
      <c r="AP494">
        <v>-19.681051</v>
      </c>
      <c r="AQ494">
        <v>-43.914375</v>
      </c>
      <c r="AR494">
        <v>9.3805201894968722</v>
      </c>
      <c r="AS494" t="s">
        <v>65</v>
      </c>
      <c r="AT494">
        <v>1</v>
      </c>
      <c r="AU494" t="s">
        <v>308</v>
      </c>
      <c r="AV494" t="s">
        <v>303</v>
      </c>
      <c r="AW494" t="s">
        <v>60</v>
      </c>
      <c r="AX494" t="s">
        <v>68</v>
      </c>
      <c r="AY494" t="s">
        <v>69</v>
      </c>
      <c r="AZ494" t="b">
        <v>1</v>
      </c>
    </row>
    <row r="495" spans="1:52" x14ac:dyDescent="0.3">
      <c r="A495" t="s">
        <v>52</v>
      </c>
      <c r="B495" t="s">
        <v>53</v>
      </c>
      <c r="C495" t="s">
        <v>54</v>
      </c>
      <c r="D495" t="s">
        <v>55</v>
      </c>
      <c r="E495" t="s">
        <v>776</v>
      </c>
      <c r="F495" t="s">
        <v>176</v>
      </c>
      <c r="G495" t="s">
        <v>309</v>
      </c>
      <c r="H495" t="s">
        <v>676</v>
      </c>
      <c r="I495" t="s">
        <v>676</v>
      </c>
      <c r="J495" t="s">
        <v>60</v>
      </c>
      <c r="K495" t="s">
        <v>311</v>
      </c>
      <c r="L495" t="s">
        <v>62</v>
      </c>
      <c r="M495" t="s">
        <v>311</v>
      </c>
      <c r="N495" t="s">
        <v>677</v>
      </c>
      <c r="O495" t="s">
        <v>678</v>
      </c>
      <c r="P495">
        <v>-19.567574</v>
      </c>
      <c r="Q495">
        <v>-43.916691</v>
      </c>
      <c r="R495" s="2" t="str">
        <f>HYPERLINK("https://www.google.com/maps?q=-19.5675740,-43.9166910","Abrir no Google Maps")</f>
        <v>Abrir no Google Maps</v>
      </c>
      <c r="S495">
        <v>3</v>
      </c>
      <c r="T495">
        <v>964.07840012317956</v>
      </c>
      <c r="U495">
        <v>3</v>
      </c>
      <c r="V495">
        <v>10</v>
      </c>
      <c r="W495">
        <v>1</v>
      </c>
      <c r="X495">
        <v>10</v>
      </c>
      <c r="Y495">
        <v>5</v>
      </c>
      <c r="Z495">
        <v>848.74171565955544</v>
      </c>
      <c r="AA495">
        <v>2</v>
      </c>
      <c r="AB495">
        <v>3</v>
      </c>
      <c r="AC495">
        <v>7</v>
      </c>
      <c r="AD495">
        <v>25.45</v>
      </c>
      <c r="AE495">
        <v>253</v>
      </c>
      <c r="AF495">
        <v>15</v>
      </c>
      <c r="AG495">
        <v>62</v>
      </c>
      <c r="AH495">
        <v>32</v>
      </c>
      <c r="AI495">
        <v>5.93</v>
      </c>
      <c r="AJ495">
        <v>24.51</v>
      </c>
      <c r="AK495">
        <v>12.65</v>
      </c>
      <c r="AL495">
        <v>-19.568204099999971</v>
      </c>
      <c r="AM495">
        <v>-43.914085447159053</v>
      </c>
      <c r="AN495">
        <v>-19.568204099999971</v>
      </c>
      <c r="AO495">
        <v>-43.914085447159053</v>
      </c>
      <c r="AP495">
        <v>-19.567574</v>
      </c>
      <c r="AQ495">
        <v>-43.916691</v>
      </c>
      <c r="AR495">
        <v>282.15548573552991</v>
      </c>
      <c r="AS495" t="s">
        <v>65</v>
      </c>
      <c r="AT495">
        <v>1</v>
      </c>
      <c r="AU495" t="s">
        <v>679</v>
      </c>
      <c r="AV495" t="s">
        <v>680</v>
      </c>
      <c r="AW495" t="s">
        <v>60</v>
      </c>
      <c r="AX495" t="s">
        <v>68</v>
      </c>
      <c r="AY495" t="s">
        <v>69</v>
      </c>
      <c r="AZ495" t="b">
        <v>1</v>
      </c>
    </row>
    <row r="496" spans="1:52" x14ac:dyDescent="0.3">
      <c r="A496" t="s">
        <v>52</v>
      </c>
      <c r="B496" t="s">
        <v>53</v>
      </c>
      <c r="C496" t="s">
        <v>54</v>
      </c>
      <c r="D496" t="s">
        <v>55</v>
      </c>
      <c r="E496" t="s">
        <v>776</v>
      </c>
      <c r="F496" t="s">
        <v>176</v>
      </c>
      <c r="G496" t="s">
        <v>309</v>
      </c>
      <c r="H496" t="s">
        <v>320</v>
      </c>
      <c r="I496" t="s">
        <v>320</v>
      </c>
      <c r="J496" t="s">
        <v>60</v>
      </c>
      <c r="K496" t="s">
        <v>311</v>
      </c>
      <c r="L496" t="s">
        <v>62</v>
      </c>
      <c r="M496" t="s">
        <v>311</v>
      </c>
      <c r="N496" t="s">
        <v>321</v>
      </c>
      <c r="O496" t="s">
        <v>313</v>
      </c>
      <c r="P496">
        <v>-19.578469999999999</v>
      </c>
      <c r="Q496">
        <v>-43.918922000000002</v>
      </c>
      <c r="R496" s="2" t="str">
        <f>HYPERLINK("https://www.google.com/maps?q=-19.5784700,-43.9189220","Abrir no Google Maps")</f>
        <v>Abrir no Google Maps</v>
      </c>
      <c r="S496">
        <v>3</v>
      </c>
      <c r="T496">
        <v>474.92456146278471</v>
      </c>
      <c r="U496">
        <v>3</v>
      </c>
      <c r="V496">
        <v>17</v>
      </c>
      <c r="W496">
        <v>0.85</v>
      </c>
      <c r="X496">
        <v>14.45</v>
      </c>
      <c r="Y496">
        <v>5</v>
      </c>
      <c r="Z496">
        <v>562.61594151292854</v>
      </c>
      <c r="AA496">
        <v>2</v>
      </c>
      <c r="AB496">
        <v>3</v>
      </c>
      <c r="AC496">
        <v>7</v>
      </c>
      <c r="AD496">
        <v>25.45</v>
      </c>
      <c r="AE496">
        <v>253</v>
      </c>
      <c r="AF496">
        <v>15</v>
      </c>
      <c r="AG496">
        <v>62</v>
      </c>
      <c r="AH496">
        <v>32</v>
      </c>
      <c r="AI496">
        <v>5.93</v>
      </c>
      <c r="AJ496">
        <v>24.51</v>
      </c>
      <c r="AK496">
        <v>12.65</v>
      </c>
      <c r="AL496">
        <v>-19.578483899999959</v>
      </c>
      <c r="AM496">
        <v>-43.918967993509547</v>
      </c>
      <c r="AN496">
        <v>-19.578483899999959</v>
      </c>
      <c r="AO496">
        <v>-43.918967993509547</v>
      </c>
      <c r="AP496">
        <v>-19.578469999999999</v>
      </c>
      <c r="AQ496">
        <v>-43.918922000000002</v>
      </c>
      <c r="AR496">
        <v>5.0660669465561501</v>
      </c>
      <c r="AS496" t="s">
        <v>65</v>
      </c>
      <c r="AT496">
        <v>1</v>
      </c>
      <c r="AU496" t="s">
        <v>322</v>
      </c>
      <c r="AV496" t="s">
        <v>323</v>
      </c>
      <c r="AW496" t="s">
        <v>60</v>
      </c>
      <c r="AX496" t="s">
        <v>68</v>
      </c>
      <c r="AY496" t="s">
        <v>69</v>
      </c>
      <c r="AZ496" t="b">
        <v>1</v>
      </c>
    </row>
    <row r="497" spans="1:52" x14ac:dyDescent="0.3">
      <c r="A497" t="s">
        <v>52</v>
      </c>
      <c r="B497" t="s">
        <v>53</v>
      </c>
      <c r="C497" t="s">
        <v>54</v>
      </c>
      <c r="D497" t="s">
        <v>55</v>
      </c>
      <c r="E497" t="s">
        <v>776</v>
      </c>
      <c r="F497" t="s">
        <v>176</v>
      </c>
      <c r="G497" t="s">
        <v>664</v>
      </c>
      <c r="H497" t="s">
        <v>701</v>
      </c>
      <c r="I497" t="s">
        <v>701</v>
      </c>
      <c r="J497" t="s">
        <v>60</v>
      </c>
      <c r="K497" t="s">
        <v>311</v>
      </c>
      <c r="L497" t="s">
        <v>62</v>
      </c>
      <c r="M497" t="s">
        <v>311</v>
      </c>
      <c r="N497" t="s">
        <v>435</v>
      </c>
      <c r="O497" t="s">
        <v>702</v>
      </c>
      <c r="P497">
        <v>-19.565729000000001</v>
      </c>
      <c r="Q497">
        <v>-43.920665999999997</v>
      </c>
      <c r="R497" s="2" t="str">
        <f>HYPERLINK("https://www.google.com/maps?q=-19.5657290,-43.9206660","Abrir no Google Maps")</f>
        <v>Abrir no Google Maps</v>
      </c>
      <c r="S497">
        <v>3</v>
      </c>
      <c r="T497">
        <v>849.43063667308161</v>
      </c>
      <c r="U497">
        <v>3</v>
      </c>
      <c r="V497">
        <v>15</v>
      </c>
      <c r="W497">
        <v>0.85</v>
      </c>
      <c r="X497">
        <v>12.75</v>
      </c>
      <c r="Y497">
        <v>5</v>
      </c>
      <c r="Z497">
        <v>643.17339424023237</v>
      </c>
      <c r="AA497">
        <v>2</v>
      </c>
      <c r="AB497">
        <v>3</v>
      </c>
      <c r="AC497">
        <v>7</v>
      </c>
      <c r="AD497">
        <v>25.45</v>
      </c>
      <c r="AE497">
        <v>253</v>
      </c>
      <c r="AF497">
        <v>15</v>
      </c>
      <c r="AG497">
        <v>62</v>
      </c>
      <c r="AH497">
        <v>32</v>
      </c>
      <c r="AI497">
        <v>5.93</v>
      </c>
      <c r="AJ497">
        <v>24.51</v>
      </c>
      <c r="AK497">
        <v>12.65</v>
      </c>
      <c r="AL497">
        <v>-19.56682334999994</v>
      </c>
      <c r="AM497">
        <v>-43.921453383422516</v>
      </c>
      <c r="AN497">
        <v>-19.56682334999994</v>
      </c>
      <c r="AO497">
        <v>-43.921453383422516</v>
      </c>
      <c r="AP497">
        <v>-19.565729000000001</v>
      </c>
      <c r="AQ497">
        <v>-43.920665999999997</v>
      </c>
      <c r="AR497">
        <v>147.17990898184439</v>
      </c>
      <c r="AS497" t="s">
        <v>65</v>
      </c>
      <c r="AT497">
        <v>1</v>
      </c>
      <c r="AU497" t="s">
        <v>703</v>
      </c>
      <c r="AV497" t="s">
        <v>704</v>
      </c>
      <c r="AW497" t="s">
        <v>60</v>
      </c>
      <c r="AX497" t="s">
        <v>68</v>
      </c>
      <c r="AY497" t="s">
        <v>69</v>
      </c>
      <c r="AZ497" t="b">
        <v>1</v>
      </c>
    </row>
    <row r="498" spans="1:52" x14ac:dyDescent="0.3">
      <c r="A498" t="s">
        <v>52</v>
      </c>
      <c r="B498" t="s">
        <v>53</v>
      </c>
      <c r="C498" t="s">
        <v>54</v>
      </c>
      <c r="D498" t="s">
        <v>55</v>
      </c>
      <c r="E498" t="s">
        <v>776</v>
      </c>
      <c r="F498" t="s">
        <v>176</v>
      </c>
      <c r="G498" t="s">
        <v>712</v>
      </c>
      <c r="H498" t="s">
        <v>713</v>
      </c>
      <c r="I498" t="s">
        <v>713</v>
      </c>
      <c r="J498" t="s">
        <v>60</v>
      </c>
      <c r="K498" t="s">
        <v>192</v>
      </c>
      <c r="L498" t="s">
        <v>62</v>
      </c>
      <c r="M498" t="s">
        <v>192</v>
      </c>
      <c r="N498" t="s">
        <v>714</v>
      </c>
      <c r="O498" t="s">
        <v>715</v>
      </c>
      <c r="P498">
        <v>-19.653379999999999</v>
      </c>
      <c r="Q498">
        <v>-43.914634999999997</v>
      </c>
      <c r="R498" s="2" t="str">
        <f>HYPERLINK("https://www.google.com/maps?q=-19.6533800,-43.9146350","Abrir no Google Maps")</f>
        <v>Abrir no Google Maps</v>
      </c>
      <c r="S498">
        <v>3</v>
      </c>
      <c r="T498">
        <v>1209.6845317210091</v>
      </c>
      <c r="U498">
        <v>3</v>
      </c>
      <c r="V498">
        <v>9</v>
      </c>
      <c r="W498">
        <v>1</v>
      </c>
      <c r="X498">
        <v>9</v>
      </c>
      <c r="Y498">
        <v>4</v>
      </c>
      <c r="Z498">
        <v>948.79528152345983</v>
      </c>
      <c r="AA498">
        <v>2</v>
      </c>
      <c r="AB498">
        <v>3</v>
      </c>
      <c r="AC498">
        <v>7</v>
      </c>
      <c r="AD498">
        <v>25.45</v>
      </c>
      <c r="AE498">
        <v>253</v>
      </c>
      <c r="AF498">
        <v>15</v>
      </c>
      <c r="AG498">
        <v>62</v>
      </c>
      <c r="AH498">
        <v>32</v>
      </c>
      <c r="AI498">
        <v>5.93</v>
      </c>
      <c r="AJ498">
        <v>24.51</v>
      </c>
      <c r="AK498">
        <v>12.65</v>
      </c>
      <c r="AL498">
        <v>-19.653402249999939</v>
      </c>
      <c r="AM498">
        <v>-43.91489200796137</v>
      </c>
      <c r="AN498">
        <v>-19.653402249999939</v>
      </c>
      <c r="AO498">
        <v>-43.91489200796137</v>
      </c>
      <c r="AP498">
        <v>-19.653379999999999</v>
      </c>
      <c r="AQ498">
        <v>-43.914634999999997</v>
      </c>
      <c r="AR498">
        <v>27.0570338493382</v>
      </c>
      <c r="AS498" t="s">
        <v>65</v>
      </c>
      <c r="AT498">
        <v>1</v>
      </c>
      <c r="AU498" t="s">
        <v>716</v>
      </c>
      <c r="AV498" t="s">
        <v>717</v>
      </c>
      <c r="AW498" t="s">
        <v>60</v>
      </c>
      <c r="AX498" t="s">
        <v>68</v>
      </c>
      <c r="AY498" t="s">
        <v>69</v>
      </c>
      <c r="AZ498" t="b">
        <v>1</v>
      </c>
    </row>
    <row r="499" spans="1:52" x14ac:dyDescent="0.3">
      <c r="A499" t="s">
        <v>52</v>
      </c>
      <c r="B499" t="s">
        <v>53</v>
      </c>
      <c r="C499" t="s">
        <v>54</v>
      </c>
      <c r="D499" t="s">
        <v>55</v>
      </c>
      <c r="E499" t="s">
        <v>776</v>
      </c>
      <c r="F499" t="s">
        <v>176</v>
      </c>
      <c r="G499" t="s">
        <v>457</v>
      </c>
      <c r="H499" t="s">
        <v>458</v>
      </c>
      <c r="I499" t="s">
        <v>458</v>
      </c>
      <c r="J499" t="s">
        <v>60</v>
      </c>
      <c r="K499" t="s">
        <v>286</v>
      </c>
      <c r="L499" t="s">
        <v>62</v>
      </c>
      <c r="M499" t="s">
        <v>286</v>
      </c>
      <c r="N499" t="s">
        <v>459</v>
      </c>
      <c r="O499" t="s">
        <v>408</v>
      </c>
      <c r="P499">
        <v>-19.648675000000001</v>
      </c>
      <c r="Q499">
        <v>-43.876176999999998</v>
      </c>
      <c r="R499" s="2" t="str">
        <f>HYPERLINK("https://www.google.com/maps?q=-19.6486750,-43.8761770","Abrir no Google Maps")</f>
        <v>Abrir no Google Maps</v>
      </c>
      <c r="S499">
        <v>3</v>
      </c>
      <c r="T499">
        <v>696.15049931004592</v>
      </c>
      <c r="U499">
        <v>3</v>
      </c>
      <c r="V499">
        <v>10</v>
      </c>
      <c r="W499">
        <v>1</v>
      </c>
      <c r="X499">
        <v>10</v>
      </c>
      <c r="Y499">
        <v>3</v>
      </c>
      <c r="Z499">
        <v>617.40976221624703</v>
      </c>
      <c r="AA499">
        <v>2</v>
      </c>
      <c r="AB499">
        <v>3</v>
      </c>
      <c r="AC499">
        <v>7</v>
      </c>
      <c r="AD499">
        <v>25.45</v>
      </c>
      <c r="AE499">
        <v>253</v>
      </c>
      <c r="AF499">
        <v>15</v>
      </c>
      <c r="AG499">
        <v>62</v>
      </c>
      <c r="AH499">
        <v>32</v>
      </c>
      <c r="AI499">
        <v>5.93</v>
      </c>
      <c r="AJ499">
        <v>24.51</v>
      </c>
      <c r="AK499">
        <v>12.65</v>
      </c>
      <c r="AL499">
        <v>-19.648626649999951</v>
      </c>
      <c r="AM499">
        <v>-43.876233357879343</v>
      </c>
      <c r="AN499">
        <v>-19.648626649999951</v>
      </c>
      <c r="AO499">
        <v>-43.876233357879343</v>
      </c>
      <c r="AP499">
        <v>-19.648675000000001</v>
      </c>
      <c r="AQ499">
        <v>-43.876176999999998</v>
      </c>
      <c r="AR499">
        <v>7.9924470956447653</v>
      </c>
      <c r="AS499" t="s">
        <v>65</v>
      </c>
      <c r="AT499">
        <v>1</v>
      </c>
      <c r="AU499" t="s">
        <v>460</v>
      </c>
      <c r="AV499" t="s">
        <v>461</v>
      </c>
      <c r="AW499" t="s">
        <v>60</v>
      </c>
      <c r="AX499" t="s">
        <v>68</v>
      </c>
      <c r="AY499" t="s">
        <v>69</v>
      </c>
      <c r="AZ499" t="b">
        <v>1</v>
      </c>
    </row>
    <row r="500" spans="1:52" x14ac:dyDescent="0.3">
      <c r="A500" t="s">
        <v>52</v>
      </c>
      <c r="B500" t="s">
        <v>53</v>
      </c>
      <c r="C500" t="s">
        <v>54</v>
      </c>
      <c r="D500" t="s">
        <v>55</v>
      </c>
      <c r="E500" t="s">
        <v>776</v>
      </c>
      <c r="F500" t="s">
        <v>176</v>
      </c>
      <c r="G500" t="s">
        <v>468</v>
      </c>
      <c r="H500" t="s">
        <v>469</v>
      </c>
      <c r="I500" t="s">
        <v>469</v>
      </c>
      <c r="J500" t="s">
        <v>60</v>
      </c>
      <c r="K500" t="s">
        <v>326</v>
      </c>
      <c r="L500" t="s">
        <v>62</v>
      </c>
      <c r="M500" t="s">
        <v>326</v>
      </c>
      <c r="N500" t="s">
        <v>470</v>
      </c>
      <c r="O500" t="s">
        <v>471</v>
      </c>
      <c r="P500">
        <v>-19.655975999999999</v>
      </c>
      <c r="Q500">
        <v>-43.870057000000003</v>
      </c>
      <c r="R500" s="2" t="str">
        <f>HYPERLINK("https://www.google.com/maps?q=-19.6559760,-43.8700570","Abrir no Google Maps")</f>
        <v>Abrir no Google Maps</v>
      </c>
      <c r="S500">
        <v>3</v>
      </c>
      <c r="T500">
        <v>409.25016374145417</v>
      </c>
      <c r="U500">
        <v>3</v>
      </c>
      <c r="V500">
        <v>10</v>
      </c>
      <c r="W500">
        <v>1</v>
      </c>
      <c r="X500">
        <v>10</v>
      </c>
      <c r="Y500">
        <v>3</v>
      </c>
      <c r="Z500">
        <v>484.59511175905197</v>
      </c>
      <c r="AA500">
        <v>2</v>
      </c>
      <c r="AB500">
        <v>3</v>
      </c>
      <c r="AC500">
        <v>7</v>
      </c>
      <c r="AD500">
        <v>25.45</v>
      </c>
      <c r="AE500">
        <v>253</v>
      </c>
      <c r="AF500">
        <v>15</v>
      </c>
      <c r="AG500">
        <v>62</v>
      </c>
      <c r="AH500">
        <v>32</v>
      </c>
      <c r="AI500">
        <v>5.93</v>
      </c>
      <c r="AJ500">
        <v>24.51</v>
      </c>
      <c r="AK500">
        <v>12.65</v>
      </c>
      <c r="AL500">
        <v>-19.655869499999969</v>
      </c>
      <c r="AM500">
        <v>-43.870040006843681</v>
      </c>
      <c r="AN500">
        <v>-19.655869499999969</v>
      </c>
      <c r="AO500">
        <v>-43.870040006843681</v>
      </c>
      <c r="AP500">
        <v>-19.655975999999999</v>
      </c>
      <c r="AQ500">
        <v>-43.870057000000003</v>
      </c>
      <c r="AR500">
        <v>11.98867552929476</v>
      </c>
      <c r="AS500" t="s">
        <v>65</v>
      </c>
      <c r="AT500">
        <v>1</v>
      </c>
      <c r="AU500" t="s">
        <v>472</v>
      </c>
      <c r="AV500" t="s">
        <v>473</v>
      </c>
      <c r="AW500" t="s">
        <v>60</v>
      </c>
      <c r="AX500" t="s">
        <v>68</v>
      </c>
      <c r="AY500" t="s">
        <v>69</v>
      </c>
      <c r="AZ500" t="b">
        <v>1</v>
      </c>
    </row>
    <row r="501" spans="1:52" x14ac:dyDescent="0.3">
      <c r="A501" t="s">
        <v>52</v>
      </c>
      <c r="B501" t="s">
        <v>53</v>
      </c>
      <c r="C501" t="s">
        <v>54</v>
      </c>
      <c r="D501" t="s">
        <v>55</v>
      </c>
      <c r="E501" t="s">
        <v>776</v>
      </c>
      <c r="F501" t="s">
        <v>176</v>
      </c>
      <c r="G501" t="s">
        <v>783</v>
      </c>
      <c r="H501" t="s">
        <v>784</v>
      </c>
      <c r="I501" t="s">
        <v>784</v>
      </c>
      <c r="J501" t="s">
        <v>60</v>
      </c>
      <c r="K501" t="s">
        <v>326</v>
      </c>
      <c r="L501" t="s">
        <v>62</v>
      </c>
      <c r="M501" t="s">
        <v>326</v>
      </c>
      <c r="N501" t="s">
        <v>785</v>
      </c>
      <c r="O501" t="s">
        <v>282</v>
      </c>
      <c r="P501">
        <v>-19.660250999999999</v>
      </c>
      <c r="Q501">
        <v>-43.872767000000003</v>
      </c>
      <c r="R501" s="2" t="str">
        <f>HYPERLINK("https://www.google.com/maps?q=-19.6602510,-43.8727670","Abrir no Google Maps")</f>
        <v>Abrir no Google Maps</v>
      </c>
      <c r="S501">
        <v>3</v>
      </c>
      <c r="T501">
        <v>867.23644041593502</v>
      </c>
      <c r="U501">
        <v>3</v>
      </c>
      <c r="V501">
        <v>11</v>
      </c>
      <c r="W501">
        <v>1</v>
      </c>
      <c r="X501">
        <v>11</v>
      </c>
      <c r="Y501">
        <v>3</v>
      </c>
      <c r="Z501">
        <v>822.53921499947728</v>
      </c>
      <c r="AA501">
        <v>2</v>
      </c>
      <c r="AB501">
        <v>3</v>
      </c>
      <c r="AC501">
        <v>7</v>
      </c>
      <c r="AD501">
        <v>25.45</v>
      </c>
      <c r="AE501">
        <v>253</v>
      </c>
      <c r="AF501">
        <v>15</v>
      </c>
      <c r="AG501">
        <v>62</v>
      </c>
      <c r="AH501">
        <v>32</v>
      </c>
      <c r="AI501">
        <v>5.93</v>
      </c>
      <c r="AJ501">
        <v>24.51</v>
      </c>
      <c r="AK501">
        <v>12.65</v>
      </c>
      <c r="AL501">
        <v>-19.65986969999997</v>
      </c>
      <c r="AM501">
        <v>-43.872697658306379</v>
      </c>
      <c r="AN501">
        <v>-19.65986969999997</v>
      </c>
      <c r="AO501">
        <v>-43.872697658306379</v>
      </c>
      <c r="AP501">
        <v>-19.660250999999999</v>
      </c>
      <c r="AQ501">
        <v>-43.872767000000003</v>
      </c>
      <c r="AR501">
        <v>43.064256320397227</v>
      </c>
      <c r="AS501" t="s">
        <v>65</v>
      </c>
      <c r="AT501">
        <v>1</v>
      </c>
      <c r="AU501" t="s">
        <v>786</v>
      </c>
      <c r="AV501" t="s">
        <v>787</v>
      </c>
      <c r="AW501" t="s">
        <v>60</v>
      </c>
      <c r="AX501" t="s">
        <v>68</v>
      </c>
      <c r="AY501" t="s">
        <v>69</v>
      </c>
      <c r="AZ501" t="b">
        <v>1</v>
      </c>
    </row>
    <row r="502" spans="1:52" x14ac:dyDescent="0.3">
      <c r="A502" t="s">
        <v>52</v>
      </c>
      <c r="B502" t="s">
        <v>53</v>
      </c>
      <c r="C502" t="s">
        <v>54</v>
      </c>
      <c r="D502" t="s">
        <v>55</v>
      </c>
      <c r="E502" t="s">
        <v>776</v>
      </c>
      <c r="F502" t="s">
        <v>176</v>
      </c>
      <c r="G502" t="s">
        <v>438</v>
      </c>
      <c r="H502" t="s">
        <v>718</v>
      </c>
      <c r="I502" t="s">
        <v>718</v>
      </c>
      <c r="J502" t="s">
        <v>60</v>
      </c>
      <c r="K502" t="s">
        <v>719</v>
      </c>
      <c r="L502" t="s">
        <v>62</v>
      </c>
      <c r="M502" t="s">
        <v>719</v>
      </c>
      <c r="N502" t="s">
        <v>720</v>
      </c>
      <c r="O502" t="s">
        <v>721</v>
      </c>
      <c r="P502">
        <v>-19.659696</v>
      </c>
      <c r="Q502">
        <v>-43.878183</v>
      </c>
      <c r="R502" s="2" t="str">
        <f>HYPERLINK("https://www.google.com/maps?q=-19.6596960,-43.8781830","Abrir no Google Maps")</f>
        <v>Abrir no Google Maps</v>
      </c>
      <c r="S502">
        <v>3</v>
      </c>
      <c r="T502">
        <v>1123.545826977394</v>
      </c>
      <c r="U502">
        <v>3</v>
      </c>
      <c r="V502">
        <v>10</v>
      </c>
      <c r="W502">
        <v>1</v>
      </c>
      <c r="X502">
        <v>10</v>
      </c>
      <c r="Y502">
        <v>3</v>
      </c>
      <c r="Z502">
        <v>1050.5223173666111</v>
      </c>
      <c r="AA502">
        <v>2</v>
      </c>
      <c r="AB502">
        <v>3</v>
      </c>
      <c r="AC502">
        <v>7</v>
      </c>
      <c r="AD502">
        <v>25.45</v>
      </c>
      <c r="AE502">
        <v>253</v>
      </c>
      <c r="AF502">
        <v>15</v>
      </c>
      <c r="AG502">
        <v>62</v>
      </c>
      <c r="AH502">
        <v>32</v>
      </c>
      <c r="AI502">
        <v>5.93</v>
      </c>
      <c r="AJ502">
        <v>24.51</v>
      </c>
      <c r="AK502">
        <v>12.65</v>
      </c>
      <c r="AL502">
        <v>-19.65964904999996</v>
      </c>
      <c r="AM502">
        <v>-43.878129467040978</v>
      </c>
      <c r="AN502">
        <v>-19.65964904999996</v>
      </c>
      <c r="AO502">
        <v>-43.878129467040978</v>
      </c>
      <c r="AP502">
        <v>-19.659696</v>
      </c>
      <c r="AQ502">
        <v>-43.878183</v>
      </c>
      <c r="AR502">
        <v>7.6687382643842978</v>
      </c>
      <c r="AS502" t="s">
        <v>65</v>
      </c>
      <c r="AT502">
        <v>1</v>
      </c>
      <c r="AU502" t="s">
        <v>722</v>
      </c>
      <c r="AV502" t="s">
        <v>723</v>
      </c>
      <c r="AW502" t="s">
        <v>60</v>
      </c>
      <c r="AX502" t="s">
        <v>68</v>
      </c>
      <c r="AY502" t="s">
        <v>69</v>
      </c>
      <c r="AZ502" t="b">
        <v>1</v>
      </c>
    </row>
    <row r="503" spans="1:52" x14ac:dyDescent="0.3">
      <c r="A503" t="s">
        <v>52</v>
      </c>
      <c r="B503" t="s">
        <v>53</v>
      </c>
      <c r="C503" t="s">
        <v>54</v>
      </c>
      <c r="D503" t="s">
        <v>55</v>
      </c>
      <c r="E503" t="s">
        <v>776</v>
      </c>
      <c r="F503" t="s">
        <v>176</v>
      </c>
      <c r="G503" t="s">
        <v>331</v>
      </c>
      <c r="H503" t="s">
        <v>332</v>
      </c>
      <c r="I503" t="s">
        <v>332</v>
      </c>
      <c r="J503" t="s">
        <v>60</v>
      </c>
      <c r="K503" t="s">
        <v>333</v>
      </c>
      <c r="L503" t="s">
        <v>62</v>
      </c>
      <c r="M503" t="s">
        <v>333</v>
      </c>
      <c r="N503" t="s">
        <v>334</v>
      </c>
      <c r="O503" t="s">
        <v>335</v>
      </c>
      <c r="P503">
        <v>-19.638455</v>
      </c>
      <c r="Q503">
        <v>-43.911239000000002</v>
      </c>
      <c r="R503" s="2" t="str">
        <f>HYPERLINK("https://www.google.com/maps?q=-19.6384550,-43.9112390","Abrir no Google Maps")</f>
        <v>Abrir no Google Maps</v>
      </c>
      <c r="S503">
        <v>3</v>
      </c>
      <c r="T503">
        <v>488.53051432983438</v>
      </c>
      <c r="U503">
        <v>3</v>
      </c>
      <c r="V503">
        <v>12</v>
      </c>
      <c r="W503">
        <v>1</v>
      </c>
      <c r="X503">
        <v>12</v>
      </c>
      <c r="Y503">
        <v>3</v>
      </c>
      <c r="Z503">
        <v>503.17412324010428</v>
      </c>
      <c r="AA503">
        <v>2</v>
      </c>
      <c r="AB503">
        <v>3</v>
      </c>
      <c r="AC503">
        <v>7</v>
      </c>
      <c r="AD503">
        <v>25.45</v>
      </c>
      <c r="AE503">
        <v>253</v>
      </c>
      <c r="AF503">
        <v>15</v>
      </c>
      <c r="AG503">
        <v>62</v>
      </c>
      <c r="AH503">
        <v>32</v>
      </c>
      <c r="AI503">
        <v>5.93</v>
      </c>
      <c r="AJ503">
        <v>24.51</v>
      </c>
      <c r="AK503">
        <v>12.65</v>
      </c>
      <c r="AL503">
        <v>-19.63853704999994</v>
      </c>
      <c r="AM503">
        <v>-43.911098254478723</v>
      </c>
      <c r="AN503">
        <v>-19.63853704999994</v>
      </c>
      <c r="AO503">
        <v>-43.911098254478723</v>
      </c>
      <c r="AP503">
        <v>-19.638455</v>
      </c>
      <c r="AQ503">
        <v>-43.911239000000002</v>
      </c>
      <c r="AR503">
        <v>17.354491692685801</v>
      </c>
      <c r="AS503" t="s">
        <v>65</v>
      </c>
      <c r="AT503">
        <v>1</v>
      </c>
      <c r="AU503" t="s">
        <v>336</v>
      </c>
      <c r="AV503" t="s">
        <v>337</v>
      </c>
      <c r="AW503" t="s">
        <v>60</v>
      </c>
      <c r="AX503" t="s">
        <v>68</v>
      </c>
      <c r="AY503" t="s">
        <v>69</v>
      </c>
      <c r="AZ503" t="b">
        <v>1</v>
      </c>
    </row>
    <row r="504" spans="1:52" x14ac:dyDescent="0.3">
      <c r="A504" t="s">
        <v>52</v>
      </c>
      <c r="B504" t="s">
        <v>53</v>
      </c>
      <c r="C504" t="s">
        <v>54</v>
      </c>
      <c r="D504" t="s">
        <v>55</v>
      </c>
      <c r="E504" t="s">
        <v>776</v>
      </c>
      <c r="F504" t="s">
        <v>176</v>
      </c>
      <c r="G504" t="s">
        <v>338</v>
      </c>
      <c r="H504" t="s">
        <v>339</v>
      </c>
      <c r="I504" t="s">
        <v>339</v>
      </c>
      <c r="J504" t="s">
        <v>60</v>
      </c>
      <c r="K504" t="s">
        <v>219</v>
      </c>
      <c r="L504" t="s">
        <v>62</v>
      </c>
      <c r="M504" t="s">
        <v>219</v>
      </c>
      <c r="N504" t="s">
        <v>340</v>
      </c>
      <c r="O504" t="s">
        <v>341</v>
      </c>
      <c r="P504">
        <v>-19.666964</v>
      </c>
      <c r="Q504">
        <v>-43.884436999999998</v>
      </c>
      <c r="R504" s="2" t="str">
        <f>HYPERLINK("https://www.google.com/maps?q=-19.6669640,-43.8844370","Abrir no Google Maps")</f>
        <v>Abrir no Google Maps</v>
      </c>
      <c r="S504">
        <v>3</v>
      </c>
      <c r="T504">
        <v>957.0047152726122</v>
      </c>
      <c r="U504">
        <v>3</v>
      </c>
      <c r="V504">
        <v>13</v>
      </c>
      <c r="W504">
        <v>1</v>
      </c>
      <c r="X504">
        <v>13</v>
      </c>
      <c r="Y504">
        <v>3</v>
      </c>
      <c r="Z504">
        <v>558.02655966087093</v>
      </c>
      <c r="AA504">
        <v>2</v>
      </c>
      <c r="AB504">
        <v>3</v>
      </c>
      <c r="AC504">
        <v>7</v>
      </c>
      <c r="AD504">
        <v>25.45</v>
      </c>
      <c r="AE504">
        <v>253</v>
      </c>
      <c r="AF504">
        <v>15</v>
      </c>
      <c r="AG504">
        <v>62</v>
      </c>
      <c r="AH504">
        <v>32</v>
      </c>
      <c r="AI504">
        <v>5.93</v>
      </c>
      <c r="AJ504">
        <v>24.51</v>
      </c>
      <c r="AK504">
        <v>12.65</v>
      </c>
      <c r="AL504">
        <v>-19.66693374999997</v>
      </c>
      <c r="AM504">
        <v>-43.884551162820181</v>
      </c>
      <c r="AN504">
        <v>-19.66693374999997</v>
      </c>
      <c r="AO504">
        <v>-43.884551162820181</v>
      </c>
      <c r="AP504">
        <v>-19.666964</v>
      </c>
      <c r="AQ504">
        <v>-43.884436999999998</v>
      </c>
      <c r="AR504">
        <v>12.43199920714442</v>
      </c>
      <c r="AS504" t="s">
        <v>65</v>
      </c>
      <c r="AT504">
        <v>1</v>
      </c>
      <c r="AU504" t="s">
        <v>342</v>
      </c>
      <c r="AV504" t="s">
        <v>343</v>
      </c>
      <c r="AW504" t="s">
        <v>60</v>
      </c>
      <c r="AX504" t="s">
        <v>68</v>
      </c>
      <c r="AY504" t="s">
        <v>69</v>
      </c>
      <c r="AZ504" t="b">
        <v>1</v>
      </c>
    </row>
    <row r="505" spans="1:52" x14ac:dyDescent="0.3">
      <c r="A505" t="s">
        <v>52</v>
      </c>
      <c r="B505" t="s">
        <v>53</v>
      </c>
      <c r="C505" t="s">
        <v>54</v>
      </c>
      <c r="D505" t="s">
        <v>55</v>
      </c>
      <c r="E505" t="s">
        <v>776</v>
      </c>
      <c r="F505" t="s">
        <v>176</v>
      </c>
      <c r="G505" t="s">
        <v>344</v>
      </c>
      <c r="H505" t="s">
        <v>345</v>
      </c>
      <c r="I505" t="s">
        <v>345</v>
      </c>
      <c r="J505" t="s">
        <v>60</v>
      </c>
      <c r="K505" t="s">
        <v>326</v>
      </c>
      <c r="L505" t="s">
        <v>62</v>
      </c>
      <c r="M505" t="s">
        <v>326</v>
      </c>
      <c r="N505" t="s">
        <v>346</v>
      </c>
      <c r="O505" t="s">
        <v>347</v>
      </c>
      <c r="P505">
        <v>-19.659784999999999</v>
      </c>
      <c r="Q505">
        <v>-43.868257999999997</v>
      </c>
      <c r="R505" s="2" t="str">
        <f>HYPERLINK("https://www.google.com/maps?q=-19.6597850,-43.8682580","Abrir no Google Maps")</f>
        <v>Abrir no Google Maps</v>
      </c>
      <c r="S505">
        <v>3</v>
      </c>
      <c r="T505">
        <v>887.40196140413514</v>
      </c>
      <c r="U505">
        <v>3</v>
      </c>
      <c r="V505">
        <v>12</v>
      </c>
      <c r="W505">
        <v>1</v>
      </c>
      <c r="X505">
        <v>12</v>
      </c>
      <c r="Y505">
        <v>3</v>
      </c>
      <c r="Z505">
        <v>951.67106090939239</v>
      </c>
      <c r="AA505">
        <v>2</v>
      </c>
      <c r="AB505">
        <v>3</v>
      </c>
      <c r="AC505">
        <v>7</v>
      </c>
      <c r="AD505">
        <v>25.45</v>
      </c>
      <c r="AE505">
        <v>253</v>
      </c>
      <c r="AF505">
        <v>15</v>
      </c>
      <c r="AG505">
        <v>62</v>
      </c>
      <c r="AH505">
        <v>32</v>
      </c>
      <c r="AI505">
        <v>5.93</v>
      </c>
      <c r="AJ505">
        <v>24.51</v>
      </c>
      <c r="AK505">
        <v>12.65</v>
      </c>
      <c r="AL505">
        <v>-19.659938849999971</v>
      </c>
      <c r="AM505">
        <v>-43.868426732971933</v>
      </c>
      <c r="AN505">
        <v>-19.659938849999971</v>
      </c>
      <c r="AO505">
        <v>-43.868426732971933</v>
      </c>
      <c r="AP505">
        <v>-19.659784999999999</v>
      </c>
      <c r="AQ505">
        <v>-43.868257999999997</v>
      </c>
      <c r="AR505">
        <v>24.621113441172451</v>
      </c>
      <c r="AS505" t="s">
        <v>65</v>
      </c>
      <c r="AT505">
        <v>1</v>
      </c>
      <c r="AU505" t="s">
        <v>348</v>
      </c>
      <c r="AV505" t="s">
        <v>349</v>
      </c>
      <c r="AW505" t="s">
        <v>60</v>
      </c>
      <c r="AX505" t="s">
        <v>68</v>
      </c>
      <c r="AY505" t="s">
        <v>69</v>
      </c>
      <c r="AZ505" t="b">
        <v>1</v>
      </c>
    </row>
    <row r="506" spans="1:52" x14ac:dyDescent="0.3">
      <c r="A506" t="s">
        <v>52</v>
      </c>
      <c r="B506" t="s">
        <v>53</v>
      </c>
      <c r="C506" t="s">
        <v>54</v>
      </c>
      <c r="D506" t="s">
        <v>55</v>
      </c>
      <c r="E506" t="s">
        <v>776</v>
      </c>
      <c r="F506" t="s">
        <v>176</v>
      </c>
      <c r="G506" t="s">
        <v>474</v>
      </c>
      <c r="H506" t="s">
        <v>475</v>
      </c>
      <c r="I506" t="s">
        <v>475</v>
      </c>
      <c r="J506" t="s">
        <v>60</v>
      </c>
      <c r="K506" t="s">
        <v>326</v>
      </c>
      <c r="L506" t="s">
        <v>62</v>
      </c>
      <c r="M506" t="s">
        <v>326</v>
      </c>
      <c r="N506" t="s">
        <v>476</v>
      </c>
      <c r="O506" t="s">
        <v>477</v>
      </c>
      <c r="P506">
        <v>-19.658083000000001</v>
      </c>
      <c r="Q506">
        <v>-43.866957999999997</v>
      </c>
      <c r="R506" s="2" t="str">
        <f>HYPERLINK("https://www.google.com/maps?q=-19.6580830,-43.8669580","Abrir no Google Maps")</f>
        <v>Abrir no Google Maps</v>
      </c>
      <c r="S506">
        <v>3</v>
      </c>
      <c r="T506">
        <v>753.45055811539748</v>
      </c>
      <c r="U506">
        <v>3</v>
      </c>
      <c r="V506">
        <v>9</v>
      </c>
      <c r="W506">
        <v>1</v>
      </c>
      <c r="X506">
        <v>9</v>
      </c>
      <c r="Y506">
        <v>3</v>
      </c>
      <c r="Z506">
        <v>808.47816984050394</v>
      </c>
      <c r="AA506">
        <v>2</v>
      </c>
      <c r="AB506">
        <v>3</v>
      </c>
      <c r="AC506">
        <v>7</v>
      </c>
      <c r="AD506">
        <v>25.45</v>
      </c>
      <c r="AE506">
        <v>253</v>
      </c>
      <c r="AF506">
        <v>15</v>
      </c>
      <c r="AG506">
        <v>62</v>
      </c>
      <c r="AH506">
        <v>32</v>
      </c>
      <c r="AI506">
        <v>5.93</v>
      </c>
      <c r="AJ506">
        <v>24.51</v>
      </c>
      <c r="AK506">
        <v>12.65</v>
      </c>
      <c r="AL506">
        <v>-19.658034899999929</v>
      </c>
      <c r="AM506">
        <v>-43.867024921196148</v>
      </c>
      <c r="AN506">
        <v>-19.658034899999929</v>
      </c>
      <c r="AO506">
        <v>-43.867024921196148</v>
      </c>
      <c r="AP506">
        <v>-19.658083000000001</v>
      </c>
      <c r="AQ506">
        <v>-43.866957999999997</v>
      </c>
      <c r="AR506">
        <v>8.8253920204286462</v>
      </c>
      <c r="AS506" t="s">
        <v>65</v>
      </c>
      <c r="AT506">
        <v>1</v>
      </c>
      <c r="AU506" t="s">
        <v>478</v>
      </c>
      <c r="AV506" t="s">
        <v>349</v>
      </c>
      <c r="AW506" t="s">
        <v>60</v>
      </c>
      <c r="AX506" t="s">
        <v>68</v>
      </c>
      <c r="AY506" t="s">
        <v>69</v>
      </c>
      <c r="AZ506" t="b">
        <v>1</v>
      </c>
    </row>
    <row r="507" spans="1:52" x14ac:dyDescent="0.3">
      <c r="A507" t="s">
        <v>52</v>
      </c>
      <c r="B507" t="s">
        <v>53</v>
      </c>
      <c r="C507" t="s">
        <v>54</v>
      </c>
      <c r="D507" t="s">
        <v>55</v>
      </c>
      <c r="E507" t="s">
        <v>776</v>
      </c>
      <c r="F507" t="s">
        <v>176</v>
      </c>
      <c r="G507" t="s">
        <v>681</v>
      </c>
      <c r="H507" t="s">
        <v>682</v>
      </c>
      <c r="I507" t="s">
        <v>682</v>
      </c>
      <c r="J507" t="s">
        <v>60</v>
      </c>
      <c r="K507" t="s">
        <v>683</v>
      </c>
      <c r="L507" t="s">
        <v>62</v>
      </c>
      <c r="M507" t="s">
        <v>683</v>
      </c>
      <c r="N507" t="s">
        <v>684</v>
      </c>
      <c r="O507" t="s">
        <v>589</v>
      </c>
      <c r="P507">
        <v>-19.569573999999999</v>
      </c>
      <c r="Q507">
        <v>-43.948939000000003</v>
      </c>
      <c r="R507" s="2" t="str">
        <f>HYPERLINK("https://www.google.com/maps?q=-19.5695740,-43.9489390","Abrir no Google Maps")</f>
        <v>Abrir no Google Maps</v>
      </c>
      <c r="S507">
        <v>3</v>
      </c>
      <c r="T507">
        <v>710.01170441209865</v>
      </c>
      <c r="U507">
        <v>3</v>
      </c>
      <c r="V507">
        <v>10</v>
      </c>
      <c r="W507">
        <v>1</v>
      </c>
      <c r="X507">
        <v>10</v>
      </c>
      <c r="Y507">
        <v>1</v>
      </c>
      <c r="Z507">
        <v>528.51196257580398</v>
      </c>
      <c r="AA507">
        <v>2</v>
      </c>
      <c r="AB507">
        <v>3</v>
      </c>
      <c r="AC507">
        <v>7</v>
      </c>
      <c r="AD507">
        <v>25.45</v>
      </c>
      <c r="AE507">
        <v>253</v>
      </c>
      <c r="AF507">
        <v>15</v>
      </c>
      <c r="AG507">
        <v>62</v>
      </c>
      <c r="AH507">
        <v>32</v>
      </c>
      <c r="AI507">
        <v>5.93</v>
      </c>
      <c r="AJ507">
        <v>24.51</v>
      </c>
      <c r="AK507">
        <v>12.65</v>
      </c>
      <c r="AL507">
        <v>-19.570777549999971</v>
      </c>
      <c r="AM507">
        <v>-43.949205504203732</v>
      </c>
      <c r="AN507">
        <v>-19.570777549999981</v>
      </c>
      <c r="AO507">
        <v>-43.949205504203732</v>
      </c>
      <c r="AP507">
        <v>-19.569573999999999</v>
      </c>
      <c r="AQ507">
        <v>-43.948939000000003</v>
      </c>
      <c r="AR507">
        <v>136.86420500821191</v>
      </c>
      <c r="AS507" t="s">
        <v>65</v>
      </c>
      <c r="AT507">
        <v>1</v>
      </c>
      <c r="AU507" t="s">
        <v>685</v>
      </c>
      <c r="AV507" t="s">
        <v>686</v>
      </c>
      <c r="AW507" t="s">
        <v>60</v>
      </c>
      <c r="AX507" t="s">
        <v>68</v>
      </c>
      <c r="AY507" t="s">
        <v>69</v>
      </c>
      <c r="AZ507" t="b">
        <v>1</v>
      </c>
    </row>
    <row r="508" spans="1:52" x14ac:dyDescent="0.3">
      <c r="A508" t="s">
        <v>52</v>
      </c>
      <c r="B508" t="s">
        <v>53</v>
      </c>
      <c r="C508" t="s">
        <v>54</v>
      </c>
      <c r="D508" t="s">
        <v>55</v>
      </c>
      <c r="E508" t="s">
        <v>776</v>
      </c>
      <c r="F508" t="s">
        <v>176</v>
      </c>
      <c r="G508" t="s">
        <v>664</v>
      </c>
      <c r="H508" t="s">
        <v>687</v>
      </c>
      <c r="I508" t="s">
        <v>687</v>
      </c>
      <c r="J508" t="s">
        <v>60</v>
      </c>
      <c r="K508" t="s">
        <v>683</v>
      </c>
      <c r="L508" t="s">
        <v>62</v>
      </c>
      <c r="M508" t="s">
        <v>683</v>
      </c>
      <c r="N508" t="s">
        <v>688</v>
      </c>
      <c r="O508" t="s">
        <v>354</v>
      </c>
      <c r="P508">
        <v>-19.564990999999999</v>
      </c>
      <c r="Q508">
        <v>-43.947169000000002</v>
      </c>
      <c r="R508" s="2" t="str">
        <f>HYPERLINK("https://www.google.com/maps?q=-19.5649910,-43.9471690","Abrir no Google Maps")</f>
        <v>Abrir no Google Maps</v>
      </c>
      <c r="S508">
        <v>3</v>
      </c>
      <c r="T508">
        <v>686.62887321451433</v>
      </c>
      <c r="U508">
        <v>3</v>
      </c>
      <c r="V508">
        <v>12</v>
      </c>
      <c r="W508">
        <v>1</v>
      </c>
      <c r="X508">
        <v>12</v>
      </c>
      <c r="Y508">
        <v>1</v>
      </c>
      <c r="Z508">
        <v>848.87718642784125</v>
      </c>
      <c r="AA508">
        <v>2</v>
      </c>
      <c r="AB508">
        <v>3</v>
      </c>
      <c r="AC508">
        <v>7</v>
      </c>
      <c r="AD508">
        <v>25.45</v>
      </c>
      <c r="AE508">
        <v>253</v>
      </c>
      <c r="AF508">
        <v>15</v>
      </c>
      <c r="AG508">
        <v>62</v>
      </c>
      <c r="AH508">
        <v>32</v>
      </c>
      <c r="AI508">
        <v>5.93</v>
      </c>
      <c r="AJ508">
        <v>24.51</v>
      </c>
      <c r="AK508">
        <v>12.65</v>
      </c>
      <c r="AL508">
        <v>-19.564904949999971</v>
      </c>
      <c r="AM508">
        <v>-43.94746329903581</v>
      </c>
      <c r="AN508">
        <v>-19.564904949999971</v>
      </c>
      <c r="AO508">
        <v>-43.94746329903581</v>
      </c>
      <c r="AP508">
        <v>-19.564990999999999</v>
      </c>
      <c r="AQ508">
        <v>-43.947169000000002</v>
      </c>
      <c r="AR508">
        <v>32.321888980844889</v>
      </c>
      <c r="AS508" t="s">
        <v>65</v>
      </c>
      <c r="AT508">
        <v>1</v>
      </c>
      <c r="AU508" t="s">
        <v>689</v>
      </c>
      <c r="AV508" t="s">
        <v>690</v>
      </c>
      <c r="AW508" t="s">
        <v>60</v>
      </c>
      <c r="AX508" t="s">
        <v>68</v>
      </c>
      <c r="AY508" t="s">
        <v>69</v>
      </c>
      <c r="AZ508" t="b">
        <v>1</v>
      </c>
    </row>
    <row r="509" spans="1:52" x14ac:dyDescent="0.3">
      <c r="A509" t="s">
        <v>52</v>
      </c>
      <c r="B509" t="s">
        <v>53</v>
      </c>
      <c r="C509" t="s">
        <v>54</v>
      </c>
      <c r="D509" t="s">
        <v>55</v>
      </c>
      <c r="E509" t="s">
        <v>776</v>
      </c>
      <c r="F509" t="s">
        <v>176</v>
      </c>
      <c r="G509" t="s">
        <v>382</v>
      </c>
      <c r="H509" t="s">
        <v>383</v>
      </c>
      <c r="I509" t="s">
        <v>383</v>
      </c>
      <c r="J509" t="s">
        <v>60</v>
      </c>
      <c r="K509" t="s">
        <v>185</v>
      </c>
      <c r="L509" t="s">
        <v>62</v>
      </c>
      <c r="M509" t="s">
        <v>185</v>
      </c>
      <c r="N509" t="s">
        <v>384</v>
      </c>
      <c r="O509" t="s">
        <v>385</v>
      </c>
      <c r="P509">
        <v>-19.623774000000001</v>
      </c>
      <c r="Q509">
        <v>-43.886352000000002</v>
      </c>
      <c r="R509" s="2" t="str">
        <f>HYPERLINK("https://www.google.com/maps?q=-19.6237740,-43.8863520","Abrir no Google Maps")</f>
        <v>Abrir no Google Maps</v>
      </c>
      <c r="S509">
        <v>3</v>
      </c>
      <c r="T509">
        <v>818.17252856383368</v>
      </c>
      <c r="U509">
        <v>3</v>
      </c>
      <c r="V509">
        <v>13</v>
      </c>
      <c r="W509">
        <v>1</v>
      </c>
      <c r="X509">
        <v>13</v>
      </c>
      <c r="Y509">
        <v>0</v>
      </c>
      <c r="Z509">
        <v>327.32213182525902</v>
      </c>
      <c r="AA509">
        <v>2</v>
      </c>
      <c r="AB509">
        <v>3</v>
      </c>
      <c r="AC509">
        <v>7</v>
      </c>
      <c r="AD509">
        <v>25.45</v>
      </c>
      <c r="AE509">
        <v>253</v>
      </c>
      <c r="AF509">
        <v>15</v>
      </c>
      <c r="AG509">
        <v>62</v>
      </c>
      <c r="AH509">
        <v>32</v>
      </c>
      <c r="AI509">
        <v>5.93</v>
      </c>
      <c r="AJ509">
        <v>24.51</v>
      </c>
      <c r="AK509">
        <v>12.65</v>
      </c>
      <c r="AL509">
        <v>-19.623056299999941</v>
      </c>
      <c r="AM509">
        <v>-43.886837120297002</v>
      </c>
      <c r="AN509">
        <v>-19.623056299999941</v>
      </c>
      <c r="AO509">
        <v>-43.886837120297002</v>
      </c>
      <c r="AP509">
        <v>-19.623774000000001</v>
      </c>
      <c r="AQ509">
        <v>-43.886352000000002</v>
      </c>
      <c r="AR509">
        <v>94.713149059175393</v>
      </c>
      <c r="AS509" t="s">
        <v>65</v>
      </c>
      <c r="AT509">
        <v>1</v>
      </c>
      <c r="AU509" t="s">
        <v>386</v>
      </c>
      <c r="AV509" t="s">
        <v>387</v>
      </c>
      <c r="AW509" t="s">
        <v>60</v>
      </c>
      <c r="AX509" t="s">
        <v>68</v>
      </c>
      <c r="AY509" t="s">
        <v>69</v>
      </c>
      <c r="AZ509" t="b">
        <v>1</v>
      </c>
    </row>
    <row r="510" spans="1:52" x14ac:dyDescent="0.3">
      <c r="A510" t="s">
        <v>52</v>
      </c>
      <c r="B510" t="s">
        <v>53</v>
      </c>
      <c r="C510" t="s">
        <v>54</v>
      </c>
      <c r="D510" t="s">
        <v>55</v>
      </c>
      <c r="E510" t="s">
        <v>776</v>
      </c>
      <c r="F510" t="s">
        <v>512</v>
      </c>
      <c r="G510" t="s">
        <v>58</v>
      </c>
      <c r="H510" t="s">
        <v>59</v>
      </c>
      <c r="I510" t="s">
        <v>59</v>
      </c>
      <c r="J510" t="s">
        <v>60</v>
      </c>
      <c r="K510" t="s">
        <v>61</v>
      </c>
      <c r="L510" t="s">
        <v>62</v>
      </c>
      <c r="M510" t="s">
        <v>61</v>
      </c>
      <c r="N510" t="s">
        <v>63</v>
      </c>
      <c r="O510" t="s">
        <v>64</v>
      </c>
      <c r="P510">
        <v>-19.631502000000001</v>
      </c>
      <c r="Q510">
        <v>-43.910241999999997</v>
      </c>
      <c r="R510" s="2" t="str">
        <f>HYPERLINK("https://www.google.com/maps?q=-19.6315020,-43.9102420","Abrir no Google Maps")</f>
        <v>Abrir no Google Maps</v>
      </c>
      <c r="S510">
        <v>4</v>
      </c>
      <c r="T510">
        <v>789.20099406682743</v>
      </c>
      <c r="U510">
        <v>4</v>
      </c>
      <c r="V510">
        <v>33</v>
      </c>
      <c r="W510">
        <v>1</v>
      </c>
      <c r="X510">
        <v>33</v>
      </c>
      <c r="Y510">
        <v>10</v>
      </c>
      <c r="Z510">
        <v>691.44930074509864</v>
      </c>
      <c r="AA510">
        <v>2</v>
      </c>
      <c r="AB510">
        <v>3</v>
      </c>
      <c r="AC510">
        <v>7</v>
      </c>
      <c r="AD510">
        <v>25.45</v>
      </c>
      <c r="AE510">
        <v>253</v>
      </c>
      <c r="AF510">
        <v>15</v>
      </c>
      <c r="AG510">
        <v>62</v>
      </c>
      <c r="AH510">
        <v>32</v>
      </c>
      <c r="AI510">
        <v>5.93</v>
      </c>
      <c r="AJ510">
        <v>24.51</v>
      </c>
      <c r="AK510">
        <v>12.65</v>
      </c>
      <c r="AL510">
        <v>-19.631719749999949</v>
      </c>
      <c r="AM510">
        <v>-43.910102324517517</v>
      </c>
      <c r="AN510">
        <v>-19.631719749999949</v>
      </c>
      <c r="AO510">
        <v>-43.910102324517517</v>
      </c>
      <c r="AP510">
        <v>-19.631502000000001</v>
      </c>
      <c r="AQ510">
        <v>-43.910241999999997</v>
      </c>
      <c r="AR510">
        <v>28.320416429206599</v>
      </c>
      <c r="AS510" t="s">
        <v>65</v>
      </c>
      <c r="AT510">
        <v>1</v>
      </c>
      <c r="AU510" t="s">
        <v>66</v>
      </c>
      <c r="AV510" t="s">
        <v>67</v>
      </c>
      <c r="AW510" t="s">
        <v>60</v>
      </c>
      <c r="AX510" t="s">
        <v>68</v>
      </c>
      <c r="AY510" t="s">
        <v>69</v>
      </c>
      <c r="AZ510" t="b">
        <v>1</v>
      </c>
    </row>
    <row r="511" spans="1:52" x14ac:dyDescent="0.3">
      <c r="A511" t="s">
        <v>52</v>
      </c>
      <c r="B511" t="s">
        <v>53</v>
      </c>
      <c r="C511" t="s">
        <v>54</v>
      </c>
      <c r="D511" t="s">
        <v>55</v>
      </c>
      <c r="E511" t="s">
        <v>776</v>
      </c>
      <c r="F511" t="s">
        <v>512</v>
      </c>
      <c r="G511" t="s">
        <v>70</v>
      </c>
      <c r="H511" t="s">
        <v>71</v>
      </c>
      <c r="I511" t="s">
        <v>71</v>
      </c>
      <c r="J511" t="s">
        <v>60</v>
      </c>
      <c r="K511" t="s">
        <v>72</v>
      </c>
      <c r="L511" t="s">
        <v>62</v>
      </c>
      <c r="M511" t="s">
        <v>72</v>
      </c>
      <c r="N511" t="s">
        <v>73</v>
      </c>
      <c r="O511" t="s">
        <v>74</v>
      </c>
      <c r="P511">
        <v>-19.632581999999999</v>
      </c>
      <c r="Q511">
        <v>-43.902416000000002</v>
      </c>
      <c r="R511" s="2" t="str">
        <f>HYPERLINK("https://www.google.com/maps?q=-19.6325820,-43.9024160","Abrir no Google Maps")</f>
        <v>Abrir no Google Maps</v>
      </c>
      <c r="S511">
        <v>4</v>
      </c>
      <c r="T511">
        <v>0</v>
      </c>
      <c r="U511">
        <v>4</v>
      </c>
      <c r="V511">
        <v>18</v>
      </c>
      <c r="W511">
        <v>1</v>
      </c>
      <c r="X511">
        <v>18</v>
      </c>
      <c r="Y511">
        <v>10</v>
      </c>
      <c r="Z511">
        <v>146.6968158874696</v>
      </c>
      <c r="AA511">
        <v>2</v>
      </c>
      <c r="AB511">
        <v>3</v>
      </c>
      <c r="AC511">
        <v>7</v>
      </c>
      <c r="AD511">
        <v>25.45</v>
      </c>
      <c r="AE511">
        <v>253</v>
      </c>
      <c r="AF511">
        <v>15</v>
      </c>
      <c r="AG511">
        <v>62</v>
      </c>
      <c r="AH511">
        <v>32</v>
      </c>
      <c r="AI511">
        <v>5.93</v>
      </c>
      <c r="AJ511">
        <v>24.51</v>
      </c>
      <c r="AK511">
        <v>12.65</v>
      </c>
      <c r="AL511">
        <v>-19.63271449999996</v>
      </c>
      <c r="AM511">
        <v>-43.902649897389402</v>
      </c>
      <c r="AN511">
        <v>-19.63271449999996</v>
      </c>
      <c r="AO511">
        <v>-43.902649897389402</v>
      </c>
      <c r="AP511">
        <v>-19.632581999999999</v>
      </c>
      <c r="AQ511">
        <v>-43.902416000000002</v>
      </c>
      <c r="AR511">
        <v>28.617753432996459</v>
      </c>
      <c r="AS511" t="s">
        <v>65</v>
      </c>
      <c r="AT511">
        <v>1</v>
      </c>
      <c r="AU511" t="s">
        <v>75</v>
      </c>
      <c r="AV511" t="s">
        <v>76</v>
      </c>
      <c r="AW511" t="s">
        <v>60</v>
      </c>
      <c r="AX511" t="s">
        <v>68</v>
      </c>
      <c r="AY511" t="s">
        <v>69</v>
      </c>
      <c r="AZ511" t="b">
        <v>1</v>
      </c>
    </row>
    <row r="512" spans="1:52" x14ac:dyDescent="0.3">
      <c r="A512" t="s">
        <v>52</v>
      </c>
      <c r="B512" t="s">
        <v>53</v>
      </c>
      <c r="C512" t="s">
        <v>54</v>
      </c>
      <c r="D512" t="s">
        <v>55</v>
      </c>
      <c r="E512" t="s">
        <v>776</v>
      </c>
      <c r="F512" t="s">
        <v>512</v>
      </c>
      <c r="G512" t="s">
        <v>77</v>
      </c>
      <c r="H512" t="s">
        <v>78</v>
      </c>
      <c r="I512" t="s">
        <v>78</v>
      </c>
      <c r="J512" t="s">
        <v>60</v>
      </c>
      <c r="K512" t="s">
        <v>79</v>
      </c>
      <c r="L512" t="s">
        <v>62</v>
      </c>
      <c r="M512" t="s">
        <v>79</v>
      </c>
      <c r="N512" t="s">
        <v>80</v>
      </c>
      <c r="O512" t="s">
        <v>81</v>
      </c>
      <c r="P512">
        <v>-19.632463999999999</v>
      </c>
      <c r="Q512">
        <v>-43.904927999999998</v>
      </c>
      <c r="R512" s="2" t="str">
        <f>HYPERLINK("https://www.google.com/maps?q=-19.6324640,-43.9049280","Abrir no Google Maps")</f>
        <v>Abrir no Google Maps</v>
      </c>
      <c r="S512">
        <v>4</v>
      </c>
      <c r="T512">
        <v>244.1735197453369</v>
      </c>
      <c r="U512">
        <v>3</v>
      </c>
      <c r="V512">
        <v>15</v>
      </c>
      <c r="W512">
        <v>1</v>
      </c>
      <c r="X512">
        <v>15</v>
      </c>
      <c r="Y512">
        <v>10</v>
      </c>
      <c r="Z512">
        <v>287.26068152447448</v>
      </c>
      <c r="AA512">
        <v>2</v>
      </c>
      <c r="AB512">
        <v>3</v>
      </c>
      <c r="AC512">
        <v>7</v>
      </c>
      <c r="AD512">
        <v>25.45</v>
      </c>
      <c r="AE512">
        <v>253</v>
      </c>
      <c r="AF512">
        <v>15</v>
      </c>
      <c r="AG512">
        <v>62</v>
      </c>
      <c r="AH512">
        <v>32</v>
      </c>
      <c r="AI512">
        <v>5.93</v>
      </c>
      <c r="AJ512">
        <v>24.51</v>
      </c>
      <c r="AK512">
        <v>12.65</v>
      </c>
      <c r="AL512">
        <v>-19.63247099999996</v>
      </c>
      <c r="AM512">
        <v>-43.904964174285787</v>
      </c>
      <c r="AN512">
        <v>-19.63247099999996</v>
      </c>
      <c r="AO512">
        <v>-43.904964174285787</v>
      </c>
      <c r="AP512">
        <v>-19.632463999999999</v>
      </c>
      <c r="AQ512">
        <v>-43.904927999999998</v>
      </c>
      <c r="AR512">
        <v>3.8720457500200469</v>
      </c>
      <c r="AS512" t="s">
        <v>65</v>
      </c>
      <c r="AT512">
        <v>1</v>
      </c>
      <c r="AU512" t="s">
        <v>82</v>
      </c>
      <c r="AV512" t="s">
        <v>83</v>
      </c>
      <c r="AW512" t="s">
        <v>60</v>
      </c>
      <c r="AX512" t="s">
        <v>68</v>
      </c>
      <c r="AY512" t="s">
        <v>69</v>
      </c>
      <c r="AZ512" t="b">
        <v>1</v>
      </c>
    </row>
    <row r="513" spans="1:52" x14ac:dyDescent="0.3">
      <c r="A513" t="s">
        <v>52</v>
      </c>
      <c r="B513" t="s">
        <v>53</v>
      </c>
      <c r="C513" t="s">
        <v>54</v>
      </c>
      <c r="D513" t="s">
        <v>55</v>
      </c>
      <c r="E513" t="s">
        <v>776</v>
      </c>
      <c r="F513" t="s">
        <v>512</v>
      </c>
      <c r="G513" t="s">
        <v>84</v>
      </c>
      <c r="H513" t="s">
        <v>85</v>
      </c>
      <c r="I513" t="s">
        <v>85</v>
      </c>
      <c r="J513" t="s">
        <v>60</v>
      </c>
      <c r="K513" t="s">
        <v>86</v>
      </c>
      <c r="L513" t="s">
        <v>62</v>
      </c>
      <c r="M513" t="s">
        <v>86</v>
      </c>
      <c r="N513" t="s">
        <v>87</v>
      </c>
      <c r="O513" t="s">
        <v>88</v>
      </c>
      <c r="P513">
        <v>-19.629436999999999</v>
      </c>
      <c r="Q513">
        <v>-43.910398999999998</v>
      </c>
      <c r="R513" s="2" t="str">
        <f>HYPERLINK("https://www.google.com/maps?q=-19.6294370,-43.9103990","Abrir no Google Maps")</f>
        <v>Abrir no Google Maps</v>
      </c>
      <c r="S513">
        <v>4</v>
      </c>
      <c r="T513">
        <v>888.82060643108082</v>
      </c>
      <c r="U513">
        <v>3</v>
      </c>
      <c r="V513">
        <v>14</v>
      </c>
      <c r="W513">
        <v>1</v>
      </c>
      <c r="X513">
        <v>14</v>
      </c>
      <c r="Y513">
        <v>10</v>
      </c>
      <c r="Z513">
        <v>867.42797341651737</v>
      </c>
      <c r="AA513">
        <v>2</v>
      </c>
      <c r="AB513">
        <v>3</v>
      </c>
      <c r="AC513">
        <v>7</v>
      </c>
      <c r="AD513">
        <v>25.45</v>
      </c>
      <c r="AE513">
        <v>253</v>
      </c>
      <c r="AF513">
        <v>15</v>
      </c>
      <c r="AG513">
        <v>62</v>
      </c>
      <c r="AH513">
        <v>32</v>
      </c>
      <c r="AI513">
        <v>5.93</v>
      </c>
      <c r="AJ513">
        <v>24.51</v>
      </c>
      <c r="AK513">
        <v>12.65</v>
      </c>
      <c r="AL513">
        <v>-19.62934694999996</v>
      </c>
      <c r="AM513">
        <v>-43.910344699357317</v>
      </c>
      <c r="AN513">
        <v>-19.62934694999996</v>
      </c>
      <c r="AO513">
        <v>-43.910344699357331</v>
      </c>
      <c r="AP513">
        <v>-19.629436999999999</v>
      </c>
      <c r="AQ513">
        <v>-43.910398999999998</v>
      </c>
      <c r="AR513">
        <v>11.52837377953678</v>
      </c>
      <c r="AS513" t="s">
        <v>65</v>
      </c>
      <c r="AT513">
        <v>1</v>
      </c>
      <c r="AU513" t="s">
        <v>89</v>
      </c>
      <c r="AV513" t="s">
        <v>90</v>
      </c>
      <c r="AW513" t="s">
        <v>60</v>
      </c>
      <c r="AX513" t="s">
        <v>68</v>
      </c>
      <c r="AY513" t="s">
        <v>69</v>
      </c>
      <c r="AZ513" t="b">
        <v>1</v>
      </c>
    </row>
    <row r="514" spans="1:52" x14ac:dyDescent="0.3">
      <c r="A514" t="s">
        <v>52</v>
      </c>
      <c r="B514" t="s">
        <v>53</v>
      </c>
      <c r="C514" t="s">
        <v>54</v>
      </c>
      <c r="D514" t="s">
        <v>55</v>
      </c>
      <c r="E514" t="s">
        <v>776</v>
      </c>
      <c r="F514" t="s">
        <v>512</v>
      </c>
      <c r="G514" t="s">
        <v>97</v>
      </c>
      <c r="H514" t="s">
        <v>98</v>
      </c>
      <c r="I514" t="s">
        <v>98</v>
      </c>
      <c r="J514" t="s">
        <v>60</v>
      </c>
      <c r="K514" t="s">
        <v>99</v>
      </c>
      <c r="L514" t="s">
        <v>62</v>
      </c>
      <c r="M514" t="s">
        <v>99</v>
      </c>
      <c r="N514" t="s">
        <v>100</v>
      </c>
      <c r="O514" t="s">
        <v>101</v>
      </c>
      <c r="P514">
        <v>-19.629822000000001</v>
      </c>
      <c r="Q514">
        <v>-43.905341</v>
      </c>
      <c r="R514" s="2" t="str">
        <f>HYPERLINK("https://www.google.com/maps?q=-19.6298220,-43.9053410","Abrir no Google Maps")</f>
        <v>Abrir no Google Maps</v>
      </c>
      <c r="S514">
        <v>4</v>
      </c>
      <c r="T514">
        <v>441.30597341744129</v>
      </c>
      <c r="U514">
        <v>3</v>
      </c>
      <c r="V514">
        <v>14</v>
      </c>
      <c r="W514">
        <v>1</v>
      </c>
      <c r="X514">
        <v>14</v>
      </c>
      <c r="Y514">
        <v>10</v>
      </c>
      <c r="Z514">
        <v>513.56493751010987</v>
      </c>
      <c r="AA514">
        <v>2</v>
      </c>
      <c r="AB514">
        <v>3</v>
      </c>
      <c r="AC514">
        <v>7</v>
      </c>
      <c r="AD514">
        <v>25.45</v>
      </c>
      <c r="AE514">
        <v>253</v>
      </c>
      <c r="AF514">
        <v>15</v>
      </c>
      <c r="AG514">
        <v>62</v>
      </c>
      <c r="AH514">
        <v>32</v>
      </c>
      <c r="AI514">
        <v>5.93</v>
      </c>
      <c r="AJ514">
        <v>24.51</v>
      </c>
      <c r="AK514">
        <v>12.65</v>
      </c>
      <c r="AL514">
        <v>-19.629671599999941</v>
      </c>
      <c r="AM514">
        <v>-43.905369597920988</v>
      </c>
      <c r="AN514">
        <v>-19.629671599999931</v>
      </c>
      <c r="AO514">
        <v>-43.905369597920988</v>
      </c>
      <c r="AP514">
        <v>-19.629822000000001</v>
      </c>
      <c r="AQ514">
        <v>-43.905341</v>
      </c>
      <c r="AR514">
        <v>17.008917699186132</v>
      </c>
      <c r="AS514" t="s">
        <v>65</v>
      </c>
      <c r="AT514">
        <v>1</v>
      </c>
      <c r="AU514" t="s">
        <v>102</v>
      </c>
      <c r="AV514" t="s">
        <v>103</v>
      </c>
      <c r="AW514" t="s">
        <v>60</v>
      </c>
      <c r="AX514" t="s">
        <v>68</v>
      </c>
      <c r="AY514" t="s">
        <v>69</v>
      </c>
      <c r="AZ514" t="b">
        <v>1</v>
      </c>
    </row>
    <row r="515" spans="1:52" x14ac:dyDescent="0.3">
      <c r="A515" t="s">
        <v>52</v>
      </c>
      <c r="B515" t="s">
        <v>53</v>
      </c>
      <c r="C515" t="s">
        <v>54</v>
      </c>
      <c r="D515" t="s">
        <v>55</v>
      </c>
      <c r="E515" t="s">
        <v>776</v>
      </c>
      <c r="F515" t="s">
        <v>512</v>
      </c>
      <c r="G515" t="s">
        <v>513</v>
      </c>
      <c r="H515" t="s">
        <v>514</v>
      </c>
      <c r="I515" t="s">
        <v>514</v>
      </c>
      <c r="J515" t="s">
        <v>60</v>
      </c>
      <c r="K515" t="s">
        <v>185</v>
      </c>
      <c r="L515" t="s">
        <v>62</v>
      </c>
      <c r="M515" t="s">
        <v>185</v>
      </c>
      <c r="N515" t="s">
        <v>515</v>
      </c>
      <c r="O515" t="s">
        <v>516</v>
      </c>
      <c r="P515">
        <v>-19.63184</v>
      </c>
      <c r="Q515">
        <v>-43.899625999999998</v>
      </c>
      <c r="R515" s="2" t="str">
        <f>HYPERLINK("https://www.google.com/maps?q=-19.6318400,-43.8996260","Abrir no Google Maps")</f>
        <v>Abrir no Google Maps</v>
      </c>
      <c r="S515">
        <v>4</v>
      </c>
      <c r="T515">
        <v>317.05369638212568</v>
      </c>
      <c r="U515">
        <v>2</v>
      </c>
      <c r="V515">
        <v>7</v>
      </c>
      <c r="W515">
        <v>0.85</v>
      </c>
      <c r="X515">
        <v>5.95</v>
      </c>
      <c r="Y515">
        <v>10</v>
      </c>
      <c r="Z515">
        <v>467.39112963581732</v>
      </c>
      <c r="AA515">
        <v>2</v>
      </c>
      <c r="AB515">
        <v>3</v>
      </c>
      <c r="AC515">
        <v>7</v>
      </c>
      <c r="AD515">
        <v>25.45</v>
      </c>
      <c r="AE515">
        <v>253</v>
      </c>
      <c r="AF515">
        <v>15</v>
      </c>
      <c r="AG515">
        <v>62</v>
      </c>
      <c r="AH515">
        <v>32</v>
      </c>
      <c r="AI515">
        <v>5.93</v>
      </c>
      <c r="AJ515">
        <v>24.51</v>
      </c>
      <c r="AK515">
        <v>12.65</v>
      </c>
      <c r="AL515">
        <v>-19.631819699999941</v>
      </c>
      <c r="AM515">
        <v>-43.89977767057065</v>
      </c>
      <c r="AN515">
        <v>-19.631819699999941</v>
      </c>
      <c r="AO515">
        <v>-43.89977767057065</v>
      </c>
      <c r="AP515">
        <v>-19.63184</v>
      </c>
      <c r="AQ515">
        <v>-43.899625999999998</v>
      </c>
      <c r="AR515">
        <v>16.062279375806241</v>
      </c>
      <c r="AS515" t="s">
        <v>65</v>
      </c>
      <c r="AT515">
        <v>1</v>
      </c>
      <c r="AU515" t="s">
        <v>517</v>
      </c>
      <c r="AV515" t="s">
        <v>518</v>
      </c>
      <c r="AW515" t="s">
        <v>60</v>
      </c>
      <c r="AX515" t="s">
        <v>68</v>
      </c>
      <c r="AY515" t="s">
        <v>69</v>
      </c>
      <c r="AZ515" t="b">
        <v>1</v>
      </c>
    </row>
    <row r="516" spans="1:52" x14ac:dyDescent="0.3">
      <c r="A516" t="s">
        <v>52</v>
      </c>
      <c r="B516" t="s">
        <v>53</v>
      </c>
      <c r="C516" t="s">
        <v>54</v>
      </c>
      <c r="D516" t="s">
        <v>55</v>
      </c>
      <c r="E516" t="s">
        <v>776</v>
      </c>
      <c r="F516" t="s">
        <v>512</v>
      </c>
      <c r="G516" t="s">
        <v>91</v>
      </c>
      <c r="H516" t="s">
        <v>92</v>
      </c>
      <c r="I516" t="s">
        <v>92</v>
      </c>
      <c r="J516" t="s">
        <v>60</v>
      </c>
      <c r="K516" t="s">
        <v>86</v>
      </c>
      <c r="L516" t="s">
        <v>62</v>
      </c>
      <c r="M516" t="s">
        <v>86</v>
      </c>
      <c r="N516" t="s">
        <v>93</v>
      </c>
      <c r="O516" t="s">
        <v>94</v>
      </c>
      <c r="P516">
        <v>-19.630676999999999</v>
      </c>
      <c r="Q516">
        <v>-43.907255999999997</v>
      </c>
      <c r="R516" s="2" t="str">
        <f>HYPERLINK("https://www.google.com/maps?q=-19.6306770,-43.9072560","Abrir no Google Maps")</f>
        <v>Abrir no Google Maps</v>
      </c>
      <c r="S516">
        <v>4</v>
      </c>
      <c r="T516">
        <v>545.39374622597825</v>
      </c>
      <c r="U516">
        <v>2</v>
      </c>
      <c r="V516">
        <v>6</v>
      </c>
      <c r="W516">
        <v>1</v>
      </c>
      <c r="X516">
        <v>6</v>
      </c>
      <c r="Y516">
        <v>10</v>
      </c>
      <c r="Z516">
        <v>559.94033759457182</v>
      </c>
      <c r="AA516">
        <v>2</v>
      </c>
      <c r="AB516">
        <v>3</v>
      </c>
      <c r="AC516">
        <v>7</v>
      </c>
      <c r="AD516">
        <v>25.45</v>
      </c>
      <c r="AE516">
        <v>253</v>
      </c>
      <c r="AF516">
        <v>15</v>
      </c>
      <c r="AG516">
        <v>62</v>
      </c>
      <c r="AH516">
        <v>32</v>
      </c>
      <c r="AI516">
        <v>5.93</v>
      </c>
      <c r="AJ516">
        <v>24.51</v>
      </c>
      <c r="AK516">
        <v>12.65</v>
      </c>
      <c r="AL516">
        <v>-19.630448649999941</v>
      </c>
      <c r="AM516">
        <v>-43.907268502495313</v>
      </c>
      <c r="AN516">
        <v>-19.630448649999941</v>
      </c>
      <c r="AO516">
        <v>-43.907268502495313</v>
      </c>
      <c r="AP516">
        <v>-19.630676999999999</v>
      </c>
      <c r="AQ516">
        <v>-43.907255999999997</v>
      </c>
      <c r="AR516">
        <v>25.453700276562468</v>
      </c>
      <c r="AS516" t="s">
        <v>65</v>
      </c>
      <c r="AT516">
        <v>1</v>
      </c>
      <c r="AU516" t="s">
        <v>95</v>
      </c>
      <c r="AV516" t="s">
        <v>96</v>
      </c>
      <c r="AW516" t="s">
        <v>60</v>
      </c>
      <c r="AX516" t="s">
        <v>68</v>
      </c>
      <c r="AY516" t="s">
        <v>69</v>
      </c>
      <c r="AZ516" t="b">
        <v>1</v>
      </c>
    </row>
    <row r="517" spans="1:52" x14ac:dyDescent="0.3">
      <c r="A517" t="s">
        <v>52</v>
      </c>
      <c r="B517" t="s">
        <v>53</v>
      </c>
      <c r="C517" t="s">
        <v>54</v>
      </c>
      <c r="D517" t="s">
        <v>55</v>
      </c>
      <c r="E517" t="s">
        <v>776</v>
      </c>
      <c r="F517" t="s">
        <v>512</v>
      </c>
      <c r="G517" t="s">
        <v>519</v>
      </c>
      <c r="H517" t="s">
        <v>520</v>
      </c>
      <c r="I517" t="s">
        <v>520</v>
      </c>
      <c r="J517" t="s">
        <v>60</v>
      </c>
      <c r="K517" t="s">
        <v>72</v>
      </c>
      <c r="L517" t="s">
        <v>62</v>
      </c>
      <c r="M517" t="s">
        <v>72</v>
      </c>
      <c r="N517" t="s">
        <v>521</v>
      </c>
      <c r="O517" t="s">
        <v>522</v>
      </c>
      <c r="P517">
        <v>-19.634713000000001</v>
      </c>
      <c r="Q517">
        <v>-43.908909999999999</v>
      </c>
      <c r="R517" s="2" t="str">
        <f>HYPERLINK("https://www.google.com/maps?q=-19.6347130,-43.9089100","Abrir no Google Maps")</f>
        <v>Abrir no Google Maps</v>
      </c>
      <c r="S517">
        <v>4</v>
      </c>
      <c r="T517">
        <v>700.74700083720154</v>
      </c>
      <c r="U517">
        <v>1</v>
      </c>
      <c r="V517">
        <v>4</v>
      </c>
      <c r="W517">
        <v>0.85</v>
      </c>
      <c r="X517">
        <v>3.4</v>
      </c>
      <c r="Y517">
        <v>10</v>
      </c>
      <c r="Z517">
        <v>557.86159429038207</v>
      </c>
      <c r="AA517">
        <v>2</v>
      </c>
      <c r="AB517">
        <v>3</v>
      </c>
      <c r="AC517">
        <v>7</v>
      </c>
      <c r="AD517">
        <v>25.45</v>
      </c>
      <c r="AE517">
        <v>253</v>
      </c>
      <c r="AF517">
        <v>15</v>
      </c>
      <c r="AG517">
        <v>62</v>
      </c>
      <c r="AH517">
        <v>32</v>
      </c>
      <c r="AI517">
        <v>5.93</v>
      </c>
      <c r="AJ517">
        <v>24.51</v>
      </c>
      <c r="AK517">
        <v>12.65</v>
      </c>
      <c r="AL517">
        <v>-19.634626949999959</v>
      </c>
      <c r="AM517">
        <v>-43.909020333181857</v>
      </c>
      <c r="AN517">
        <v>-19.634626949999959</v>
      </c>
      <c r="AO517">
        <v>-43.909020333181857</v>
      </c>
      <c r="AP517">
        <v>-19.634713000000001</v>
      </c>
      <c r="AQ517">
        <v>-43.908909999999999</v>
      </c>
      <c r="AR517">
        <v>15.01933861967664</v>
      </c>
      <c r="AS517" t="s">
        <v>65</v>
      </c>
      <c r="AT517">
        <v>1</v>
      </c>
      <c r="AU517" t="s">
        <v>523</v>
      </c>
      <c r="AV517" t="s">
        <v>524</v>
      </c>
      <c r="AW517" t="s">
        <v>60</v>
      </c>
      <c r="AX517" t="s">
        <v>68</v>
      </c>
      <c r="AY517" t="s">
        <v>69</v>
      </c>
      <c r="AZ517" t="b">
        <v>1</v>
      </c>
    </row>
    <row r="518" spans="1:52" x14ac:dyDescent="0.3">
      <c r="A518" t="s">
        <v>52</v>
      </c>
      <c r="B518" t="s">
        <v>53</v>
      </c>
      <c r="C518" t="s">
        <v>54</v>
      </c>
      <c r="D518" t="s">
        <v>55</v>
      </c>
      <c r="E518" t="s">
        <v>776</v>
      </c>
      <c r="F518" t="s">
        <v>512</v>
      </c>
      <c r="G518" t="s">
        <v>394</v>
      </c>
      <c r="H518" t="s">
        <v>395</v>
      </c>
      <c r="I518" t="s">
        <v>395</v>
      </c>
      <c r="J518" t="s">
        <v>60</v>
      </c>
      <c r="K518" t="s">
        <v>286</v>
      </c>
      <c r="L518" t="s">
        <v>62</v>
      </c>
      <c r="M518" t="s">
        <v>286</v>
      </c>
      <c r="N518" t="s">
        <v>396</v>
      </c>
      <c r="O518" t="s">
        <v>88</v>
      </c>
      <c r="P518">
        <v>-19.636932999999999</v>
      </c>
      <c r="Q518">
        <v>-43.882691999999999</v>
      </c>
      <c r="R518" s="2" t="str">
        <f>HYPERLINK("https://www.google.com/maps?q=-19.6369330,-43.8826920","Abrir no Google Maps")</f>
        <v>Abrir no Google Maps</v>
      </c>
      <c r="S518">
        <v>3</v>
      </c>
      <c r="T518">
        <v>523.52675813688109</v>
      </c>
      <c r="U518">
        <v>4</v>
      </c>
      <c r="V518">
        <v>17</v>
      </c>
      <c r="W518">
        <v>1</v>
      </c>
      <c r="X518">
        <v>17</v>
      </c>
      <c r="Y518">
        <v>10</v>
      </c>
      <c r="Z518">
        <v>372.58135532659509</v>
      </c>
      <c r="AA518">
        <v>2</v>
      </c>
      <c r="AB518">
        <v>3</v>
      </c>
      <c r="AC518">
        <v>7</v>
      </c>
      <c r="AD518">
        <v>25.45</v>
      </c>
      <c r="AE518">
        <v>253</v>
      </c>
      <c r="AF518">
        <v>15</v>
      </c>
      <c r="AG518">
        <v>62</v>
      </c>
      <c r="AH518">
        <v>32</v>
      </c>
      <c r="AI518">
        <v>5.93</v>
      </c>
      <c r="AJ518">
        <v>24.51</v>
      </c>
      <c r="AK518">
        <v>12.65</v>
      </c>
      <c r="AL518">
        <v>-19.637159949999951</v>
      </c>
      <c r="AM518">
        <v>-43.882643289441461</v>
      </c>
      <c r="AN518">
        <v>-19.637159949999951</v>
      </c>
      <c r="AO518">
        <v>-43.882643289441461</v>
      </c>
      <c r="AP518">
        <v>-19.636932999999999</v>
      </c>
      <c r="AQ518">
        <v>-43.882691999999999</v>
      </c>
      <c r="AR518">
        <v>25.775099947452478</v>
      </c>
      <c r="AS518" t="s">
        <v>65</v>
      </c>
      <c r="AT518">
        <v>1</v>
      </c>
      <c r="AU518" t="s">
        <v>397</v>
      </c>
      <c r="AV518" t="s">
        <v>398</v>
      </c>
      <c r="AW518" t="s">
        <v>60</v>
      </c>
      <c r="AX518" t="s">
        <v>68</v>
      </c>
      <c r="AY518" t="s">
        <v>69</v>
      </c>
      <c r="AZ518" t="b">
        <v>1</v>
      </c>
    </row>
    <row r="519" spans="1:52" x14ac:dyDescent="0.3">
      <c r="A519" t="s">
        <v>52</v>
      </c>
      <c r="B519" t="s">
        <v>53</v>
      </c>
      <c r="C519" t="s">
        <v>54</v>
      </c>
      <c r="D519" t="s">
        <v>55</v>
      </c>
      <c r="E519" t="s">
        <v>776</v>
      </c>
      <c r="F519" t="s">
        <v>512</v>
      </c>
      <c r="G519" t="s">
        <v>284</v>
      </c>
      <c r="H519" t="s">
        <v>285</v>
      </c>
      <c r="I519" t="s">
        <v>285</v>
      </c>
      <c r="J519" t="s">
        <v>60</v>
      </c>
      <c r="K519" t="s">
        <v>286</v>
      </c>
      <c r="L519" t="s">
        <v>62</v>
      </c>
      <c r="M519" t="s">
        <v>286</v>
      </c>
      <c r="N519" t="s">
        <v>287</v>
      </c>
      <c r="O519" t="s">
        <v>288</v>
      </c>
      <c r="P519">
        <v>-19.639790000000001</v>
      </c>
      <c r="Q519">
        <v>-43.882798999999999</v>
      </c>
      <c r="R519" s="2" t="str">
        <f>HYPERLINK("https://www.google.com/maps?q=-19.6397900,-43.8827990","Abrir no Google Maps")</f>
        <v>Abrir no Google Maps</v>
      </c>
      <c r="S519">
        <v>3</v>
      </c>
      <c r="T519">
        <v>242.7052058134478</v>
      </c>
      <c r="U519">
        <v>4</v>
      </c>
      <c r="V519">
        <v>27</v>
      </c>
      <c r="W519">
        <v>1</v>
      </c>
      <c r="X519">
        <v>27</v>
      </c>
      <c r="Y519">
        <v>10</v>
      </c>
      <c r="Z519">
        <v>187.2088809462339</v>
      </c>
      <c r="AA519">
        <v>2</v>
      </c>
      <c r="AB519">
        <v>3</v>
      </c>
      <c r="AC519">
        <v>7</v>
      </c>
      <c r="AD519">
        <v>25.45</v>
      </c>
      <c r="AE519">
        <v>253</v>
      </c>
      <c r="AF519">
        <v>15</v>
      </c>
      <c r="AG519">
        <v>62</v>
      </c>
      <c r="AH519">
        <v>32</v>
      </c>
      <c r="AI519">
        <v>5.93</v>
      </c>
      <c r="AJ519">
        <v>24.51</v>
      </c>
      <c r="AK519">
        <v>12.65</v>
      </c>
      <c r="AL519">
        <v>-19.639855599999951</v>
      </c>
      <c r="AM519">
        <v>-43.882909745178452</v>
      </c>
      <c r="AN519">
        <v>-19.639855599999951</v>
      </c>
      <c r="AO519">
        <v>-43.882909745178452</v>
      </c>
      <c r="AP519">
        <v>-19.639790000000001</v>
      </c>
      <c r="AQ519">
        <v>-43.882798999999999</v>
      </c>
      <c r="AR519">
        <v>13.716486068571211</v>
      </c>
      <c r="AS519" t="s">
        <v>65</v>
      </c>
      <c r="AT519">
        <v>1</v>
      </c>
      <c r="AU519" t="s">
        <v>289</v>
      </c>
      <c r="AV519" t="s">
        <v>290</v>
      </c>
      <c r="AW519" t="s">
        <v>60</v>
      </c>
      <c r="AX519" t="s">
        <v>68</v>
      </c>
      <c r="AY519" t="s">
        <v>69</v>
      </c>
      <c r="AZ519" t="b">
        <v>1</v>
      </c>
    </row>
    <row r="520" spans="1:52" x14ac:dyDescent="0.3">
      <c r="A520" t="s">
        <v>52</v>
      </c>
      <c r="B520" t="s">
        <v>53</v>
      </c>
      <c r="C520" t="s">
        <v>54</v>
      </c>
      <c r="D520" t="s">
        <v>55</v>
      </c>
      <c r="E520" t="s">
        <v>776</v>
      </c>
      <c r="F520" t="s">
        <v>512</v>
      </c>
      <c r="G520" t="s">
        <v>291</v>
      </c>
      <c r="H520" t="s">
        <v>292</v>
      </c>
      <c r="I520" t="s">
        <v>292</v>
      </c>
      <c r="J520" t="s">
        <v>60</v>
      </c>
      <c r="K520" t="s">
        <v>286</v>
      </c>
      <c r="L520" t="s">
        <v>62</v>
      </c>
      <c r="M520" t="s">
        <v>286</v>
      </c>
      <c r="N520" t="s">
        <v>293</v>
      </c>
      <c r="O520" t="s">
        <v>294</v>
      </c>
      <c r="P520">
        <v>-19.640333999999999</v>
      </c>
      <c r="Q520">
        <v>-43.880004999999997</v>
      </c>
      <c r="R520" s="2" t="str">
        <f>HYPERLINK("https://www.google.com/maps?q=-19.6403340,-43.8800050","Abrir no Google Maps")</f>
        <v>Abrir no Google Maps</v>
      </c>
      <c r="S520">
        <v>3</v>
      </c>
      <c r="T520">
        <v>276.80943817309782</v>
      </c>
      <c r="U520">
        <v>4</v>
      </c>
      <c r="V520">
        <v>18</v>
      </c>
      <c r="W520">
        <v>1</v>
      </c>
      <c r="X520">
        <v>18</v>
      </c>
      <c r="Y520">
        <v>10</v>
      </c>
      <c r="Z520">
        <v>361.98332038983392</v>
      </c>
      <c r="AA520">
        <v>2</v>
      </c>
      <c r="AB520">
        <v>3</v>
      </c>
      <c r="AC520">
        <v>7</v>
      </c>
      <c r="AD520">
        <v>25.45</v>
      </c>
      <c r="AE520">
        <v>253</v>
      </c>
      <c r="AF520">
        <v>15</v>
      </c>
      <c r="AG520">
        <v>62</v>
      </c>
      <c r="AH520">
        <v>32</v>
      </c>
      <c r="AI520">
        <v>5.93</v>
      </c>
      <c r="AJ520">
        <v>24.51</v>
      </c>
      <c r="AK520">
        <v>12.65</v>
      </c>
      <c r="AL520">
        <v>-19.640260249999951</v>
      </c>
      <c r="AM520">
        <v>-43.880090474326408</v>
      </c>
      <c r="AN520">
        <v>-19.640260249999951</v>
      </c>
      <c r="AO520">
        <v>-43.880090474326408</v>
      </c>
      <c r="AP520">
        <v>-19.640333999999999</v>
      </c>
      <c r="AQ520">
        <v>-43.880004999999997</v>
      </c>
      <c r="AR520">
        <v>12.153556195359609</v>
      </c>
      <c r="AS520" t="s">
        <v>65</v>
      </c>
      <c r="AT520">
        <v>1</v>
      </c>
      <c r="AU520" t="s">
        <v>295</v>
      </c>
      <c r="AV520" t="s">
        <v>296</v>
      </c>
      <c r="AW520" t="s">
        <v>60</v>
      </c>
      <c r="AX520" t="s">
        <v>68</v>
      </c>
      <c r="AY520" t="s">
        <v>69</v>
      </c>
      <c r="AZ520" t="b">
        <v>1</v>
      </c>
    </row>
    <row r="521" spans="1:52" x14ac:dyDescent="0.3">
      <c r="A521" t="s">
        <v>52</v>
      </c>
      <c r="B521" t="s">
        <v>53</v>
      </c>
      <c r="C521" t="s">
        <v>54</v>
      </c>
      <c r="D521" t="s">
        <v>55</v>
      </c>
      <c r="E521" t="s">
        <v>776</v>
      </c>
      <c r="F521" t="s">
        <v>512</v>
      </c>
      <c r="G521" t="s">
        <v>530</v>
      </c>
      <c r="H521" t="s">
        <v>531</v>
      </c>
      <c r="I521" t="s">
        <v>531</v>
      </c>
      <c r="J521" t="s">
        <v>60</v>
      </c>
      <c r="K521" t="s">
        <v>185</v>
      </c>
      <c r="L521" t="s">
        <v>62</v>
      </c>
      <c r="M521" t="s">
        <v>185</v>
      </c>
      <c r="N521" t="s">
        <v>532</v>
      </c>
      <c r="O521" t="s">
        <v>533</v>
      </c>
      <c r="P521">
        <v>-19.625264000000001</v>
      </c>
      <c r="Q521">
        <v>-43.889451000000001</v>
      </c>
      <c r="R521" s="2" t="str">
        <f>HYPERLINK("https://www.google.com/maps?q=-19.6252640,-43.8894510","Abrir no Google Maps")</f>
        <v>Abrir no Google Maps</v>
      </c>
      <c r="S521">
        <v>3</v>
      </c>
      <c r="T521">
        <v>466.11340370665903</v>
      </c>
      <c r="U521">
        <v>3</v>
      </c>
      <c r="V521">
        <v>11</v>
      </c>
      <c r="W521">
        <v>0.85</v>
      </c>
      <c r="X521">
        <v>9.35</v>
      </c>
      <c r="Y521">
        <v>18</v>
      </c>
      <c r="Z521">
        <v>320.77337440837812</v>
      </c>
      <c r="AA521">
        <v>2</v>
      </c>
      <c r="AB521">
        <v>3</v>
      </c>
      <c r="AC521">
        <v>7</v>
      </c>
      <c r="AD521">
        <v>25.45</v>
      </c>
      <c r="AE521">
        <v>253</v>
      </c>
      <c r="AF521">
        <v>15</v>
      </c>
      <c r="AG521">
        <v>62</v>
      </c>
      <c r="AH521">
        <v>32</v>
      </c>
      <c r="AI521">
        <v>5.93</v>
      </c>
      <c r="AJ521">
        <v>24.51</v>
      </c>
      <c r="AK521">
        <v>12.65</v>
      </c>
      <c r="AL521">
        <v>-19.62516189999997</v>
      </c>
      <c r="AM521">
        <v>-43.88954614566876</v>
      </c>
      <c r="AN521">
        <v>-19.62516189999997</v>
      </c>
      <c r="AO521">
        <v>-43.88954614566876</v>
      </c>
      <c r="AP521">
        <v>-19.625264000000001</v>
      </c>
      <c r="AQ521">
        <v>-43.889451000000001</v>
      </c>
      <c r="AR521">
        <v>15.12310549834147</v>
      </c>
      <c r="AS521" t="s">
        <v>65</v>
      </c>
      <c r="AT521">
        <v>1</v>
      </c>
      <c r="AU521" t="s">
        <v>534</v>
      </c>
      <c r="AV521" t="s">
        <v>535</v>
      </c>
      <c r="AW521" t="s">
        <v>60</v>
      </c>
      <c r="AX521" t="s">
        <v>68</v>
      </c>
      <c r="AY521" t="s">
        <v>69</v>
      </c>
      <c r="AZ521" t="b">
        <v>1</v>
      </c>
    </row>
    <row r="522" spans="1:52" x14ac:dyDescent="0.3">
      <c r="A522" t="s">
        <v>52</v>
      </c>
      <c r="B522" t="s">
        <v>53</v>
      </c>
      <c r="C522" t="s">
        <v>54</v>
      </c>
      <c r="D522" t="s">
        <v>55</v>
      </c>
      <c r="E522" t="s">
        <v>776</v>
      </c>
      <c r="F522" t="s">
        <v>512</v>
      </c>
      <c r="G522" t="s">
        <v>405</v>
      </c>
      <c r="H522" t="s">
        <v>406</v>
      </c>
      <c r="I522" t="s">
        <v>406</v>
      </c>
      <c r="J522" t="s">
        <v>60</v>
      </c>
      <c r="K522" t="s">
        <v>286</v>
      </c>
      <c r="L522" t="s">
        <v>62</v>
      </c>
      <c r="M522" t="s">
        <v>286</v>
      </c>
      <c r="N522" t="s">
        <v>407</v>
      </c>
      <c r="O522" t="s">
        <v>408</v>
      </c>
      <c r="P522">
        <v>-19.646345</v>
      </c>
      <c r="Q522">
        <v>-43.882294999999999</v>
      </c>
      <c r="R522" s="2" t="str">
        <f>HYPERLINK("https://www.google.com/maps?q=-19.6463450,-43.8822950","Abrir no Google Maps")</f>
        <v>Abrir no Google Maps</v>
      </c>
      <c r="S522">
        <v>3</v>
      </c>
      <c r="T522">
        <v>450.3180538635894</v>
      </c>
      <c r="U522">
        <v>3</v>
      </c>
      <c r="V522">
        <v>13</v>
      </c>
      <c r="W522">
        <v>1</v>
      </c>
      <c r="X522">
        <v>13</v>
      </c>
      <c r="Y522">
        <v>10</v>
      </c>
      <c r="Z522">
        <v>349.23341775902583</v>
      </c>
      <c r="AA522">
        <v>2</v>
      </c>
      <c r="AB522">
        <v>3</v>
      </c>
      <c r="AC522">
        <v>7</v>
      </c>
      <c r="AD522">
        <v>25.45</v>
      </c>
      <c r="AE522">
        <v>253</v>
      </c>
      <c r="AF522">
        <v>15</v>
      </c>
      <c r="AG522">
        <v>62</v>
      </c>
      <c r="AH522">
        <v>32</v>
      </c>
      <c r="AI522">
        <v>5.93</v>
      </c>
      <c r="AJ522">
        <v>24.51</v>
      </c>
      <c r="AK522">
        <v>12.65</v>
      </c>
      <c r="AL522">
        <v>-19.646391649999941</v>
      </c>
      <c r="AM522">
        <v>-43.882007396993302</v>
      </c>
      <c r="AN522">
        <v>-19.646391649999941</v>
      </c>
      <c r="AO522">
        <v>-43.882007396993302</v>
      </c>
      <c r="AP522">
        <v>-19.646345</v>
      </c>
      <c r="AQ522">
        <v>-43.882294999999999</v>
      </c>
      <c r="AR522">
        <v>30.596105513395301</v>
      </c>
      <c r="AS522" t="s">
        <v>65</v>
      </c>
      <c r="AT522">
        <v>1</v>
      </c>
      <c r="AU522" t="s">
        <v>409</v>
      </c>
      <c r="AV522" t="s">
        <v>410</v>
      </c>
      <c r="AW522" t="s">
        <v>60</v>
      </c>
      <c r="AX522" t="s">
        <v>68</v>
      </c>
      <c r="AY522" t="s">
        <v>69</v>
      </c>
      <c r="AZ522" t="b">
        <v>1</v>
      </c>
    </row>
    <row r="523" spans="1:52" x14ac:dyDescent="0.3">
      <c r="A523" t="s">
        <v>52</v>
      </c>
      <c r="B523" t="s">
        <v>53</v>
      </c>
      <c r="C523" t="s">
        <v>54</v>
      </c>
      <c r="D523" t="s">
        <v>55</v>
      </c>
      <c r="E523" t="s">
        <v>776</v>
      </c>
      <c r="F523" t="s">
        <v>512</v>
      </c>
      <c r="G523" t="s">
        <v>525</v>
      </c>
      <c r="H523" t="s">
        <v>526</v>
      </c>
      <c r="I523" t="s">
        <v>526</v>
      </c>
      <c r="J523" t="s">
        <v>60</v>
      </c>
      <c r="K523" t="s">
        <v>286</v>
      </c>
      <c r="L523" t="s">
        <v>62</v>
      </c>
      <c r="M523" t="s">
        <v>286</v>
      </c>
      <c r="N523" t="s">
        <v>527</v>
      </c>
      <c r="O523" t="s">
        <v>113</v>
      </c>
      <c r="P523">
        <v>-19.629049999999999</v>
      </c>
      <c r="Q523">
        <v>-43.887543000000001</v>
      </c>
      <c r="R523" s="2" t="str">
        <f>HYPERLINK("https://www.google.com/maps?q=-19.6290500,-43.8875430","Abrir no Google Maps")</f>
        <v>Abrir no Google Maps</v>
      </c>
      <c r="S523">
        <v>3</v>
      </c>
      <c r="T523">
        <v>420.9244758141914</v>
      </c>
      <c r="U523">
        <v>2</v>
      </c>
      <c r="V523">
        <v>7</v>
      </c>
      <c r="W523">
        <v>0.85</v>
      </c>
      <c r="X523">
        <v>5.95</v>
      </c>
      <c r="Y523">
        <v>18</v>
      </c>
      <c r="Z523">
        <v>298.16529694300579</v>
      </c>
      <c r="AA523">
        <v>2</v>
      </c>
      <c r="AB523">
        <v>3</v>
      </c>
      <c r="AC523">
        <v>7</v>
      </c>
      <c r="AD523">
        <v>25.45</v>
      </c>
      <c r="AE523">
        <v>253</v>
      </c>
      <c r="AF523">
        <v>15</v>
      </c>
      <c r="AG523">
        <v>62</v>
      </c>
      <c r="AH523">
        <v>32</v>
      </c>
      <c r="AI523">
        <v>5.93</v>
      </c>
      <c r="AJ523">
        <v>24.51</v>
      </c>
      <c r="AK523">
        <v>12.65</v>
      </c>
      <c r="AL523">
        <v>-19.62914789999996</v>
      </c>
      <c r="AM523">
        <v>-43.887659532387332</v>
      </c>
      <c r="AN523">
        <v>-19.62914789999996</v>
      </c>
      <c r="AO523">
        <v>-43.887659532387332</v>
      </c>
      <c r="AP523">
        <v>-19.629049999999999</v>
      </c>
      <c r="AQ523">
        <v>-43.887543000000001</v>
      </c>
      <c r="AR523">
        <v>16.372645779361299</v>
      </c>
      <c r="AS523" t="s">
        <v>65</v>
      </c>
      <c r="AT523">
        <v>1</v>
      </c>
      <c r="AU523" t="s">
        <v>528</v>
      </c>
      <c r="AV523" t="s">
        <v>529</v>
      </c>
      <c r="AW523" t="s">
        <v>60</v>
      </c>
      <c r="AX523" t="s">
        <v>68</v>
      </c>
      <c r="AY523" t="s">
        <v>69</v>
      </c>
      <c r="AZ523" t="b">
        <v>1</v>
      </c>
    </row>
    <row r="524" spans="1:52" x14ac:dyDescent="0.3">
      <c r="A524" t="s">
        <v>52</v>
      </c>
      <c r="B524" t="s">
        <v>53</v>
      </c>
      <c r="C524" t="s">
        <v>54</v>
      </c>
      <c r="D524" t="s">
        <v>55</v>
      </c>
      <c r="E524" t="s">
        <v>776</v>
      </c>
      <c r="F524" t="s">
        <v>512</v>
      </c>
      <c r="G524" t="s">
        <v>388</v>
      </c>
      <c r="H524" t="s">
        <v>389</v>
      </c>
      <c r="I524" t="s">
        <v>389</v>
      </c>
      <c r="J524" t="s">
        <v>60</v>
      </c>
      <c r="K524" t="s">
        <v>185</v>
      </c>
      <c r="L524" t="s">
        <v>62</v>
      </c>
      <c r="M524" t="s">
        <v>185</v>
      </c>
      <c r="N524" t="s">
        <v>390</v>
      </c>
      <c r="O524" t="s">
        <v>391</v>
      </c>
      <c r="P524">
        <v>-19.628802</v>
      </c>
      <c r="Q524">
        <v>-43.891649000000001</v>
      </c>
      <c r="R524" s="2" t="str">
        <f>HYPERLINK("https://www.google.com/maps?q=-19.6288020,-43.8916490","Abrir no Google Maps")</f>
        <v>Abrir no Google Maps</v>
      </c>
      <c r="S524">
        <v>3</v>
      </c>
      <c r="T524">
        <v>0</v>
      </c>
      <c r="U524">
        <v>2</v>
      </c>
      <c r="V524">
        <v>7</v>
      </c>
      <c r="W524">
        <v>0.85</v>
      </c>
      <c r="X524">
        <v>5.95</v>
      </c>
      <c r="Y524">
        <v>18</v>
      </c>
      <c r="Z524">
        <v>117.5064585283839</v>
      </c>
      <c r="AA524">
        <v>2</v>
      </c>
      <c r="AB524">
        <v>3</v>
      </c>
      <c r="AC524">
        <v>7</v>
      </c>
      <c r="AD524">
        <v>25.45</v>
      </c>
      <c r="AE524">
        <v>253</v>
      </c>
      <c r="AF524">
        <v>15</v>
      </c>
      <c r="AG524">
        <v>62</v>
      </c>
      <c r="AH524">
        <v>32</v>
      </c>
      <c r="AI524">
        <v>5.93</v>
      </c>
      <c r="AJ524">
        <v>24.51</v>
      </c>
      <c r="AK524">
        <v>12.65</v>
      </c>
      <c r="AL524">
        <v>-19.628865499999961</v>
      </c>
      <c r="AM524">
        <v>-43.891662391334172</v>
      </c>
      <c r="AN524">
        <v>-19.628865499999961</v>
      </c>
      <c r="AO524">
        <v>-43.891662391334172</v>
      </c>
      <c r="AP524">
        <v>-19.628802</v>
      </c>
      <c r="AQ524">
        <v>-43.891649000000001</v>
      </c>
      <c r="AR524">
        <v>7.2069201904448459</v>
      </c>
      <c r="AS524" t="s">
        <v>65</v>
      </c>
      <c r="AT524">
        <v>1</v>
      </c>
      <c r="AU524" t="s">
        <v>392</v>
      </c>
      <c r="AV524" t="s">
        <v>393</v>
      </c>
      <c r="AW524" t="s">
        <v>60</v>
      </c>
      <c r="AX524" t="s">
        <v>68</v>
      </c>
      <c r="AY524" t="s">
        <v>69</v>
      </c>
      <c r="AZ524" t="b">
        <v>1</v>
      </c>
    </row>
    <row r="525" spans="1:52" x14ac:dyDescent="0.3">
      <c r="A525" t="s">
        <v>52</v>
      </c>
      <c r="B525" t="s">
        <v>53</v>
      </c>
      <c r="C525" t="s">
        <v>54</v>
      </c>
      <c r="D525" t="s">
        <v>55</v>
      </c>
      <c r="E525" t="s">
        <v>776</v>
      </c>
      <c r="F525" t="s">
        <v>512</v>
      </c>
      <c r="G525" t="s">
        <v>399</v>
      </c>
      <c r="H525" t="s">
        <v>400</v>
      </c>
      <c r="I525" t="s">
        <v>400</v>
      </c>
      <c r="J525" t="s">
        <v>60</v>
      </c>
      <c r="K525" t="s">
        <v>286</v>
      </c>
      <c r="L525" t="s">
        <v>62</v>
      </c>
      <c r="M525" t="s">
        <v>286</v>
      </c>
      <c r="N525" t="s">
        <v>401</v>
      </c>
      <c r="O525" t="s">
        <v>402</v>
      </c>
      <c r="P525">
        <v>-19.639906</v>
      </c>
      <c r="Q525">
        <v>-43.886059000000003</v>
      </c>
      <c r="R525" s="2" t="str">
        <f>HYPERLINK("https://www.google.com/maps?q=-19.6399060,-43.8860590","Abrir no Google Maps")</f>
        <v>Abrir no Google Maps</v>
      </c>
      <c r="S525">
        <v>3</v>
      </c>
      <c r="T525">
        <v>256.0748811302048</v>
      </c>
      <c r="U525">
        <v>2</v>
      </c>
      <c r="V525">
        <v>8</v>
      </c>
      <c r="W525">
        <v>1</v>
      </c>
      <c r="X525">
        <v>8</v>
      </c>
      <c r="Y525">
        <v>10</v>
      </c>
      <c r="Z525">
        <v>205.06236700857289</v>
      </c>
      <c r="AA525">
        <v>2</v>
      </c>
      <c r="AB525">
        <v>3</v>
      </c>
      <c r="AC525">
        <v>7</v>
      </c>
      <c r="AD525">
        <v>25.45</v>
      </c>
      <c r="AE525">
        <v>253</v>
      </c>
      <c r="AF525">
        <v>15</v>
      </c>
      <c r="AG525">
        <v>62</v>
      </c>
      <c r="AH525">
        <v>32</v>
      </c>
      <c r="AI525">
        <v>5.93</v>
      </c>
      <c r="AJ525">
        <v>24.51</v>
      </c>
      <c r="AK525">
        <v>12.65</v>
      </c>
      <c r="AL525">
        <v>-19.639789499999949</v>
      </c>
      <c r="AM525">
        <v>-43.885737855031408</v>
      </c>
      <c r="AN525">
        <v>-19.639789499999949</v>
      </c>
      <c r="AO525">
        <v>-43.885737855031408</v>
      </c>
      <c r="AP525">
        <v>-19.639906</v>
      </c>
      <c r="AQ525">
        <v>-43.886059000000003</v>
      </c>
      <c r="AR525">
        <v>36.081349702130403</v>
      </c>
      <c r="AS525" t="s">
        <v>65</v>
      </c>
      <c r="AT525">
        <v>1</v>
      </c>
      <c r="AU525" t="s">
        <v>403</v>
      </c>
      <c r="AV525" t="s">
        <v>404</v>
      </c>
      <c r="AW525" t="s">
        <v>60</v>
      </c>
      <c r="AX525" t="s">
        <v>68</v>
      </c>
      <c r="AY525" t="s">
        <v>69</v>
      </c>
      <c r="AZ525" t="b">
        <v>1</v>
      </c>
    </row>
    <row r="526" spans="1:52" x14ac:dyDescent="0.3">
      <c r="A526" t="s">
        <v>52</v>
      </c>
      <c r="B526" t="s">
        <v>53</v>
      </c>
      <c r="C526" t="s">
        <v>54</v>
      </c>
      <c r="D526" t="s">
        <v>55</v>
      </c>
      <c r="E526" t="s">
        <v>776</v>
      </c>
      <c r="F526" t="s">
        <v>512</v>
      </c>
      <c r="G526" t="s">
        <v>552</v>
      </c>
      <c r="H526" t="s">
        <v>553</v>
      </c>
      <c r="I526" t="s">
        <v>553</v>
      </c>
      <c r="J526" t="s">
        <v>60</v>
      </c>
      <c r="K526" t="s">
        <v>445</v>
      </c>
      <c r="L526" t="s">
        <v>62</v>
      </c>
      <c r="M526" t="s">
        <v>445</v>
      </c>
      <c r="N526" t="s">
        <v>554</v>
      </c>
      <c r="O526" t="s">
        <v>207</v>
      </c>
      <c r="P526">
        <v>-19.641549999999999</v>
      </c>
      <c r="Q526">
        <v>-43.873263999999999</v>
      </c>
      <c r="R526" s="2" t="str">
        <f>HYPERLINK("https://www.google.com/maps?q=-19.6415500,-43.8732640","Abrir no Google Maps")</f>
        <v>Abrir no Google Maps</v>
      </c>
      <c r="S526">
        <v>3</v>
      </c>
      <c r="T526">
        <v>879.45465995735231</v>
      </c>
      <c r="U526">
        <v>2</v>
      </c>
      <c r="V526">
        <v>6</v>
      </c>
      <c r="W526">
        <v>0.85</v>
      </c>
      <c r="X526">
        <v>5.0999999999999996</v>
      </c>
      <c r="Y526">
        <v>10</v>
      </c>
      <c r="Z526">
        <v>830.70905214077095</v>
      </c>
      <c r="AA526">
        <v>2</v>
      </c>
      <c r="AB526">
        <v>3</v>
      </c>
      <c r="AC526">
        <v>7</v>
      </c>
      <c r="AD526">
        <v>25.45</v>
      </c>
      <c r="AE526">
        <v>253</v>
      </c>
      <c r="AF526">
        <v>15</v>
      </c>
      <c r="AG526">
        <v>62</v>
      </c>
      <c r="AH526">
        <v>32</v>
      </c>
      <c r="AI526">
        <v>5.93</v>
      </c>
      <c r="AJ526">
        <v>24.51</v>
      </c>
      <c r="AK526">
        <v>12.65</v>
      </c>
      <c r="AL526">
        <v>-19.641459949999959</v>
      </c>
      <c r="AM526">
        <v>-43.873212145688711</v>
      </c>
      <c r="AN526">
        <v>-19.641459949999959</v>
      </c>
      <c r="AO526">
        <v>-43.873212145688711</v>
      </c>
      <c r="AP526">
        <v>-19.641549999999999</v>
      </c>
      <c r="AQ526">
        <v>-43.873263999999999</v>
      </c>
      <c r="AR526">
        <v>11.40368340137019</v>
      </c>
      <c r="AS526" t="s">
        <v>65</v>
      </c>
      <c r="AT526">
        <v>1</v>
      </c>
      <c r="AU526" t="s">
        <v>555</v>
      </c>
      <c r="AV526" t="s">
        <v>556</v>
      </c>
      <c r="AW526" t="s">
        <v>60</v>
      </c>
      <c r="AX526" t="s">
        <v>68</v>
      </c>
      <c r="AY526" t="s">
        <v>69</v>
      </c>
      <c r="AZ526" t="b">
        <v>1</v>
      </c>
    </row>
    <row r="527" spans="1:52" x14ac:dyDescent="0.3">
      <c r="A527" t="s">
        <v>52</v>
      </c>
      <c r="B527" t="s">
        <v>53</v>
      </c>
      <c r="C527" t="s">
        <v>54</v>
      </c>
      <c r="D527" t="s">
        <v>55</v>
      </c>
      <c r="E527" t="s">
        <v>776</v>
      </c>
      <c r="F527" t="s">
        <v>512</v>
      </c>
      <c r="G527" t="s">
        <v>557</v>
      </c>
      <c r="H527" t="s">
        <v>558</v>
      </c>
      <c r="I527" t="s">
        <v>558</v>
      </c>
      <c r="J527" t="s">
        <v>60</v>
      </c>
      <c r="K527" t="s">
        <v>445</v>
      </c>
      <c r="L527" t="s">
        <v>62</v>
      </c>
      <c r="M527" t="s">
        <v>445</v>
      </c>
      <c r="N527" t="s">
        <v>559</v>
      </c>
      <c r="O527" t="s">
        <v>560</v>
      </c>
      <c r="P527">
        <v>-19.641839000000001</v>
      </c>
      <c r="Q527">
        <v>-43.876227</v>
      </c>
      <c r="R527" s="2" t="str">
        <f>HYPERLINK("https://www.google.com/maps?q=-19.6418390,-43.8762270","Abrir no Google Maps")</f>
        <v>Abrir no Google Maps</v>
      </c>
      <c r="S527">
        <v>3</v>
      </c>
      <c r="T527">
        <v>564.50471877254449</v>
      </c>
      <c r="U527">
        <v>2</v>
      </c>
      <c r="V527">
        <v>9</v>
      </c>
      <c r="W527">
        <v>0.85</v>
      </c>
      <c r="X527">
        <v>7.6499999999999986</v>
      </c>
      <c r="Y527">
        <v>10</v>
      </c>
      <c r="Z527">
        <v>490.40238336341412</v>
      </c>
      <c r="AA527">
        <v>2</v>
      </c>
      <c r="AB527">
        <v>3</v>
      </c>
      <c r="AC527">
        <v>7</v>
      </c>
      <c r="AD527">
        <v>25.45</v>
      </c>
      <c r="AE527">
        <v>253</v>
      </c>
      <c r="AF527">
        <v>15</v>
      </c>
      <c r="AG527">
        <v>62</v>
      </c>
      <c r="AH527">
        <v>32</v>
      </c>
      <c r="AI527">
        <v>5.93</v>
      </c>
      <c r="AJ527">
        <v>24.51</v>
      </c>
      <c r="AK527">
        <v>12.65</v>
      </c>
      <c r="AL527">
        <v>-19.641880699999941</v>
      </c>
      <c r="AM527">
        <v>-43.876185869580858</v>
      </c>
      <c r="AN527">
        <v>-19.641880699999941</v>
      </c>
      <c r="AO527">
        <v>-43.876185869580858</v>
      </c>
      <c r="AP527">
        <v>-19.641839000000001</v>
      </c>
      <c r="AQ527">
        <v>-43.876227</v>
      </c>
      <c r="AR527">
        <v>6.3359121862683301</v>
      </c>
      <c r="AS527" t="s">
        <v>65</v>
      </c>
      <c r="AT527">
        <v>1</v>
      </c>
      <c r="AU527" t="s">
        <v>561</v>
      </c>
      <c r="AV527" t="s">
        <v>562</v>
      </c>
      <c r="AW527" t="s">
        <v>60</v>
      </c>
      <c r="AX527" t="s">
        <v>68</v>
      </c>
      <c r="AY527" t="s">
        <v>69</v>
      </c>
      <c r="AZ527" t="b">
        <v>1</v>
      </c>
    </row>
    <row r="528" spans="1:52" x14ac:dyDescent="0.3">
      <c r="A528" t="s">
        <v>52</v>
      </c>
      <c r="B528" t="s">
        <v>53</v>
      </c>
      <c r="C528" t="s">
        <v>54</v>
      </c>
      <c r="D528" t="s">
        <v>55</v>
      </c>
      <c r="E528" t="s">
        <v>776</v>
      </c>
      <c r="F528" t="s">
        <v>512</v>
      </c>
      <c r="G528" t="s">
        <v>411</v>
      </c>
      <c r="H528" t="s">
        <v>412</v>
      </c>
      <c r="I528" t="s">
        <v>412</v>
      </c>
      <c r="J528" t="s">
        <v>60</v>
      </c>
      <c r="K528" t="s">
        <v>179</v>
      </c>
      <c r="L528" t="s">
        <v>62</v>
      </c>
      <c r="M528" t="s">
        <v>179</v>
      </c>
      <c r="N528" t="s">
        <v>413</v>
      </c>
      <c r="O528" t="s">
        <v>414</v>
      </c>
      <c r="P528">
        <v>-19.650079000000002</v>
      </c>
      <c r="Q528">
        <v>-43.884253999999999</v>
      </c>
      <c r="R528" s="2" t="str">
        <f>HYPERLINK("https://www.google.com/maps?q=-19.6500790,-43.8842540","Abrir no Google Maps")</f>
        <v>Abrir no Google Maps</v>
      </c>
      <c r="S528">
        <v>3</v>
      </c>
      <c r="T528">
        <v>797.21430129715498</v>
      </c>
      <c r="U528">
        <v>2</v>
      </c>
      <c r="V528">
        <v>7</v>
      </c>
      <c r="W528">
        <v>1</v>
      </c>
      <c r="X528">
        <v>7</v>
      </c>
      <c r="Y528">
        <v>10</v>
      </c>
      <c r="Z528">
        <v>774.04145012702554</v>
      </c>
      <c r="AA528">
        <v>2</v>
      </c>
      <c r="AB528">
        <v>3</v>
      </c>
      <c r="AC528">
        <v>7</v>
      </c>
      <c r="AD528">
        <v>25.45</v>
      </c>
      <c r="AE528">
        <v>253</v>
      </c>
      <c r="AF528">
        <v>15</v>
      </c>
      <c r="AG528">
        <v>62</v>
      </c>
      <c r="AH528">
        <v>32</v>
      </c>
      <c r="AI528">
        <v>5.93</v>
      </c>
      <c r="AJ528">
        <v>24.51</v>
      </c>
      <c r="AK528">
        <v>12.65</v>
      </c>
      <c r="AL528">
        <v>-19.649199399999961</v>
      </c>
      <c r="AM528">
        <v>-43.883888390043637</v>
      </c>
      <c r="AN528">
        <v>-19.649199399999961</v>
      </c>
      <c r="AO528">
        <v>-43.883888390043637</v>
      </c>
      <c r="AP528">
        <v>-19.650079000000002</v>
      </c>
      <c r="AQ528">
        <v>-43.884253999999999</v>
      </c>
      <c r="AR528">
        <v>105.1518915696123</v>
      </c>
      <c r="AS528" t="s">
        <v>65</v>
      </c>
      <c r="AT528">
        <v>1</v>
      </c>
      <c r="AU528" t="s">
        <v>415</v>
      </c>
      <c r="AV528" t="s">
        <v>416</v>
      </c>
      <c r="AW528" t="s">
        <v>60</v>
      </c>
      <c r="AX528" t="s">
        <v>68</v>
      </c>
      <c r="AY528" t="s">
        <v>69</v>
      </c>
      <c r="AZ528" t="b">
        <v>1</v>
      </c>
    </row>
    <row r="529" spans="1:52" x14ac:dyDescent="0.3">
      <c r="A529" t="s">
        <v>52</v>
      </c>
      <c r="B529" t="s">
        <v>53</v>
      </c>
      <c r="C529" t="s">
        <v>54</v>
      </c>
      <c r="D529" t="s">
        <v>55</v>
      </c>
      <c r="E529" t="s">
        <v>776</v>
      </c>
      <c r="F529" t="s">
        <v>512</v>
      </c>
      <c r="G529" t="s">
        <v>536</v>
      </c>
      <c r="H529" t="s">
        <v>537</v>
      </c>
      <c r="I529" t="s">
        <v>537</v>
      </c>
      <c r="J529" t="s">
        <v>60</v>
      </c>
      <c r="K529" t="s">
        <v>185</v>
      </c>
      <c r="L529" t="s">
        <v>62</v>
      </c>
      <c r="M529" t="s">
        <v>185</v>
      </c>
      <c r="N529" t="s">
        <v>538</v>
      </c>
      <c r="O529" t="s">
        <v>408</v>
      </c>
      <c r="P529">
        <v>-19.630147999999998</v>
      </c>
      <c r="Q529">
        <v>-43.893844000000001</v>
      </c>
      <c r="R529" s="2" t="str">
        <f>HYPERLINK("https://www.google.com/maps?q=-19.6301480,-43.8938440","Abrir no Google Maps")</f>
        <v>Abrir no Google Maps</v>
      </c>
      <c r="S529">
        <v>3</v>
      </c>
      <c r="T529">
        <v>262.94285160220159</v>
      </c>
      <c r="U529">
        <v>1</v>
      </c>
      <c r="V529">
        <v>4</v>
      </c>
      <c r="W529">
        <v>0.85</v>
      </c>
      <c r="X529">
        <v>3.4</v>
      </c>
      <c r="Y529">
        <v>18</v>
      </c>
      <c r="Z529">
        <v>351.25774094845309</v>
      </c>
      <c r="AA529">
        <v>2</v>
      </c>
      <c r="AB529">
        <v>3</v>
      </c>
      <c r="AC529">
        <v>7</v>
      </c>
      <c r="AD529">
        <v>25.45</v>
      </c>
      <c r="AE529">
        <v>253</v>
      </c>
      <c r="AF529">
        <v>15</v>
      </c>
      <c r="AG529">
        <v>62</v>
      </c>
      <c r="AH529">
        <v>32</v>
      </c>
      <c r="AI529">
        <v>5.93</v>
      </c>
      <c r="AJ529">
        <v>24.51</v>
      </c>
      <c r="AK529">
        <v>12.65</v>
      </c>
      <c r="AL529">
        <v>-19.630177599999939</v>
      </c>
      <c r="AM529">
        <v>-43.893752755034278</v>
      </c>
      <c r="AN529">
        <v>-19.630177599999939</v>
      </c>
      <c r="AO529">
        <v>-43.893752755034278</v>
      </c>
      <c r="AP529">
        <v>-19.630147999999998</v>
      </c>
      <c r="AQ529">
        <v>-43.893844000000001</v>
      </c>
      <c r="AR529">
        <v>10.1185927114604</v>
      </c>
      <c r="AS529" t="s">
        <v>65</v>
      </c>
      <c r="AT529">
        <v>1</v>
      </c>
      <c r="AU529" t="s">
        <v>539</v>
      </c>
      <c r="AV529" t="s">
        <v>540</v>
      </c>
      <c r="AW529" t="s">
        <v>60</v>
      </c>
      <c r="AX529" t="s">
        <v>68</v>
      </c>
      <c r="AY529" t="s">
        <v>69</v>
      </c>
      <c r="AZ529" t="b">
        <v>1</v>
      </c>
    </row>
    <row r="530" spans="1:52" x14ac:dyDescent="0.3">
      <c r="A530" t="s">
        <v>52</v>
      </c>
      <c r="B530" t="s">
        <v>53</v>
      </c>
      <c r="C530" t="s">
        <v>54</v>
      </c>
      <c r="D530" t="s">
        <v>55</v>
      </c>
      <c r="E530" t="s">
        <v>776</v>
      </c>
      <c r="F530" t="s">
        <v>512</v>
      </c>
      <c r="G530" t="s">
        <v>541</v>
      </c>
      <c r="H530" t="s">
        <v>542</v>
      </c>
      <c r="I530" t="s">
        <v>542</v>
      </c>
      <c r="J530" t="s">
        <v>60</v>
      </c>
      <c r="K530" t="s">
        <v>445</v>
      </c>
      <c r="L530" t="s">
        <v>62</v>
      </c>
      <c r="M530" t="s">
        <v>445</v>
      </c>
      <c r="N530" t="s">
        <v>543</v>
      </c>
      <c r="O530" t="s">
        <v>328</v>
      </c>
      <c r="P530">
        <v>-19.642263</v>
      </c>
      <c r="Q530">
        <v>-43.881428999999997</v>
      </c>
      <c r="R530" s="2" t="str">
        <f>HYPERLINK("https://www.google.com/maps?q=-19.6422630,-43.8814290","Abrir no Google Maps")</f>
        <v>Abrir no Google Maps</v>
      </c>
      <c r="S530">
        <v>3</v>
      </c>
      <c r="T530">
        <v>0</v>
      </c>
      <c r="U530">
        <v>1</v>
      </c>
      <c r="V530">
        <v>3</v>
      </c>
      <c r="W530">
        <v>0.85</v>
      </c>
      <c r="X530">
        <v>2.5499999999999998</v>
      </c>
      <c r="Y530">
        <v>10</v>
      </c>
      <c r="Z530">
        <v>162.4764384685345</v>
      </c>
      <c r="AA530">
        <v>2</v>
      </c>
      <c r="AB530">
        <v>3</v>
      </c>
      <c r="AC530">
        <v>7</v>
      </c>
      <c r="AD530">
        <v>25.45</v>
      </c>
      <c r="AE530">
        <v>253</v>
      </c>
      <c r="AF530">
        <v>15</v>
      </c>
      <c r="AG530">
        <v>62</v>
      </c>
      <c r="AH530">
        <v>32</v>
      </c>
      <c r="AI530">
        <v>5.93</v>
      </c>
      <c r="AJ530">
        <v>24.51</v>
      </c>
      <c r="AK530">
        <v>12.65</v>
      </c>
      <c r="AL530">
        <v>-19.642346249999949</v>
      </c>
      <c r="AM530">
        <v>-43.881546938715289</v>
      </c>
      <c r="AN530">
        <v>-19.642346249999939</v>
      </c>
      <c r="AO530">
        <v>-43.881546938715289</v>
      </c>
      <c r="AP530">
        <v>-19.642263</v>
      </c>
      <c r="AQ530">
        <v>-43.881428999999997</v>
      </c>
      <c r="AR530">
        <v>15.45239906956777</v>
      </c>
      <c r="AS530" t="s">
        <v>65</v>
      </c>
      <c r="AT530">
        <v>1</v>
      </c>
      <c r="AU530" t="s">
        <v>544</v>
      </c>
      <c r="AV530" t="s">
        <v>545</v>
      </c>
      <c r="AW530" t="s">
        <v>60</v>
      </c>
      <c r="AX530" t="s">
        <v>68</v>
      </c>
      <c r="AY530" t="s">
        <v>69</v>
      </c>
      <c r="AZ530" t="b">
        <v>1</v>
      </c>
    </row>
    <row r="531" spans="1:52" x14ac:dyDescent="0.3">
      <c r="A531" t="s">
        <v>52</v>
      </c>
      <c r="B531" t="s">
        <v>53</v>
      </c>
      <c r="C531" t="s">
        <v>54</v>
      </c>
      <c r="D531" t="s">
        <v>55</v>
      </c>
      <c r="E531" t="s">
        <v>776</v>
      </c>
      <c r="F531" t="s">
        <v>512</v>
      </c>
      <c r="G531" t="s">
        <v>546</v>
      </c>
      <c r="H531" t="s">
        <v>547</v>
      </c>
      <c r="I531" t="s">
        <v>547</v>
      </c>
      <c r="J531" t="s">
        <v>60</v>
      </c>
      <c r="K531" t="s">
        <v>445</v>
      </c>
      <c r="L531" t="s">
        <v>62</v>
      </c>
      <c r="M531" t="s">
        <v>445</v>
      </c>
      <c r="N531" t="s">
        <v>548</v>
      </c>
      <c r="O531" t="s">
        <v>549</v>
      </c>
      <c r="P531">
        <v>-19.642752999999999</v>
      </c>
      <c r="Q531">
        <v>-43.879080999999999</v>
      </c>
      <c r="R531" s="2" t="str">
        <f>HYPERLINK("https://www.google.com/maps?q=-19.6427530,-43.8790810","Abrir no Google Maps")</f>
        <v>Abrir no Google Maps</v>
      </c>
      <c r="S531">
        <v>3</v>
      </c>
      <c r="T531">
        <v>256.19518367376457</v>
      </c>
      <c r="U531">
        <v>1</v>
      </c>
      <c r="V531">
        <v>5</v>
      </c>
      <c r="W531">
        <v>0.85</v>
      </c>
      <c r="X531">
        <v>4.25</v>
      </c>
      <c r="Y531">
        <v>10</v>
      </c>
      <c r="Z531">
        <v>192.73978446408199</v>
      </c>
      <c r="AA531">
        <v>2</v>
      </c>
      <c r="AB531">
        <v>3</v>
      </c>
      <c r="AC531">
        <v>7</v>
      </c>
      <c r="AD531">
        <v>25.45</v>
      </c>
      <c r="AE531">
        <v>253</v>
      </c>
      <c r="AF531">
        <v>15</v>
      </c>
      <c r="AG531">
        <v>62</v>
      </c>
      <c r="AH531">
        <v>32</v>
      </c>
      <c r="AI531">
        <v>5.93</v>
      </c>
      <c r="AJ531">
        <v>24.51</v>
      </c>
      <c r="AK531">
        <v>12.65</v>
      </c>
      <c r="AL531">
        <v>-19.642703749999949</v>
      </c>
      <c r="AM531">
        <v>-43.879132974738582</v>
      </c>
      <c r="AN531">
        <v>-19.642703749999949</v>
      </c>
      <c r="AO531">
        <v>-43.879132974738582</v>
      </c>
      <c r="AP531">
        <v>-19.642752999999999</v>
      </c>
      <c r="AQ531">
        <v>-43.879080999999999</v>
      </c>
      <c r="AR531">
        <v>7.7298757823687696</v>
      </c>
      <c r="AS531" t="s">
        <v>65</v>
      </c>
      <c r="AT531">
        <v>1</v>
      </c>
      <c r="AU531" t="s">
        <v>550</v>
      </c>
      <c r="AV531" t="s">
        <v>551</v>
      </c>
      <c r="AW531" t="s">
        <v>60</v>
      </c>
      <c r="AX531" t="s">
        <v>68</v>
      </c>
      <c r="AY531" t="s">
        <v>69</v>
      </c>
      <c r="AZ531" t="b">
        <v>1</v>
      </c>
    </row>
    <row r="532" spans="1:52" x14ac:dyDescent="0.3">
      <c r="A532" t="s">
        <v>52</v>
      </c>
      <c r="B532" t="s">
        <v>53</v>
      </c>
      <c r="C532" t="s">
        <v>54</v>
      </c>
      <c r="D532" t="s">
        <v>55</v>
      </c>
      <c r="E532" t="s">
        <v>776</v>
      </c>
      <c r="F532" t="s">
        <v>512</v>
      </c>
      <c r="G532" t="s">
        <v>563</v>
      </c>
      <c r="H532" t="s">
        <v>564</v>
      </c>
      <c r="I532" t="s">
        <v>564</v>
      </c>
      <c r="J532" t="s">
        <v>60</v>
      </c>
      <c r="K532" t="s">
        <v>445</v>
      </c>
      <c r="L532" t="s">
        <v>62</v>
      </c>
      <c r="M532" t="s">
        <v>445</v>
      </c>
      <c r="N532" t="s">
        <v>565</v>
      </c>
      <c r="O532" t="s">
        <v>566</v>
      </c>
      <c r="P532">
        <v>-19.645859000000002</v>
      </c>
      <c r="Q532">
        <v>-43.878008000000001</v>
      </c>
      <c r="R532" s="2" t="str">
        <f>HYPERLINK("https://www.google.com/maps?q=-19.6458590,-43.8780080","Abrir no Google Maps")</f>
        <v>Abrir no Google Maps</v>
      </c>
      <c r="S532">
        <v>3</v>
      </c>
      <c r="T532">
        <v>535.60651658514928</v>
      </c>
      <c r="U532">
        <v>1</v>
      </c>
      <c r="V532">
        <v>3</v>
      </c>
      <c r="W532">
        <v>0.85</v>
      </c>
      <c r="X532">
        <v>2.5499999999999998</v>
      </c>
      <c r="Y532">
        <v>10</v>
      </c>
      <c r="Z532">
        <v>356.77070476702067</v>
      </c>
      <c r="AA532">
        <v>2</v>
      </c>
      <c r="AB532">
        <v>3</v>
      </c>
      <c r="AC532">
        <v>7</v>
      </c>
      <c r="AD532">
        <v>25.45</v>
      </c>
      <c r="AE532">
        <v>253</v>
      </c>
      <c r="AF532">
        <v>15</v>
      </c>
      <c r="AG532">
        <v>62</v>
      </c>
      <c r="AH532">
        <v>32</v>
      </c>
      <c r="AI532">
        <v>5.93</v>
      </c>
      <c r="AJ532">
        <v>24.51</v>
      </c>
      <c r="AK532">
        <v>12.65</v>
      </c>
      <c r="AL532">
        <v>-19.645894599999959</v>
      </c>
      <c r="AM532">
        <v>-43.878073476665591</v>
      </c>
      <c r="AN532">
        <v>-19.645894599999959</v>
      </c>
      <c r="AO532">
        <v>-43.878073476665591</v>
      </c>
      <c r="AP532">
        <v>-19.645859000000002</v>
      </c>
      <c r="AQ532">
        <v>-43.878008000000001</v>
      </c>
      <c r="AR532">
        <v>7.9263849189726594</v>
      </c>
      <c r="AS532" t="s">
        <v>65</v>
      </c>
      <c r="AT532">
        <v>1</v>
      </c>
      <c r="AU532" t="s">
        <v>567</v>
      </c>
      <c r="AV532" t="s">
        <v>568</v>
      </c>
      <c r="AW532" t="s">
        <v>60</v>
      </c>
      <c r="AX532" t="s">
        <v>68</v>
      </c>
      <c r="AY532" t="s">
        <v>69</v>
      </c>
      <c r="AZ532" t="b">
        <v>1</v>
      </c>
    </row>
    <row r="533" spans="1:52" x14ac:dyDescent="0.3">
      <c r="A533" t="s">
        <v>52</v>
      </c>
      <c r="B533" t="s">
        <v>53</v>
      </c>
      <c r="C533" t="s">
        <v>54</v>
      </c>
      <c r="D533" t="s">
        <v>55</v>
      </c>
      <c r="E533" t="s">
        <v>776</v>
      </c>
      <c r="F533" t="s">
        <v>512</v>
      </c>
      <c r="G533" t="s">
        <v>569</v>
      </c>
      <c r="H533" t="s">
        <v>570</v>
      </c>
      <c r="I533" t="s">
        <v>570</v>
      </c>
      <c r="J533" t="s">
        <v>60</v>
      </c>
      <c r="K533" t="s">
        <v>445</v>
      </c>
      <c r="L533" t="s">
        <v>62</v>
      </c>
      <c r="M533" t="s">
        <v>445</v>
      </c>
      <c r="N533" t="s">
        <v>571</v>
      </c>
      <c r="O533" t="s">
        <v>572</v>
      </c>
      <c r="P533">
        <v>-19.646602999999999</v>
      </c>
      <c r="Q533">
        <v>-43.879826000000001</v>
      </c>
      <c r="R533" s="2" t="str">
        <f>HYPERLINK("https://www.google.com/maps?q=-19.6466030,-43.8798260","Abrir no Google Maps")</f>
        <v>Abrir no Google Maps</v>
      </c>
      <c r="S533">
        <v>3</v>
      </c>
      <c r="T533">
        <v>497.89126003830972</v>
      </c>
      <c r="U533">
        <v>1</v>
      </c>
      <c r="V533">
        <v>5</v>
      </c>
      <c r="W533">
        <v>0.85</v>
      </c>
      <c r="X533">
        <v>4.25</v>
      </c>
      <c r="Y533">
        <v>10</v>
      </c>
      <c r="Z533">
        <v>228.69190976735251</v>
      </c>
      <c r="AA533">
        <v>2</v>
      </c>
      <c r="AB533">
        <v>3</v>
      </c>
      <c r="AC533">
        <v>7</v>
      </c>
      <c r="AD533">
        <v>25.45</v>
      </c>
      <c r="AE533">
        <v>253</v>
      </c>
      <c r="AF533">
        <v>15</v>
      </c>
      <c r="AG533">
        <v>62</v>
      </c>
      <c r="AH533">
        <v>32</v>
      </c>
      <c r="AI533">
        <v>5.93</v>
      </c>
      <c r="AJ533">
        <v>24.51</v>
      </c>
      <c r="AK533">
        <v>12.65</v>
      </c>
      <c r="AL533">
        <v>-19.646577499999982</v>
      </c>
      <c r="AM533">
        <v>-43.879934131171261</v>
      </c>
      <c r="AN533">
        <v>-19.646577499999971</v>
      </c>
      <c r="AO533">
        <v>-43.879934131171261</v>
      </c>
      <c r="AP533">
        <v>-19.646602999999999</v>
      </c>
      <c r="AQ533">
        <v>-43.879826000000001</v>
      </c>
      <c r="AR533">
        <v>11.68641198848764</v>
      </c>
      <c r="AS533" t="s">
        <v>65</v>
      </c>
      <c r="AT533">
        <v>1</v>
      </c>
      <c r="AU533" t="s">
        <v>573</v>
      </c>
      <c r="AV533" t="s">
        <v>574</v>
      </c>
      <c r="AW533" t="s">
        <v>60</v>
      </c>
      <c r="AX533" t="s">
        <v>68</v>
      </c>
      <c r="AY533" t="s">
        <v>69</v>
      </c>
      <c r="AZ533" t="b">
        <v>1</v>
      </c>
    </row>
    <row r="534" spans="1:52" x14ac:dyDescent="0.3">
      <c r="A534" t="s">
        <v>52</v>
      </c>
      <c r="B534" t="s">
        <v>53</v>
      </c>
      <c r="C534" t="s">
        <v>54</v>
      </c>
      <c r="D534" t="s">
        <v>55</v>
      </c>
      <c r="E534" t="s">
        <v>776</v>
      </c>
      <c r="F534" t="s">
        <v>512</v>
      </c>
      <c r="G534" t="s">
        <v>580</v>
      </c>
      <c r="H534" t="s">
        <v>581</v>
      </c>
      <c r="I534" t="s">
        <v>581</v>
      </c>
      <c r="J534" t="s">
        <v>60</v>
      </c>
      <c r="K534" t="s">
        <v>179</v>
      </c>
      <c r="L534" t="s">
        <v>62</v>
      </c>
      <c r="M534" t="s">
        <v>179</v>
      </c>
      <c r="N534" t="s">
        <v>582</v>
      </c>
      <c r="O534" t="s">
        <v>583</v>
      </c>
      <c r="P534">
        <v>-19.651917999999998</v>
      </c>
      <c r="Q534">
        <v>-43.888081</v>
      </c>
      <c r="R534" s="2" t="str">
        <f>HYPERLINK("https://www.google.com/maps?q=-19.6519180,-43.8880810","Abrir no Google Maps")</f>
        <v>Abrir no Google Maps</v>
      </c>
      <c r="S534">
        <v>3</v>
      </c>
      <c r="T534">
        <v>1192.758363020145</v>
      </c>
      <c r="U534">
        <v>1</v>
      </c>
      <c r="V534">
        <v>5</v>
      </c>
      <c r="W534">
        <v>0.85</v>
      </c>
      <c r="X534">
        <v>4.25</v>
      </c>
      <c r="Y534">
        <v>10</v>
      </c>
      <c r="Z534">
        <v>1164.020417046748</v>
      </c>
      <c r="AA534">
        <v>2</v>
      </c>
      <c r="AB534">
        <v>3</v>
      </c>
      <c r="AC534">
        <v>7</v>
      </c>
      <c r="AD534">
        <v>25.45</v>
      </c>
      <c r="AE534">
        <v>253</v>
      </c>
      <c r="AF534">
        <v>15</v>
      </c>
      <c r="AG534">
        <v>62</v>
      </c>
      <c r="AH534">
        <v>32</v>
      </c>
      <c r="AI534">
        <v>5.93</v>
      </c>
      <c r="AJ534">
        <v>24.51</v>
      </c>
      <c r="AK534">
        <v>12.65</v>
      </c>
      <c r="AL534">
        <v>-19.65182809999996</v>
      </c>
      <c r="AM534">
        <v>-43.887955347266519</v>
      </c>
      <c r="AN534">
        <v>-19.65182809999996</v>
      </c>
      <c r="AO534">
        <v>-43.887955347266519</v>
      </c>
      <c r="AP534">
        <v>-19.651917999999998</v>
      </c>
      <c r="AQ534">
        <v>-43.888081</v>
      </c>
      <c r="AR534">
        <v>16.543262936495491</v>
      </c>
      <c r="AS534" t="s">
        <v>65</v>
      </c>
      <c r="AT534">
        <v>1</v>
      </c>
      <c r="AU534" t="s">
        <v>584</v>
      </c>
      <c r="AV534" t="s">
        <v>585</v>
      </c>
      <c r="AW534" t="s">
        <v>60</v>
      </c>
      <c r="AX534" t="s">
        <v>68</v>
      </c>
      <c r="AY534" t="s">
        <v>69</v>
      </c>
      <c r="AZ534" t="b">
        <v>1</v>
      </c>
    </row>
    <row r="535" spans="1:52" x14ac:dyDescent="0.3">
      <c r="A535" t="s">
        <v>52</v>
      </c>
      <c r="B535" t="s">
        <v>53</v>
      </c>
      <c r="C535" t="s">
        <v>54</v>
      </c>
      <c r="D535" t="s">
        <v>55</v>
      </c>
      <c r="E535" t="s">
        <v>776</v>
      </c>
      <c r="F535" t="s">
        <v>512</v>
      </c>
      <c r="G535" t="s">
        <v>586</v>
      </c>
      <c r="H535" t="s">
        <v>587</v>
      </c>
      <c r="I535" t="s">
        <v>587</v>
      </c>
      <c r="J535" t="s">
        <v>60</v>
      </c>
      <c r="K535" t="s">
        <v>286</v>
      </c>
      <c r="L535" t="s">
        <v>62</v>
      </c>
      <c r="M535" t="s">
        <v>286</v>
      </c>
      <c r="N535" t="s">
        <v>588</v>
      </c>
      <c r="O535" t="s">
        <v>589</v>
      </c>
      <c r="P535">
        <v>-19.638362999999998</v>
      </c>
      <c r="Q535">
        <v>-43.887081000000002</v>
      </c>
      <c r="R535" s="2" t="str">
        <f>HYPERLINK("https://www.google.com/maps?q=-19.6383630,-43.8870810","Abrir no Google Maps")</f>
        <v>Abrir no Google Maps</v>
      </c>
      <c r="S535">
        <v>3</v>
      </c>
      <c r="T535">
        <v>521.16909902210193</v>
      </c>
      <c r="U535">
        <v>1</v>
      </c>
      <c r="V535">
        <v>3</v>
      </c>
      <c r="W535">
        <v>0.85</v>
      </c>
      <c r="X535">
        <v>2.5499999999999998</v>
      </c>
      <c r="Y535">
        <v>10</v>
      </c>
      <c r="Z535">
        <v>416.66355243950221</v>
      </c>
      <c r="AA535">
        <v>2</v>
      </c>
      <c r="AB535">
        <v>3</v>
      </c>
      <c r="AC535">
        <v>7</v>
      </c>
      <c r="AD535">
        <v>25.45</v>
      </c>
      <c r="AE535">
        <v>253</v>
      </c>
      <c r="AF535">
        <v>15</v>
      </c>
      <c r="AG535">
        <v>62</v>
      </c>
      <c r="AH535">
        <v>32</v>
      </c>
      <c r="AI535">
        <v>5.93</v>
      </c>
      <c r="AJ535">
        <v>24.51</v>
      </c>
      <c r="AK535">
        <v>12.65</v>
      </c>
      <c r="AL535">
        <v>-19.638074649999961</v>
      </c>
      <c r="AM535">
        <v>-43.887517684870552</v>
      </c>
      <c r="AN535">
        <v>-19.638074649999961</v>
      </c>
      <c r="AO535">
        <v>-43.887517684870552</v>
      </c>
      <c r="AP535">
        <v>-19.638362999999998</v>
      </c>
      <c r="AQ535">
        <v>-43.887081000000002</v>
      </c>
      <c r="AR535">
        <v>55.915550702564907</v>
      </c>
      <c r="AS535" t="s">
        <v>65</v>
      </c>
      <c r="AT535">
        <v>1</v>
      </c>
      <c r="AU535" t="s">
        <v>590</v>
      </c>
      <c r="AV535" t="s">
        <v>591</v>
      </c>
      <c r="AW535" t="s">
        <v>60</v>
      </c>
      <c r="AX535" t="s">
        <v>68</v>
      </c>
      <c r="AY535" t="s">
        <v>69</v>
      </c>
      <c r="AZ535" t="b">
        <v>1</v>
      </c>
    </row>
    <row r="536" spans="1:52" x14ac:dyDescent="0.3">
      <c r="A536" t="s">
        <v>52</v>
      </c>
      <c r="B536" t="s">
        <v>53</v>
      </c>
      <c r="C536" t="s">
        <v>54</v>
      </c>
      <c r="D536" t="s">
        <v>55</v>
      </c>
      <c r="E536" t="s">
        <v>776</v>
      </c>
      <c r="F536" t="s">
        <v>512</v>
      </c>
      <c r="G536" t="s">
        <v>575</v>
      </c>
      <c r="H536" t="s">
        <v>576</v>
      </c>
      <c r="I536" t="s">
        <v>576</v>
      </c>
      <c r="J536" t="s">
        <v>60</v>
      </c>
      <c r="K536" t="s">
        <v>445</v>
      </c>
      <c r="L536" t="s">
        <v>62</v>
      </c>
      <c r="M536" t="s">
        <v>445</v>
      </c>
      <c r="N536" t="s">
        <v>577</v>
      </c>
      <c r="O536" t="s">
        <v>214</v>
      </c>
      <c r="P536">
        <v>-19.639865</v>
      </c>
      <c r="Q536">
        <v>-43.877858000000003</v>
      </c>
      <c r="R536" s="2" t="str">
        <f>HYPERLINK("https://www.google.com/maps?q=-19.6398650,-43.8778580","Abrir no Google Maps")</f>
        <v>Abrir no Google Maps</v>
      </c>
      <c r="S536">
        <v>3</v>
      </c>
      <c r="T536">
        <v>497.47318171010488</v>
      </c>
      <c r="U536">
        <v>1</v>
      </c>
      <c r="V536">
        <v>3</v>
      </c>
      <c r="W536">
        <v>0.85</v>
      </c>
      <c r="X536">
        <v>2.5499999999999998</v>
      </c>
      <c r="Y536">
        <v>10</v>
      </c>
      <c r="Z536">
        <v>547.08184956634818</v>
      </c>
      <c r="AA536">
        <v>2</v>
      </c>
      <c r="AB536">
        <v>3</v>
      </c>
      <c r="AC536">
        <v>7</v>
      </c>
      <c r="AD536">
        <v>25.45</v>
      </c>
      <c r="AE536">
        <v>253</v>
      </c>
      <c r="AF536">
        <v>15</v>
      </c>
      <c r="AG536">
        <v>62</v>
      </c>
      <c r="AH536">
        <v>32</v>
      </c>
      <c r="AI536">
        <v>5.93</v>
      </c>
      <c r="AJ536">
        <v>24.51</v>
      </c>
      <c r="AK536">
        <v>12.65</v>
      </c>
      <c r="AL536">
        <v>-19.639907499999961</v>
      </c>
      <c r="AM536">
        <v>-43.877561677180587</v>
      </c>
      <c r="AN536">
        <v>-19.639907499999961</v>
      </c>
      <c r="AO536">
        <v>-43.877561677180587</v>
      </c>
      <c r="AP536">
        <v>-19.639865</v>
      </c>
      <c r="AQ536">
        <v>-43.877858000000003</v>
      </c>
      <c r="AR536">
        <v>31.4257813556037</v>
      </c>
      <c r="AS536" t="s">
        <v>65</v>
      </c>
      <c r="AT536">
        <v>1</v>
      </c>
      <c r="AU536" t="s">
        <v>578</v>
      </c>
      <c r="AV536" t="s">
        <v>579</v>
      </c>
      <c r="AW536" t="s">
        <v>60</v>
      </c>
      <c r="AX536" t="s">
        <v>68</v>
      </c>
      <c r="AY536" t="s">
        <v>69</v>
      </c>
      <c r="AZ536" t="b">
        <v>1</v>
      </c>
    </row>
    <row r="537" spans="1:52" x14ac:dyDescent="0.3">
      <c r="A537" t="s">
        <v>52</v>
      </c>
      <c r="B537" t="s">
        <v>53</v>
      </c>
      <c r="C537" t="s">
        <v>54</v>
      </c>
      <c r="D537" t="s">
        <v>55</v>
      </c>
      <c r="E537" t="s">
        <v>776</v>
      </c>
      <c r="F537" t="s">
        <v>512</v>
      </c>
      <c r="G537" t="s">
        <v>592</v>
      </c>
      <c r="H537" t="s">
        <v>593</v>
      </c>
      <c r="I537" t="s">
        <v>593</v>
      </c>
      <c r="J537" t="s">
        <v>60</v>
      </c>
      <c r="K537" t="s">
        <v>445</v>
      </c>
      <c r="L537" t="s">
        <v>62</v>
      </c>
      <c r="M537" t="s">
        <v>445</v>
      </c>
      <c r="N537" t="s">
        <v>594</v>
      </c>
      <c r="O537" t="s">
        <v>477</v>
      </c>
      <c r="P537">
        <v>-19.640709000000001</v>
      </c>
      <c r="Q537">
        <v>-43.868687999999999</v>
      </c>
      <c r="R537" s="2" t="str">
        <f>HYPERLINK("https://www.google.com/maps?q=-19.6407090,-43.8686880","Abrir no Google Maps")</f>
        <v>Abrir no Google Maps</v>
      </c>
      <c r="S537">
        <v>1</v>
      </c>
      <c r="T537">
        <v>1174.9679995958841</v>
      </c>
      <c r="U537">
        <v>3</v>
      </c>
      <c r="V537">
        <v>11</v>
      </c>
      <c r="W537">
        <v>1</v>
      </c>
      <c r="X537">
        <v>11</v>
      </c>
      <c r="Y537">
        <v>10</v>
      </c>
      <c r="Z537">
        <v>1230.8029594060461</v>
      </c>
      <c r="AA537">
        <v>2</v>
      </c>
      <c r="AB537">
        <v>3</v>
      </c>
      <c r="AC537">
        <v>7</v>
      </c>
      <c r="AD537">
        <v>25.45</v>
      </c>
      <c r="AE537">
        <v>253</v>
      </c>
      <c r="AF537">
        <v>15</v>
      </c>
      <c r="AG537">
        <v>62</v>
      </c>
      <c r="AH537">
        <v>32</v>
      </c>
      <c r="AI537">
        <v>5.93</v>
      </c>
      <c r="AJ537">
        <v>24.51</v>
      </c>
      <c r="AK537">
        <v>12.65</v>
      </c>
      <c r="AL537">
        <v>-19.641057949999979</v>
      </c>
      <c r="AM537">
        <v>-43.868800137485707</v>
      </c>
      <c r="AN537">
        <v>-19.641057949999979</v>
      </c>
      <c r="AO537">
        <v>-43.868800137485707</v>
      </c>
      <c r="AP537">
        <v>-19.640709000000001</v>
      </c>
      <c r="AQ537">
        <v>-43.868687999999999</v>
      </c>
      <c r="AR537">
        <v>40.585293798071682</v>
      </c>
      <c r="AS537" t="s">
        <v>65</v>
      </c>
      <c r="AT537">
        <v>1</v>
      </c>
      <c r="AU537" t="s">
        <v>595</v>
      </c>
      <c r="AV537" t="s">
        <v>596</v>
      </c>
      <c r="AW537" t="s">
        <v>60</v>
      </c>
      <c r="AX537" t="s">
        <v>68</v>
      </c>
      <c r="AY537" t="s">
        <v>69</v>
      </c>
      <c r="AZ537" t="b">
        <v>1</v>
      </c>
    </row>
    <row r="538" spans="1:52" x14ac:dyDescent="0.3">
      <c r="A538" t="s">
        <v>52</v>
      </c>
      <c r="B538" t="s">
        <v>53</v>
      </c>
      <c r="C538" t="s">
        <v>54</v>
      </c>
      <c r="D538" t="s">
        <v>55</v>
      </c>
      <c r="E538" t="s">
        <v>776</v>
      </c>
      <c r="F538" t="s">
        <v>512</v>
      </c>
      <c r="G538" t="s">
        <v>597</v>
      </c>
      <c r="H538" t="s">
        <v>598</v>
      </c>
      <c r="I538" t="s">
        <v>598</v>
      </c>
      <c r="J538" t="s">
        <v>60</v>
      </c>
      <c r="K538" t="s">
        <v>445</v>
      </c>
      <c r="L538" t="s">
        <v>62</v>
      </c>
      <c r="M538" t="s">
        <v>445</v>
      </c>
      <c r="N538" t="s">
        <v>599</v>
      </c>
      <c r="O538" t="s">
        <v>391</v>
      </c>
      <c r="P538">
        <v>-19.637060999999999</v>
      </c>
      <c r="Q538">
        <v>-43.871026000000001</v>
      </c>
      <c r="R538" s="2" t="str">
        <f>HYPERLINK("https://www.google.com/maps?q=-19.6370610,-43.8710260","Abrir no Google Maps")</f>
        <v>Abrir no Google Maps</v>
      </c>
      <c r="S538">
        <v>1</v>
      </c>
      <c r="T538">
        <v>737.61884389282102</v>
      </c>
      <c r="U538">
        <v>3</v>
      </c>
      <c r="V538">
        <v>10</v>
      </c>
      <c r="W538">
        <v>1</v>
      </c>
      <c r="X538">
        <v>10</v>
      </c>
      <c r="Y538">
        <v>10</v>
      </c>
      <c r="Z538">
        <v>1331.4501394006061</v>
      </c>
      <c r="AA538">
        <v>2</v>
      </c>
      <c r="AB538">
        <v>3</v>
      </c>
      <c r="AC538">
        <v>7</v>
      </c>
      <c r="AD538">
        <v>25.45</v>
      </c>
      <c r="AE538">
        <v>253</v>
      </c>
      <c r="AF538">
        <v>15</v>
      </c>
      <c r="AG538">
        <v>62</v>
      </c>
      <c r="AH538">
        <v>32</v>
      </c>
      <c r="AI538">
        <v>5.93</v>
      </c>
      <c r="AJ538">
        <v>24.51</v>
      </c>
      <c r="AK538">
        <v>12.65</v>
      </c>
      <c r="AL538">
        <v>-19.637111899999951</v>
      </c>
      <c r="AM538">
        <v>-43.870888931681193</v>
      </c>
      <c r="AN538">
        <v>-19.637111899999951</v>
      </c>
      <c r="AO538">
        <v>-43.870888931681193</v>
      </c>
      <c r="AP538">
        <v>-19.637060999999999</v>
      </c>
      <c r="AQ538">
        <v>-43.871026000000001</v>
      </c>
      <c r="AR538">
        <v>15.44770924391884</v>
      </c>
      <c r="AS538" t="s">
        <v>65</v>
      </c>
      <c r="AT538">
        <v>1</v>
      </c>
      <c r="AU538" t="s">
        <v>600</v>
      </c>
      <c r="AV538" t="s">
        <v>601</v>
      </c>
      <c r="AW538" t="s">
        <v>60</v>
      </c>
      <c r="AX538" t="s">
        <v>68</v>
      </c>
      <c r="AY538" t="s">
        <v>69</v>
      </c>
      <c r="AZ538" t="b">
        <v>1</v>
      </c>
    </row>
    <row r="539" spans="1:52" x14ac:dyDescent="0.3">
      <c r="A539" t="s">
        <v>52</v>
      </c>
      <c r="B539" t="s">
        <v>53</v>
      </c>
      <c r="C539" t="s">
        <v>54</v>
      </c>
      <c r="D539" t="s">
        <v>55</v>
      </c>
      <c r="E539" t="s">
        <v>776</v>
      </c>
      <c r="F539" t="s">
        <v>512</v>
      </c>
      <c r="G539" t="s">
        <v>611</v>
      </c>
      <c r="H539" t="s">
        <v>612</v>
      </c>
      <c r="I539" t="s">
        <v>612</v>
      </c>
      <c r="J539" t="s">
        <v>60</v>
      </c>
      <c r="K539" t="s">
        <v>445</v>
      </c>
      <c r="L539" t="s">
        <v>62</v>
      </c>
      <c r="M539" t="s">
        <v>445</v>
      </c>
      <c r="N539" t="s">
        <v>613</v>
      </c>
      <c r="O539" t="s">
        <v>94</v>
      </c>
      <c r="P539">
        <v>-19.639271999999998</v>
      </c>
      <c r="Q539">
        <v>-43.875624000000002</v>
      </c>
      <c r="R539" s="2" t="str">
        <f>HYPERLINK("https://www.google.com/maps?q=-19.6392720,-43.8756240","Abrir no Google Maps")</f>
        <v>Abrir no Google Maps</v>
      </c>
      <c r="S539">
        <v>1</v>
      </c>
      <c r="T539">
        <v>618.4798639458262</v>
      </c>
      <c r="U539">
        <v>2</v>
      </c>
      <c r="V539">
        <v>10</v>
      </c>
      <c r="W539">
        <v>0.85</v>
      </c>
      <c r="X539">
        <v>8.5</v>
      </c>
      <c r="Y539">
        <v>10</v>
      </c>
      <c r="Z539">
        <v>724.62991660382431</v>
      </c>
      <c r="AA539">
        <v>2</v>
      </c>
      <c r="AB539">
        <v>3</v>
      </c>
      <c r="AC539">
        <v>7</v>
      </c>
      <c r="AD539">
        <v>25.45</v>
      </c>
      <c r="AE539">
        <v>253</v>
      </c>
      <c r="AF539">
        <v>15</v>
      </c>
      <c r="AG539">
        <v>62</v>
      </c>
      <c r="AH539">
        <v>32</v>
      </c>
      <c r="AI539">
        <v>5.93</v>
      </c>
      <c r="AJ539">
        <v>24.51</v>
      </c>
      <c r="AK539">
        <v>12.65</v>
      </c>
      <c r="AL539">
        <v>-19.639239899999978</v>
      </c>
      <c r="AM539">
        <v>-43.875497463228079</v>
      </c>
      <c r="AN539">
        <v>-19.639239899999978</v>
      </c>
      <c r="AO539">
        <v>-43.875497463228079</v>
      </c>
      <c r="AP539">
        <v>-19.639271999999998</v>
      </c>
      <c r="AQ539">
        <v>-43.875624000000002</v>
      </c>
      <c r="AR539">
        <v>13.73946951590594</v>
      </c>
      <c r="AS539" t="s">
        <v>65</v>
      </c>
      <c r="AT539">
        <v>1</v>
      </c>
      <c r="AU539" t="s">
        <v>614</v>
      </c>
      <c r="AV539" t="s">
        <v>615</v>
      </c>
      <c r="AW539" t="s">
        <v>60</v>
      </c>
      <c r="AX539" t="s">
        <v>68</v>
      </c>
      <c r="AY539" t="s">
        <v>69</v>
      </c>
      <c r="AZ539" t="b">
        <v>1</v>
      </c>
    </row>
    <row r="540" spans="1:52" x14ac:dyDescent="0.3">
      <c r="A540" t="s">
        <v>52</v>
      </c>
      <c r="B540" t="s">
        <v>53</v>
      </c>
      <c r="C540" t="s">
        <v>54</v>
      </c>
      <c r="D540" t="s">
        <v>55</v>
      </c>
      <c r="E540" t="s">
        <v>776</v>
      </c>
      <c r="F540" t="s">
        <v>512</v>
      </c>
      <c r="G540" t="s">
        <v>602</v>
      </c>
      <c r="H540" t="s">
        <v>603</v>
      </c>
      <c r="I540" t="s">
        <v>603</v>
      </c>
      <c r="J540" t="s">
        <v>60</v>
      </c>
      <c r="K540" t="s">
        <v>185</v>
      </c>
      <c r="L540" t="s">
        <v>62</v>
      </c>
      <c r="M540" t="s">
        <v>185</v>
      </c>
      <c r="N540" t="s">
        <v>604</v>
      </c>
      <c r="O540" t="s">
        <v>341</v>
      </c>
      <c r="P540">
        <v>-19.624801999999999</v>
      </c>
      <c r="Q540">
        <v>-43.891128999999999</v>
      </c>
      <c r="R540" s="2" t="str">
        <f>HYPERLINK("https://www.google.com/maps?q=-19.6248020,-43.8911290","Abrir no Google Maps")</f>
        <v>Abrir no Google Maps</v>
      </c>
      <c r="S540">
        <v>1</v>
      </c>
      <c r="T540">
        <v>340.53720321500958</v>
      </c>
      <c r="U540">
        <v>1</v>
      </c>
      <c r="V540">
        <v>5</v>
      </c>
      <c r="W540">
        <v>0.85</v>
      </c>
      <c r="X540">
        <v>4.25</v>
      </c>
      <c r="Y540">
        <v>18</v>
      </c>
      <c r="Z540">
        <v>362.68114540183888</v>
      </c>
      <c r="AA540">
        <v>2</v>
      </c>
      <c r="AB540">
        <v>3</v>
      </c>
      <c r="AC540">
        <v>7</v>
      </c>
      <c r="AD540">
        <v>25.45</v>
      </c>
      <c r="AE540">
        <v>253</v>
      </c>
      <c r="AF540">
        <v>15</v>
      </c>
      <c r="AG540">
        <v>62</v>
      </c>
      <c r="AH540">
        <v>32</v>
      </c>
      <c r="AI540">
        <v>5.93</v>
      </c>
      <c r="AJ540">
        <v>24.51</v>
      </c>
      <c r="AK540">
        <v>12.65</v>
      </c>
      <c r="AL540">
        <v>-19.625033299999959</v>
      </c>
      <c r="AM540">
        <v>-43.891084256403538</v>
      </c>
      <c r="AN540">
        <v>-19.625033299999959</v>
      </c>
      <c r="AO540">
        <v>-43.891084256403538</v>
      </c>
      <c r="AP540">
        <v>-19.624801999999999</v>
      </c>
      <c r="AQ540">
        <v>-43.891128999999999</v>
      </c>
      <c r="AR540">
        <v>26.172240371022362</v>
      </c>
      <c r="AS540" t="s">
        <v>65</v>
      </c>
      <c r="AT540">
        <v>1</v>
      </c>
      <c r="AU540" t="s">
        <v>605</v>
      </c>
      <c r="AV540" t="s">
        <v>606</v>
      </c>
      <c r="AW540" t="s">
        <v>60</v>
      </c>
      <c r="AX540" t="s">
        <v>68</v>
      </c>
      <c r="AY540" t="s">
        <v>69</v>
      </c>
      <c r="AZ540" t="b">
        <v>1</v>
      </c>
    </row>
    <row r="541" spans="1:52" x14ac:dyDescent="0.3">
      <c r="A541" t="s">
        <v>52</v>
      </c>
      <c r="B541" t="s">
        <v>53</v>
      </c>
      <c r="C541" t="s">
        <v>54</v>
      </c>
      <c r="D541" t="s">
        <v>55</v>
      </c>
      <c r="E541" t="s">
        <v>776</v>
      </c>
      <c r="F541" t="s">
        <v>512</v>
      </c>
      <c r="G541" t="s">
        <v>123</v>
      </c>
      <c r="H541" t="s">
        <v>607</v>
      </c>
      <c r="I541" t="s">
        <v>607</v>
      </c>
      <c r="J541" t="s">
        <v>60</v>
      </c>
      <c r="K541" t="s">
        <v>333</v>
      </c>
      <c r="L541" t="s">
        <v>62</v>
      </c>
      <c r="M541" t="s">
        <v>333</v>
      </c>
      <c r="N541" t="s">
        <v>125</v>
      </c>
      <c r="O541" t="s">
        <v>608</v>
      </c>
      <c r="P541">
        <v>-19.636002999999999</v>
      </c>
      <c r="Q541">
        <v>-43.908445</v>
      </c>
      <c r="R541" s="2" t="str">
        <f>HYPERLINK("https://www.google.com/maps?q=-19.6360030,-43.9084450","Abrir no Google Maps")</f>
        <v>Abrir no Google Maps</v>
      </c>
      <c r="S541">
        <v>1</v>
      </c>
      <c r="T541">
        <v>612.64850802557942</v>
      </c>
      <c r="U541">
        <v>1</v>
      </c>
      <c r="V541">
        <v>0</v>
      </c>
      <c r="W541">
        <v>0.85</v>
      </c>
      <c r="X541">
        <v>0</v>
      </c>
      <c r="Y541">
        <v>10</v>
      </c>
      <c r="Z541">
        <v>606.91793961222209</v>
      </c>
      <c r="AA541">
        <v>2</v>
      </c>
      <c r="AB541">
        <v>3</v>
      </c>
      <c r="AC541">
        <v>7</v>
      </c>
      <c r="AD541">
        <v>25.45</v>
      </c>
      <c r="AE541">
        <v>253</v>
      </c>
      <c r="AF541">
        <v>15</v>
      </c>
      <c r="AG541">
        <v>62</v>
      </c>
      <c r="AH541">
        <v>32</v>
      </c>
      <c r="AI541">
        <v>5.93</v>
      </c>
      <c r="AJ541">
        <v>24.51</v>
      </c>
      <c r="AK541">
        <v>12.65</v>
      </c>
      <c r="AL541">
        <v>-19.63618049999997</v>
      </c>
      <c r="AM541">
        <v>-43.908471095478113</v>
      </c>
      <c r="AN541">
        <v>-19.63618049999997</v>
      </c>
      <c r="AO541">
        <v>-43.908471095478113</v>
      </c>
      <c r="AP541">
        <v>-19.636002999999999</v>
      </c>
      <c r="AQ541">
        <v>-43.908445</v>
      </c>
      <c r="AR541">
        <v>19.947824476218141</v>
      </c>
      <c r="AS541" t="s">
        <v>65</v>
      </c>
      <c r="AT541">
        <v>1</v>
      </c>
      <c r="AU541" t="s">
        <v>609</v>
      </c>
      <c r="AV541" t="s">
        <v>610</v>
      </c>
      <c r="AW541" t="s">
        <v>60</v>
      </c>
      <c r="AX541" t="s">
        <v>68</v>
      </c>
      <c r="AY541" t="s">
        <v>69</v>
      </c>
      <c r="AZ541" t="b">
        <v>1</v>
      </c>
    </row>
    <row r="542" spans="1:52" x14ac:dyDescent="0.3">
      <c r="A542" t="s">
        <v>52</v>
      </c>
      <c r="B542" t="s">
        <v>53</v>
      </c>
      <c r="C542" t="s">
        <v>54</v>
      </c>
      <c r="D542" t="s">
        <v>55</v>
      </c>
      <c r="E542" t="s">
        <v>788</v>
      </c>
      <c r="F542" t="s">
        <v>57</v>
      </c>
      <c r="G542" t="s">
        <v>58</v>
      </c>
      <c r="H542" t="s">
        <v>59</v>
      </c>
      <c r="I542" t="s">
        <v>59</v>
      </c>
      <c r="J542" t="s">
        <v>60</v>
      </c>
      <c r="K542" t="s">
        <v>61</v>
      </c>
      <c r="L542" t="s">
        <v>62</v>
      </c>
      <c r="M542" t="s">
        <v>61</v>
      </c>
      <c r="N542" t="s">
        <v>63</v>
      </c>
      <c r="O542" t="s">
        <v>64</v>
      </c>
      <c r="P542">
        <v>-19.631502000000001</v>
      </c>
      <c r="Q542">
        <v>-43.910241999999997</v>
      </c>
      <c r="R542" s="2" t="str">
        <f>HYPERLINK("https://www.google.com/maps?q=-19.6315020,-43.9102420","Abrir no Google Maps")</f>
        <v>Abrir no Google Maps</v>
      </c>
      <c r="S542">
        <v>4</v>
      </c>
      <c r="T542">
        <v>789.20099406682743</v>
      </c>
      <c r="U542">
        <v>4</v>
      </c>
      <c r="V542">
        <v>36</v>
      </c>
      <c r="W542">
        <v>1</v>
      </c>
      <c r="X542">
        <v>36</v>
      </c>
      <c r="Y542">
        <v>10</v>
      </c>
      <c r="Z542">
        <v>691.44930074509864</v>
      </c>
      <c r="AA542">
        <v>2</v>
      </c>
      <c r="AB542">
        <v>3</v>
      </c>
      <c r="AC542">
        <v>7</v>
      </c>
      <c r="AD542">
        <v>24.35</v>
      </c>
      <c r="AE542">
        <v>253</v>
      </c>
      <c r="AF542">
        <v>13</v>
      </c>
      <c r="AG542">
        <v>62</v>
      </c>
      <c r="AH542">
        <v>32</v>
      </c>
      <c r="AI542">
        <v>5.14</v>
      </c>
      <c r="AJ542">
        <v>24.51</v>
      </c>
      <c r="AK542">
        <v>12.65</v>
      </c>
      <c r="AL542">
        <v>-19.631719749999949</v>
      </c>
      <c r="AM542">
        <v>-43.910102324517517</v>
      </c>
      <c r="AN542">
        <v>-19.631719749999949</v>
      </c>
      <c r="AO542">
        <v>-43.910102324517517</v>
      </c>
      <c r="AP542">
        <v>-19.631502000000001</v>
      </c>
      <c r="AQ542">
        <v>-43.910241999999997</v>
      </c>
      <c r="AR542">
        <v>28.320416429206599</v>
      </c>
      <c r="AS542" t="s">
        <v>65</v>
      </c>
      <c r="AT542">
        <v>1</v>
      </c>
      <c r="AU542" t="s">
        <v>66</v>
      </c>
      <c r="AV542" t="s">
        <v>67</v>
      </c>
      <c r="AW542" t="s">
        <v>60</v>
      </c>
      <c r="AX542" t="s">
        <v>68</v>
      </c>
      <c r="AY542" t="s">
        <v>69</v>
      </c>
      <c r="AZ542" t="b">
        <v>1</v>
      </c>
    </row>
    <row r="543" spans="1:52" x14ac:dyDescent="0.3">
      <c r="A543" t="s">
        <v>52</v>
      </c>
      <c r="B543" t="s">
        <v>53</v>
      </c>
      <c r="C543" t="s">
        <v>54</v>
      </c>
      <c r="D543" t="s">
        <v>55</v>
      </c>
      <c r="E543" t="s">
        <v>788</v>
      </c>
      <c r="F543" t="s">
        <v>57</v>
      </c>
      <c r="G543" t="s">
        <v>104</v>
      </c>
      <c r="H543" t="s">
        <v>105</v>
      </c>
      <c r="I543" t="s">
        <v>105</v>
      </c>
      <c r="J543" t="s">
        <v>60</v>
      </c>
      <c r="K543" t="s">
        <v>99</v>
      </c>
      <c r="L543" t="s">
        <v>62</v>
      </c>
      <c r="M543" t="s">
        <v>99</v>
      </c>
      <c r="N543" t="s">
        <v>106</v>
      </c>
      <c r="O543" t="s">
        <v>107</v>
      </c>
      <c r="P543">
        <v>-19.627993</v>
      </c>
      <c r="Q543">
        <v>-43.904820000000001</v>
      </c>
      <c r="R543" s="2" t="str">
        <f>HYPERLINK("https://www.google.com/maps?q=-19.6279930,-43.9048200","Abrir no Google Maps")</f>
        <v>Abrir no Google Maps</v>
      </c>
      <c r="S543">
        <v>4</v>
      </c>
      <c r="T543">
        <v>573.16526621674666</v>
      </c>
      <c r="U543">
        <v>4</v>
      </c>
      <c r="V543">
        <v>22</v>
      </c>
      <c r="W543">
        <v>1</v>
      </c>
      <c r="X543">
        <v>22</v>
      </c>
      <c r="Y543">
        <v>7</v>
      </c>
      <c r="Z543">
        <v>659.04372306144853</v>
      </c>
      <c r="AA543">
        <v>2</v>
      </c>
      <c r="AB543">
        <v>3</v>
      </c>
      <c r="AC543">
        <v>7</v>
      </c>
      <c r="AD543">
        <v>24.35</v>
      </c>
      <c r="AE543">
        <v>253</v>
      </c>
      <c r="AF543">
        <v>13</v>
      </c>
      <c r="AG543">
        <v>62</v>
      </c>
      <c r="AH543">
        <v>32</v>
      </c>
      <c r="AI543">
        <v>5.14</v>
      </c>
      <c r="AJ543">
        <v>24.51</v>
      </c>
      <c r="AK543">
        <v>12.65</v>
      </c>
      <c r="AL543">
        <v>-19.627956249999951</v>
      </c>
      <c r="AM543">
        <v>-43.904807634206207</v>
      </c>
      <c r="AN543">
        <v>-19.627956249999951</v>
      </c>
      <c r="AO543">
        <v>-43.904807634206207</v>
      </c>
      <c r="AP543">
        <v>-19.627993</v>
      </c>
      <c r="AQ543">
        <v>-43.904820000000001</v>
      </c>
      <c r="AR543">
        <v>4.291557430205998</v>
      </c>
      <c r="AS543" t="s">
        <v>65</v>
      </c>
      <c r="AT543">
        <v>1</v>
      </c>
      <c r="AU543" t="s">
        <v>108</v>
      </c>
      <c r="AV543" t="s">
        <v>103</v>
      </c>
      <c r="AW543" t="s">
        <v>60</v>
      </c>
      <c r="AX543" t="s">
        <v>68</v>
      </c>
      <c r="AY543" t="s">
        <v>69</v>
      </c>
      <c r="AZ543" t="b">
        <v>1</v>
      </c>
    </row>
    <row r="544" spans="1:52" x14ac:dyDescent="0.3">
      <c r="A544" t="s">
        <v>52</v>
      </c>
      <c r="B544" t="s">
        <v>53</v>
      </c>
      <c r="C544" t="s">
        <v>54</v>
      </c>
      <c r="D544" t="s">
        <v>55</v>
      </c>
      <c r="E544" t="s">
        <v>788</v>
      </c>
      <c r="F544" t="s">
        <v>57</v>
      </c>
      <c r="G544" t="s">
        <v>109</v>
      </c>
      <c r="H544" t="s">
        <v>110</v>
      </c>
      <c r="I544" t="s">
        <v>110</v>
      </c>
      <c r="J544" t="s">
        <v>60</v>
      </c>
      <c r="K544" t="s">
        <v>111</v>
      </c>
      <c r="L544" t="s">
        <v>62</v>
      </c>
      <c r="M544" t="s">
        <v>111</v>
      </c>
      <c r="N544" t="s">
        <v>112</v>
      </c>
      <c r="O544" t="s">
        <v>113</v>
      </c>
      <c r="P544">
        <v>-19.654686000000002</v>
      </c>
      <c r="Q544">
        <v>-43.907240000000002</v>
      </c>
      <c r="R544" s="2" t="str">
        <f>HYPERLINK("https://www.google.com/maps?q=-19.6546860,-43.9072400","Abrir no Google Maps")</f>
        <v>Abrir no Google Maps</v>
      </c>
      <c r="S544">
        <v>4</v>
      </c>
      <c r="T544">
        <v>824.24450564548704</v>
      </c>
      <c r="U544">
        <v>4</v>
      </c>
      <c r="V544">
        <v>60</v>
      </c>
      <c r="W544">
        <v>1</v>
      </c>
      <c r="X544">
        <v>60</v>
      </c>
      <c r="Y544">
        <v>4</v>
      </c>
      <c r="Z544">
        <v>524.70106879290392</v>
      </c>
      <c r="AA544">
        <v>2</v>
      </c>
      <c r="AB544">
        <v>3</v>
      </c>
      <c r="AC544">
        <v>7</v>
      </c>
      <c r="AD544">
        <v>24.35</v>
      </c>
      <c r="AE544">
        <v>253</v>
      </c>
      <c r="AF544">
        <v>13</v>
      </c>
      <c r="AG544">
        <v>62</v>
      </c>
      <c r="AH544">
        <v>32</v>
      </c>
      <c r="AI544">
        <v>5.14</v>
      </c>
      <c r="AJ544">
        <v>24.51</v>
      </c>
      <c r="AK544">
        <v>12.65</v>
      </c>
      <c r="AL544">
        <v>-19.65511684999996</v>
      </c>
      <c r="AM544">
        <v>-43.905662999837993</v>
      </c>
      <c r="AN544">
        <v>-19.65511684999996</v>
      </c>
      <c r="AO544">
        <v>-43.905662999837993</v>
      </c>
      <c r="AP544">
        <v>-19.654686000000002</v>
      </c>
      <c r="AQ544">
        <v>-43.907240000000002</v>
      </c>
      <c r="AR544">
        <v>172.13969981835351</v>
      </c>
      <c r="AS544" t="s">
        <v>65</v>
      </c>
      <c r="AT544">
        <v>1</v>
      </c>
      <c r="AU544" t="s">
        <v>114</v>
      </c>
      <c r="AV544" t="s">
        <v>115</v>
      </c>
      <c r="AW544" t="s">
        <v>60</v>
      </c>
      <c r="AX544" t="s">
        <v>68</v>
      </c>
      <c r="AY544" t="s">
        <v>69</v>
      </c>
      <c r="AZ544" t="b">
        <v>1</v>
      </c>
    </row>
    <row r="545" spans="1:52" x14ac:dyDescent="0.3">
      <c r="A545" t="s">
        <v>52</v>
      </c>
      <c r="B545" t="s">
        <v>53</v>
      </c>
      <c r="C545" t="s">
        <v>54</v>
      </c>
      <c r="D545" t="s">
        <v>55</v>
      </c>
      <c r="E545" t="s">
        <v>788</v>
      </c>
      <c r="F545" t="s">
        <v>57</v>
      </c>
      <c r="G545" t="s">
        <v>116</v>
      </c>
      <c r="H545" t="s">
        <v>117</v>
      </c>
      <c r="I545" t="s">
        <v>117</v>
      </c>
      <c r="J545" t="s">
        <v>60</v>
      </c>
      <c r="K545" t="s">
        <v>118</v>
      </c>
      <c r="L545" t="s">
        <v>62</v>
      </c>
      <c r="M545" t="s">
        <v>118</v>
      </c>
      <c r="N545" t="s">
        <v>119</v>
      </c>
      <c r="O545" t="s">
        <v>120</v>
      </c>
      <c r="P545">
        <v>-19.663869999999999</v>
      </c>
      <c r="Q545">
        <v>-43.904916999999998</v>
      </c>
      <c r="R545" s="2" t="str">
        <f>HYPERLINK("https://www.google.com/maps?q=-19.6638700,-43.9049170","Abrir no Google Maps")</f>
        <v>Abrir no Google Maps</v>
      </c>
      <c r="S545">
        <v>4</v>
      </c>
      <c r="T545">
        <v>0</v>
      </c>
      <c r="U545">
        <v>4</v>
      </c>
      <c r="V545">
        <v>21</v>
      </c>
      <c r="W545">
        <v>1</v>
      </c>
      <c r="X545">
        <v>21</v>
      </c>
      <c r="Y545">
        <v>4</v>
      </c>
      <c r="Z545">
        <v>1169.476938179705</v>
      </c>
      <c r="AA545">
        <v>2</v>
      </c>
      <c r="AB545">
        <v>3</v>
      </c>
      <c r="AC545">
        <v>7</v>
      </c>
      <c r="AD545">
        <v>24.35</v>
      </c>
      <c r="AE545">
        <v>253</v>
      </c>
      <c r="AF545">
        <v>13</v>
      </c>
      <c r="AG545">
        <v>62</v>
      </c>
      <c r="AH545">
        <v>32</v>
      </c>
      <c r="AI545">
        <v>5.14</v>
      </c>
      <c r="AJ545">
        <v>24.51</v>
      </c>
      <c r="AK545">
        <v>12.65</v>
      </c>
      <c r="AL545">
        <v>-19.657063599999962</v>
      </c>
      <c r="AM545">
        <v>-43.898074976464507</v>
      </c>
      <c r="AN545">
        <v>-19.657063599999962</v>
      </c>
      <c r="AO545">
        <v>-43.898074976464507</v>
      </c>
      <c r="AP545">
        <v>-19.663869999999999</v>
      </c>
      <c r="AQ545">
        <v>-43.904916999999998</v>
      </c>
      <c r="AR545">
        <v>1043.3426220355029</v>
      </c>
      <c r="AS545" t="s">
        <v>65</v>
      </c>
      <c r="AT545">
        <v>1</v>
      </c>
      <c r="AU545" t="s">
        <v>121</v>
      </c>
      <c r="AV545" t="s">
        <v>122</v>
      </c>
      <c r="AW545" t="s">
        <v>60</v>
      </c>
      <c r="AX545" t="s">
        <v>68</v>
      </c>
      <c r="AY545" t="s">
        <v>69</v>
      </c>
      <c r="AZ545" t="b">
        <v>1</v>
      </c>
    </row>
    <row r="546" spans="1:52" x14ac:dyDescent="0.3">
      <c r="A546" t="s">
        <v>52</v>
      </c>
      <c r="B546" t="s">
        <v>53</v>
      </c>
      <c r="C546" t="s">
        <v>54</v>
      </c>
      <c r="D546" t="s">
        <v>55</v>
      </c>
      <c r="E546" t="s">
        <v>788</v>
      </c>
      <c r="F546" t="s">
        <v>57</v>
      </c>
      <c r="G546" t="s">
        <v>197</v>
      </c>
      <c r="H546" t="s">
        <v>198</v>
      </c>
      <c r="I546" t="s">
        <v>198</v>
      </c>
      <c r="J546" t="s">
        <v>60</v>
      </c>
      <c r="K546" t="s">
        <v>199</v>
      </c>
      <c r="L546" t="s">
        <v>62</v>
      </c>
      <c r="M546" t="s">
        <v>199</v>
      </c>
      <c r="N546" t="s">
        <v>200</v>
      </c>
      <c r="O546" t="s">
        <v>201</v>
      </c>
      <c r="P546">
        <v>-19.639250000000001</v>
      </c>
      <c r="Q546">
        <v>-43.916449999999998</v>
      </c>
      <c r="R546" s="2" t="str">
        <f>HYPERLINK("https://www.google.com/maps?q=-19.6392500,-43.9164500","Abrir no Google Maps")</f>
        <v>Abrir no Google Maps</v>
      </c>
      <c r="S546">
        <v>4</v>
      </c>
      <c r="T546">
        <v>249.46350881074861</v>
      </c>
      <c r="U546">
        <v>4</v>
      </c>
      <c r="V546">
        <v>23</v>
      </c>
      <c r="W546">
        <v>1</v>
      </c>
      <c r="X546">
        <v>23</v>
      </c>
      <c r="Y546">
        <v>3</v>
      </c>
      <c r="Z546">
        <v>267.54148787490578</v>
      </c>
      <c r="AA546">
        <v>2</v>
      </c>
      <c r="AB546">
        <v>3</v>
      </c>
      <c r="AC546">
        <v>7</v>
      </c>
      <c r="AD546">
        <v>24.35</v>
      </c>
      <c r="AE546">
        <v>253</v>
      </c>
      <c r="AF546">
        <v>13</v>
      </c>
      <c r="AG546">
        <v>62</v>
      </c>
      <c r="AH546">
        <v>32</v>
      </c>
      <c r="AI546">
        <v>5.14</v>
      </c>
      <c r="AJ546">
        <v>24.51</v>
      </c>
      <c r="AK546">
        <v>12.65</v>
      </c>
      <c r="AL546">
        <v>-19.639331149999951</v>
      </c>
      <c r="AM546">
        <v>-43.916434187886892</v>
      </c>
      <c r="AN546">
        <v>-19.639331149999951</v>
      </c>
      <c r="AO546">
        <v>-43.916434187886892</v>
      </c>
      <c r="AP546">
        <v>-19.639250000000001</v>
      </c>
      <c r="AQ546">
        <v>-43.916449999999998</v>
      </c>
      <c r="AR546">
        <v>9.1844750188843953</v>
      </c>
      <c r="AS546" t="s">
        <v>65</v>
      </c>
      <c r="AT546">
        <v>1</v>
      </c>
      <c r="AU546" t="s">
        <v>202</v>
      </c>
      <c r="AV546" t="s">
        <v>203</v>
      </c>
      <c r="AW546" t="s">
        <v>60</v>
      </c>
      <c r="AX546" t="s">
        <v>68</v>
      </c>
      <c r="AY546" t="s">
        <v>69</v>
      </c>
      <c r="AZ546" t="b">
        <v>1</v>
      </c>
    </row>
    <row r="547" spans="1:52" x14ac:dyDescent="0.3">
      <c r="A547" t="s">
        <v>52</v>
      </c>
      <c r="B547" t="s">
        <v>53</v>
      </c>
      <c r="C547" t="s">
        <v>54</v>
      </c>
      <c r="D547" t="s">
        <v>55</v>
      </c>
      <c r="E547" t="s">
        <v>788</v>
      </c>
      <c r="F547" t="s">
        <v>57</v>
      </c>
      <c r="G547" t="s">
        <v>204</v>
      </c>
      <c r="H547" t="s">
        <v>205</v>
      </c>
      <c r="I547" t="s">
        <v>205</v>
      </c>
      <c r="J547" t="s">
        <v>60</v>
      </c>
      <c r="K547" t="s">
        <v>171</v>
      </c>
      <c r="L547" t="s">
        <v>62</v>
      </c>
      <c r="M547" t="s">
        <v>171</v>
      </c>
      <c r="N547" t="s">
        <v>206</v>
      </c>
      <c r="O547" t="s">
        <v>207</v>
      </c>
      <c r="P547">
        <v>-19.674109000000001</v>
      </c>
      <c r="Q547">
        <v>-43.890711000000003</v>
      </c>
      <c r="R547" s="2" t="str">
        <f>HYPERLINK("https://www.google.com/maps?q=-19.6741090,-43.8907110","Abrir no Google Maps")</f>
        <v>Abrir no Google Maps</v>
      </c>
      <c r="S547">
        <v>4</v>
      </c>
      <c r="T547">
        <v>396.53059443764772</v>
      </c>
      <c r="U547">
        <v>4</v>
      </c>
      <c r="V547">
        <v>42</v>
      </c>
      <c r="W547">
        <v>1</v>
      </c>
      <c r="X547">
        <v>42</v>
      </c>
      <c r="Y547">
        <v>3</v>
      </c>
      <c r="Z547">
        <v>499.22520255557538</v>
      </c>
      <c r="AA547">
        <v>2</v>
      </c>
      <c r="AB547">
        <v>3</v>
      </c>
      <c r="AC547">
        <v>7</v>
      </c>
      <c r="AD547">
        <v>24.35</v>
      </c>
      <c r="AE547">
        <v>253</v>
      </c>
      <c r="AF547">
        <v>13</v>
      </c>
      <c r="AG547">
        <v>62</v>
      </c>
      <c r="AH547">
        <v>32</v>
      </c>
      <c r="AI547">
        <v>5.14</v>
      </c>
      <c r="AJ547">
        <v>24.51</v>
      </c>
      <c r="AK547">
        <v>12.65</v>
      </c>
      <c r="AL547">
        <v>-19.67362479999997</v>
      </c>
      <c r="AM547">
        <v>-43.89068378253377</v>
      </c>
      <c r="AN547">
        <v>-19.67362479999997</v>
      </c>
      <c r="AO547">
        <v>-43.89068378253377</v>
      </c>
      <c r="AP547">
        <v>-19.674109000000001</v>
      </c>
      <c r="AQ547">
        <v>-43.890711000000003</v>
      </c>
      <c r="AR547">
        <v>53.976595260276227</v>
      </c>
      <c r="AS547" t="s">
        <v>65</v>
      </c>
      <c r="AT547">
        <v>1</v>
      </c>
      <c r="AU547" t="s">
        <v>208</v>
      </c>
      <c r="AV547" t="s">
        <v>209</v>
      </c>
      <c r="AW547" t="s">
        <v>60</v>
      </c>
      <c r="AX547" t="s">
        <v>68</v>
      </c>
      <c r="AY547" t="s">
        <v>69</v>
      </c>
      <c r="AZ547" t="b">
        <v>1</v>
      </c>
    </row>
    <row r="548" spans="1:52" x14ac:dyDescent="0.3">
      <c r="A548" t="s">
        <v>52</v>
      </c>
      <c r="B548" t="s">
        <v>53</v>
      </c>
      <c r="C548" t="s">
        <v>54</v>
      </c>
      <c r="D548" t="s">
        <v>55</v>
      </c>
      <c r="E548" t="s">
        <v>788</v>
      </c>
      <c r="F548" t="s">
        <v>57</v>
      </c>
      <c r="G548" t="s">
        <v>123</v>
      </c>
      <c r="H548" t="s">
        <v>124</v>
      </c>
      <c r="I548" t="s">
        <v>124</v>
      </c>
      <c r="J548" t="s">
        <v>60</v>
      </c>
      <c r="K548" t="s">
        <v>72</v>
      </c>
      <c r="L548" t="s">
        <v>62</v>
      </c>
      <c r="M548" t="s">
        <v>72</v>
      </c>
      <c r="N548" t="s">
        <v>125</v>
      </c>
      <c r="O548" t="s">
        <v>126</v>
      </c>
      <c r="P548">
        <v>-19.634015000000002</v>
      </c>
      <c r="Q548">
        <v>-43.918776000000001</v>
      </c>
      <c r="R548" s="2" t="str">
        <f>HYPERLINK("https://www.google.com/maps?q=-19.6340150,-43.9187760","Abrir no Google Maps")</f>
        <v>Abrir no Google Maps</v>
      </c>
      <c r="S548">
        <v>4</v>
      </c>
      <c r="T548">
        <v>525.62818365919122</v>
      </c>
      <c r="U548">
        <v>4</v>
      </c>
      <c r="V548">
        <v>30</v>
      </c>
      <c r="W548">
        <v>1</v>
      </c>
      <c r="X548">
        <v>30</v>
      </c>
      <c r="Y548">
        <v>3</v>
      </c>
      <c r="Z548">
        <v>474.91441433808131</v>
      </c>
      <c r="AA548">
        <v>2</v>
      </c>
      <c r="AB548">
        <v>3</v>
      </c>
      <c r="AC548">
        <v>7</v>
      </c>
      <c r="AD548">
        <v>24.35</v>
      </c>
      <c r="AE548">
        <v>253</v>
      </c>
      <c r="AF548">
        <v>13</v>
      </c>
      <c r="AG548">
        <v>62</v>
      </c>
      <c r="AH548">
        <v>32</v>
      </c>
      <c r="AI548">
        <v>5.14</v>
      </c>
      <c r="AJ548">
        <v>24.51</v>
      </c>
      <c r="AK548">
        <v>12.65</v>
      </c>
      <c r="AL548">
        <v>-19.63405809999994</v>
      </c>
      <c r="AM548">
        <v>-43.919666391328043</v>
      </c>
      <c r="AN548">
        <v>-19.63405809999994</v>
      </c>
      <c r="AO548">
        <v>-43.919666391328029</v>
      </c>
      <c r="AP548">
        <v>-19.634015000000002</v>
      </c>
      <c r="AQ548">
        <v>-43.918776000000001</v>
      </c>
      <c r="AR548">
        <v>93.478621134470259</v>
      </c>
      <c r="AS548" t="s">
        <v>65</v>
      </c>
      <c r="AT548">
        <v>1</v>
      </c>
      <c r="AU548" t="s">
        <v>127</v>
      </c>
      <c r="AV548" t="s">
        <v>128</v>
      </c>
      <c r="AW548" t="s">
        <v>60</v>
      </c>
      <c r="AX548" t="s">
        <v>68</v>
      </c>
      <c r="AY548" t="s">
        <v>69</v>
      </c>
      <c r="AZ548" t="b">
        <v>1</v>
      </c>
    </row>
    <row r="549" spans="1:52" x14ac:dyDescent="0.3">
      <c r="A549" t="s">
        <v>52</v>
      </c>
      <c r="B549" t="s">
        <v>53</v>
      </c>
      <c r="C549" t="s">
        <v>54</v>
      </c>
      <c r="D549" t="s">
        <v>55</v>
      </c>
      <c r="E549" t="s">
        <v>788</v>
      </c>
      <c r="F549" t="s">
        <v>57</v>
      </c>
      <c r="G549" t="s">
        <v>129</v>
      </c>
      <c r="H549" t="s">
        <v>130</v>
      </c>
      <c r="I549" t="s">
        <v>130</v>
      </c>
      <c r="J549" t="s">
        <v>60</v>
      </c>
      <c r="K549" t="s">
        <v>131</v>
      </c>
      <c r="L549" t="s">
        <v>62</v>
      </c>
      <c r="M549" t="s">
        <v>131</v>
      </c>
      <c r="N549" t="s">
        <v>132</v>
      </c>
      <c r="O549" t="s">
        <v>133</v>
      </c>
      <c r="P549">
        <v>-19.632088</v>
      </c>
      <c r="Q549">
        <v>-43.916114999999998</v>
      </c>
      <c r="R549" s="2" t="str">
        <f>HYPERLINK("https://www.google.com/maps?q=-19.6320880,-43.9161150","Abrir no Google Maps")</f>
        <v>Abrir no Google Maps</v>
      </c>
      <c r="S549">
        <v>4</v>
      </c>
      <c r="T549">
        <v>566.5346232632869</v>
      </c>
      <c r="U549">
        <v>4</v>
      </c>
      <c r="V549">
        <v>28</v>
      </c>
      <c r="W549">
        <v>1</v>
      </c>
      <c r="X549">
        <v>28</v>
      </c>
      <c r="Y549">
        <v>3</v>
      </c>
      <c r="Z549">
        <v>488.06597434012792</v>
      </c>
      <c r="AA549">
        <v>2</v>
      </c>
      <c r="AB549">
        <v>3</v>
      </c>
      <c r="AC549">
        <v>7</v>
      </c>
      <c r="AD549">
        <v>24.35</v>
      </c>
      <c r="AE549">
        <v>253</v>
      </c>
      <c r="AF549">
        <v>13</v>
      </c>
      <c r="AG549">
        <v>62</v>
      </c>
      <c r="AH549">
        <v>32</v>
      </c>
      <c r="AI549">
        <v>5.14</v>
      </c>
      <c r="AJ549">
        <v>24.51</v>
      </c>
      <c r="AK549">
        <v>12.65</v>
      </c>
      <c r="AL549">
        <v>-19.632034449999939</v>
      </c>
      <c r="AM549">
        <v>-43.916174776913351</v>
      </c>
      <c r="AN549">
        <v>-19.632034449999939</v>
      </c>
      <c r="AO549">
        <v>-43.916174776913351</v>
      </c>
      <c r="AP549">
        <v>-19.632088</v>
      </c>
      <c r="AQ549">
        <v>-43.916114999999998</v>
      </c>
      <c r="AR549">
        <v>8.6497324882263911</v>
      </c>
      <c r="AS549" t="s">
        <v>65</v>
      </c>
      <c r="AT549">
        <v>1</v>
      </c>
      <c r="AU549" t="s">
        <v>134</v>
      </c>
      <c r="AV549" t="s">
        <v>135</v>
      </c>
      <c r="AW549" t="s">
        <v>60</v>
      </c>
      <c r="AX549" t="s">
        <v>68</v>
      </c>
      <c r="AY549" t="s">
        <v>69</v>
      </c>
      <c r="AZ549" t="b">
        <v>1</v>
      </c>
    </row>
    <row r="550" spans="1:52" x14ac:dyDescent="0.3">
      <c r="A550" t="s">
        <v>52</v>
      </c>
      <c r="B550" t="s">
        <v>53</v>
      </c>
      <c r="C550" t="s">
        <v>54</v>
      </c>
      <c r="D550" t="s">
        <v>55</v>
      </c>
      <c r="E550" t="s">
        <v>788</v>
      </c>
      <c r="F550" t="s">
        <v>57</v>
      </c>
      <c r="G550" t="s">
        <v>129</v>
      </c>
      <c r="H550" t="s">
        <v>136</v>
      </c>
      <c r="I550" t="s">
        <v>136</v>
      </c>
      <c r="J550" t="s">
        <v>60</v>
      </c>
      <c r="K550" t="s">
        <v>131</v>
      </c>
      <c r="L550" t="s">
        <v>62</v>
      </c>
      <c r="M550" t="s">
        <v>131</v>
      </c>
      <c r="N550" t="s">
        <v>132</v>
      </c>
      <c r="O550" t="s">
        <v>133</v>
      </c>
      <c r="P550">
        <v>-19.632290999999999</v>
      </c>
      <c r="Q550">
        <v>-43.916542999999997</v>
      </c>
      <c r="R550" s="2" t="str">
        <f>HYPERLINK("https://www.google.com/maps?q=-19.6322910,-43.9165430","Abrir no Google Maps")</f>
        <v>Abrir no Google Maps</v>
      </c>
      <c r="S550">
        <v>4</v>
      </c>
      <c r="T550">
        <v>556.95255545673058</v>
      </c>
      <c r="U550">
        <v>4</v>
      </c>
      <c r="V550">
        <v>28</v>
      </c>
      <c r="W550">
        <v>1</v>
      </c>
      <c r="X550">
        <v>28</v>
      </c>
      <c r="Y550">
        <v>3</v>
      </c>
      <c r="Z550">
        <v>479.66756878400719</v>
      </c>
      <c r="AA550">
        <v>2</v>
      </c>
      <c r="AB550">
        <v>3</v>
      </c>
      <c r="AC550">
        <v>7</v>
      </c>
      <c r="AD550">
        <v>24.35</v>
      </c>
      <c r="AE550">
        <v>253</v>
      </c>
      <c r="AF550">
        <v>13</v>
      </c>
      <c r="AG550">
        <v>62</v>
      </c>
      <c r="AH550">
        <v>32</v>
      </c>
      <c r="AI550">
        <v>5.14</v>
      </c>
      <c r="AJ550">
        <v>24.51</v>
      </c>
      <c r="AK550">
        <v>12.65</v>
      </c>
      <c r="AL550">
        <v>-19.63215424999996</v>
      </c>
      <c r="AM550">
        <v>-43.916542189528307</v>
      </c>
      <c r="AN550">
        <v>-19.63215424999996</v>
      </c>
      <c r="AO550">
        <v>-43.916542189528307</v>
      </c>
      <c r="AP550">
        <v>-19.632290999999999</v>
      </c>
      <c r="AQ550">
        <v>-43.916542999999997</v>
      </c>
      <c r="AR550">
        <v>15.22324717984722</v>
      </c>
      <c r="AS550" t="s">
        <v>65</v>
      </c>
      <c r="AT550">
        <v>1</v>
      </c>
      <c r="AU550" t="s">
        <v>137</v>
      </c>
      <c r="AV550" t="s">
        <v>138</v>
      </c>
      <c r="AW550" t="s">
        <v>60</v>
      </c>
      <c r="AX550" t="s">
        <v>68</v>
      </c>
      <c r="AY550" t="s">
        <v>69</v>
      </c>
      <c r="AZ550" t="b">
        <v>1</v>
      </c>
    </row>
    <row r="551" spans="1:52" x14ac:dyDescent="0.3">
      <c r="A551" t="s">
        <v>52</v>
      </c>
      <c r="B551" t="s">
        <v>53</v>
      </c>
      <c r="C551" t="s">
        <v>54</v>
      </c>
      <c r="D551" t="s">
        <v>55</v>
      </c>
      <c r="E551" t="s">
        <v>788</v>
      </c>
      <c r="F551" t="s">
        <v>57</v>
      </c>
      <c r="G551" t="s">
        <v>217</v>
      </c>
      <c r="H551" t="s">
        <v>218</v>
      </c>
      <c r="I551" t="s">
        <v>218</v>
      </c>
      <c r="J551" t="s">
        <v>60</v>
      </c>
      <c r="K551" t="s">
        <v>219</v>
      </c>
      <c r="L551" t="s">
        <v>62</v>
      </c>
      <c r="M551" t="s">
        <v>219</v>
      </c>
      <c r="N551" t="s">
        <v>220</v>
      </c>
      <c r="O551" t="s">
        <v>221</v>
      </c>
      <c r="P551">
        <v>-19.668924000000001</v>
      </c>
      <c r="Q551">
        <v>-43.888824</v>
      </c>
      <c r="R551" s="2" t="str">
        <f>HYPERLINK("https://www.google.com/maps?q=-19.6689240,-43.8888240","Abrir no Google Maps")</f>
        <v>Abrir no Google Maps</v>
      </c>
      <c r="S551">
        <v>4</v>
      </c>
      <c r="T551">
        <v>911.82770913869297</v>
      </c>
      <c r="U551">
        <v>4</v>
      </c>
      <c r="V551">
        <v>19</v>
      </c>
      <c r="W551">
        <v>1</v>
      </c>
      <c r="X551">
        <v>19</v>
      </c>
      <c r="Y551">
        <v>3</v>
      </c>
      <c r="Z551">
        <v>306.43809582423751</v>
      </c>
      <c r="AA551">
        <v>2</v>
      </c>
      <c r="AB551">
        <v>3</v>
      </c>
      <c r="AC551">
        <v>7</v>
      </c>
      <c r="AD551">
        <v>24.35</v>
      </c>
      <c r="AE551">
        <v>253</v>
      </c>
      <c r="AF551">
        <v>13</v>
      </c>
      <c r="AG551">
        <v>62</v>
      </c>
      <c r="AH551">
        <v>32</v>
      </c>
      <c r="AI551">
        <v>5.14</v>
      </c>
      <c r="AJ551">
        <v>24.51</v>
      </c>
      <c r="AK551">
        <v>12.65</v>
      </c>
      <c r="AL551">
        <v>-19.669015399999981</v>
      </c>
      <c r="AM551">
        <v>-43.88883436988452</v>
      </c>
      <c r="AN551">
        <v>-19.669015399999971</v>
      </c>
      <c r="AO551">
        <v>-43.88883436988452</v>
      </c>
      <c r="AP551">
        <v>-19.668924000000001</v>
      </c>
      <c r="AQ551">
        <v>-43.888824</v>
      </c>
      <c r="AR551">
        <v>10.23254983885769</v>
      </c>
      <c r="AS551" t="s">
        <v>65</v>
      </c>
      <c r="AT551">
        <v>1</v>
      </c>
      <c r="AU551" t="s">
        <v>222</v>
      </c>
      <c r="AV551" t="s">
        <v>223</v>
      </c>
      <c r="AW551" t="s">
        <v>60</v>
      </c>
      <c r="AX551" t="s">
        <v>68</v>
      </c>
      <c r="AY551" t="s">
        <v>69</v>
      </c>
      <c r="AZ551" t="b">
        <v>1</v>
      </c>
    </row>
    <row r="552" spans="1:52" x14ac:dyDescent="0.3">
      <c r="A552" t="s">
        <v>52</v>
      </c>
      <c r="B552" t="s">
        <v>53</v>
      </c>
      <c r="C552" t="s">
        <v>54</v>
      </c>
      <c r="D552" t="s">
        <v>55</v>
      </c>
      <c r="E552" t="s">
        <v>788</v>
      </c>
      <c r="F552" t="s">
        <v>57</v>
      </c>
      <c r="G552" t="s">
        <v>156</v>
      </c>
      <c r="H552" t="s">
        <v>157</v>
      </c>
      <c r="I552" t="s">
        <v>157</v>
      </c>
      <c r="J552" t="s">
        <v>60</v>
      </c>
      <c r="K552" t="s">
        <v>79</v>
      </c>
      <c r="L552" t="s">
        <v>62</v>
      </c>
      <c r="M552" t="s">
        <v>79</v>
      </c>
      <c r="N552" t="s">
        <v>158</v>
      </c>
      <c r="O552" t="s">
        <v>159</v>
      </c>
      <c r="P552">
        <v>-19.634687</v>
      </c>
      <c r="Q552">
        <v>-43.912925999999999</v>
      </c>
      <c r="R552" s="2" t="str">
        <f>HYPERLINK("https://www.google.com/maps?q=-19.6346870,-43.9129260","Abrir no Google Maps")</f>
        <v>Abrir no Google Maps</v>
      </c>
      <c r="S552">
        <v>4</v>
      </c>
      <c r="T552">
        <v>363.69725005634331</v>
      </c>
      <c r="U552">
        <v>4</v>
      </c>
      <c r="V552">
        <v>22</v>
      </c>
      <c r="W552">
        <v>1</v>
      </c>
      <c r="X552">
        <v>22</v>
      </c>
      <c r="Y552">
        <v>3</v>
      </c>
      <c r="Z552">
        <v>343.04088334900467</v>
      </c>
      <c r="AA552">
        <v>2</v>
      </c>
      <c r="AB552">
        <v>3</v>
      </c>
      <c r="AC552">
        <v>7</v>
      </c>
      <c r="AD552">
        <v>24.35</v>
      </c>
      <c r="AE552">
        <v>253</v>
      </c>
      <c r="AF552">
        <v>13</v>
      </c>
      <c r="AG552">
        <v>62</v>
      </c>
      <c r="AH552">
        <v>32</v>
      </c>
      <c r="AI552">
        <v>5.14</v>
      </c>
      <c r="AJ552">
        <v>24.51</v>
      </c>
      <c r="AK552">
        <v>12.65</v>
      </c>
      <c r="AL552">
        <v>-19.635145849999962</v>
      </c>
      <c r="AM552">
        <v>-43.913103387269381</v>
      </c>
      <c r="AN552">
        <v>-19.635145849999962</v>
      </c>
      <c r="AO552">
        <v>-43.913103387269381</v>
      </c>
      <c r="AP552">
        <v>-19.634687</v>
      </c>
      <c r="AQ552">
        <v>-43.912925999999999</v>
      </c>
      <c r="AR552">
        <v>54.359794849827942</v>
      </c>
      <c r="AS552" t="s">
        <v>65</v>
      </c>
      <c r="AT552">
        <v>1</v>
      </c>
      <c r="AU552" t="s">
        <v>160</v>
      </c>
      <c r="AV552" t="s">
        <v>161</v>
      </c>
      <c r="AW552" t="s">
        <v>60</v>
      </c>
      <c r="AX552" t="s">
        <v>68</v>
      </c>
      <c r="AY552" t="s">
        <v>69</v>
      </c>
      <c r="AZ552" t="b">
        <v>1</v>
      </c>
    </row>
    <row r="553" spans="1:52" x14ac:dyDescent="0.3">
      <c r="A553" t="s">
        <v>52</v>
      </c>
      <c r="B553" t="s">
        <v>53</v>
      </c>
      <c r="C553" t="s">
        <v>54</v>
      </c>
      <c r="D553" t="s">
        <v>55</v>
      </c>
      <c r="E553" t="s">
        <v>788</v>
      </c>
      <c r="F553" t="s">
        <v>57</v>
      </c>
      <c r="G553" t="s">
        <v>622</v>
      </c>
      <c r="H553" t="s">
        <v>623</v>
      </c>
      <c r="I553" t="s">
        <v>623</v>
      </c>
      <c r="J553" t="s">
        <v>60</v>
      </c>
      <c r="K553" t="s">
        <v>219</v>
      </c>
      <c r="L553" t="s">
        <v>62</v>
      </c>
      <c r="M553" t="s">
        <v>219</v>
      </c>
      <c r="N553" t="s">
        <v>624</v>
      </c>
      <c r="O553" t="s">
        <v>113</v>
      </c>
      <c r="P553">
        <v>-19.670276999999999</v>
      </c>
      <c r="Q553">
        <v>-43.893808</v>
      </c>
      <c r="R553" s="2" t="str">
        <f>HYPERLINK("https://www.google.com/maps?q=-19.6702770,-43.8938080","Abrir no Google Maps")</f>
        <v>Abrir no Google Maps</v>
      </c>
      <c r="S553">
        <v>4</v>
      </c>
      <c r="T553">
        <v>846.9753608437735</v>
      </c>
      <c r="U553">
        <v>4</v>
      </c>
      <c r="V553">
        <v>20</v>
      </c>
      <c r="W553">
        <v>1</v>
      </c>
      <c r="X553">
        <v>20</v>
      </c>
      <c r="Y553">
        <v>1</v>
      </c>
      <c r="Z553">
        <v>600.43160852236622</v>
      </c>
      <c r="AA553">
        <v>2</v>
      </c>
      <c r="AB553">
        <v>3</v>
      </c>
      <c r="AC553">
        <v>7</v>
      </c>
      <c r="AD553">
        <v>24.35</v>
      </c>
      <c r="AE553">
        <v>253</v>
      </c>
      <c r="AF553">
        <v>13</v>
      </c>
      <c r="AG553">
        <v>62</v>
      </c>
      <c r="AH553">
        <v>32</v>
      </c>
      <c r="AI553">
        <v>5.14</v>
      </c>
      <c r="AJ553">
        <v>24.51</v>
      </c>
      <c r="AK553">
        <v>12.65</v>
      </c>
      <c r="AL553">
        <v>-19.670319349999971</v>
      </c>
      <c r="AM553">
        <v>-43.893716431206371</v>
      </c>
      <c r="AN553">
        <v>-19.670319349999971</v>
      </c>
      <c r="AO553">
        <v>-43.893716431206371</v>
      </c>
      <c r="AP553">
        <v>-19.670276999999999</v>
      </c>
      <c r="AQ553">
        <v>-43.893808</v>
      </c>
      <c r="AR553">
        <v>10.693863517034069</v>
      </c>
      <c r="AS553" t="s">
        <v>65</v>
      </c>
      <c r="AT553">
        <v>1</v>
      </c>
      <c r="AU553" t="s">
        <v>625</v>
      </c>
      <c r="AV553" t="s">
        <v>626</v>
      </c>
      <c r="AW553" t="s">
        <v>60</v>
      </c>
      <c r="AX553" t="s">
        <v>68</v>
      </c>
      <c r="AY553" t="s">
        <v>69</v>
      </c>
      <c r="AZ553" t="b">
        <v>1</v>
      </c>
    </row>
    <row r="554" spans="1:52" x14ac:dyDescent="0.3">
      <c r="A554" t="s">
        <v>52</v>
      </c>
      <c r="B554" t="s">
        <v>53</v>
      </c>
      <c r="C554" t="s">
        <v>54</v>
      </c>
      <c r="D554" t="s">
        <v>55</v>
      </c>
      <c r="E554" t="s">
        <v>788</v>
      </c>
      <c r="F554" t="s">
        <v>57</v>
      </c>
      <c r="G554" t="s">
        <v>273</v>
      </c>
      <c r="H554" t="s">
        <v>274</v>
      </c>
      <c r="I554" t="s">
        <v>274</v>
      </c>
      <c r="J554" t="s">
        <v>60</v>
      </c>
      <c r="K554" t="s">
        <v>171</v>
      </c>
      <c r="L554" t="s">
        <v>62</v>
      </c>
      <c r="M554" t="s">
        <v>171</v>
      </c>
      <c r="N554" t="s">
        <v>275</v>
      </c>
      <c r="O554" t="s">
        <v>276</v>
      </c>
      <c r="P554">
        <v>-19.679956000000001</v>
      </c>
      <c r="Q554">
        <v>-43.888520999999997</v>
      </c>
      <c r="R554" s="2" t="str">
        <f>HYPERLINK("https://www.google.com/maps?q=-19.6799560,-43.8885210","Abrir no Google Maps")</f>
        <v>Abrir no Google Maps</v>
      </c>
      <c r="S554">
        <v>4</v>
      </c>
      <c r="T554">
        <v>346.2974251077423</v>
      </c>
      <c r="U554">
        <v>4</v>
      </c>
      <c r="V554">
        <v>28</v>
      </c>
      <c r="W554">
        <v>1</v>
      </c>
      <c r="X554">
        <v>28</v>
      </c>
      <c r="Y554">
        <v>0</v>
      </c>
      <c r="Z554">
        <v>223.68420981797229</v>
      </c>
      <c r="AA554">
        <v>2</v>
      </c>
      <c r="AB554">
        <v>3</v>
      </c>
      <c r="AC554">
        <v>7</v>
      </c>
      <c r="AD554">
        <v>24.35</v>
      </c>
      <c r="AE554">
        <v>253</v>
      </c>
      <c r="AF554">
        <v>13</v>
      </c>
      <c r="AG554">
        <v>62</v>
      </c>
      <c r="AH554">
        <v>32</v>
      </c>
      <c r="AI554">
        <v>5.14</v>
      </c>
      <c r="AJ554">
        <v>24.51</v>
      </c>
      <c r="AK554">
        <v>12.65</v>
      </c>
      <c r="AL554">
        <v>-19.67989189999998</v>
      </c>
      <c r="AM554">
        <v>-43.888485157753777</v>
      </c>
      <c r="AN554">
        <v>-19.67989189999998</v>
      </c>
      <c r="AO554">
        <v>-43.888485157753777</v>
      </c>
      <c r="AP554">
        <v>-19.679956000000001</v>
      </c>
      <c r="AQ554">
        <v>-43.888520999999997</v>
      </c>
      <c r="AR554">
        <v>8.0641961934087583</v>
      </c>
      <c r="AS554" t="s">
        <v>65</v>
      </c>
      <c r="AT554">
        <v>1</v>
      </c>
      <c r="AU554" t="s">
        <v>277</v>
      </c>
      <c r="AV554" t="s">
        <v>278</v>
      </c>
      <c r="AW554" t="s">
        <v>60</v>
      </c>
      <c r="AX554" t="s">
        <v>68</v>
      </c>
      <c r="AY554" t="s">
        <v>69</v>
      </c>
      <c r="AZ554" t="b">
        <v>1</v>
      </c>
    </row>
    <row r="555" spans="1:52" x14ac:dyDescent="0.3">
      <c r="A555" t="s">
        <v>52</v>
      </c>
      <c r="B555" t="s">
        <v>53</v>
      </c>
      <c r="C555" t="s">
        <v>54</v>
      </c>
      <c r="D555" t="s">
        <v>55</v>
      </c>
      <c r="E555" t="s">
        <v>788</v>
      </c>
      <c r="F555" t="s">
        <v>176</v>
      </c>
      <c r="G555" t="s">
        <v>77</v>
      </c>
      <c r="H555" t="s">
        <v>78</v>
      </c>
      <c r="I555" t="s">
        <v>78</v>
      </c>
      <c r="J555" t="s">
        <v>60</v>
      </c>
      <c r="K555" t="s">
        <v>79</v>
      </c>
      <c r="L555" t="s">
        <v>62</v>
      </c>
      <c r="M555" t="s">
        <v>79</v>
      </c>
      <c r="N555" t="s">
        <v>80</v>
      </c>
      <c r="O555" t="s">
        <v>81</v>
      </c>
      <c r="P555">
        <v>-19.632463999999999</v>
      </c>
      <c r="Q555">
        <v>-43.904927999999998</v>
      </c>
      <c r="R555" s="2" t="str">
        <f>HYPERLINK("https://www.google.com/maps?q=-19.6324640,-43.9049280","Abrir no Google Maps")</f>
        <v>Abrir no Google Maps</v>
      </c>
      <c r="S555">
        <v>4</v>
      </c>
      <c r="T555">
        <v>244.1735197453369</v>
      </c>
      <c r="U555">
        <v>3</v>
      </c>
      <c r="V555">
        <v>12</v>
      </c>
      <c r="W555">
        <v>1</v>
      </c>
      <c r="X555">
        <v>12</v>
      </c>
      <c r="Y555">
        <v>10</v>
      </c>
      <c r="Z555">
        <v>287.26068152447448</v>
      </c>
      <c r="AA555">
        <v>2</v>
      </c>
      <c r="AB555">
        <v>3</v>
      </c>
      <c r="AC555">
        <v>7</v>
      </c>
      <c r="AD555">
        <v>24.35</v>
      </c>
      <c r="AE555">
        <v>253</v>
      </c>
      <c r="AF555">
        <v>13</v>
      </c>
      <c r="AG555">
        <v>62</v>
      </c>
      <c r="AH555">
        <v>32</v>
      </c>
      <c r="AI555">
        <v>5.14</v>
      </c>
      <c r="AJ555">
        <v>24.51</v>
      </c>
      <c r="AK555">
        <v>12.65</v>
      </c>
      <c r="AL555">
        <v>-19.63247099999996</v>
      </c>
      <c r="AM555">
        <v>-43.904964174285787</v>
      </c>
      <c r="AN555">
        <v>-19.63247099999996</v>
      </c>
      <c r="AO555">
        <v>-43.904964174285787</v>
      </c>
      <c r="AP555">
        <v>-19.632463999999999</v>
      </c>
      <c r="AQ555">
        <v>-43.904927999999998</v>
      </c>
      <c r="AR555">
        <v>3.8720457500200469</v>
      </c>
      <c r="AS555" t="s">
        <v>65</v>
      </c>
      <c r="AT555">
        <v>1</v>
      </c>
      <c r="AU555" t="s">
        <v>82</v>
      </c>
      <c r="AV555" t="s">
        <v>83</v>
      </c>
      <c r="AW555" t="s">
        <v>60</v>
      </c>
      <c r="AX555" t="s">
        <v>68</v>
      </c>
      <c r="AY555" t="s">
        <v>69</v>
      </c>
      <c r="AZ555" t="b">
        <v>1</v>
      </c>
    </row>
    <row r="556" spans="1:52" x14ac:dyDescent="0.3">
      <c r="A556" t="s">
        <v>52</v>
      </c>
      <c r="B556" t="s">
        <v>53</v>
      </c>
      <c r="C556" t="s">
        <v>54</v>
      </c>
      <c r="D556" t="s">
        <v>55</v>
      </c>
      <c r="E556" t="s">
        <v>788</v>
      </c>
      <c r="F556" t="s">
        <v>176</v>
      </c>
      <c r="G556" t="s">
        <v>91</v>
      </c>
      <c r="H556" t="s">
        <v>92</v>
      </c>
      <c r="I556" t="s">
        <v>92</v>
      </c>
      <c r="J556" t="s">
        <v>60</v>
      </c>
      <c r="K556" t="s">
        <v>86</v>
      </c>
      <c r="L556" t="s">
        <v>62</v>
      </c>
      <c r="M556" t="s">
        <v>86</v>
      </c>
      <c r="N556" t="s">
        <v>93</v>
      </c>
      <c r="O556" t="s">
        <v>94</v>
      </c>
      <c r="P556">
        <v>-19.630676999999999</v>
      </c>
      <c r="Q556">
        <v>-43.907255999999997</v>
      </c>
      <c r="R556" s="2" t="str">
        <f>HYPERLINK("https://www.google.com/maps?q=-19.6306770,-43.9072560","Abrir no Google Maps")</f>
        <v>Abrir no Google Maps</v>
      </c>
      <c r="S556">
        <v>4</v>
      </c>
      <c r="T556">
        <v>545.39374622597825</v>
      </c>
      <c r="U556">
        <v>3</v>
      </c>
      <c r="V556">
        <v>11</v>
      </c>
      <c r="W556">
        <v>1</v>
      </c>
      <c r="X556">
        <v>11</v>
      </c>
      <c r="Y556">
        <v>10</v>
      </c>
      <c r="Z556">
        <v>559.94033759457182</v>
      </c>
      <c r="AA556">
        <v>2</v>
      </c>
      <c r="AB556">
        <v>3</v>
      </c>
      <c r="AC556">
        <v>7</v>
      </c>
      <c r="AD556">
        <v>24.35</v>
      </c>
      <c r="AE556">
        <v>253</v>
      </c>
      <c r="AF556">
        <v>13</v>
      </c>
      <c r="AG556">
        <v>62</v>
      </c>
      <c r="AH556">
        <v>32</v>
      </c>
      <c r="AI556">
        <v>5.14</v>
      </c>
      <c r="AJ556">
        <v>24.51</v>
      </c>
      <c r="AK556">
        <v>12.65</v>
      </c>
      <c r="AL556">
        <v>-19.630448649999941</v>
      </c>
      <c r="AM556">
        <v>-43.907268502495313</v>
      </c>
      <c r="AN556">
        <v>-19.630448649999941</v>
      </c>
      <c r="AO556">
        <v>-43.907268502495313</v>
      </c>
      <c r="AP556">
        <v>-19.630676999999999</v>
      </c>
      <c r="AQ556">
        <v>-43.907255999999997</v>
      </c>
      <c r="AR556">
        <v>25.453700276562468</v>
      </c>
      <c r="AS556" t="s">
        <v>65</v>
      </c>
      <c r="AT556">
        <v>1</v>
      </c>
      <c r="AU556" t="s">
        <v>95</v>
      </c>
      <c r="AV556" t="s">
        <v>96</v>
      </c>
      <c r="AW556" t="s">
        <v>60</v>
      </c>
      <c r="AX556" t="s">
        <v>68</v>
      </c>
      <c r="AY556" t="s">
        <v>69</v>
      </c>
      <c r="AZ556" t="b">
        <v>1</v>
      </c>
    </row>
    <row r="557" spans="1:52" x14ac:dyDescent="0.3">
      <c r="A557" t="s">
        <v>52</v>
      </c>
      <c r="B557" t="s">
        <v>53</v>
      </c>
      <c r="C557" t="s">
        <v>54</v>
      </c>
      <c r="D557" t="s">
        <v>55</v>
      </c>
      <c r="E557" t="s">
        <v>788</v>
      </c>
      <c r="F557" t="s">
        <v>176</v>
      </c>
      <c r="G557" t="s">
        <v>97</v>
      </c>
      <c r="H557" t="s">
        <v>98</v>
      </c>
      <c r="I557" t="s">
        <v>98</v>
      </c>
      <c r="J557" t="s">
        <v>60</v>
      </c>
      <c r="K557" t="s">
        <v>99</v>
      </c>
      <c r="L557" t="s">
        <v>62</v>
      </c>
      <c r="M557" t="s">
        <v>99</v>
      </c>
      <c r="N557" t="s">
        <v>100</v>
      </c>
      <c r="O557" t="s">
        <v>101</v>
      </c>
      <c r="P557">
        <v>-19.629822000000001</v>
      </c>
      <c r="Q557">
        <v>-43.905341</v>
      </c>
      <c r="R557" s="2" t="str">
        <f>HYPERLINK("https://www.google.com/maps?q=-19.6298220,-43.9053410","Abrir no Google Maps")</f>
        <v>Abrir no Google Maps</v>
      </c>
      <c r="S557">
        <v>4</v>
      </c>
      <c r="T557">
        <v>441.30597341744129</v>
      </c>
      <c r="U557">
        <v>3</v>
      </c>
      <c r="V557">
        <v>16</v>
      </c>
      <c r="W557">
        <v>1</v>
      </c>
      <c r="X557">
        <v>16</v>
      </c>
      <c r="Y557">
        <v>10</v>
      </c>
      <c r="Z557">
        <v>513.56493751010987</v>
      </c>
      <c r="AA557">
        <v>2</v>
      </c>
      <c r="AB557">
        <v>3</v>
      </c>
      <c r="AC557">
        <v>7</v>
      </c>
      <c r="AD557">
        <v>24.35</v>
      </c>
      <c r="AE557">
        <v>253</v>
      </c>
      <c r="AF557">
        <v>13</v>
      </c>
      <c r="AG557">
        <v>62</v>
      </c>
      <c r="AH557">
        <v>32</v>
      </c>
      <c r="AI557">
        <v>5.14</v>
      </c>
      <c r="AJ557">
        <v>24.51</v>
      </c>
      <c r="AK557">
        <v>12.65</v>
      </c>
      <c r="AL557">
        <v>-19.629671599999941</v>
      </c>
      <c r="AM557">
        <v>-43.905369597920988</v>
      </c>
      <c r="AN557">
        <v>-19.629671599999931</v>
      </c>
      <c r="AO557">
        <v>-43.905369597920988</v>
      </c>
      <c r="AP557">
        <v>-19.629822000000001</v>
      </c>
      <c r="AQ557">
        <v>-43.905341</v>
      </c>
      <c r="AR557">
        <v>17.008917699186132</v>
      </c>
      <c r="AS557" t="s">
        <v>65</v>
      </c>
      <c r="AT557">
        <v>1</v>
      </c>
      <c r="AU557" t="s">
        <v>102</v>
      </c>
      <c r="AV557" t="s">
        <v>103</v>
      </c>
      <c r="AW557" t="s">
        <v>60</v>
      </c>
      <c r="AX557" t="s">
        <v>68</v>
      </c>
      <c r="AY557" t="s">
        <v>69</v>
      </c>
      <c r="AZ557" t="b">
        <v>1</v>
      </c>
    </row>
    <row r="558" spans="1:52" x14ac:dyDescent="0.3">
      <c r="A558" t="s">
        <v>52</v>
      </c>
      <c r="B558" t="s">
        <v>53</v>
      </c>
      <c r="C558" t="s">
        <v>54</v>
      </c>
      <c r="D558" t="s">
        <v>55</v>
      </c>
      <c r="E558" t="s">
        <v>788</v>
      </c>
      <c r="F558" t="s">
        <v>176</v>
      </c>
      <c r="G558" t="s">
        <v>177</v>
      </c>
      <c r="H558" t="s">
        <v>178</v>
      </c>
      <c r="I558" t="s">
        <v>178</v>
      </c>
      <c r="J558" t="s">
        <v>60</v>
      </c>
      <c r="K558" t="s">
        <v>179</v>
      </c>
      <c r="L558" t="s">
        <v>62</v>
      </c>
      <c r="M558" t="s">
        <v>179</v>
      </c>
      <c r="N558" t="s">
        <v>180</v>
      </c>
      <c r="O558" t="s">
        <v>120</v>
      </c>
      <c r="P558">
        <v>-19.651526</v>
      </c>
      <c r="Q558">
        <v>-43.891382999999998</v>
      </c>
      <c r="R558" s="2" t="str">
        <f>HYPERLINK("https://www.google.com/maps?q=-19.6515260,-43.8913830","Abrir no Google Maps")</f>
        <v>Abrir no Google Maps</v>
      </c>
      <c r="S558">
        <v>4</v>
      </c>
      <c r="T558">
        <v>925.67779296789433</v>
      </c>
      <c r="U558">
        <v>3</v>
      </c>
      <c r="V558">
        <v>16</v>
      </c>
      <c r="W558">
        <v>1</v>
      </c>
      <c r="X558">
        <v>16</v>
      </c>
      <c r="Y558">
        <v>7</v>
      </c>
      <c r="Z558">
        <v>1193.102297436121</v>
      </c>
      <c r="AA558">
        <v>2</v>
      </c>
      <c r="AB558">
        <v>3</v>
      </c>
      <c r="AC558">
        <v>7</v>
      </c>
      <c r="AD558">
        <v>24.35</v>
      </c>
      <c r="AE558">
        <v>253</v>
      </c>
      <c r="AF558">
        <v>13</v>
      </c>
      <c r="AG558">
        <v>62</v>
      </c>
      <c r="AH558">
        <v>32</v>
      </c>
      <c r="AI558">
        <v>5.14</v>
      </c>
      <c r="AJ558">
        <v>24.51</v>
      </c>
      <c r="AK558">
        <v>12.65</v>
      </c>
      <c r="AL558">
        <v>-19.651590199999958</v>
      </c>
      <c r="AM558">
        <v>-43.891399191449963</v>
      </c>
      <c r="AN558">
        <v>-19.651590199999958</v>
      </c>
      <c r="AO558">
        <v>-43.891399191449963</v>
      </c>
      <c r="AP558">
        <v>-19.651526</v>
      </c>
      <c r="AQ558">
        <v>-43.891382999999998</v>
      </c>
      <c r="AR558">
        <v>7.3455622550785931</v>
      </c>
      <c r="AS558" t="s">
        <v>65</v>
      </c>
      <c r="AT558">
        <v>1</v>
      </c>
      <c r="AU558" t="s">
        <v>181</v>
      </c>
      <c r="AV558" t="s">
        <v>182</v>
      </c>
      <c r="AW558" t="s">
        <v>60</v>
      </c>
      <c r="AX558" t="s">
        <v>68</v>
      </c>
      <c r="AY558" t="s">
        <v>69</v>
      </c>
      <c r="AZ558" t="b">
        <v>1</v>
      </c>
    </row>
    <row r="559" spans="1:52" x14ac:dyDescent="0.3">
      <c r="A559" t="s">
        <v>52</v>
      </c>
      <c r="B559" t="s">
        <v>53</v>
      </c>
      <c r="C559" t="s">
        <v>54</v>
      </c>
      <c r="D559" t="s">
        <v>55</v>
      </c>
      <c r="E559" t="s">
        <v>788</v>
      </c>
      <c r="F559" t="s">
        <v>176</v>
      </c>
      <c r="G559" t="s">
        <v>190</v>
      </c>
      <c r="H559" t="s">
        <v>191</v>
      </c>
      <c r="I559" t="s">
        <v>191</v>
      </c>
      <c r="J559" t="s">
        <v>60</v>
      </c>
      <c r="K559" t="s">
        <v>192</v>
      </c>
      <c r="L559" t="s">
        <v>62</v>
      </c>
      <c r="M559" t="s">
        <v>192</v>
      </c>
      <c r="N559" t="s">
        <v>193</v>
      </c>
      <c r="O559" t="s">
        <v>194</v>
      </c>
      <c r="P559">
        <v>-19.654112000000001</v>
      </c>
      <c r="Q559">
        <v>-43.910761999999998</v>
      </c>
      <c r="R559" s="2" t="str">
        <f>HYPERLINK("https://www.google.com/maps?q=-19.6541120,-43.9107620","Abrir no Google Maps")</f>
        <v>Abrir no Google Maps</v>
      </c>
      <c r="S559">
        <v>4</v>
      </c>
      <c r="T559">
        <v>1080.0524626304521</v>
      </c>
      <c r="U559">
        <v>3</v>
      </c>
      <c r="V559">
        <v>17</v>
      </c>
      <c r="W559">
        <v>1</v>
      </c>
      <c r="X559">
        <v>17</v>
      </c>
      <c r="Y559">
        <v>4</v>
      </c>
      <c r="Z559">
        <v>666.99022879086885</v>
      </c>
      <c r="AA559">
        <v>2</v>
      </c>
      <c r="AB559">
        <v>3</v>
      </c>
      <c r="AC559">
        <v>7</v>
      </c>
      <c r="AD559">
        <v>24.35</v>
      </c>
      <c r="AE559">
        <v>253</v>
      </c>
      <c r="AF559">
        <v>13</v>
      </c>
      <c r="AG559">
        <v>62</v>
      </c>
      <c r="AH559">
        <v>32</v>
      </c>
      <c r="AI559">
        <v>5.14</v>
      </c>
      <c r="AJ559">
        <v>24.51</v>
      </c>
      <c r="AK559">
        <v>12.65</v>
      </c>
      <c r="AL559">
        <v>-19.653869149999959</v>
      </c>
      <c r="AM559">
        <v>-43.911142816432779</v>
      </c>
      <c r="AN559">
        <v>-19.653869149999959</v>
      </c>
      <c r="AO559">
        <v>-43.911142816432779</v>
      </c>
      <c r="AP559">
        <v>-19.654112000000001</v>
      </c>
      <c r="AQ559">
        <v>-43.910761999999998</v>
      </c>
      <c r="AR559">
        <v>48.214810864237499</v>
      </c>
      <c r="AS559" t="s">
        <v>65</v>
      </c>
      <c r="AT559">
        <v>1</v>
      </c>
      <c r="AU559" t="s">
        <v>195</v>
      </c>
      <c r="AV559" t="s">
        <v>196</v>
      </c>
      <c r="AW559" t="s">
        <v>60</v>
      </c>
      <c r="AX559" t="s">
        <v>68</v>
      </c>
      <c r="AY559" t="s">
        <v>69</v>
      </c>
      <c r="AZ559" t="b">
        <v>1</v>
      </c>
    </row>
    <row r="560" spans="1:52" x14ac:dyDescent="0.3">
      <c r="A560" t="s">
        <v>52</v>
      </c>
      <c r="B560" t="s">
        <v>53</v>
      </c>
      <c r="C560" t="s">
        <v>54</v>
      </c>
      <c r="D560" t="s">
        <v>55</v>
      </c>
      <c r="E560" t="s">
        <v>788</v>
      </c>
      <c r="F560" t="s">
        <v>176</v>
      </c>
      <c r="G560" t="s">
        <v>139</v>
      </c>
      <c r="H560" t="s">
        <v>140</v>
      </c>
      <c r="I560" t="s">
        <v>140</v>
      </c>
      <c r="J560" t="s">
        <v>60</v>
      </c>
      <c r="K560" t="s">
        <v>79</v>
      </c>
      <c r="L560" t="s">
        <v>62</v>
      </c>
      <c r="M560" t="s">
        <v>79</v>
      </c>
      <c r="N560" t="s">
        <v>141</v>
      </c>
      <c r="O560" t="s">
        <v>142</v>
      </c>
      <c r="P560">
        <v>-19.628888</v>
      </c>
      <c r="Q560">
        <v>-43.912554</v>
      </c>
      <c r="R560" s="2" t="str">
        <f>HYPERLINK("https://www.google.com/maps?q=-19.6288880,-43.9125540","Abrir no Google Maps")</f>
        <v>Abrir no Google Maps</v>
      </c>
      <c r="S560">
        <v>4</v>
      </c>
      <c r="T560">
        <v>1013.629555558835</v>
      </c>
      <c r="U560">
        <v>3</v>
      </c>
      <c r="V560">
        <v>15</v>
      </c>
      <c r="W560">
        <v>0.85</v>
      </c>
      <c r="X560">
        <v>12.75</v>
      </c>
      <c r="Y560">
        <v>3</v>
      </c>
      <c r="Z560">
        <v>950.42126394515765</v>
      </c>
      <c r="AA560">
        <v>2</v>
      </c>
      <c r="AB560">
        <v>3</v>
      </c>
      <c r="AC560">
        <v>7</v>
      </c>
      <c r="AD560">
        <v>24.35</v>
      </c>
      <c r="AE560">
        <v>253</v>
      </c>
      <c r="AF560">
        <v>13</v>
      </c>
      <c r="AG560">
        <v>62</v>
      </c>
      <c r="AH560">
        <v>32</v>
      </c>
      <c r="AI560">
        <v>5.14</v>
      </c>
      <c r="AJ560">
        <v>24.51</v>
      </c>
      <c r="AK560">
        <v>12.65</v>
      </c>
      <c r="AL560">
        <v>-19.628472899999959</v>
      </c>
      <c r="AM560">
        <v>-43.912746118821246</v>
      </c>
      <c r="AN560">
        <v>-19.628472899999959</v>
      </c>
      <c r="AO560">
        <v>-43.912746118821246</v>
      </c>
      <c r="AP560">
        <v>-19.628888</v>
      </c>
      <c r="AQ560">
        <v>-43.912554</v>
      </c>
      <c r="AR560">
        <v>50.408750888077009</v>
      </c>
      <c r="AS560" t="s">
        <v>65</v>
      </c>
      <c r="AT560">
        <v>1</v>
      </c>
      <c r="AU560" t="s">
        <v>143</v>
      </c>
      <c r="AV560" t="s">
        <v>144</v>
      </c>
      <c r="AW560" t="s">
        <v>60</v>
      </c>
      <c r="AX560" t="s">
        <v>68</v>
      </c>
      <c r="AY560" t="s">
        <v>69</v>
      </c>
      <c r="AZ560" t="b">
        <v>1</v>
      </c>
    </row>
    <row r="561" spans="1:52" x14ac:dyDescent="0.3">
      <c r="A561" t="s">
        <v>52</v>
      </c>
      <c r="B561" t="s">
        <v>53</v>
      </c>
      <c r="C561" t="s">
        <v>54</v>
      </c>
      <c r="D561" t="s">
        <v>55</v>
      </c>
      <c r="E561" t="s">
        <v>788</v>
      </c>
      <c r="F561" t="s">
        <v>176</v>
      </c>
      <c r="G561" t="s">
        <v>197</v>
      </c>
      <c r="H561" t="s">
        <v>224</v>
      </c>
      <c r="I561" t="s">
        <v>224</v>
      </c>
      <c r="J561" t="s">
        <v>60</v>
      </c>
      <c r="K561" t="s">
        <v>199</v>
      </c>
      <c r="L561" t="s">
        <v>62</v>
      </c>
      <c r="M561" t="s">
        <v>199</v>
      </c>
      <c r="N561" t="s">
        <v>200</v>
      </c>
      <c r="O561" t="s">
        <v>225</v>
      </c>
      <c r="P561">
        <v>-19.637217</v>
      </c>
      <c r="Q561">
        <v>-43.916117</v>
      </c>
      <c r="R561" s="2" t="str">
        <f>HYPERLINK("https://www.google.com/maps?q=-19.6372170,-43.9161170","Abrir no Google Maps")</f>
        <v>Abrir no Google Maps</v>
      </c>
      <c r="S561">
        <v>4</v>
      </c>
      <c r="T561">
        <v>0</v>
      </c>
      <c r="U561">
        <v>3</v>
      </c>
      <c r="V561">
        <v>14</v>
      </c>
      <c r="W561">
        <v>1</v>
      </c>
      <c r="X561">
        <v>14</v>
      </c>
      <c r="Y561">
        <v>3</v>
      </c>
      <c r="Z561">
        <v>94.289538231800577</v>
      </c>
      <c r="AA561">
        <v>2</v>
      </c>
      <c r="AB561">
        <v>3</v>
      </c>
      <c r="AC561">
        <v>7</v>
      </c>
      <c r="AD561">
        <v>24.35</v>
      </c>
      <c r="AE561">
        <v>253</v>
      </c>
      <c r="AF561">
        <v>13</v>
      </c>
      <c r="AG561">
        <v>62</v>
      </c>
      <c r="AH561">
        <v>32</v>
      </c>
      <c r="AI561">
        <v>5.14</v>
      </c>
      <c r="AJ561">
        <v>24.51</v>
      </c>
      <c r="AK561">
        <v>12.65</v>
      </c>
      <c r="AL561">
        <v>-19.63714454999996</v>
      </c>
      <c r="AM561">
        <v>-43.915856532303224</v>
      </c>
      <c r="AN561">
        <v>-19.63714454999996</v>
      </c>
      <c r="AO561">
        <v>-43.915856532303224</v>
      </c>
      <c r="AP561">
        <v>-19.637217</v>
      </c>
      <c r="AQ561">
        <v>-43.916117</v>
      </c>
      <c r="AR561">
        <v>28.47493692061667</v>
      </c>
      <c r="AS561" t="s">
        <v>65</v>
      </c>
      <c r="AT561">
        <v>1</v>
      </c>
      <c r="AU561" t="s">
        <v>226</v>
      </c>
      <c r="AV561" t="s">
        <v>227</v>
      </c>
      <c r="AW561" t="s">
        <v>60</v>
      </c>
      <c r="AX561" t="s">
        <v>68</v>
      </c>
      <c r="AY561" t="s">
        <v>69</v>
      </c>
      <c r="AZ561" t="b">
        <v>1</v>
      </c>
    </row>
    <row r="562" spans="1:52" x14ac:dyDescent="0.3">
      <c r="A562" t="s">
        <v>52</v>
      </c>
      <c r="B562" t="s">
        <v>53</v>
      </c>
      <c r="C562" t="s">
        <v>54</v>
      </c>
      <c r="D562" t="s">
        <v>55</v>
      </c>
      <c r="E562" t="s">
        <v>788</v>
      </c>
      <c r="F562" t="s">
        <v>176</v>
      </c>
      <c r="G562" t="s">
        <v>228</v>
      </c>
      <c r="H562" t="s">
        <v>229</v>
      </c>
      <c r="I562" t="s">
        <v>229</v>
      </c>
      <c r="J562" t="s">
        <v>60</v>
      </c>
      <c r="K562" t="s">
        <v>199</v>
      </c>
      <c r="L562" t="s">
        <v>62</v>
      </c>
      <c r="M562" t="s">
        <v>199</v>
      </c>
      <c r="N562" t="s">
        <v>230</v>
      </c>
      <c r="O562" t="s">
        <v>88</v>
      </c>
      <c r="P562">
        <v>-19.637703999999999</v>
      </c>
      <c r="Q562">
        <v>-43.913817999999999</v>
      </c>
      <c r="R562" s="2" t="str">
        <f>HYPERLINK("https://www.google.com/maps?q=-19.6377040,-43.9138180","Abrir no Google Maps")</f>
        <v>Abrir no Google Maps</v>
      </c>
      <c r="S562">
        <v>4</v>
      </c>
      <c r="T562">
        <v>216.67225021659709</v>
      </c>
      <c r="U562">
        <v>3</v>
      </c>
      <c r="V562">
        <v>15</v>
      </c>
      <c r="W562">
        <v>1</v>
      </c>
      <c r="X562">
        <v>15</v>
      </c>
      <c r="Y562">
        <v>3</v>
      </c>
      <c r="Z562">
        <v>250.25912407368671</v>
      </c>
      <c r="AA562">
        <v>2</v>
      </c>
      <c r="AB562">
        <v>3</v>
      </c>
      <c r="AC562">
        <v>7</v>
      </c>
      <c r="AD562">
        <v>24.35</v>
      </c>
      <c r="AE562">
        <v>253</v>
      </c>
      <c r="AF562">
        <v>13</v>
      </c>
      <c r="AG562">
        <v>62</v>
      </c>
      <c r="AH562">
        <v>32</v>
      </c>
      <c r="AI562">
        <v>5.14</v>
      </c>
      <c r="AJ562">
        <v>24.51</v>
      </c>
      <c r="AK562">
        <v>12.65</v>
      </c>
      <c r="AL562">
        <v>-19.637548049999939</v>
      </c>
      <c r="AM562">
        <v>-43.91383458447649</v>
      </c>
      <c r="AN562">
        <v>-19.637548049999939</v>
      </c>
      <c r="AO562">
        <v>-43.91383458447649</v>
      </c>
      <c r="AP562">
        <v>-19.637703999999999</v>
      </c>
      <c r="AQ562">
        <v>-43.913817999999999</v>
      </c>
      <c r="AR562">
        <v>17.44721566371809</v>
      </c>
      <c r="AS562" t="s">
        <v>65</v>
      </c>
      <c r="AT562">
        <v>1</v>
      </c>
      <c r="AU562" t="s">
        <v>231</v>
      </c>
      <c r="AV562" t="s">
        <v>232</v>
      </c>
      <c r="AW562" t="s">
        <v>60</v>
      </c>
      <c r="AX562" t="s">
        <v>68</v>
      </c>
      <c r="AY562" t="s">
        <v>69</v>
      </c>
      <c r="AZ562" t="b">
        <v>1</v>
      </c>
    </row>
    <row r="563" spans="1:52" x14ac:dyDescent="0.3">
      <c r="A563" t="s">
        <v>52</v>
      </c>
      <c r="B563" t="s">
        <v>53</v>
      </c>
      <c r="C563" t="s">
        <v>54</v>
      </c>
      <c r="D563" t="s">
        <v>55</v>
      </c>
      <c r="E563" t="s">
        <v>788</v>
      </c>
      <c r="F563" t="s">
        <v>176</v>
      </c>
      <c r="G563" t="s">
        <v>151</v>
      </c>
      <c r="H563" t="s">
        <v>152</v>
      </c>
      <c r="I563" t="s">
        <v>152</v>
      </c>
      <c r="J563" t="s">
        <v>60</v>
      </c>
      <c r="K563" t="s">
        <v>72</v>
      </c>
      <c r="L563" t="s">
        <v>62</v>
      </c>
      <c r="M563" t="s">
        <v>72</v>
      </c>
      <c r="N563" t="s">
        <v>153</v>
      </c>
      <c r="O563" t="s">
        <v>81</v>
      </c>
      <c r="P563">
        <v>-19.635065999999998</v>
      </c>
      <c r="Q563">
        <v>-43.916640000000001</v>
      </c>
      <c r="R563" s="2" t="str">
        <f>HYPERLINK("https://www.google.com/maps?q=-19.6350660,-43.9166400","Abrir no Google Maps")</f>
        <v>Abrir no Google Maps</v>
      </c>
      <c r="S563">
        <v>4</v>
      </c>
      <c r="T563">
        <v>245.09875796292749</v>
      </c>
      <c r="U563">
        <v>3</v>
      </c>
      <c r="V563">
        <v>15</v>
      </c>
      <c r="W563">
        <v>1</v>
      </c>
      <c r="X563">
        <v>15</v>
      </c>
      <c r="Y563">
        <v>3</v>
      </c>
      <c r="Z563">
        <v>207.74356419317499</v>
      </c>
      <c r="AA563">
        <v>2</v>
      </c>
      <c r="AB563">
        <v>3</v>
      </c>
      <c r="AC563">
        <v>7</v>
      </c>
      <c r="AD563">
        <v>24.35</v>
      </c>
      <c r="AE563">
        <v>253</v>
      </c>
      <c r="AF563">
        <v>13</v>
      </c>
      <c r="AG563">
        <v>62</v>
      </c>
      <c r="AH563">
        <v>32</v>
      </c>
      <c r="AI563">
        <v>5.14</v>
      </c>
      <c r="AJ563">
        <v>24.51</v>
      </c>
      <c r="AK563">
        <v>12.65</v>
      </c>
      <c r="AL563">
        <v>-19.63505579999995</v>
      </c>
      <c r="AM563">
        <v>-43.916633303072622</v>
      </c>
      <c r="AN563">
        <v>-19.63505579999995</v>
      </c>
      <c r="AO563">
        <v>-43.916633303072622</v>
      </c>
      <c r="AP563">
        <v>-19.635065999999998</v>
      </c>
      <c r="AQ563">
        <v>-43.916640000000001</v>
      </c>
      <c r="AR563">
        <v>1.335026849412978</v>
      </c>
      <c r="AS563" t="s">
        <v>65</v>
      </c>
      <c r="AT563">
        <v>1</v>
      </c>
      <c r="AU563" t="s">
        <v>154</v>
      </c>
      <c r="AV563" t="s">
        <v>155</v>
      </c>
      <c r="AW563" t="s">
        <v>60</v>
      </c>
      <c r="AX563" t="s">
        <v>68</v>
      </c>
      <c r="AY563" t="s">
        <v>69</v>
      </c>
      <c r="AZ563" t="b">
        <v>1</v>
      </c>
    </row>
    <row r="564" spans="1:52" x14ac:dyDescent="0.3">
      <c r="A564" t="s">
        <v>52</v>
      </c>
      <c r="B564" t="s">
        <v>53</v>
      </c>
      <c r="C564" t="s">
        <v>54</v>
      </c>
      <c r="D564" t="s">
        <v>55</v>
      </c>
      <c r="E564" t="s">
        <v>788</v>
      </c>
      <c r="F564" t="s">
        <v>176</v>
      </c>
      <c r="G564" t="s">
        <v>632</v>
      </c>
      <c r="H564" t="s">
        <v>633</v>
      </c>
      <c r="I564" t="s">
        <v>633</v>
      </c>
      <c r="J564" t="s">
        <v>60</v>
      </c>
      <c r="K564" t="s">
        <v>164</v>
      </c>
      <c r="L564" t="s">
        <v>62</v>
      </c>
      <c r="M564" t="s">
        <v>164</v>
      </c>
      <c r="N564" t="s">
        <v>287</v>
      </c>
      <c r="O564" t="s">
        <v>634</v>
      </c>
      <c r="P564">
        <v>-19.647012</v>
      </c>
      <c r="Q564">
        <v>-43.903843000000002</v>
      </c>
      <c r="R564" s="2" t="str">
        <f>HYPERLINK("https://www.google.com/maps?q=-19.6470120,-43.9038430","Abrir no Google Maps")</f>
        <v>Abrir no Google Maps</v>
      </c>
      <c r="S564">
        <v>4</v>
      </c>
      <c r="T564">
        <v>0</v>
      </c>
      <c r="U564">
        <v>3</v>
      </c>
      <c r="V564">
        <v>12</v>
      </c>
      <c r="W564">
        <v>0.85</v>
      </c>
      <c r="X564">
        <v>10.199999999999999</v>
      </c>
      <c r="Y564">
        <v>1</v>
      </c>
      <c r="Z564">
        <v>126.45608798330009</v>
      </c>
      <c r="AA564">
        <v>2</v>
      </c>
      <c r="AB564">
        <v>3</v>
      </c>
      <c r="AC564">
        <v>7</v>
      </c>
      <c r="AD564">
        <v>24.35</v>
      </c>
      <c r="AE564">
        <v>253</v>
      </c>
      <c r="AF564">
        <v>13</v>
      </c>
      <c r="AG564">
        <v>62</v>
      </c>
      <c r="AH564">
        <v>32</v>
      </c>
      <c r="AI564">
        <v>5.14</v>
      </c>
      <c r="AJ564">
        <v>24.51</v>
      </c>
      <c r="AK564">
        <v>12.65</v>
      </c>
      <c r="AL564">
        <v>-19.647072199999968</v>
      </c>
      <c r="AM564">
        <v>-43.903751273681941</v>
      </c>
      <c r="AN564">
        <v>-19.647072199999968</v>
      </c>
      <c r="AO564">
        <v>-43.903751273681941</v>
      </c>
      <c r="AP564">
        <v>-19.647012</v>
      </c>
      <c r="AQ564">
        <v>-43.903843000000002</v>
      </c>
      <c r="AR564">
        <v>11.72121231224985</v>
      </c>
      <c r="AS564" t="s">
        <v>65</v>
      </c>
      <c r="AT564">
        <v>1</v>
      </c>
      <c r="AU564" t="s">
        <v>635</v>
      </c>
      <c r="AV564" t="s">
        <v>636</v>
      </c>
      <c r="AW564" t="s">
        <v>60</v>
      </c>
      <c r="AX564" t="s">
        <v>68</v>
      </c>
      <c r="AY564" t="s">
        <v>69</v>
      </c>
      <c r="AZ564" t="b">
        <v>1</v>
      </c>
    </row>
    <row r="565" spans="1:52" x14ac:dyDescent="0.3">
      <c r="A565" t="s">
        <v>52</v>
      </c>
      <c r="B565" t="s">
        <v>53</v>
      </c>
      <c r="C565" t="s">
        <v>54</v>
      </c>
      <c r="D565" t="s">
        <v>55</v>
      </c>
      <c r="E565" t="s">
        <v>788</v>
      </c>
      <c r="F565" t="s">
        <v>176</v>
      </c>
      <c r="G565" t="s">
        <v>438</v>
      </c>
      <c r="H565" t="s">
        <v>752</v>
      </c>
      <c r="I565" t="s">
        <v>752</v>
      </c>
      <c r="J565" t="s">
        <v>60</v>
      </c>
      <c r="K565" t="s">
        <v>753</v>
      </c>
      <c r="L565" t="s">
        <v>62</v>
      </c>
      <c r="M565" t="s">
        <v>753</v>
      </c>
      <c r="N565" t="s">
        <v>754</v>
      </c>
      <c r="O565" t="s">
        <v>755</v>
      </c>
      <c r="P565">
        <v>-19.659098</v>
      </c>
      <c r="Q565">
        <v>-43.888488000000002</v>
      </c>
      <c r="R565" s="2" t="str">
        <f>HYPERLINK("https://www.google.com/maps?q=-19.6590980,-43.8884880","Abrir no Google Maps")</f>
        <v>Abrir no Google Maps</v>
      </c>
      <c r="S565">
        <v>4</v>
      </c>
      <c r="T565">
        <v>1037.769377643863</v>
      </c>
      <c r="U565">
        <v>3</v>
      </c>
      <c r="V565">
        <v>12</v>
      </c>
      <c r="W565">
        <v>0.85</v>
      </c>
      <c r="X565">
        <v>10.199999999999999</v>
      </c>
      <c r="Y565">
        <v>1</v>
      </c>
      <c r="Z565">
        <v>847.56431815704627</v>
      </c>
      <c r="AA565">
        <v>2</v>
      </c>
      <c r="AB565">
        <v>3</v>
      </c>
      <c r="AC565">
        <v>7</v>
      </c>
      <c r="AD565">
        <v>24.35</v>
      </c>
      <c r="AE565">
        <v>253</v>
      </c>
      <c r="AF565">
        <v>13</v>
      </c>
      <c r="AG565">
        <v>62</v>
      </c>
      <c r="AH565">
        <v>32</v>
      </c>
      <c r="AI565">
        <v>5.14</v>
      </c>
      <c r="AJ565">
        <v>24.51</v>
      </c>
      <c r="AK565">
        <v>12.65</v>
      </c>
      <c r="AL565">
        <v>-19.659176099999971</v>
      </c>
      <c r="AM565">
        <v>-43.888431463374943</v>
      </c>
      <c r="AN565">
        <v>-19.659176099999971</v>
      </c>
      <c r="AO565">
        <v>-43.888431463374943</v>
      </c>
      <c r="AP565">
        <v>-19.659098</v>
      </c>
      <c r="AQ565">
        <v>-43.888488000000002</v>
      </c>
      <c r="AR565">
        <v>10.5220828934303</v>
      </c>
      <c r="AS565" t="s">
        <v>65</v>
      </c>
      <c r="AT565">
        <v>1</v>
      </c>
      <c r="AU565" t="s">
        <v>756</v>
      </c>
      <c r="AV565" t="s">
        <v>757</v>
      </c>
      <c r="AW565" t="s">
        <v>60</v>
      </c>
      <c r="AX565" t="s">
        <v>68</v>
      </c>
      <c r="AY565" t="s">
        <v>69</v>
      </c>
      <c r="AZ565" t="b">
        <v>1</v>
      </c>
    </row>
    <row r="566" spans="1:52" x14ac:dyDescent="0.3">
      <c r="A566" t="s">
        <v>52</v>
      </c>
      <c r="B566" t="s">
        <v>53</v>
      </c>
      <c r="C566" t="s">
        <v>54</v>
      </c>
      <c r="D566" t="s">
        <v>55</v>
      </c>
      <c r="E566" t="s">
        <v>788</v>
      </c>
      <c r="F566" t="s">
        <v>176</v>
      </c>
      <c r="G566" t="s">
        <v>246</v>
      </c>
      <c r="H566" t="s">
        <v>247</v>
      </c>
      <c r="I566" t="s">
        <v>247</v>
      </c>
      <c r="J566" t="s">
        <v>60</v>
      </c>
      <c r="K566" t="s">
        <v>164</v>
      </c>
      <c r="L566" t="s">
        <v>62</v>
      </c>
      <c r="M566" t="s">
        <v>164</v>
      </c>
      <c r="N566" t="s">
        <v>248</v>
      </c>
      <c r="O566" t="s">
        <v>249</v>
      </c>
      <c r="P566">
        <v>-19.6448</v>
      </c>
      <c r="Q566">
        <v>-43.901600999999999</v>
      </c>
      <c r="R566" s="2" t="str">
        <f>HYPERLINK("https://www.google.com/maps?q=-19.6448000,-43.9016010","Abrir no Google Maps")</f>
        <v>Abrir no Google Maps</v>
      </c>
      <c r="S566">
        <v>4</v>
      </c>
      <c r="T566">
        <v>317.869447308274</v>
      </c>
      <c r="U566">
        <v>3</v>
      </c>
      <c r="V566">
        <v>15</v>
      </c>
      <c r="W566">
        <v>1</v>
      </c>
      <c r="X566">
        <v>15</v>
      </c>
      <c r="Y566">
        <v>1</v>
      </c>
      <c r="Z566">
        <v>349.42631749673592</v>
      </c>
      <c r="AA566">
        <v>2</v>
      </c>
      <c r="AB566">
        <v>3</v>
      </c>
      <c r="AC566">
        <v>7</v>
      </c>
      <c r="AD566">
        <v>24.35</v>
      </c>
      <c r="AE566">
        <v>253</v>
      </c>
      <c r="AF566">
        <v>13</v>
      </c>
      <c r="AG566">
        <v>62</v>
      </c>
      <c r="AH566">
        <v>32</v>
      </c>
      <c r="AI566">
        <v>5.14</v>
      </c>
      <c r="AJ566">
        <v>24.51</v>
      </c>
      <c r="AK566">
        <v>12.65</v>
      </c>
      <c r="AL566">
        <v>-19.644877249999951</v>
      </c>
      <c r="AM566">
        <v>-43.901796079893373</v>
      </c>
      <c r="AN566">
        <v>-19.644877249999951</v>
      </c>
      <c r="AO566">
        <v>-43.901796079893373</v>
      </c>
      <c r="AP566">
        <v>-19.6448</v>
      </c>
      <c r="AQ566">
        <v>-43.901600999999999</v>
      </c>
      <c r="AR566">
        <v>22.186635956426102</v>
      </c>
      <c r="AS566" t="s">
        <v>65</v>
      </c>
      <c r="AT566">
        <v>1</v>
      </c>
      <c r="AU566" t="s">
        <v>250</v>
      </c>
      <c r="AV566" t="s">
        <v>251</v>
      </c>
      <c r="AW566" t="s">
        <v>60</v>
      </c>
      <c r="AX566" t="s">
        <v>68</v>
      </c>
      <c r="AY566" t="s">
        <v>69</v>
      </c>
      <c r="AZ566" t="b">
        <v>1</v>
      </c>
    </row>
    <row r="567" spans="1:52" x14ac:dyDescent="0.3">
      <c r="A567" t="s">
        <v>52</v>
      </c>
      <c r="B567" t="s">
        <v>53</v>
      </c>
      <c r="C567" t="s">
        <v>54</v>
      </c>
      <c r="D567" t="s">
        <v>55</v>
      </c>
      <c r="E567" t="s">
        <v>788</v>
      </c>
      <c r="F567" t="s">
        <v>176</v>
      </c>
      <c r="G567" t="s">
        <v>217</v>
      </c>
      <c r="H567" t="s">
        <v>264</v>
      </c>
      <c r="I567" t="s">
        <v>264</v>
      </c>
      <c r="J567" t="s">
        <v>60</v>
      </c>
      <c r="K567" t="s">
        <v>219</v>
      </c>
      <c r="L567" t="s">
        <v>62</v>
      </c>
      <c r="M567" t="s">
        <v>219</v>
      </c>
      <c r="N567" t="s">
        <v>220</v>
      </c>
      <c r="O567" t="s">
        <v>265</v>
      </c>
      <c r="P567">
        <v>-19.668958</v>
      </c>
      <c r="Q567">
        <v>-43.890619999999998</v>
      </c>
      <c r="R567" s="2" t="str">
        <f>HYPERLINK("https://www.google.com/maps?q=-19.6689580,-43.8906200","Abrir no Google Maps")</f>
        <v>Abrir no Google Maps</v>
      </c>
      <c r="S567">
        <v>4</v>
      </c>
      <c r="T567">
        <v>893.53138484322108</v>
      </c>
      <c r="U567">
        <v>3</v>
      </c>
      <c r="V567">
        <v>15</v>
      </c>
      <c r="W567">
        <v>1</v>
      </c>
      <c r="X567">
        <v>15</v>
      </c>
      <c r="Y567">
        <v>1</v>
      </c>
      <c r="Z567">
        <v>336.68220024294959</v>
      </c>
      <c r="AA567">
        <v>2</v>
      </c>
      <c r="AB567">
        <v>3</v>
      </c>
      <c r="AC567">
        <v>7</v>
      </c>
      <c r="AD567">
        <v>24.35</v>
      </c>
      <c r="AE567">
        <v>253</v>
      </c>
      <c r="AF567">
        <v>13</v>
      </c>
      <c r="AG567">
        <v>62</v>
      </c>
      <c r="AH567">
        <v>32</v>
      </c>
      <c r="AI567">
        <v>5.14</v>
      </c>
      <c r="AJ567">
        <v>24.51</v>
      </c>
      <c r="AK567">
        <v>12.65</v>
      </c>
      <c r="AL567">
        <v>-19.669114549999961</v>
      </c>
      <c r="AM567">
        <v>-43.890740893526242</v>
      </c>
      <c r="AN567">
        <v>-19.669114549999961</v>
      </c>
      <c r="AO567">
        <v>-43.890740893526242</v>
      </c>
      <c r="AP567">
        <v>-19.668958</v>
      </c>
      <c r="AQ567">
        <v>-43.890619999999998</v>
      </c>
      <c r="AR567">
        <v>21.54764375256557</v>
      </c>
      <c r="AS567" t="s">
        <v>65</v>
      </c>
      <c r="AT567">
        <v>1</v>
      </c>
      <c r="AU567" t="s">
        <v>266</v>
      </c>
      <c r="AV567" t="s">
        <v>267</v>
      </c>
      <c r="AW567" t="s">
        <v>60</v>
      </c>
      <c r="AX567" t="s">
        <v>68</v>
      </c>
      <c r="AY567" t="s">
        <v>69</v>
      </c>
      <c r="AZ567" t="b">
        <v>1</v>
      </c>
    </row>
    <row r="568" spans="1:52" x14ac:dyDescent="0.3">
      <c r="A568" t="s">
        <v>52</v>
      </c>
      <c r="B568" t="s">
        <v>53</v>
      </c>
      <c r="C568" t="s">
        <v>54</v>
      </c>
      <c r="D568" t="s">
        <v>55</v>
      </c>
      <c r="E568" t="s">
        <v>788</v>
      </c>
      <c r="F568" t="s">
        <v>176</v>
      </c>
      <c r="G568" t="s">
        <v>268</v>
      </c>
      <c r="H568" t="s">
        <v>269</v>
      </c>
      <c r="I568" t="s">
        <v>269</v>
      </c>
      <c r="J568" t="s">
        <v>60</v>
      </c>
      <c r="K568" t="s">
        <v>164</v>
      </c>
      <c r="L568" t="s">
        <v>62</v>
      </c>
      <c r="M568" t="s">
        <v>164</v>
      </c>
      <c r="N568" t="s">
        <v>270</v>
      </c>
      <c r="O568" t="s">
        <v>113</v>
      </c>
      <c r="P568">
        <v>-19.648771</v>
      </c>
      <c r="Q568">
        <v>-43.903640000000003</v>
      </c>
      <c r="R568" s="2" t="str">
        <f>HYPERLINK("https://www.google.com/maps?q=-19.6487710,-43.9036400","Abrir no Google Maps")</f>
        <v>Abrir no Google Maps</v>
      </c>
      <c r="S568">
        <v>4</v>
      </c>
      <c r="T568">
        <v>206.63717887005251</v>
      </c>
      <c r="U568">
        <v>3</v>
      </c>
      <c r="V568">
        <v>13</v>
      </c>
      <c r="W568">
        <v>1</v>
      </c>
      <c r="X568">
        <v>13</v>
      </c>
      <c r="Y568">
        <v>1</v>
      </c>
      <c r="Z568">
        <v>200.80459056276209</v>
      </c>
      <c r="AA568">
        <v>2</v>
      </c>
      <c r="AB568">
        <v>3</v>
      </c>
      <c r="AC568">
        <v>7</v>
      </c>
      <c r="AD568">
        <v>24.35</v>
      </c>
      <c r="AE568">
        <v>253</v>
      </c>
      <c r="AF568">
        <v>13</v>
      </c>
      <c r="AG568">
        <v>62</v>
      </c>
      <c r="AH568">
        <v>32</v>
      </c>
      <c r="AI568">
        <v>5.14</v>
      </c>
      <c r="AJ568">
        <v>24.51</v>
      </c>
      <c r="AK568">
        <v>12.65</v>
      </c>
      <c r="AL568">
        <v>-19.648938299999969</v>
      </c>
      <c r="AM568">
        <v>-43.903687287450857</v>
      </c>
      <c r="AN568">
        <v>-19.648938299999969</v>
      </c>
      <c r="AO568">
        <v>-43.903687287450857</v>
      </c>
      <c r="AP568">
        <v>-19.648771</v>
      </c>
      <c r="AQ568">
        <v>-43.903640000000003</v>
      </c>
      <c r="AR568">
        <v>19.272369946853829</v>
      </c>
      <c r="AS568" t="s">
        <v>65</v>
      </c>
      <c r="AT568">
        <v>1</v>
      </c>
      <c r="AU568" t="s">
        <v>271</v>
      </c>
      <c r="AV568" t="s">
        <v>272</v>
      </c>
      <c r="AW568" t="s">
        <v>60</v>
      </c>
      <c r="AX568" t="s">
        <v>68</v>
      </c>
      <c r="AY568" t="s">
        <v>69</v>
      </c>
      <c r="AZ568" t="b">
        <v>1</v>
      </c>
    </row>
    <row r="569" spans="1:52" x14ac:dyDescent="0.3">
      <c r="A569" t="s">
        <v>52</v>
      </c>
      <c r="B569" t="s">
        <v>53</v>
      </c>
      <c r="C569" t="s">
        <v>54</v>
      </c>
      <c r="D569" t="s">
        <v>55</v>
      </c>
      <c r="E569" t="s">
        <v>788</v>
      </c>
      <c r="F569" t="s">
        <v>176</v>
      </c>
      <c r="G569" t="s">
        <v>162</v>
      </c>
      <c r="H569" t="s">
        <v>163</v>
      </c>
      <c r="I569" t="s">
        <v>163</v>
      </c>
      <c r="J569" t="s">
        <v>60</v>
      </c>
      <c r="K569" t="s">
        <v>164</v>
      </c>
      <c r="L569" t="s">
        <v>62</v>
      </c>
      <c r="M569" t="s">
        <v>164</v>
      </c>
      <c r="N569" t="s">
        <v>165</v>
      </c>
      <c r="O569" t="s">
        <v>166</v>
      </c>
      <c r="P569">
        <v>-19.650033000000001</v>
      </c>
      <c r="Q569">
        <v>-43.904634000000001</v>
      </c>
      <c r="R569" s="2" t="str">
        <f>HYPERLINK("https://www.google.com/maps?q=-19.6500330,-43.9046340","Abrir no Google Maps")</f>
        <v>Abrir no Google Maps</v>
      </c>
      <c r="S569">
        <v>4</v>
      </c>
      <c r="T569">
        <v>343.61469317865811</v>
      </c>
      <c r="U569">
        <v>3</v>
      </c>
      <c r="V569">
        <v>17</v>
      </c>
      <c r="W569">
        <v>1</v>
      </c>
      <c r="X569">
        <v>17</v>
      </c>
      <c r="Y569">
        <v>1</v>
      </c>
      <c r="Z569">
        <v>351.81960241626399</v>
      </c>
      <c r="AA569">
        <v>2</v>
      </c>
      <c r="AB569">
        <v>3</v>
      </c>
      <c r="AC569">
        <v>7</v>
      </c>
      <c r="AD569">
        <v>24.35</v>
      </c>
      <c r="AE569">
        <v>253</v>
      </c>
      <c r="AF569">
        <v>13</v>
      </c>
      <c r="AG569">
        <v>62</v>
      </c>
      <c r="AH569">
        <v>32</v>
      </c>
      <c r="AI569">
        <v>5.14</v>
      </c>
      <c r="AJ569">
        <v>24.51</v>
      </c>
      <c r="AK569">
        <v>12.65</v>
      </c>
      <c r="AL569">
        <v>-19.650065899999959</v>
      </c>
      <c r="AM569">
        <v>-43.904619920569793</v>
      </c>
      <c r="AN569">
        <v>-19.650065899999959</v>
      </c>
      <c r="AO569">
        <v>-43.904619920569793</v>
      </c>
      <c r="AP569">
        <v>-19.650033000000001</v>
      </c>
      <c r="AQ569">
        <v>-43.904634000000001</v>
      </c>
      <c r="AR569">
        <v>3.9486827164921792</v>
      </c>
      <c r="AS569" t="s">
        <v>65</v>
      </c>
      <c r="AT569">
        <v>1</v>
      </c>
      <c r="AU569" t="s">
        <v>167</v>
      </c>
      <c r="AV569" t="s">
        <v>168</v>
      </c>
      <c r="AW569" t="s">
        <v>60</v>
      </c>
      <c r="AX569" t="s">
        <v>68</v>
      </c>
      <c r="AY569" t="s">
        <v>69</v>
      </c>
      <c r="AZ569" t="b">
        <v>1</v>
      </c>
    </row>
    <row r="570" spans="1:52" x14ac:dyDescent="0.3">
      <c r="A570" t="s">
        <v>52</v>
      </c>
      <c r="B570" t="s">
        <v>53</v>
      </c>
      <c r="C570" t="s">
        <v>54</v>
      </c>
      <c r="D570" t="s">
        <v>55</v>
      </c>
      <c r="E570" t="s">
        <v>788</v>
      </c>
      <c r="F570" t="s">
        <v>176</v>
      </c>
      <c r="G570" t="s">
        <v>169</v>
      </c>
      <c r="H570" t="s">
        <v>170</v>
      </c>
      <c r="I570" t="s">
        <v>170</v>
      </c>
      <c r="J570" t="s">
        <v>60</v>
      </c>
      <c r="K570" t="s">
        <v>171</v>
      </c>
      <c r="L570" t="s">
        <v>62</v>
      </c>
      <c r="M570" t="s">
        <v>171</v>
      </c>
      <c r="N570" t="s">
        <v>172</v>
      </c>
      <c r="O570" t="s">
        <v>173</v>
      </c>
      <c r="P570">
        <v>-19.676233</v>
      </c>
      <c r="Q570">
        <v>-43.88861</v>
      </c>
      <c r="R570" s="2" t="str">
        <f>HYPERLINK("https://www.google.com/maps?q=-19.6762330,-43.8886100","Abrir no Google Maps")</f>
        <v>Abrir no Google Maps</v>
      </c>
      <c r="S570">
        <v>4</v>
      </c>
      <c r="T570">
        <v>209.5772620412292</v>
      </c>
      <c r="U570">
        <v>3</v>
      </c>
      <c r="V570">
        <v>13</v>
      </c>
      <c r="W570">
        <v>1</v>
      </c>
      <c r="X570">
        <v>13</v>
      </c>
      <c r="Y570">
        <v>0</v>
      </c>
      <c r="Z570">
        <v>194.26571923644971</v>
      </c>
      <c r="AA570">
        <v>2</v>
      </c>
      <c r="AB570">
        <v>3</v>
      </c>
      <c r="AC570">
        <v>7</v>
      </c>
      <c r="AD570">
        <v>24.35</v>
      </c>
      <c r="AE570">
        <v>253</v>
      </c>
      <c r="AF570">
        <v>13</v>
      </c>
      <c r="AG570">
        <v>62</v>
      </c>
      <c r="AH570">
        <v>32</v>
      </c>
      <c r="AI570">
        <v>5.14</v>
      </c>
      <c r="AJ570">
        <v>24.51</v>
      </c>
      <c r="AK570">
        <v>12.65</v>
      </c>
      <c r="AL570">
        <v>-19.676097449999961</v>
      </c>
      <c r="AM570">
        <v>-43.888455613153738</v>
      </c>
      <c r="AN570">
        <v>-19.676097449999961</v>
      </c>
      <c r="AO570">
        <v>-43.888455613153738</v>
      </c>
      <c r="AP570">
        <v>-19.676233</v>
      </c>
      <c r="AQ570">
        <v>-43.88861</v>
      </c>
      <c r="AR570">
        <v>22.126352434234079</v>
      </c>
      <c r="AS570" t="s">
        <v>65</v>
      </c>
      <c r="AT570">
        <v>1</v>
      </c>
      <c r="AU570" t="s">
        <v>174</v>
      </c>
      <c r="AV570" t="s">
        <v>175</v>
      </c>
      <c r="AW570" t="s">
        <v>60</v>
      </c>
      <c r="AX570" t="s">
        <v>68</v>
      </c>
      <c r="AY570" t="s">
        <v>69</v>
      </c>
      <c r="AZ570" t="b">
        <v>1</v>
      </c>
    </row>
    <row r="571" spans="1:52" x14ac:dyDescent="0.3">
      <c r="A571" t="s">
        <v>52</v>
      </c>
      <c r="B571" t="s">
        <v>53</v>
      </c>
      <c r="C571" t="s">
        <v>54</v>
      </c>
      <c r="D571" t="s">
        <v>55</v>
      </c>
      <c r="E571" t="s">
        <v>788</v>
      </c>
      <c r="F571" t="s">
        <v>176</v>
      </c>
      <c r="G571" t="s">
        <v>417</v>
      </c>
      <c r="H571" t="s">
        <v>418</v>
      </c>
      <c r="I571" t="s">
        <v>418</v>
      </c>
      <c r="J571" t="s">
        <v>60</v>
      </c>
      <c r="K571" t="s">
        <v>179</v>
      </c>
      <c r="L571" t="s">
        <v>62</v>
      </c>
      <c r="M571" t="s">
        <v>179</v>
      </c>
      <c r="N571" t="s">
        <v>419</v>
      </c>
      <c r="O571" t="s">
        <v>420</v>
      </c>
      <c r="P571">
        <v>-19.646516999999999</v>
      </c>
      <c r="Q571">
        <v>-43.889716</v>
      </c>
      <c r="R571" s="2" t="str">
        <f>HYPERLINK("https://www.google.com/maps?q=-19.6465170,-43.8897160","Abrir no Google Maps")</f>
        <v>Abrir no Google Maps</v>
      </c>
      <c r="S571">
        <v>3</v>
      </c>
      <c r="T571">
        <v>796.8355517653099</v>
      </c>
      <c r="U571">
        <v>4</v>
      </c>
      <c r="V571">
        <v>27</v>
      </c>
      <c r="W571">
        <v>1</v>
      </c>
      <c r="X571">
        <v>27</v>
      </c>
      <c r="Y571">
        <v>7</v>
      </c>
      <c r="Z571">
        <v>749.72812632947034</v>
      </c>
      <c r="AA571">
        <v>2</v>
      </c>
      <c r="AB571">
        <v>3</v>
      </c>
      <c r="AC571">
        <v>7</v>
      </c>
      <c r="AD571">
        <v>24.35</v>
      </c>
      <c r="AE571">
        <v>253</v>
      </c>
      <c r="AF571">
        <v>13</v>
      </c>
      <c r="AG571">
        <v>62</v>
      </c>
      <c r="AH571">
        <v>32</v>
      </c>
      <c r="AI571">
        <v>5.14</v>
      </c>
      <c r="AJ571">
        <v>24.51</v>
      </c>
      <c r="AK571">
        <v>12.65</v>
      </c>
      <c r="AL571">
        <v>-19.646452649999961</v>
      </c>
      <c r="AM571">
        <v>-43.88991036523079</v>
      </c>
      <c r="AN571">
        <v>-19.646452649999961</v>
      </c>
      <c r="AO571">
        <v>-43.88991036523079</v>
      </c>
      <c r="AP571">
        <v>-19.646516999999999</v>
      </c>
      <c r="AQ571">
        <v>-43.889716</v>
      </c>
      <c r="AR571">
        <v>21.599617922669939</v>
      </c>
      <c r="AS571" t="s">
        <v>65</v>
      </c>
      <c r="AT571">
        <v>1</v>
      </c>
      <c r="AU571" t="s">
        <v>421</v>
      </c>
      <c r="AV571" t="s">
        <v>422</v>
      </c>
      <c r="AW571" t="s">
        <v>60</v>
      </c>
      <c r="AX571" t="s">
        <v>68</v>
      </c>
      <c r="AY571" t="s">
        <v>69</v>
      </c>
      <c r="AZ571" t="b">
        <v>1</v>
      </c>
    </row>
    <row r="572" spans="1:52" x14ac:dyDescent="0.3">
      <c r="A572" t="s">
        <v>52</v>
      </c>
      <c r="B572" t="s">
        <v>53</v>
      </c>
      <c r="C572" t="s">
        <v>54</v>
      </c>
      <c r="D572" t="s">
        <v>55</v>
      </c>
      <c r="E572" t="s">
        <v>788</v>
      </c>
      <c r="F572" t="s">
        <v>176</v>
      </c>
      <c r="G572" t="s">
        <v>670</v>
      </c>
      <c r="H572" t="s">
        <v>671</v>
      </c>
      <c r="I572" t="s">
        <v>671</v>
      </c>
      <c r="J572" t="s">
        <v>60</v>
      </c>
      <c r="K572" t="s">
        <v>672</v>
      </c>
      <c r="L572" t="s">
        <v>62</v>
      </c>
      <c r="M572" t="s">
        <v>672</v>
      </c>
      <c r="N572" t="s">
        <v>673</v>
      </c>
      <c r="O572" t="s">
        <v>424</v>
      </c>
      <c r="P572">
        <v>-19.574909999999999</v>
      </c>
      <c r="Q572">
        <v>-43.906655999999998</v>
      </c>
      <c r="R572" s="2" t="str">
        <f>HYPERLINK("https://www.google.com/maps?q=-19.5749100,-43.9066560","Abrir no Google Maps")</f>
        <v>Abrir no Google Maps</v>
      </c>
      <c r="S572">
        <v>3</v>
      </c>
      <c r="T572">
        <v>1366.716412286687</v>
      </c>
      <c r="U572">
        <v>4</v>
      </c>
      <c r="V572">
        <v>41</v>
      </c>
      <c r="W572">
        <v>1</v>
      </c>
      <c r="X572">
        <v>41</v>
      </c>
      <c r="Y572">
        <v>7</v>
      </c>
      <c r="Z572">
        <v>1153.3004962806151</v>
      </c>
      <c r="AA572">
        <v>2</v>
      </c>
      <c r="AB572">
        <v>3</v>
      </c>
      <c r="AC572">
        <v>7</v>
      </c>
      <c r="AD572">
        <v>24.35</v>
      </c>
      <c r="AE572">
        <v>253</v>
      </c>
      <c r="AF572">
        <v>13</v>
      </c>
      <c r="AG572">
        <v>62</v>
      </c>
      <c r="AH572">
        <v>32</v>
      </c>
      <c r="AI572">
        <v>5.14</v>
      </c>
      <c r="AJ572">
        <v>24.51</v>
      </c>
      <c r="AK572">
        <v>12.65</v>
      </c>
      <c r="AL572">
        <v>-19.574026899999978</v>
      </c>
      <c r="AM572">
        <v>-43.907476033591983</v>
      </c>
      <c r="AN572">
        <v>-19.574026899999978</v>
      </c>
      <c r="AO572">
        <v>-43.907476033591983</v>
      </c>
      <c r="AP572">
        <v>-19.574909999999999</v>
      </c>
      <c r="AQ572">
        <v>-43.906655999999998</v>
      </c>
      <c r="AR572">
        <v>130.62174183264671</v>
      </c>
      <c r="AS572" t="s">
        <v>65</v>
      </c>
      <c r="AT572">
        <v>1</v>
      </c>
      <c r="AU572" t="s">
        <v>674</v>
      </c>
      <c r="AV572" t="s">
        <v>675</v>
      </c>
      <c r="AW572" t="s">
        <v>60</v>
      </c>
      <c r="AX572" t="s">
        <v>68</v>
      </c>
      <c r="AY572" t="s">
        <v>69</v>
      </c>
      <c r="AZ572" t="b">
        <v>1</v>
      </c>
    </row>
    <row r="573" spans="1:52" x14ac:dyDescent="0.3">
      <c r="A573" t="s">
        <v>52</v>
      </c>
      <c r="B573" t="s">
        <v>53</v>
      </c>
      <c r="C573" t="s">
        <v>54</v>
      </c>
      <c r="D573" t="s">
        <v>55</v>
      </c>
      <c r="E573" t="s">
        <v>788</v>
      </c>
      <c r="F573" t="s">
        <v>176</v>
      </c>
      <c r="G573" t="s">
        <v>297</v>
      </c>
      <c r="H573" t="s">
        <v>298</v>
      </c>
      <c r="I573" t="s">
        <v>298</v>
      </c>
      <c r="J573" t="s">
        <v>60</v>
      </c>
      <c r="K573" t="s">
        <v>299</v>
      </c>
      <c r="L573" t="s">
        <v>62</v>
      </c>
      <c r="M573" t="s">
        <v>299</v>
      </c>
      <c r="N573" t="s">
        <v>300</v>
      </c>
      <c r="O573" t="s">
        <v>301</v>
      </c>
      <c r="P573">
        <v>-19.679597000000001</v>
      </c>
      <c r="Q573">
        <v>-43.912095000000001</v>
      </c>
      <c r="R573" s="2" t="str">
        <f>HYPERLINK("https://www.google.com/maps?q=-19.6795970,-43.9120950","Abrir no Google Maps")</f>
        <v>Abrir no Google Maps</v>
      </c>
      <c r="S573">
        <v>3</v>
      </c>
      <c r="T573">
        <v>1581.3368267219889</v>
      </c>
      <c r="U573">
        <v>4</v>
      </c>
      <c r="V573">
        <v>19</v>
      </c>
      <c r="W573">
        <v>1</v>
      </c>
      <c r="X573">
        <v>19</v>
      </c>
      <c r="Y573">
        <v>5</v>
      </c>
      <c r="Z573">
        <v>2051.2590436749392</v>
      </c>
      <c r="AA573">
        <v>2</v>
      </c>
      <c r="AB573">
        <v>3</v>
      </c>
      <c r="AC573">
        <v>7</v>
      </c>
      <c r="AD573">
        <v>24.35</v>
      </c>
      <c r="AE573">
        <v>253</v>
      </c>
      <c r="AF573">
        <v>13</v>
      </c>
      <c r="AG573">
        <v>62</v>
      </c>
      <c r="AH573">
        <v>32</v>
      </c>
      <c r="AI573">
        <v>5.14</v>
      </c>
      <c r="AJ573">
        <v>24.51</v>
      </c>
      <c r="AK573">
        <v>12.65</v>
      </c>
      <c r="AL573">
        <v>-19.679572799999931</v>
      </c>
      <c r="AM573">
        <v>-43.912071775440793</v>
      </c>
      <c r="AN573">
        <v>-19.679572799999931</v>
      </c>
      <c r="AO573">
        <v>-43.912071775440793</v>
      </c>
      <c r="AP573">
        <v>-19.679597000000001</v>
      </c>
      <c r="AQ573">
        <v>-43.912095000000001</v>
      </c>
      <c r="AR573">
        <v>3.6308936744190978</v>
      </c>
      <c r="AS573" t="s">
        <v>65</v>
      </c>
      <c r="AT573">
        <v>1</v>
      </c>
      <c r="AU573" t="s">
        <v>302</v>
      </c>
      <c r="AV573" t="s">
        <v>303</v>
      </c>
      <c r="AW573" t="s">
        <v>60</v>
      </c>
      <c r="AX573" t="s">
        <v>68</v>
      </c>
      <c r="AY573" t="s">
        <v>69</v>
      </c>
      <c r="AZ573" t="b">
        <v>1</v>
      </c>
    </row>
    <row r="574" spans="1:52" x14ac:dyDescent="0.3">
      <c r="A574" t="s">
        <v>52</v>
      </c>
      <c r="B574" t="s">
        <v>53</v>
      </c>
      <c r="C574" t="s">
        <v>54</v>
      </c>
      <c r="D574" t="s">
        <v>55</v>
      </c>
      <c r="E574" t="s">
        <v>788</v>
      </c>
      <c r="F574" t="s">
        <v>176</v>
      </c>
      <c r="G574" t="s">
        <v>309</v>
      </c>
      <c r="H574" t="s">
        <v>310</v>
      </c>
      <c r="I574" t="s">
        <v>310</v>
      </c>
      <c r="J574" t="s">
        <v>60</v>
      </c>
      <c r="K574" t="s">
        <v>311</v>
      </c>
      <c r="L574" t="s">
        <v>62</v>
      </c>
      <c r="M574" t="s">
        <v>311</v>
      </c>
      <c r="N574" t="s">
        <v>312</v>
      </c>
      <c r="O574" t="s">
        <v>313</v>
      </c>
      <c r="P574">
        <v>-19.576996999999999</v>
      </c>
      <c r="Q574">
        <v>-43.919024999999998</v>
      </c>
      <c r="R574" s="2" t="str">
        <f>HYPERLINK("https://www.google.com/maps?q=-19.5769970,-43.9190250","Abrir no Google Maps")</f>
        <v>Abrir no Google Maps</v>
      </c>
      <c r="S574">
        <v>3</v>
      </c>
      <c r="T574">
        <v>316.64266747869789</v>
      </c>
      <c r="U574">
        <v>4</v>
      </c>
      <c r="V574">
        <v>24</v>
      </c>
      <c r="W574">
        <v>0.85</v>
      </c>
      <c r="X574">
        <v>20.399999999999999</v>
      </c>
      <c r="Y574">
        <v>5</v>
      </c>
      <c r="Z574">
        <v>411.74435151529269</v>
      </c>
      <c r="AA574">
        <v>2</v>
      </c>
      <c r="AB574">
        <v>3</v>
      </c>
      <c r="AC574">
        <v>7</v>
      </c>
      <c r="AD574">
        <v>24.35</v>
      </c>
      <c r="AE574">
        <v>253</v>
      </c>
      <c r="AF574">
        <v>13</v>
      </c>
      <c r="AG574">
        <v>62</v>
      </c>
      <c r="AH574">
        <v>32</v>
      </c>
      <c r="AI574">
        <v>5.14</v>
      </c>
      <c r="AJ574">
        <v>24.51</v>
      </c>
      <c r="AK574">
        <v>12.65</v>
      </c>
      <c r="AL574">
        <v>-19.576964999999941</v>
      </c>
      <c r="AM574">
        <v>-43.919068241233632</v>
      </c>
      <c r="AN574">
        <v>-19.576964999999941</v>
      </c>
      <c r="AO574">
        <v>-43.919068241233632</v>
      </c>
      <c r="AP574">
        <v>-19.576996999999999</v>
      </c>
      <c r="AQ574">
        <v>-43.919024999999998</v>
      </c>
      <c r="AR574">
        <v>5.7670575161946216</v>
      </c>
      <c r="AS574" t="s">
        <v>65</v>
      </c>
      <c r="AT574">
        <v>1</v>
      </c>
      <c r="AU574" t="s">
        <v>314</v>
      </c>
      <c r="AV574" t="s">
        <v>315</v>
      </c>
      <c r="AW574" t="s">
        <v>60</v>
      </c>
      <c r="AX574" t="s">
        <v>68</v>
      </c>
      <c r="AY574" t="s">
        <v>69</v>
      </c>
      <c r="AZ574" t="b">
        <v>1</v>
      </c>
    </row>
    <row r="575" spans="1:52" x14ac:dyDescent="0.3">
      <c r="A575" t="s">
        <v>52</v>
      </c>
      <c r="B575" t="s">
        <v>53</v>
      </c>
      <c r="C575" t="s">
        <v>54</v>
      </c>
      <c r="D575" t="s">
        <v>55</v>
      </c>
      <c r="E575" t="s">
        <v>788</v>
      </c>
      <c r="F575" t="s">
        <v>176</v>
      </c>
      <c r="G575" t="s">
        <v>309</v>
      </c>
      <c r="H575" t="s">
        <v>316</v>
      </c>
      <c r="I575" t="s">
        <v>316</v>
      </c>
      <c r="J575" t="s">
        <v>60</v>
      </c>
      <c r="K575" t="s">
        <v>311</v>
      </c>
      <c r="L575" t="s">
        <v>62</v>
      </c>
      <c r="M575" t="s">
        <v>311</v>
      </c>
      <c r="N575" t="s">
        <v>317</v>
      </c>
      <c r="O575" t="s">
        <v>313</v>
      </c>
      <c r="P575">
        <v>-19.580131999999999</v>
      </c>
      <c r="Q575">
        <v>-43.918303000000002</v>
      </c>
      <c r="R575" s="2" t="str">
        <f>HYPERLINK("https://www.google.com/maps?q=-19.5801320,-43.9183030","Abrir no Google Maps")</f>
        <v>Abrir no Google Maps</v>
      </c>
      <c r="S575">
        <v>3</v>
      </c>
      <c r="T575">
        <v>665.05989403461285</v>
      </c>
      <c r="U575">
        <v>4</v>
      </c>
      <c r="V575">
        <v>23</v>
      </c>
      <c r="W575">
        <v>1</v>
      </c>
      <c r="X575">
        <v>23</v>
      </c>
      <c r="Y575">
        <v>5</v>
      </c>
      <c r="Z575">
        <v>743.64474333505098</v>
      </c>
      <c r="AA575">
        <v>2</v>
      </c>
      <c r="AB575">
        <v>3</v>
      </c>
      <c r="AC575">
        <v>7</v>
      </c>
      <c r="AD575">
        <v>24.35</v>
      </c>
      <c r="AE575">
        <v>253</v>
      </c>
      <c r="AF575">
        <v>13</v>
      </c>
      <c r="AG575">
        <v>62</v>
      </c>
      <c r="AH575">
        <v>32</v>
      </c>
      <c r="AI575">
        <v>5.14</v>
      </c>
      <c r="AJ575">
        <v>24.51</v>
      </c>
      <c r="AK575">
        <v>12.65</v>
      </c>
      <c r="AL575">
        <v>-19.58010349999995</v>
      </c>
      <c r="AM575">
        <v>-43.918363319288602</v>
      </c>
      <c r="AN575">
        <v>-19.58010349999995</v>
      </c>
      <c r="AO575">
        <v>-43.918363319288602</v>
      </c>
      <c r="AP575">
        <v>-19.580131999999999</v>
      </c>
      <c r="AQ575">
        <v>-43.918303000000002</v>
      </c>
      <c r="AR575">
        <v>7.0773977790944862</v>
      </c>
      <c r="AS575" t="s">
        <v>65</v>
      </c>
      <c r="AT575">
        <v>1</v>
      </c>
      <c r="AU575" t="s">
        <v>318</v>
      </c>
      <c r="AV575" t="s">
        <v>319</v>
      </c>
      <c r="AW575" t="s">
        <v>60</v>
      </c>
      <c r="AX575" t="s">
        <v>68</v>
      </c>
      <c r="AY575" t="s">
        <v>69</v>
      </c>
      <c r="AZ575" t="b">
        <v>1</v>
      </c>
    </row>
    <row r="576" spans="1:52" x14ac:dyDescent="0.3">
      <c r="A576" t="s">
        <v>52</v>
      </c>
      <c r="B576" t="s">
        <v>53</v>
      </c>
      <c r="C576" t="s">
        <v>54</v>
      </c>
      <c r="D576" t="s">
        <v>55</v>
      </c>
      <c r="E576" t="s">
        <v>788</v>
      </c>
      <c r="F576" t="s">
        <v>176</v>
      </c>
      <c r="G576" t="s">
        <v>427</v>
      </c>
      <c r="H576" t="s">
        <v>428</v>
      </c>
      <c r="I576" t="s">
        <v>428</v>
      </c>
      <c r="J576" t="s">
        <v>60</v>
      </c>
      <c r="K576" t="s">
        <v>311</v>
      </c>
      <c r="L576" t="s">
        <v>62</v>
      </c>
      <c r="M576" t="s">
        <v>311</v>
      </c>
      <c r="N576" t="s">
        <v>429</v>
      </c>
      <c r="O576" t="s">
        <v>430</v>
      </c>
      <c r="P576">
        <v>-19.574636999999999</v>
      </c>
      <c r="Q576">
        <v>-43.919919999999998</v>
      </c>
      <c r="R576" s="2" t="str">
        <f>HYPERLINK("https://www.google.com/maps?q=-19.5746370,-43.9199200","Abrir no Google Maps")</f>
        <v>Abrir no Google Maps</v>
      </c>
      <c r="S576">
        <v>3</v>
      </c>
      <c r="T576">
        <v>0</v>
      </c>
      <c r="U576">
        <v>4</v>
      </c>
      <c r="V576">
        <v>18</v>
      </c>
      <c r="W576">
        <v>1</v>
      </c>
      <c r="X576">
        <v>18</v>
      </c>
      <c r="Y576">
        <v>5</v>
      </c>
      <c r="Z576">
        <v>161.2304444692663</v>
      </c>
      <c r="AA576">
        <v>2</v>
      </c>
      <c r="AB576">
        <v>3</v>
      </c>
      <c r="AC576">
        <v>7</v>
      </c>
      <c r="AD576">
        <v>24.35</v>
      </c>
      <c r="AE576">
        <v>253</v>
      </c>
      <c r="AF576">
        <v>13</v>
      </c>
      <c r="AG576">
        <v>62</v>
      </c>
      <c r="AH576">
        <v>32</v>
      </c>
      <c r="AI576">
        <v>5.14</v>
      </c>
      <c r="AJ576">
        <v>24.51</v>
      </c>
      <c r="AK576">
        <v>12.65</v>
      </c>
      <c r="AL576">
        <v>-19.57444484999996</v>
      </c>
      <c r="AM576">
        <v>-43.920497272225433</v>
      </c>
      <c r="AN576">
        <v>-19.57444484999996</v>
      </c>
      <c r="AO576">
        <v>-43.920497272225433</v>
      </c>
      <c r="AP576">
        <v>-19.574636999999999</v>
      </c>
      <c r="AQ576">
        <v>-43.919919999999998</v>
      </c>
      <c r="AR576">
        <v>64.215298992893679</v>
      </c>
      <c r="AS576" t="s">
        <v>65</v>
      </c>
      <c r="AT576">
        <v>1</v>
      </c>
      <c r="AU576" t="s">
        <v>431</v>
      </c>
      <c r="AV576" t="s">
        <v>432</v>
      </c>
      <c r="AW576" t="s">
        <v>60</v>
      </c>
      <c r="AX576" t="s">
        <v>68</v>
      </c>
      <c r="AY576" t="s">
        <v>69</v>
      </c>
      <c r="AZ576" t="b">
        <v>1</v>
      </c>
    </row>
    <row r="577" spans="1:52" x14ac:dyDescent="0.3">
      <c r="A577" t="s">
        <v>52</v>
      </c>
      <c r="B577" t="s">
        <v>53</v>
      </c>
      <c r="C577" t="s">
        <v>54</v>
      </c>
      <c r="D577" t="s">
        <v>55</v>
      </c>
      <c r="E577" t="s">
        <v>788</v>
      </c>
      <c r="F577" t="s">
        <v>176</v>
      </c>
      <c r="G577" t="s">
        <v>324</v>
      </c>
      <c r="H577" t="s">
        <v>325</v>
      </c>
      <c r="I577" t="s">
        <v>325</v>
      </c>
      <c r="J577" t="s">
        <v>60</v>
      </c>
      <c r="K577" t="s">
        <v>326</v>
      </c>
      <c r="L577" t="s">
        <v>62</v>
      </c>
      <c r="M577" t="s">
        <v>326</v>
      </c>
      <c r="N577" t="s">
        <v>327</v>
      </c>
      <c r="O577" t="s">
        <v>328</v>
      </c>
      <c r="P577">
        <v>-19.654454000000001</v>
      </c>
      <c r="Q577">
        <v>-43.874654</v>
      </c>
      <c r="R577" s="2" t="str">
        <f>HYPERLINK("https://www.google.com/maps?q=-19.6544540,-43.8746540","Abrir no Google Maps")</f>
        <v>Abrir no Google Maps</v>
      </c>
      <c r="S577">
        <v>3</v>
      </c>
      <c r="T577">
        <v>461.71515786258828</v>
      </c>
      <c r="U577">
        <v>4</v>
      </c>
      <c r="V577">
        <v>18</v>
      </c>
      <c r="W577">
        <v>1</v>
      </c>
      <c r="X577">
        <v>18</v>
      </c>
      <c r="Y577">
        <v>3</v>
      </c>
      <c r="Z577">
        <v>321.42492762576637</v>
      </c>
      <c r="AA577">
        <v>2</v>
      </c>
      <c r="AB577">
        <v>3</v>
      </c>
      <c r="AC577">
        <v>7</v>
      </c>
      <c r="AD577">
        <v>24.35</v>
      </c>
      <c r="AE577">
        <v>253</v>
      </c>
      <c r="AF577">
        <v>13</v>
      </c>
      <c r="AG577">
        <v>62</v>
      </c>
      <c r="AH577">
        <v>32</v>
      </c>
      <c r="AI577">
        <v>5.14</v>
      </c>
      <c r="AJ577">
        <v>24.51</v>
      </c>
      <c r="AK577">
        <v>12.65</v>
      </c>
      <c r="AL577">
        <v>-19.654399599999941</v>
      </c>
      <c r="AM577">
        <v>-43.87457008070222</v>
      </c>
      <c r="AN577">
        <v>-19.654399599999941</v>
      </c>
      <c r="AO577">
        <v>-43.87457008070222</v>
      </c>
      <c r="AP577">
        <v>-19.654454000000001</v>
      </c>
      <c r="AQ577">
        <v>-43.874654</v>
      </c>
      <c r="AR577">
        <v>10.68040226290562</v>
      </c>
      <c r="AS577" t="s">
        <v>65</v>
      </c>
      <c r="AT577">
        <v>1</v>
      </c>
      <c r="AU577" t="s">
        <v>329</v>
      </c>
      <c r="AV577" t="s">
        <v>330</v>
      </c>
      <c r="AW577" t="s">
        <v>60</v>
      </c>
      <c r="AX577" t="s">
        <v>68</v>
      </c>
      <c r="AY577" t="s">
        <v>69</v>
      </c>
      <c r="AZ577" t="b">
        <v>1</v>
      </c>
    </row>
    <row r="578" spans="1:52" x14ac:dyDescent="0.3">
      <c r="A578" t="s">
        <v>52</v>
      </c>
      <c r="B578" t="s">
        <v>53</v>
      </c>
      <c r="C578" t="s">
        <v>54</v>
      </c>
      <c r="D578" t="s">
        <v>55</v>
      </c>
      <c r="E578" t="s">
        <v>788</v>
      </c>
      <c r="F578" t="s">
        <v>176</v>
      </c>
      <c r="G578" t="s">
        <v>468</v>
      </c>
      <c r="H578" t="s">
        <v>469</v>
      </c>
      <c r="I578" t="s">
        <v>469</v>
      </c>
      <c r="J578" t="s">
        <v>60</v>
      </c>
      <c r="K578" t="s">
        <v>326</v>
      </c>
      <c r="L578" t="s">
        <v>62</v>
      </c>
      <c r="M578" t="s">
        <v>326</v>
      </c>
      <c r="N578" t="s">
        <v>470</v>
      </c>
      <c r="O578" t="s">
        <v>471</v>
      </c>
      <c r="P578">
        <v>-19.655975999999999</v>
      </c>
      <c r="Q578">
        <v>-43.870057000000003</v>
      </c>
      <c r="R578" s="2" t="str">
        <f>HYPERLINK("https://www.google.com/maps?q=-19.6559760,-43.8700570","Abrir no Google Maps")</f>
        <v>Abrir no Google Maps</v>
      </c>
      <c r="S578">
        <v>3</v>
      </c>
      <c r="T578">
        <v>409.25016374145417</v>
      </c>
      <c r="U578">
        <v>4</v>
      </c>
      <c r="V578">
        <v>21</v>
      </c>
      <c r="W578">
        <v>1</v>
      </c>
      <c r="X578">
        <v>21</v>
      </c>
      <c r="Y578">
        <v>3</v>
      </c>
      <c r="Z578">
        <v>484.59511175905197</v>
      </c>
      <c r="AA578">
        <v>2</v>
      </c>
      <c r="AB578">
        <v>3</v>
      </c>
      <c r="AC578">
        <v>7</v>
      </c>
      <c r="AD578">
        <v>24.35</v>
      </c>
      <c r="AE578">
        <v>253</v>
      </c>
      <c r="AF578">
        <v>13</v>
      </c>
      <c r="AG578">
        <v>62</v>
      </c>
      <c r="AH578">
        <v>32</v>
      </c>
      <c r="AI578">
        <v>5.14</v>
      </c>
      <c r="AJ578">
        <v>24.51</v>
      </c>
      <c r="AK578">
        <v>12.65</v>
      </c>
      <c r="AL578">
        <v>-19.655869499999969</v>
      </c>
      <c r="AM578">
        <v>-43.870040006843681</v>
      </c>
      <c r="AN578">
        <v>-19.655869499999969</v>
      </c>
      <c r="AO578">
        <v>-43.870040006843681</v>
      </c>
      <c r="AP578">
        <v>-19.655975999999999</v>
      </c>
      <c r="AQ578">
        <v>-43.870057000000003</v>
      </c>
      <c r="AR578">
        <v>11.98867552929476</v>
      </c>
      <c r="AS578" t="s">
        <v>65</v>
      </c>
      <c r="AT578">
        <v>1</v>
      </c>
      <c r="AU578" t="s">
        <v>472</v>
      </c>
      <c r="AV578" t="s">
        <v>473</v>
      </c>
      <c r="AW578" t="s">
        <v>60</v>
      </c>
      <c r="AX578" t="s">
        <v>68</v>
      </c>
      <c r="AY578" t="s">
        <v>69</v>
      </c>
      <c r="AZ578" t="b">
        <v>1</v>
      </c>
    </row>
    <row r="579" spans="1:52" x14ac:dyDescent="0.3">
      <c r="A579" t="s">
        <v>52</v>
      </c>
      <c r="B579" t="s">
        <v>53</v>
      </c>
      <c r="C579" t="s">
        <v>54</v>
      </c>
      <c r="D579" t="s">
        <v>55</v>
      </c>
      <c r="E579" t="s">
        <v>788</v>
      </c>
      <c r="F579" t="s">
        <v>176</v>
      </c>
      <c r="G579" t="s">
        <v>338</v>
      </c>
      <c r="H579" t="s">
        <v>339</v>
      </c>
      <c r="I579" t="s">
        <v>339</v>
      </c>
      <c r="J579" t="s">
        <v>60</v>
      </c>
      <c r="K579" t="s">
        <v>219</v>
      </c>
      <c r="L579" t="s">
        <v>62</v>
      </c>
      <c r="M579" t="s">
        <v>219</v>
      </c>
      <c r="N579" t="s">
        <v>340</v>
      </c>
      <c r="O579" t="s">
        <v>341</v>
      </c>
      <c r="P579">
        <v>-19.666964</v>
      </c>
      <c r="Q579">
        <v>-43.884436999999998</v>
      </c>
      <c r="R579" s="2" t="str">
        <f>HYPERLINK("https://www.google.com/maps?q=-19.6669640,-43.8844370","Abrir no Google Maps")</f>
        <v>Abrir no Google Maps</v>
      </c>
      <c r="S579">
        <v>3</v>
      </c>
      <c r="T579">
        <v>957.0047152726122</v>
      </c>
      <c r="U579">
        <v>4</v>
      </c>
      <c r="V579">
        <v>19</v>
      </c>
      <c r="W579">
        <v>1</v>
      </c>
      <c r="X579">
        <v>19</v>
      </c>
      <c r="Y579">
        <v>3</v>
      </c>
      <c r="Z579">
        <v>558.02655966087093</v>
      </c>
      <c r="AA579">
        <v>2</v>
      </c>
      <c r="AB579">
        <v>3</v>
      </c>
      <c r="AC579">
        <v>7</v>
      </c>
      <c r="AD579">
        <v>24.35</v>
      </c>
      <c r="AE579">
        <v>253</v>
      </c>
      <c r="AF579">
        <v>13</v>
      </c>
      <c r="AG579">
        <v>62</v>
      </c>
      <c r="AH579">
        <v>32</v>
      </c>
      <c r="AI579">
        <v>5.14</v>
      </c>
      <c r="AJ579">
        <v>24.51</v>
      </c>
      <c r="AK579">
        <v>12.65</v>
      </c>
      <c r="AL579">
        <v>-19.66693374999997</v>
      </c>
      <c r="AM579">
        <v>-43.884551162820181</v>
      </c>
      <c r="AN579">
        <v>-19.66693374999997</v>
      </c>
      <c r="AO579">
        <v>-43.884551162820181</v>
      </c>
      <c r="AP579">
        <v>-19.666964</v>
      </c>
      <c r="AQ579">
        <v>-43.884436999999998</v>
      </c>
      <c r="AR579">
        <v>12.43199920714442</v>
      </c>
      <c r="AS579" t="s">
        <v>65</v>
      </c>
      <c r="AT579">
        <v>1</v>
      </c>
      <c r="AU579" t="s">
        <v>342</v>
      </c>
      <c r="AV579" t="s">
        <v>343</v>
      </c>
      <c r="AW579" t="s">
        <v>60</v>
      </c>
      <c r="AX579" t="s">
        <v>68</v>
      </c>
      <c r="AY579" t="s">
        <v>69</v>
      </c>
      <c r="AZ579" t="b">
        <v>1</v>
      </c>
    </row>
    <row r="580" spans="1:52" x14ac:dyDescent="0.3">
      <c r="A580" t="s">
        <v>52</v>
      </c>
      <c r="B580" t="s">
        <v>53</v>
      </c>
      <c r="C580" t="s">
        <v>54</v>
      </c>
      <c r="D580" t="s">
        <v>55</v>
      </c>
      <c r="E580" t="s">
        <v>788</v>
      </c>
      <c r="F580" t="s">
        <v>176</v>
      </c>
      <c r="G580" t="s">
        <v>344</v>
      </c>
      <c r="H580" t="s">
        <v>345</v>
      </c>
      <c r="I580" t="s">
        <v>345</v>
      </c>
      <c r="J580" t="s">
        <v>60</v>
      </c>
      <c r="K580" t="s">
        <v>326</v>
      </c>
      <c r="L580" t="s">
        <v>62</v>
      </c>
      <c r="M580" t="s">
        <v>326</v>
      </c>
      <c r="N580" t="s">
        <v>346</v>
      </c>
      <c r="O580" t="s">
        <v>347</v>
      </c>
      <c r="P580">
        <v>-19.659784999999999</v>
      </c>
      <c r="Q580">
        <v>-43.868257999999997</v>
      </c>
      <c r="R580" s="2" t="str">
        <f>HYPERLINK("https://www.google.com/maps?q=-19.6597850,-43.8682580","Abrir no Google Maps")</f>
        <v>Abrir no Google Maps</v>
      </c>
      <c r="S580">
        <v>3</v>
      </c>
      <c r="T580">
        <v>887.40196140413514</v>
      </c>
      <c r="U580">
        <v>4</v>
      </c>
      <c r="V580">
        <v>22</v>
      </c>
      <c r="W580">
        <v>1</v>
      </c>
      <c r="X580">
        <v>22</v>
      </c>
      <c r="Y580">
        <v>3</v>
      </c>
      <c r="Z580">
        <v>951.67106090939239</v>
      </c>
      <c r="AA580">
        <v>2</v>
      </c>
      <c r="AB580">
        <v>3</v>
      </c>
      <c r="AC580">
        <v>7</v>
      </c>
      <c r="AD580">
        <v>24.35</v>
      </c>
      <c r="AE580">
        <v>253</v>
      </c>
      <c r="AF580">
        <v>13</v>
      </c>
      <c r="AG580">
        <v>62</v>
      </c>
      <c r="AH580">
        <v>32</v>
      </c>
      <c r="AI580">
        <v>5.14</v>
      </c>
      <c r="AJ580">
        <v>24.51</v>
      </c>
      <c r="AK580">
        <v>12.65</v>
      </c>
      <c r="AL580">
        <v>-19.659938849999971</v>
      </c>
      <c r="AM580">
        <v>-43.868426732971933</v>
      </c>
      <c r="AN580">
        <v>-19.659938849999971</v>
      </c>
      <c r="AO580">
        <v>-43.868426732971933</v>
      </c>
      <c r="AP580">
        <v>-19.659784999999999</v>
      </c>
      <c r="AQ580">
        <v>-43.868257999999997</v>
      </c>
      <c r="AR580">
        <v>24.621113441172451</v>
      </c>
      <c r="AS580" t="s">
        <v>65</v>
      </c>
      <c r="AT580">
        <v>1</v>
      </c>
      <c r="AU580" t="s">
        <v>348</v>
      </c>
      <c r="AV580" t="s">
        <v>349</v>
      </c>
      <c r="AW580" t="s">
        <v>60</v>
      </c>
      <c r="AX580" t="s">
        <v>68</v>
      </c>
      <c r="AY580" t="s">
        <v>69</v>
      </c>
      <c r="AZ580" t="b">
        <v>1</v>
      </c>
    </row>
    <row r="581" spans="1:52" x14ac:dyDescent="0.3">
      <c r="A581" t="s">
        <v>52</v>
      </c>
      <c r="B581" t="s">
        <v>53</v>
      </c>
      <c r="C581" t="s">
        <v>54</v>
      </c>
      <c r="D581" t="s">
        <v>55</v>
      </c>
      <c r="E581" t="s">
        <v>788</v>
      </c>
      <c r="F581" t="s">
        <v>176</v>
      </c>
      <c r="G581" t="s">
        <v>484</v>
      </c>
      <c r="H581" t="s">
        <v>485</v>
      </c>
      <c r="I581" t="s">
        <v>485</v>
      </c>
      <c r="J581" t="s">
        <v>60</v>
      </c>
      <c r="K581" t="s">
        <v>486</v>
      </c>
      <c r="L581" t="s">
        <v>62</v>
      </c>
      <c r="M581" t="s">
        <v>486</v>
      </c>
      <c r="N581" t="s">
        <v>487</v>
      </c>
      <c r="O581" t="s">
        <v>488</v>
      </c>
      <c r="P581">
        <v>-19.599471999999999</v>
      </c>
      <c r="Q581">
        <v>-43.904423999999999</v>
      </c>
      <c r="R581" s="2" t="str">
        <f>HYPERLINK("https://www.google.com/maps?q=-19.5994720,-43.9044240","Abrir no Google Maps")</f>
        <v>Abrir no Google Maps</v>
      </c>
      <c r="S581">
        <v>3</v>
      </c>
      <c r="T581">
        <v>0</v>
      </c>
      <c r="U581">
        <v>4</v>
      </c>
      <c r="V581">
        <v>20</v>
      </c>
      <c r="W581">
        <v>1</v>
      </c>
      <c r="X581">
        <v>20</v>
      </c>
      <c r="Y581">
        <v>2</v>
      </c>
      <c r="Z581">
        <v>112.207711482489</v>
      </c>
      <c r="AA581">
        <v>2</v>
      </c>
      <c r="AB581">
        <v>3</v>
      </c>
      <c r="AC581">
        <v>7</v>
      </c>
      <c r="AD581">
        <v>24.35</v>
      </c>
      <c r="AE581">
        <v>253</v>
      </c>
      <c r="AF581">
        <v>13</v>
      </c>
      <c r="AG581">
        <v>62</v>
      </c>
      <c r="AH581">
        <v>32</v>
      </c>
      <c r="AI581">
        <v>5.14</v>
      </c>
      <c r="AJ581">
        <v>24.51</v>
      </c>
      <c r="AK581">
        <v>12.65</v>
      </c>
      <c r="AL581">
        <v>-19.599417149999969</v>
      </c>
      <c r="AM581">
        <v>-43.904309145074677</v>
      </c>
      <c r="AN581">
        <v>-19.599417149999969</v>
      </c>
      <c r="AO581">
        <v>-43.904309145074677</v>
      </c>
      <c r="AP581">
        <v>-19.599471999999999</v>
      </c>
      <c r="AQ581">
        <v>-43.904423999999999</v>
      </c>
      <c r="AR581">
        <v>13.50409975769734</v>
      </c>
      <c r="AS581" t="s">
        <v>65</v>
      </c>
      <c r="AT581">
        <v>1</v>
      </c>
      <c r="AU581" t="s">
        <v>489</v>
      </c>
      <c r="AV581" t="s">
        <v>490</v>
      </c>
      <c r="AW581" t="s">
        <v>60</v>
      </c>
      <c r="AX581" t="s">
        <v>68</v>
      </c>
      <c r="AY581" t="s">
        <v>69</v>
      </c>
      <c r="AZ581" t="b">
        <v>1</v>
      </c>
    </row>
    <row r="582" spans="1:52" x14ac:dyDescent="0.3">
      <c r="A582" t="s">
        <v>52</v>
      </c>
      <c r="B582" t="s">
        <v>53</v>
      </c>
      <c r="C582" t="s">
        <v>54</v>
      </c>
      <c r="D582" t="s">
        <v>55</v>
      </c>
      <c r="E582" t="s">
        <v>788</v>
      </c>
      <c r="F582" t="s">
        <v>176</v>
      </c>
      <c r="G582" t="s">
        <v>350</v>
      </c>
      <c r="H582" t="s">
        <v>351</v>
      </c>
      <c r="I582" t="s">
        <v>351</v>
      </c>
      <c r="J582" t="s">
        <v>60</v>
      </c>
      <c r="K582" t="s">
        <v>352</v>
      </c>
      <c r="L582" t="s">
        <v>62</v>
      </c>
      <c r="M582" t="s">
        <v>352</v>
      </c>
      <c r="N582" t="s">
        <v>353</v>
      </c>
      <c r="O582" t="s">
        <v>354</v>
      </c>
      <c r="P582">
        <v>-19.595734</v>
      </c>
      <c r="Q582">
        <v>-43.900387000000002</v>
      </c>
      <c r="R582" s="2" t="str">
        <f>HYPERLINK("https://www.google.com/maps?q=-19.5957340,-43.9003870","Abrir no Google Maps")</f>
        <v>Abrir no Google Maps</v>
      </c>
      <c r="S582">
        <v>3</v>
      </c>
      <c r="T582">
        <v>600.67809066127609</v>
      </c>
      <c r="U582">
        <v>4</v>
      </c>
      <c r="V582">
        <v>22</v>
      </c>
      <c r="W582">
        <v>1</v>
      </c>
      <c r="X582">
        <v>22</v>
      </c>
      <c r="Y582">
        <v>2</v>
      </c>
      <c r="Z582">
        <v>676.06682548988681</v>
      </c>
      <c r="AA582">
        <v>2</v>
      </c>
      <c r="AB582">
        <v>3</v>
      </c>
      <c r="AC582">
        <v>7</v>
      </c>
      <c r="AD582">
        <v>24.35</v>
      </c>
      <c r="AE582">
        <v>253</v>
      </c>
      <c r="AF582">
        <v>13</v>
      </c>
      <c r="AG582">
        <v>62</v>
      </c>
      <c r="AH582">
        <v>32</v>
      </c>
      <c r="AI582">
        <v>5.14</v>
      </c>
      <c r="AJ582">
        <v>24.51</v>
      </c>
      <c r="AK582">
        <v>12.65</v>
      </c>
      <c r="AL582">
        <v>-19.595574149999951</v>
      </c>
      <c r="AM582">
        <v>-43.900265035317688</v>
      </c>
      <c r="AN582">
        <v>-19.595574149999951</v>
      </c>
      <c r="AO582">
        <v>-43.900265035317688</v>
      </c>
      <c r="AP582">
        <v>-19.595734</v>
      </c>
      <c r="AQ582">
        <v>-43.900387000000002</v>
      </c>
      <c r="AR582">
        <v>21.91456243504582</v>
      </c>
      <c r="AS582" t="s">
        <v>65</v>
      </c>
      <c r="AT582">
        <v>1</v>
      </c>
      <c r="AU582" t="s">
        <v>355</v>
      </c>
      <c r="AV582" t="s">
        <v>356</v>
      </c>
      <c r="AW582" t="s">
        <v>60</v>
      </c>
      <c r="AX582" t="s">
        <v>68</v>
      </c>
      <c r="AY582" t="s">
        <v>69</v>
      </c>
      <c r="AZ582" t="b">
        <v>1</v>
      </c>
    </row>
    <row r="583" spans="1:52" x14ac:dyDescent="0.3">
      <c r="A583" t="s">
        <v>52</v>
      </c>
      <c r="B583" t="s">
        <v>53</v>
      </c>
      <c r="C583" t="s">
        <v>54</v>
      </c>
      <c r="D583" t="s">
        <v>55</v>
      </c>
      <c r="E583" t="s">
        <v>788</v>
      </c>
      <c r="F583" t="s">
        <v>176</v>
      </c>
      <c r="G583" t="s">
        <v>357</v>
      </c>
      <c r="H583" t="s">
        <v>358</v>
      </c>
      <c r="I583" t="s">
        <v>358</v>
      </c>
      <c r="J583" t="s">
        <v>60</v>
      </c>
      <c r="K583" t="s">
        <v>359</v>
      </c>
      <c r="L583" t="s">
        <v>62</v>
      </c>
      <c r="M583" t="s">
        <v>359</v>
      </c>
      <c r="N583" t="s">
        <v>360</v>
      </c>
      <c r="O583" t="s">
        <v>201</v>
      </c>
      <c r="P583">
        <v>-19.601168000000001</v>
      </c>
      <c r="Q583">
        <v>-43.896143000000002</v>
      </c>
      <c r="R583" s="2" t="str">
        <f>HYPERLINK("https://www.google.com/maps?q=-19.6011680,-43.8961430","Abrir no Google Maps")</f>
        <v>Abrir no Google Maps</v>
      </c>
      <c r="S583">
        <v>3</v>
      </c>
      <c r="T583">
        <v>886.80074895427902</v>
      </c>
      <c r="U583">
        <v>4</v>
      </c>
      <c r="V583">
        <v>19</v>
      </c>
      <c r="W583">
        <v>1</v>
      </c>
      <c r="X583">
        <v>19</v>
      </c>
      <c r="Y583">
        <v>2</v>
      </c>
      <c r="Z583">
        <v>807.27931110193254</v>
      </c>
      <c r="AA583">
        <v>2</v>
      </c>
      <c r="AB583">
        <v>3</v>
      </c>
      <c r="AC583">
        <v>7</v>
      </c>
      <c r="AD583">
        <v>24.35</v>
      </c>
      <c r="AE583">
        <v>253</v>
      </c>
      <c r="AF583">
        <v>13</v>
      </c>
      <c r="AG583">
        <v>62</v>
      </c>
      <c r="AH583">
        <v>32</v>
      </c>
      <c r="AI583">
        <v>5.14</v>
      </c>
      <c r="AJ583">
        <v>24.51</v>
      </c>
      <c r="AK583">
        <v>12.65</v>
      </c>
      <c r="AL583">
        <v>-19.60112959999995</v>
      </c>
      <c r="AM583">
        <v>-43.896049426747439</v>
      </c>
      <c r="AN583">
        <v>-19.60112959999995</v>
      </c>
      <c r="AO583">
        <v>-43.896049426747439</v>
      </c>
      <c r="AP583">
        <v>-19.601168000000001</v>
      </c>
      <c r="AQ583">
        <v>-43.896143000000002</v>
      </c>
      <c r="AR583">
        <v>10.703588298793671</v>
      </c>
      <c r="AS583" t="s">
        <v>65</v>
      </c>
      <c r="AT583">
        <v>1</v>
      </c>
      <c r="AU583" t="s">
        <v>361</v>
      </c>
      <c r="AV583" t="s">
        <v>362</v>
      </c>
      <c r="AW583" t="s">
        <v>60</v>
      </c>
      <c r="AX583" t="s">
        <v>68</v>
      </c>
      <c r="AY583" t="s">
        <v>69</v>
      </c>
      <c r="AZ583" t="b">
        <v>1</v>
      </c>
    </row>
    <row r="584" spans="1:52" x14ac:dyDescent="0.3">
      <c r="A584" t="s">
        <v>52</v>
      </c>
      <c r="B584" t="s">
        <v>53</v>
      </c>
      <c r="C584" t="s">
        <v>54</v>
      </c>
      <c r="D584" t="s">
        <v>55</v>
      </c>
      <c r="E584" t="s">
        <v>788</v>
      </c>
      <c r="F584" t="s">
        <v>176</v>
      </c>
      <c r="G584" t="s">
        <v>350</v>
      </c>
      <c r="H584" t="s">
        <v>363</v>
      </c>
      <c r="I584" t="s">
        <v>363</v>
      </c>
      <c r="J584" t="s">
        <v>60</v>
      </c>
      <c r="K584" t="s">
        <v>364</v>
      </c>
      <c r="L584" t="s">
        <v>62</v>
      </c>
      <c r="M584" t="s">
        <v>364</v>
      </c>
      <c r="N584" t="s">
        <v>353</v>
      </c>
      <c r="O584" t="s">
        <v>365</v>
      </c>
      <c r="P584">
        <v>-19.594657000000002</v>
      </c>
      <c r="Q584">
        <v>-43.901567</v>
      </c>
      <c r="R584" s="2" t="str">
        <f>HYPERLINK("https://www.google.com/maps?q=-19.5946570,-43.9015670","Abrir no Google Maps")</f>
        <v>Abrir no Google Maps</v>
      </c>
      <c r="S584">
        <v>3</v>
      </c>
      <c r="T584">
        <v>592.43040989358553</v>
      </c>
      <c r="U584">
        <v>4</v>
      </c>
      <c r="V584">
        <v>28</v>
      </c>
      <c r="W584">
        <v>1</v>
      </c>
      <c r="X584">
        <v>28</v>
      </c>
      <c r="Y584">
        <v>2</v>
      </c>
      <c r="Z584">
        <v>597.4493869225131</v>
      </c>
      <c r="AA584">
        <v>2</v>
      </c>
      <c r="AB584">
        <v>3</v>
      </c>
      <c r="AC584">
        <v>7</v>
      </c>
      <c r="AD584">
        <v>24.35</v>
      </c>
      <c r="AE584">
        <v>253</v>
      </c>
      <c r="AF584">
        <v>13</v>
      </c>
      <c r="AG584">
        <v>62</v>
      </c>
      <c r="AH584">
        <v>32</v>
      </c>
      <c r="AI584">
        <v>5.14</v>
      </c>
      <c r="AJ584">
        <v>24.51</v>
      </c>
      <c r="AK584">
        <v>12.65</v>
      </c>
      <c r="AL584">
        <v>-19.59470494999994</v>
      </c>
      <c r="AM584">
        <v>-43.901629434678291</v>
      </c>
      <c r="AN584">
        <v>-19.59470494999994</v>
      </c>
      <c r="AO584">
        <v>-43.901629434678291</v>
      </c>
      <c r="AP584">
        <v>-19.594657000000002</v>
      </c>
      <c r="AQ584">
        <v>-43.901567</v>
      </c>
      <c r="AR584">
        <v>8.4477696105165858</v>
      </c>
      <c r="AS584" t="s">
        <v>65</v>
      </c>
      <c r="AT584">
        <v>1</v>
      </c>
      <c r="AU584" t="s">
        <v>366</v>
      </c>
      <c r="AV584" t="s">
        <v>367</v>
      </c>
      <c r="AW584" t="s">
        <v>60</v>
      </c>
      <c r="AX584" t="s">
        <v>68</v>
      </c>
      <c r="AY584" t="s">
        <v>69</v>
      </c>
      <c r="AZ584" t="b">
        <v>1</v>
      </c>
    </row>
    <row r="585" spans="1:52" x14ac:dyDescent="0.3">
      <c r="A585" t="s">
        <v>52</v>
      </c>
      <c r="B585" t="s">
        <v>53</v>
      </c>
      <c r="C585" t="s">
        <v>54</v>
      </c>
      <c r="D585" t="s">
        <v>55</v>
      </c>
      <c r="E585" t="s">
        <v>788</v>
      </c>
      <c r="F585" t="s">
        <v>176</v>
      </c>
      <c r="G585" t="s">
        <v>371</v>
      </c>
      <c r="H585" t="s">
        <v>372</v>
      </c>
      <c r="I585" t="s">
        <v>372</v>
      </c>
      <c r="J585" t="s">
        <v>60</v>
      </c>
      <c r="K585" t="s">
        <v>352</v>
      </c>
      <c r="L585" t="s">
        <v>62</v>
      </c>
      <c r="M585" t="s">
        <v>352</v>
      </c>
      <c r="N585" t="s">
        <v>353</v>
      </c>
      <c r="O585" t="s">
        <v>373</v>
      </c>
      <c r="P585">
        <v>-19.596541999999999</v>
      </c>
      <c r="Q585">
        <v>-43.900803000000003</v>
      </c>
      <c r="R585" s="2" t="str">
        <f>HYPERLINK("https://www.google.com/maps?q=-19.5965420,-43.9008030","Abrir no Google Maps")</f>
        <v>Abrir no Google Maps</v>
      </c>
      <c r="S585">
        <v>3</v>
      </c>
      <c r="T585">
        <v>401.18305899095373</v>
      </c>
      <c r="U585">
        <v>4</v>
      </c>
      <c r="V585">
        <v>29</v>
      </c>
      <c r="W585">
        <v>1</v>
      </c>
      <c r="X585">
        <v>29</v>
      </c>
      <c r="Y585">
        <v>2</v>
      </c>
      <c r="Z585">
        <v>484.51228510119228</v>
      </c>
      <c r="AA585">
        <v>2</v>
      </c>
      <c r="AB585">
        <v>3</v>
      </c>
      <c r="AC585">
        <v>7</v>
      </c>
      <c r="AD585">
        <v>24.35</v>
      </c>
      <c r="AE585">
        <v>253</v>
      </c>
      <c r="AF585">
        <v>13</v>
      </c>
      <c r="AG585">
        <v>62</v>
      </c>
      <c r="AH585">
        <v>32</v>
      </c>
      <c r="AI585">
        <v>5.14</v>
      </c>
      <c r="AJ585">
        <v>24.51</v>
      </c>
      <c r="AK585">
        <v>12.65</v>
      </c>
      <c r="AL585">
        <v>-19.596464449999932</v>
      </c>
      <c r="AM585">
        <v>-43.902090320142641</v>
      </c>
      <c r="AN585">
        <v>-19.596464449999932</v>
      </c>
      <c r="AO585">
        <v>-43.902090320142641</v>
      </c>
      <c r="AP585">
        <v>-19.596541999999999</v>
      </c>
      <c r="AQ585">
        <v>-43.900803000000003</v>
      </c>
      <c r="AR585">
        <v>135.27975170069479</v>
      </c>
      <c r="AS585" t="s">
        <v>65</v>
      </c>
      <c r="AT585">
        <v>1</v>
      </c>
      <c r="AU585" t="s">
        <v>374</v>
      </c>
      <c r="AV585" t="s">
        <v>375</v>
      </c>
      <c r="AW585" t="s">
        <v>60</v>
      </c>
      <c r="AX585" t="s">
        <v>68</v>
      </c>
      <c r="AY585" t="s">
        <v>69</v>
      </c>
      <c r="AZ585" t="b">
        <v>1</v>
      </c>
    </row>
    <row r="586" spans="1:52" x14ac:dyDescent="0.3">
      <c r="A586" t="s">
        <v>52</v>
      </c>
      <c r="B586" t="s">
        <v>53</v>
      </c>
      <c r="C586" t="s">
        <v>54</v>
      </c>
      <c r="D586" t="s">
        <v>55</v>
      </c>
      <c r="E586" t="s">
        <v>788</v>
      </c>
      <c r="F586" t="s">
        <v>176</v>
      </c>
      <c r="G586" t="s">
        <v>376</v>
      </c>
      <c r="H586" t="s">
        <v>377</v>
      </c>
      <c r="I586" t="s">
        <v>377</v>
      </c>
      <c r="J586" t="s">
        <v>60</v>
      </c>
      <c r="K586" t="s">
        <v>352</v>
      </c>
      <c r="L586" t="s">
        <v>62</v>
      </c>
      <c r="M586" t="s">
        <v>352</v>
      </c>
      <c r="N586" t="s">
        <v>378</v>
      </c>
      <c r="O586" t="s">
        <v>379</v>
      </c>
      <c r="P586">
        <v>-19.596966999999999</v>
      </c>
      <c r="Q586">
        <v>-43.90155</v>
      </c>
      <c r="R586" s="2" t="str">
        <f>HYPERLINK("https://www.google.com/maps?q=-19.5969670,-43.9015500","Abrir no Google Maps")</f>
        <v>Abrir no Google Maps</v>
      </c>
      <c r="S586">
        <v>3</v>
      </c>
      <c r="T586">
        <v>366.5160120865408</v>
      </c>
      <c r="U586">
        <v>4</v>
      </c>
      <c r="V586">
        <v>38</v>
      </c>
      <c r="W586">
        <v>1</v>
      </c>
      <c r="X586">
        <v>38</v>
      </c>
      <c r="Y586">
        <v>2</v>
      </c>
      <c r="Z586">
        <v>437.88042928493138</v>
      </c>
      <c r="AA586">
        <v>2</v>
      </c>
      <c r="AB586">
        <v>3</v>
      </c>
      <c r="AC586">
        <v>7</v>
      </c>
      <c r="AD586">
        <v>24.35</v>
      </c>
      <c r="AE586">
        <v>253</v>
      </c>
      <c r="AF586">
        <v>13</v>
      </c>
      <c r="AG586">
        <v>62</v>
      </c>
      <c r="AH586">
        <v>32</v>
      </c>
      <c r="AI586">
        <v>5.14</v>
      </c>
      <c r="AJ586">
        <v>24.51</v>
      </c>
      <c r="AK586">
        <v>12.65</v>
      </c>
      <c r="AL586">
        <v>-19.597188549999942</v>
      </c>
      <c r="AM586">
        <v>-43.901724335633787</v>
      </c>
      <c r="AN586">
        <v>-19.597188549999942</v>
      </c>
      <c r="AO586">
        <v>-43.901724335633787</v>
      </c>
      <c r="AP586">
        <v>-19.596966999999999</v>
      </c>
      <c r="AQ586">
        <v>-43.90155</v>
      </c>
      <c r="AR586">
        <v>30.700556875456439</v>
      </c>
      <c r="AS586" t="s">
        <v>65</v>
      </c>
      <c r="AT586">
        <v>1</v>
      </c>
      <c r="AU586" t="s">
        <v>380</v>
      </c>
      <c r="AV586" t="s">
        <v>381</v>
      </c>
      <c r="AW586" t="s">
        <v>60</v>
      </c>
      <c r="AX586" t="s">
        <v>68</v>
      </c>
      <c r="AY586" t="s">
        <v>69</v>
      </c>
      <c r="AZ586" t="b">
        <v>1</v>
      </c>
    </row>
    <row r="587" spans="1:52" x14ac:dyDescent="0.3">
      <c r="A587" t="s">
        <v>52</v>
      </c>
      <c r="B587" t="s">
        <v>53</v>
      </c>
      <c r="C587" t="s">
        <v>54</v>
      </c>
      <c r="D587" t="s">
        <v>55</v>
      </c>
      <c r="E587" t="s">
        <v>788</v>
      </c>
      <c r="F587" t="s">
        <v>176</v>
      </c>
      <c r="G587" t="s">
        <v>500</v>
      </c>
      <c r="H587" t="s">
        <v>501</v>
      </c>
      <c r="I587" t="s">
        <v>501</v>
      </c>
      <c r="J587" t="s">
        <v>60</v>
      </c>
      <c r="K587" t="s">
        <v>164</v>
      </c>
      <c r="L587" t="s">
        <v>62</v>
      </c>
      <c r="M587" t="s">
        <v>164</v>
      </c>
      <c r="N587" t="s">
        <v>502</v>
      </c>
      <c r="O587" t="s">
        <v>503</v>
      </c>
      <c r="P587">
        <v>-19.665816</v>
      </c>
      <c r="Q587">
        <v>-43.886322999999997</v>
      </c>
      <c r="R587" s="2" t="str">
        <f>HYPERLINK("https://www.google.com/maps?q=-19.6658160,-43.8863230","Abrir no Google Maps")</f>
        <v>Abrir no Google Maps</v>
      </c>
      <c r="S587">
        <v>3</v>
      </c>
      <c r="T587">
        <v>1149.957610345353</v>
      </c>
      <c r="U587">
        <v>4</v>
      </c>
      <c r="V587">
        <v>18</v>
      </c>
      <c r="W587">
        <v>1</v>
      </c>
      <c r="X587">
        <v>18</v>
      </c>
      <c r="Y587">
        <v>1</v>
      </c>
      <c r="Z587">
        <v>381.605286477493</v>
      </c>
      <c r="AA587">
        <v>2</v>
      </c>
      <c r="AB587">
        <v>3</v>
      </c>
      <c r="AC587">
        <v>7</v>
      </c>
      <c r="AD587">
        <v>24.35</v>
      </c>
      <c r="AE587">
        <v>253</v>
      </c>
      <c r="AF587">
        <v>13</v>
      </c>
      <c r="AG587">
        <v>62</v>
      </c>
      <c r="AH587">
        <v>32</v>
      </c>
      <c r="AI587">
        <v>5.14</v>
      </c>
      <c r="AJ587">
        <v>24.51</v>
      </c>
      <c r="AK587">
        <v>12.65</v>
      </c>
      <c r="AL587">
        <v>-19.665844049999951</v>
      </c>
      <c r="AM587">
        <v>-43.886344205728712</v>
      </c>
      <c r="AN587">
        <v>-19.665844049999951</v>
      </c>
      <c r="AO587">
        <v>-43.886344205728712</v>
      </c>
      <c r="AP587">
        <v>-19.665816</v>
      </c>
      <c r="AQ587">
        <v>-43.886322999999997</v>
      </c>
      <c r="AR587">
        <v>3.8329604058735098</v>
      </c>
      <c r="AS587" t="s">
        <v>65</v>
      </c>
      <c r="AT587">
        <v>1</v>
      </c>
      <c r="AU587" t="s">
        <v>504</v>
      </c>
      <c r="AV587" t="s">
        <v>505</v>
      </c>
      <c r="AW587" t="s">
        <v>60</v>
      </c>
      <c r="AX587" t="s">
        <v>68</v>
      </c>
      <c r="AY587" t="s">
        <v>69</v>
      </c>
      <c r="AZ587" t="b">
        <v>1</v>
      </c>
    </row>
    <row r="588" spans="1:52" x14ac:dyDescent="0.3">
      <c r="A588" t="s">
        <v>52</v>
      </c>
      <c r="B588" t="s">
        <v>53</v>
      </c>
      <c r="C588" t="s">
        <v>54</v>
      </c>
      <c r="D588" t="s">
        <v>55</v>
      </c>
      <c r="E588" t="s">
        <v>788</v>
      </c>
      <c r="F588" t="s">
        <v>176</v>
      </c>
      <c r="G588" t="s">
        <v>681</v>
      </c>
      <c r="H588" t="s">
        <v>682</v>
      </c>
      <c r="I588" t="s">
        <v>682</v>
      </c>
      <c r="J588" t="s">
        <v>60</v>
      </c>
      <c r="K588" t="s">
        <v>683</v>
      </c>
      <c r="L588" t="s">
        <v>62</v>
      </c>
      <c r="M588" t="s">
        <v>683</v>
      </c>
      <c r="N588" t="s">
        <v>684</v>
      </c>
      <c r="O588" t="s">
        <v>589</v>
      </c>
      <c r="P588">
        <v>-19.569573999999999</v>
      </c>
      <c r="Q588">
        <v>-43.948939000000003</v>
      </c>
      <c r="R588" s="2" t="str">
        <f>HYPERLINK("https://www.google.com/maps?q=-19.5695740,-43.9489390","Abrir no Google Maps")</f>
        <v>Abrir no Google Maps</v>
      </c>
      <c r="S588">
        <v>3</v>
      </c>
      <c r="T588">
        <v>710.01170441209865</v>
      </c>
      <c r="U588">
        <v>4</v>
      </c>
      <c r="V588">
        <v>21</v>
      </c>
      <c r="W588">
        <v>1</v>
      </c>
      <c r="X588">
        <v>21</v>
      </c>
      <c r="Y588">
        <v>1</v>
      </c>
      <c r="Z588">
        <v>528.51196257580398</v>
      </c>
      <c r="AA588">
        <v>2</v>
      </c>
      <c r="AB588">
        <v>3</v>
      </c>
      <c r="AC588">
        <v>7</v>
      </c>
      <c r="AD588">
        <v>24.35</v>
      </c>
      <c r="AE588">
        <v>253</v>
      </c>
      <c r="AF588">
        <v>13</v>
      </c>
      <c r="AG588">
        <v>62</v>
      </c>
      <c r="AH588">
        <v>32</v>
      </c>
      <c r="AI588">
        <v>5.14</v>
      </c>
      <c r="AJ588">
        <v>24.51</v>
      </c>
      <c r="AK588">
        <v>12.65</v>
      </c>
      <c r="AL588">
        <v>-19.570777549999971</v>
      </c>
      <c r="AM588">
        <v>-43.949205504203732</v>
      </c>
      <c r="AN588">
        <v>-19.570777549999981</v>
      </c>
      <c r="AO588">
        <v>-43.949205504203732</v>
      </c>
      <c r="AP588">
        <v>-19.569573999999999</v>
      </c>
      <c r="AQ588">
        <v>-43.948939000000003</v>
      </c>
      <c r="AR588">
        <v>136.86420500821191</v>
      </c>
      <c r="AS588" t="s">
        <v>65</v>
      </c>
      <c r="AT588">
        <v>1</v>
      </c>
      <c r="AU588" t="s">
        <v>685</v>
      </c>
      <c r="AV588" t="s">
        <v>686</v>
      </c>
      <c r="AW588" t="s">
        <v>60</v>
      </c>
      <c r="AX588" t="s">
        <v>68</v>
      </c>
      <c r="AY588" t="s">
        <v>69</v>
      </c>
      <c r="AZ588" t="b">
        <v>1</v>
      </c>
    </row>
    <row r="589" spans="1:52" x14ac:dyDescent="0.3">
      <c r="A589" t="s">
        <v>52</v>
      </c>
      <c r="B589" t="s">
        <v>53</v>
      </c>
      <c r="C589" t="s">
        <v>54</v>
      </c>
      <c r="D589" t="s">
        <v>55</v>
      </c>
      <c r="E589" t="s">
        <v>788</v>
      </c>
      <c r="F589" t="s">
        <v>176</v>
      </c>
      <c r="G589" t="s">
        <v>382</v>
      </c>
      <c r="H589" t="s">
        <v>383</v>
      </c>
      <c r="I589" t="s">
        <v>383</v>
      </c>
      <c r="J589" t="s">
        <v>60</v>
      </c>
      <c r="K589" t="s">
        <v>185</v>
      </c>
      <c r="L589" t="s">
        <v>62</v>
      </c>
      <c r="M589" t="s">
        <v>185</v>
      </c>
      <c r="N589" t="s">
        <v>384</v>
      </c>
      <c r="O589" t="s">
        <v>385</v>
      </c>
      <c r="P589">
        <v>-19.623774000000001</v>
      </c>
      <c r="Q589">
        <v>-43.886352000000002</v>
      </c>
      <c r="R589" s="2" t="str">
        <f>HYPERLINK("https://www.google.com/maps?q=-19.6237740,-43.8863520","Abrir no Google Maps")</f>
        <v>Abrir no Google Maps</v>
      </c>
      <c r="S589">
        <v>3</v>
      </c>
      <c r="T589">
        <v>818.17252856383368</v>
      </c>
      <c r="U589">
        <v>4</v>
      </c>
      <c r="V589">
        <v>18</v>
      </c>
      <c r="W589">
        <v>1</v>
      </c>
      <c r="X589">
        <v>18</v>
      </c>
      <c r="Y589">
        <v>0</v>
      </c>
      <c r="Z589">
        <v>327.32213182525902</v>
      </c>
      <c r="AA589">
        <v>2</v>
      </c>
      <c r="AB589">
        <v>3</v>
      </c>
      <c r="AC589">
        <v>7</v>
      </c>
      <c r="AD589">
        <v>24.35</v>
      </c>
      <c r="AE589">
        <v>253</v>
      </c>
      <c r="AF589">
        <v>13</v>
      </c>
      <c r="AG589">
        <v>62</v>
      </c>
      <c r="AH589">
        <v>32</v>
      </c>
      <c r="AI589">
        <v>5.14</v>
      </c>
      <c r="AJ589">
        <v>24.51</v>
      </c>
      <c r="AK589">
        <v>12.65</v>
      </c>
      <c r="AL589">
        <v>-19.623056299999941</v>
      </c>
      <c r="AM589">
        <v>-43.886837120297002</v>
      </c>
      <c r="AN589">
        <v>-19.623056299999941</v>
      </c>
      <c r="AO589">
        <v>-43.886837120297002</v>
      </c>
      <c r="AP589">
        <v>-19.623774000000001</v>
      </c>
      <c r="AQ589">
        <v>-43.886352000000002</v>
      </c>
      <c r="AR589">
        <v>94.713149059175393</v>
      </c>
      <c r="AS589" t="s">
        <v>65</v>
      </c>
      <c r="AT589">
        <v>1</v>
      </c>
      <c r="AU589" t="s">
        <v>386</v>
      </c>
      <c r="AV589" t="s">
        <v>387</v>
      </c>
      <c r="AW589" t="s">
        <v>60</v>
      </c>
      <c r="AX589" t="s">
        <v>68</v>
      </c>
      <c r="AY589" t="s">
        <v>69</v>
      </c>
      <c r="AZ589" t="b">
        <v>1</v>
      </c>
    </row>
    <row r="590" spans="1:52" x14ac:dyDescent="0.3">
      <c r="A590" t="s">
        <v>52</v>
      </c>
      <c r="B590" t="s">
        <v>53</v>
      </c>
      <c r="C590" t="s">
        <v>54</v>
      </c>
      <c r="D590" t="s">
        <v>55</v>
      </c>
      <c r="E590" t="s">
        <v>788</v>
      </c>
      <c r="F590" t="s">
        <v>176</v>
      </c>
      <c r="G590" t="s">
        <v>525</v>
      </c>
      <c r="H590" t="s">
        <v>526</v>
      </c>
      <c r="I590" t="s">
        <v>526</v>
      </c>
      <c r="J590" t="s">
        <v>60</v>
      </c>
      <c r="K590" t="s">
        <v>286</v>
      </c>
      <c r="L590" t="s">
        <v>62</v>
      </c>
      <c r="M590" t="s">
        <v>286</v>
      </c>
      <c r="N590" t="s">
        <v>527</v>
      </c>
      <c r="O590" t="s">
        <v>113</v>
      </c>
      <c r="P590">
        <v>-19.629049999999999</v>
      </c>
      <c r="Q590">
        <v>-43.887543000000001</v>
      </c>
      <c r="R590" s="2" t="str">
        <f>HYPERLINK("https://www.google.com/maps?q=-19.6290500,-43.8875430","Abrir no Google Maps")</f>
        <v>Abrir no Google Maps</v>
      </c>
      <c r="S590">
        <v>3</v>
      </c>
      <c r="T590">
        <v>420.9244758141914</v>
      </c>
      <c r="U590">
        <v>3</v>
      </c>
      <c r="V590">
        <v>12</v>
      </c>
      <c r="W590">
        <v>0.85</v>
      </c>
      <c r="X590">
        <v>10.199999999999999</v>
      </c>
      <c r="Y590">
        <v>18</v>
      </c>
      <c r="Z590">
        <v>298.16529694300579</v>
      </c>
      <c r="AA590">
        <v>2</v>
      </c>
      <c r="AB590">
        <v>3</v>
      </c>
      <c r="AC590">
        <v>7</v>
      </c>
      <c r="AD590">
        <v>24.35</v>
      </c>
      <c r="AE590">
        <v>253</v>
      </c>
      <c r="AF590">
        <v>13</v>
      </c>
      <c r="AG590">
        <v>62</v>
      </c>
      <c r="AH590">
        <v>32</v>
      </c>
      <c r="AI590">
        <v>5.14</v>
      </c>
      <c r="AJ590">
        <v>24.51</v>
      </c>
      <c r="AK590">
        <v>12.65</v>
      </c>
      <c r="AL590">
        <v>-19.62914789999996</v>
      </c>
      <c r="AM590">
        <v>-43.887659532387332</v>
      </c>
      <c r="AN590">
        <v>-19.62914789999996</v>
      </c>
      <c r="AO590">
        <v>-43.887659532387332</v>
      </c>
      <c r="AP590">
        <v>-19.629049999999999</v>
      </c>
      <c r="AQ590">
        <v>-43.887543000000001</v>
      </c>
      <c r="AR590">
        <v>16.372645779361299</v>
      </c>
      <c r="AS590" t="s">
        <v>65</v>
      </c>
      <c r="AT590">
        <v>1</v>
      </c>
      <c r="AU590" t="s">
        <v>528</v>
      </c>
      <c r="AV590" t="s">
        <v>529</v>
      </c>
      <c r="AW590" t="s">
        <v>60</v>
      </c>
      <c r="AX590" t="s">
        <v>68</v>
      </c>
      <c r="AY590" t="s">
        <v>69</v>
      </c>
      <c r="AZ590" t="b">
        <v>1</v>
      </c>
    </row>
    <row r="591" spans="1:52" x14ac:dyDescent="0.3">
      <c r="A591" t="s">
        <v>52</v>
      </c>
      <c r="B591" t="s">
        <v>53</v>
      </c>
      <c r="C591" t="s">
        <v>54</v>
      </c>
      <c r="D591" t="s">
        <v>55</v>
      </c>
      <c r="E591" t="s">
        <v>788</v>
      </c>
      <c r="F591" t="s">
        <v>176</v>
      </c>
      <c r="G591" t="s">
        <v>394</v>
      </c>
      <c r="H591" t="s">
        <v>395</v>
      </c>
      <c r="I591" t="s">
        <v>395</v>
      </c>
      <c r="J591" t="s">
        <v>60</v>
      </c>
      <c r="K591" t="s">
        <v>286</v>
      </c>
      <c r="L591" t="s">
        <v>62</v>
      </c>
      <c r="M591" t="s">
        <v>286</v>
      </c>
      <c r="N591" t="s">
        <v>396</v>
      </c>
      <c r="O591" t="s">
        <v>88</v>
      </c>
      <c r="P591">
        <v>-19.636932999999999</v>
      </c>
      <c r="Q591">
        <v>-43.882691999999999</v>
      </c>
      <c r="R591" s="2" t="str">
        <f>HYPERLINK("https://www.google.com/maps?q=-19.6369330,-43.8826920","Abrir no Google Maps")</f>
        <v>Abrir no Google Maps</v>
      </c>
      <c r="S591">
        <v>3</v>
      </c>
      <c r="T591">
        <v>523.52675813688109</v>
      </c>
      <c r="U591">
        <v>3</v>
      </c>
      <c r="V591">
        <v>16</v>
      </c>
      <c r="W591">
        <v>1</v>
      </c>
      <c r="X591">
        <v>16</v>
      </c>
      <c r="Y591">
        <v>10</v>
      </c>
      <c r="Z591">
        <v>372.58135532659509</v>
      </c>
      <c r="AA591">
        <v>2</v>
      </c>
      <c r="AB591">
        <v>3</v>
      </c>
      <c r="AC591">
        <v>7</v>
      </c>
      <c r="AD591">
        <v>24.35</v>
      </c>
      <c r="AE591">
        <v>253</v>
      </c>
      <c r="AF591">
        <v>13</v>
      </c>
      <c r="AG591">
        <v>62</v>
      </c>
      <c r="AH591">
        <v>32</v>
      </c>
      <c r="AI591">
        <v>5.14</v>
      </c>
      <c r="AJ591">
        <v>24.51</v>
      </c>
      <c r="AK591">
        <v>12.65</v>
      </c>
      <c r="AL591">
        <v>-19.637159949999951</v>
      </c>
      <c r="AM591">
        <v>-43.882643289441461</v>
      </c>
      <c r="AN591">
        <v>-19.637159949999951</v>
      </c>
      <c r="AO591">
        <v>-43.882643289441461</v>
      </c>
      <c r="AP591">
        <v>-19.636932999999999</v>
      </c>
      <c r="AQ591">
        <v>-43.882691999999999</v>
      </c>
      <c r="AR591">
        <v>25.775099947452478</v>
      </c>
      <c r="AS591" t="s">
        <v>65</v>
      </c>
      <c r="AT591">
        <v>1</v>
      </c>
      <c r="AU591" t="s">
        <v>397</v>
      </c>
      <c r="AV591" t="s">
        <v>398</v>
      </c>
      <c r="AW591" t="s">
        <v>60</v>
      </c>
      <c r="AX591" t="s">
        <v>68</v>
      </c>
      <c r="AY591" t="s">
        <v>69</v>
      </c>
      <c r="AZ591" t="b">
        <v>1</v>
      </c>
    </row>
    <row r="592" spans="1:52" x14ac:dyDescent="0.3">
      <c r="A592" t="s">
        <v>52</v>
      </c>
      <c r="B592" t="s">
        <v>53</v>
      </c>
      <c r="C592" t="s">
        <v>54</v>
      </c>
      <c r="D592" t="s">
        <v>55</v>
      </c>
      <c r="E592" t="s">
        <v>788</v>
      </c>
      <c r="F592" t="s">
        <v>176</v>
      </c>
      <c r="G592" t="s">
        <v>284</v>
      </c>
      <c r="H592" t="s">
        <v>285</v>
      </c>
      <c r="I592" t="s">
        <v>285</v>
      </c>
      <c r="J592" t="s">
        <v>60</v>
      </c>
      <c r="K592" t="s">
        <v>286</v>
      </c>
      <c r="L592" t="s">
        <v>62</v>
      </c>
      <c r="M592" t="s">
        <v>286</v>
      </c>
      <c r="N592" t="s">
        <v>287</v>
      </c>
      <c r="O592" t="s">
        <v>288</v>
      </c>
      <c r="P592">
        <v>-19.639790000000001</v>
      </c>
      <c r="Q592">
        <v>-43.882798999999999</v>
      </c>
      <c r="R592" s="2" t="str">
        <f>HYPERLINK("https://www.google.com/maps?q=-19.6397900,-43.8827990","Abrir no Google Maps")</f>
        <v>Abrir no Google Maps</v>
      </c>
      <c r="S592">
        <v>3</v>
      </c>
      <c r="T592">
        <v>242.7052058134478</v>
      </c>
      <c r="U592">
        <v>3</v>
      </c>
      <c r="V592">
        <v>17</v>
      </c>
      <c r="W592">
        <v>1</v>
      </c>
      <c r="X592">
        <v>17</v>
      </c>
      <c r="Y592">
        <v>10</v>
      </c>
      <c r="Z592">
        <v>187.2088809462339</v>
      </c>
      <c r="AA592">
        <v>2</v>
      </c>
      <c r="AB592">
        <v>3</v>
      </c>
      <c r="AC592">
        <v>7</v>
      </c>
      <c r="AD592">
        <v>24.35</v>
      </c>
      <c r="AE592">
        <v>253</v>
      </c>
      <c r="AF592">
        <v>13</v>
      </c>
      <c r="AG592">
        <v>62</v>
      </c>
      <c r="AH592">
        <v>32</v>
      </c>
      <c r="AI592">
        <v>5.14</v>
      </c>
      <c r="AJ592">
        <v>24.51</v>
      </c>
      <c r="AK592">
        <v>12.65</v>
      </c>
      <c r="AL592">
        <v>-19.639855599999951</v>
      </c>
      <c r="AM592">
        <v>-43.882909745178452</v>
      </c>
      <c r="AN592">
        <v>-19.639855599999951</v>
      </c>
      <c r="AO592">
        <v>-43.882909745178452</v>
      </c>
      <c r="AP592">
        <v>-19.639790000000001</v>
      </c>
      <c r="AQ592">
        <v>-43.882798999999999</v>
      </c>
      <c r="AR592">
        <v>13.716486068571211</v>
      </c>
      <c r="AS592" t="s">
        <v>65</v>
      </c>
      <c r="AT592">
        <v>1</v>
      </c>
      <c r="AU592" t="s">
        <v>289</v>
      </c>
      <c r="AV592" t="s">
        <v>290</v>
      </c>
      <c r="AW592" t="s">
        <v>60</v>
      </c>
      <c r="AX592" t="s">
        <v>68</v>
      </c>
      <c r="AY592" t="s">
        <v>69</v>
      </c>
      <c r="AZ592" t="b">
        <v>1</v>
      </c>
    </row>
    <row r="593" spans="1:52" x14ac:dyDescent="0.3">
      <c r="A593" t="s">
        <v>52</v>
      </c>
      <c r="B593" t="s">
        <v>53</v>
      </c>
      <c r="C593" t="s">
        <v>54</v>
      </c>
      <c r="D593" t="s">
        <v>55</v>
      </c>
      <c r="E593" t="s">
        <v>788</v>
      </c>
      <c r="F593" t="s">
        <v>176</v>
      </c>
      <c r="G593" t="s">
        <v>291</v>
      </c>
      <c r="H593" t="s">
        <v>292</v>
      </c>
      <c r="I593" t="s">
        <v>292</v>
      </c>
      <c r="J593" t="s">
        <v>60</v>
      </c>
      <c r="K593" t="s">
        <v>286</v>
      </c>
      <c r="L593" t="s">
        <v>62</v>
      </c>
      <c r="M593" t="s">
        <v>286</v>
      </c>
      <c r="N593" t="s">
        <v>293</v>
      </c>
      <c r="O593" t="s">
        <v>294</v>
      </c>
      <c r="P593">
        <v>-19.640333999999999</v>
      </c>
      <c r="Q593">
        <v>-43.880004999999997</v>
      </c>
      <c r="R593" s="2" t="str">
        <f>HYPERLINK("https://www.google.com/maps?q=-19.6403340,-43.8800050","Abrir no Google Maps")</f>
        <v>Abrir no Google Maps</v>
      </c>
      <c r="S593">
        <v>3</v>
      </c>
      <c r="T593">
        <v>276.80943817309782</v>
      </c>
      <c r="U593">
        <v>3</v>
      </c>
      <c r="V593">
        <v>17</v>
      </c>
      <c r="W593">
        <v>1</v>
      </c>
      <c r="X593">
        <v>17</v>
      </c>
      <c r="Y593">
        <v>10</v>
      </c>
      <c r="Z593">
        <v>361.98332038983392</v>
      </c>
      <c r="AA593">
        <v>2</v>
      </c>
      <c r="AB593">
        <v>3</v>
      </c>
      <c r="AC593">
        <v>7</v>
      </c>
      <c r="AD593">
        <v>24.35</v>
      </c>
      <c r="AE593">
        <v>253</v>
      </c>
      <c r="AF593">
        <v>13</v>
      </c>
      <c r="AG593">
        <v>62</v>
      </c>
      <c r="AH593">
        <v>32</v>
      </c>
      <c r="AI593">
        <v>5.14</v>
      </c>
      <c r="AJ593">
        <v>24.51</v>
      </c>
      <c r="AK593">
        <v>12.65</v>
      </c>
      <c r="AL593">
        <v>-19.640260249999951</v>
      </c>
      <c r="AM593">
        <v>-43.880090474326408</v>
      </c>
      <c r="AN593">
        <v>-19.640260249999951</v>
      </c>
      <c r="AO593">
        <v>-43.880090474326408</v>
      </c>
      <c r="AP593">
        <v>-19.640333999999999</v>
      </c>
      <c r="AQ593">
        <v>-43.880004999999997</v>
      </c>
      <c r="AR593">
        <v>12.153556195359609</v>
      </c>
      <c r="AS593" t="s">
        <v>65</v>
      </c>
      <c r="AT593">
        <v>1</v>
      </c>
      <c r="AU593" t="s">
        <v>295</v>
      </c>
      <c r="AV593" t="s">
        <v>296</v>
      </c>
      <c r="AW593" t="s">
        <v>60</v>
      </c>
      <c r="AX593" t="s">
        <v>68</v>
      </c>
      <c r="AY593" t="s">
        <v>69</v>
      </c>
      <c r="AZ593" t="b">
        <v>1</v>
      </c>
    </row>
    <row r="594" spans="1:52" x14ac:dyDescent="0.3">
      <c r="A594" t="s">
        <v>52</v>
      </c>
      <c r="B594" t="s">
        <v>53</v>
      </c>
      <c r="C594" t="s">
        <v>54</v>
      </c>
      <c r="D594" t="s">
        <v>55</v>
      </c>
      <c r="E594" t="s">
        <v>788</v>
      </c>
      <c r="F594" t="s">
        <v>176</v>
      </c>
      <c r="G594" t="s">
        <v>405</v>
      </c>
      <c r="H594" t="s">
        <v>406</v>
      </c>
      <c r="I594" t="s">
        <v>406</v>
      </c>
      <c r="J594" t="s">
        <v>60</v>
      </c>
      <c r="K594" t="s">
        <v>286</v>
      </c>
      <c r="L594" t="s">
        <v>62</v>
      </c>
      <c r="M594" t="s">
        <v>286</v>
      </c>
      <c r="N594" t="s">
        <v>407</v>
      </c>
      <c r="O594" t="s">
        <v>408</v>
      </c>
      <c r="P594">
        <v>-19.646345</v>
      </c>
      <c r="Q594">
        <v>-43.882294999999999</v>
      </c>
      <c r="R594" s="2" t="str">
        <f>HYPERLINK("https://www.google.com/maps?q=-19.6463450,-43.8822950","Abrir no Google Maps")</f>
        <v>Abrir no Google Maps</v>
      </c>
      <c r="S594">
        <v>3</v>
      </c>
      <c r="T594">
        <v>450.3180538635894</v>
      </c>
      <c r="U594">
        <v>3</v>
      </c>
      <c r="V594">
        <v>14</v>
      </c>
      <c r="W594">
        <v>1</v>
      </c>
      <c r="X594">
        <v>14</v>
      </c>
      <c r="Y594">
        <v>10</v>
      </c>
      <c r="Z594">
        <v>349.23341775902583</v>
      </c>
      <c r="AA594">
        <v>2</v>
      </c>
      <c r="AB594">
        <v>3</v>
      </c>
      <c r="AC594">
        <v>7</v>
      </c>
      <c r="AD594">
        <v>24.35</v>
      </c>
      <c r="AE594">
        <v>253</v>
      </c>
      <c r="AF594">
        <v>13</v>
      </c>
      <c r="AG594">
        <v>62</v>
      </c>
      <c r="AH594">
        <v>32</v>
      </c>
      <c r="AI594">
        <v>5.14</v>
      </c>
      <c r="AJ594">
        <v>24.51</v>
      </c>
      <c r="AK594">
        <v>12.65</v>
      </c>
      <c r="AL594">
        <v>-19.646391649999941</v>
      </c>
      <c r="AM594">
        <v>-43.882007396993302</v>
      </c>
      <c r="AN594">
        <v>-19.646391649999941</v>
      </c>
      <c r="AO594">
        <v>-43.882007396993302</v>
      </c>
      <c r="AP594">
        <v>-19.646345</v>
      </c>
      <c r="AQ594">
        <v>-43.882294999999999</v>
      </c>
      <c r="AR594">
        <v>30.596105513395301</v>
      </c>
      <c r="AS594" t="s">
        <v>65</v>
      </c>
      <c r="AT594">
        <v>1</v>
      </c>
      <c r="AU594" t="s">
        <v>409</v>
      </c>
      <c r="AV594" t="s">
        <v>410</v>
      </c>
      <c r="AW594" t="s">
        <v>60</v>
      </c>
      <c r="AX594" t="s">
        <v>68</v>
      </c>
      <c r="AY594" t="s">
        <v>69</v>
      </c>
      <c r="AZ594" t="b">
        <v>1</v>
      </c>
    </row>
    <row r="595" spans="1:52" x14ac:dyDescent="0.3">
      <c r="A595" t="s">
        <v>52</v>
      </c>
      <c r="B595" t="s">
        <v>53</v>
      </c>
      <c r="C595" t="s">
        <v>54</v>
      </c>
      <c r="D595" t="s">
        <v>55</v>
      </c>
      <c r="E595" t="s">
        <v>788</v>
      </c>
      <c r="F595" t="s">
        <v>176</v>
      </c>
      <c r="G595" t="s">
        <v>228</v>
      </c>
      <c r="H595" t="s">
        <v>423</v>
      </c>
      <c r="I595" t="s">
        <v>423</v>
      </c>
      <c r="J595" t="s">
        <v>60</v>
      </c>
      <c r="K595" t="s">
        <v>286</v>
      </c>
      <c r="L595" t="s">
        <v>62</v>
      </c>
      <c r="M595" t="s">
        <v>286</v>
      </c>
      <c r="N595" t="s">
        <v>230</v>
      </c>
      <c r="O595" t="s">
        <v>424</v>
      </c>
      <c r="P595">
        <v>-19.641656999999999</v>
      </c>
      <c r="Q595">
        <v>-43.884228999999998</v>
      </c>
      <c r="R595" s="2" t="str">
        <f>HYPERLINK("https://www.google.com/maps?q=-19.6416570,-43.8842290","Abrir no Google Maps")</f>
        <v>Abrir no Google Maps</v>
      </c>
      <c r="S595">
        <v>3</v>
      </c>
      <c r="T595">
        <v>0</v>
      </c>
      <c r="U595">
        <v>3</v>
      </c>
      <c r="V595">
        <v>17</v>
      </c>
      <c r="W595">
        <v>1</v>
      </c>
      <c r="X595">
        <v>17</v>
      </c>
      <c r="Y595">
        <v>7</v>
      </c>
      <c r="Z595">
        <v>67.727401070752876</v>
      </c>
      <c r="AA595">
        <v>2</v>
      </c>
      <c r="AB595">
        <v>3</v>
      </c>
      <c r="AC595">
        <v>7</v>
      </c>
      <c r="AD595">
        <v>24.35</v>
      </c>
      <c r="AE595">
        <v>253</v>
      </c>
      <c r="AF595">
        <v>13</v>
      </c>
      <c r="AG595">
        <v>62</v>
      </c>
      <c r="AH595">
        <v>32</v>
      </c>
      <c r="AI595">
        <v>5.14</v>
      </c>
      <c r="AJ595">
        <v>24.51</v>
      </c>
      <c r="AK595">
        <v>12.65</v>
      </c>
      <c r="AL595">
        <v>-19.641634199999942</v>
      </c>
      <c r="AM595">
        <v>-43.884263743972831</v>
      </c>
      <c r="AN595">
        <v>-19.641634199999942</v>
      </c>
      <c r="AO595">
        <v>-43.884263743972831</v>
      </c>
      <c r="AP595">
        <v>-19.641656999999999</v>
      </c>
      <c r="AQ595">
        <v>-43.884228999999998</v>
      </c>
      <c r="AR595">
        <v>4.4396888961435659</v>
      </c>
      <c r="AS595" t="s">
        <v>65</v>
      </c>
      <c r="AT595">
        <v>1</v>
      </c>
      <c r="AU595" t="s">
        <v>425</v>
      </c>
      <c r="AV595" t="s">
        <v>426</v>
      </c>
      <c r="AW595" t="s">
        <v>60</v>
      </c>
      <c r="AX595" t="s">
        <v>68</v>
      </c>
      <c r="AY595" t="s">
        <v>69</v>
      </c>
      <c r="AZ595" t="b">
        <v>1</v>
      </c>
    </row>
    <row r="596" spans="1:52" x14ac:dyDescent="0.3">
      <c r="A596" t="s">
        <v>52</v>
      </c>
      <c r="B596" t="s">
        <v>53</v>
      </c>
      <c r="C596" t="s">
        <v>54</v>
      </c>
      <c r="D596" t="s">
        <v>55</v>
      </c>
      <c r="E596" t="s">
        <v>788</v>
      </c>
      <c r="F596" t="s">
        <v>176</v>
      </c>
      <c r="G596" t="s">
        <v>304</v>
      </c>
      <c r="H596" t="s">
        <v>305</v>
      </c>
      <c r="I596" t="s">
        <v>305</v>
      </c>
      <c r="J596" t="s">
        <v>60</v>
      </c>
      <c r="K596" t="s">
        <v>299</v>
      </c>
      <c r="L596" t="s">
        <v>62</v>
      </c>
      <c r="M596" t="s">
        <v>299</v>
      </c>
      <c r="N596" t="s">
        <v>306</v>
      </c>
      <c r="O596" t="s">
        <v>307</v>
      </c>
      <c r="P596">
        <v>-19.681051</v>
      </c>
      <c r="Q596">
        <v>-43.914375</v>
      </c>
      <c r="R596" s="2" t="str">
        <f>HYPERLINK("https://www.google.com/maps?q=-19.6810510,-43.9143750","Abrir no Google Maps")</f>
        <v>Abrir no Google Maps</v>
      </c>
      <c r="S596">
        <v>3</v>
      </c>
      <c r="T596">
        <v>1793.507056919605</v>
      </c>
      <c r="U596">
        <v>3</v>
      </c>
      <c r="V596">
        <v>17</v>
      </c>
      <c r="W596">
        <v>1</v>
      </c>
      <c r="X596">
        <v>17</v>
      </c>
      <c r="Y596">
        <v>5</v>
      </c>
      <c r="Z596">
        <v>2183.7125920783069</v>
      </c>
      <c r="AA596">
        <v>2</v>
      </c>
      <c r="AB596">
        <v>3</v>
      </c>
      <c r="AC596">
        <v>7</v>
      </c>
      <c r="AD596">
        <v>24.35</v>
      </c>
      <c r="AE596">
        <v>253</v>
      </c>
      <c r="AF596">
        <v>13</v>
      </c>
      <c r="AG596">
        <v>62</v>
      </c>
      <c r="AH596">
        <v>32</v>
      </c>
      <c r="AI596">
        <v>5.14</v>
      </c>
      <c r="AJ596">
        <v>24.51</v>
      </c>
      <c r="AK596">
        <v>12.65</v>
      </c>
      <c r="AL596">
        <v>-19.680967149999962</v>
      </c>
      <c r="AM596">
        <v>-43.914383884426663</v>
      </c>
      <c r="AN596">
        <v>-19.680967149999962</v>
      </c>
      <c r="AO596">
        <v>-43.914383884426663</v>
      </c>
      <c r="AP596">
        <v>-19.681051</v>
      </c>
      <c r="AQ596">
        <v>-43.914375</v>
      </c>
      <c r="AR596">
        <v>9.3805201894968722</v>
      </c>
      <c r="AS596" t="s">
        <v>65</v>
      </c>
      <c r="AT596">
        <v>1</v>
      </c>
      <c r="AU596" t="s">
        <v>308</v>
      </c>
      <c r="AV596" t="s">
        <v>303</v>
      </c>
      <c r="AW596" t="s">
        <v>60</v>
      </c>
      <c r="AX596" t="s">
        <v>68</v>
      </c>
      <c r="AY596" t="s">
        <v>69</v>
      </c>
      <c r="AZ596" t="b">
        <v>1</v>
      </c>
    </row>
    <row r="597" spans="1:52" x14ac:dyDescent="0.3">
      <c r="A597" t="s">
        <v>52</v>
      </c>
      <c r="B597" t="s">
        <v>53</v>
      </c>
      <c r="C597" t="s">
        <v>54</v>
      </c>
      <c r="D597" t="s">
        <v>55</v>
      </c>
      <c r="E597" t="s">
        <v>788</v>
      </c>
      <c r="F597" t="s">
        <v>176</v>
      </c>
      <c r="G597" t="s">
        <v>789</v>
      </c>
      <c r="H597" t="s">
        <v>790</v>
      </c>
      <c r="I597" t="s">
        <v>790</v>
      </c>
      <c r="J597" t="s">
        <v>60</v>
      </c>
      <c r="K597" t="s">
        <v>118</v>
      </c>
      <c r="L597" t="s">
        <v>62</v>
      </c>
      <c r="M597" t="s">
        <v>118</v>
      </c>
      <c r="N597" t="s">
        <v>791</v>
      </c>
      <c r="O597" t="s">
        <v>792</v>
      </c>
      <c r="P597">
        <v>-19.662614999999999</v>
      </c>
      <c r="Q597">
        <v>-43.910375999999999</v>
      </c>
      <c r="R597" s="2" t="str">
        <f>HYPERLINK("https://www.google.com/maps?q=-19.6626150,-43.9103760","Abrir no Google Maps")</f>
        <v>Abrir no Google Maps</v>
      </c>
      <c r="S597">
        <v>3</v>
      </c>
      <c r="T597">
        <v>0</v>
      </c>
      <c r="U597">
        <v>3</v>
      </c>
      <c r="V597">
        <v>19</v>
      </c>
      <c r="W597">
        <v>0.85</v>
      </c>
      <c r="X597">
        <v>16.149999999999999</v>
      </c>
      <c r="Y597">
        <v>5</v>
      </c>
      <c r="Z597">
        <v>397.70149705938968</v>
      </c>
      <c r="AA597">
        <v>2</v>
      </c>
      <c r="AB597">
        <v>3</v>
      </c>
      <c r="AC597">
        <v>7</v>
      </c>
      <c r="AD597">
        <v>24.35</v>
      </c>
      <c r="AE597">
        <v>253</v>
      </c>
      <c r="AF597">
        <v>13</v>
      </c>
      <c r="AG597">
        <v>62</v>
      </c>
      <c r="AH597">
        <v>32</v>
      </c>
      <c r="AI597">
        <v>5.14</v>
      </c>
      <c r="AJ597">
        <v>24.51</v>
      </c>
      <c r="AK597">
        <v>12.65</v>
      </c>
      <c r="AL597">
        <v>-19.665581849999938</v>
      </c>
      <c r="AM597">
        <v>-43.909010688892621</v>
      </c>
      <c r="AN597">
        <v>-19.665581849999938</v>
      </c>
      <c r="AO597">
        <v>-43.909010688892621</v>
      </c>
      <c r="AP597">
        <v>-19.662614999999999</v>
      </c>
      <c r="AQ597">
        <v>-43.910375999999999</v>
      </c>
      <c r="AR597">
        <v>359.94703265997708</v>
      </c>
      <c r="AS597" t="s">
        <v>65</v>
      </c>
      <c r="AT597">
        <v>1</v>
      </c>
      <c r="AU597" t="s">
        <v>793</v>
      </c>
      <c r="AV597" t="s">
        <v>794</v>
      </c>
      <c r="AW597" t="s">
        <v>60</v>
      </c>
      <c r="AX597" t="s">
        <v>68</v>
      </c>
      <c r="AY597" t="s">
        <v>69</v>
      </c>
      <c r="AZ597" t="b">
        <v>1</v>
      </c>
    </row>
    <row r="598" spans="1:52" x14ac:dyDescent="0.3">
      <c r="A598" t="s">
        <v>52</v>
      </c>
      <c r="B598" t="s">
        <v>53</v>
      </c>
      <c r="C598" t="s">
        <v>54</v>
      </c>
      <c r="D598" t="s">
        <v>55</v>
      </c>
      <c r="E598" t="s">
        <v>788</v>
      </c>
      <c r="F598" t="s">
        <v>176</v>
      </c>
      <c r="G598" t="s">
        <v>309</v>
      </c>
      <c r="H598" t="s">
        <v>676</v>
      </c>
      <c r="I598" t="s">
        <v>676</v>
      </c>
      <c r="J598" t="s">
        <v>60</v>
      </c>
      <c r="K598" t="s">
        <v>311</v>
      </c>
      <c r="L598" t="s">
        <v>62</v>
      </c>
      <c r="M598" t="s">
        <v>311</v>
      </c>
      <c r="N598" t="s">
        <v>677</v>
      </c>
      <c r="O598" t="s">
        <v>678</v>
      </c>
      <c r="P598">
        <v>-19.567574</v>
      </c>
      <c r="Q598">
        <v>-43.916691</v>
      </c>
      <c r="R598" s="2" t="str">
        <f>HYPERLINK("https://www.google.com/maps?q=-19.5675740,-43.9166910","Abrir no Google Maps")</f>
        <v>Abrir no Google Maps</v>
      </c>
      <c r="S598">
        <v>3</v>
      </c>
      <c r="T598">
        <v>964.07840012317956</v>
      </c>
      <c r="U598">
        <v>3</v>
      </c>
      <c r="V598">
        <v>13</v>
      </c>
      <c r="W598">
        <v>1</v>
      </c>
      <c r="X598">
        <v>13</v>
      </c>
      <c r="Y598">
        <v>5</v>
      </c>
      <c r="Z598">
        <v>848.74171565955544</v>
      </c>
      <c r="AA598">
        <v>2</v>
      </c>
      <c r="AB598">
        <v>3</v>
      </c>
      <c r="AC598">
        <v>7</v>
      </c>
      <c r="AD598">
        <v>24.35</v>
      </c>
      <c r="AE598">
        <v>253</v>
      </c>
      <c r="AF598">
        <v>13</v>
      </c>
      <c r="AG598">
        <v>62</v>
      </c>
      <c r="AH598">
        <v>32</v>
      </c>
      <c r="AI598">
        <v>5.14</v>
      </c>
      <c r="AJ598">
        <v>24.51</v>
      </c>
      <c r="AK598">
        <v>12.65</v>
      </c>
      <c r="AL598">
        <v>-19.568204099999971</v>
      </c>
      <c r="AM598">
        <v>-43.914085447159053</v>
      </c>
      <c r="AN598">
        <v>-19.568204099999971</v>
      </c>
      <c r="AO598">
        <v>-43.914085447159053</v>
      </c>
      <c r="AP598">
        <v>-19.567574</v>
      </c>
      <c r="AQ598">
        <v>-43.916691</v>
      </c>
      <c r="AR598">
        <v>282.15548573552991</v>
      </c>
      <c r="AS598" t="s">
        <v>65</v>
      </c>
      <c r="AT598">
        <v>1</v>
      </c>
      <c r="AU598" t="s">
        <v>679</v>
      </c>
      <c r="AV598" t="s">
        <v>680</v>
      </c>
      <c r="AW598" t="s">
        <v>60</v>
      </c>
      <c r="AX598" t="s">
        <v>68</v>
      </c>
      <c r="AY598" t="s">
        <v>69</v>
      </c>
      <c r="AZ598" t="b">
        <v>1</v>
      </c>
    </row>
    <row r="599" spans="1:52" x14ac:dyDescent="0.3">
      <c r="A599" t="s">
        <v>52</v>
      </c>
      <c r="B599" t="s">
        <v>53</v>
      </c>
      <c r="C599" t="s">
        <v>54</v>
      </c>
      <c r="D599" t="s">
        <v>55</v>
      </c>
      <c r="E599" t="s">
        <v>788</v>
      </c>
      <c r="F599" t="s">
        <v>176</v>
      </c>
      <c r="G599" t="s">
        <v>771</v>
      </c>
      <c r="H599" t="s">
        <v>772</v>
      </c>
      <c r="I599" t="s">
        <v>772</v>
      </c>
      <c r="J599" t="s">
        <v>60</v>
      </c>
      <c r="K599" t="s">
        <v>311</v>
      </c>
      <c r="L599" t="s">
        <v>62</v>
      </c>
      <c r="M599" t="s">
        <v>311</v>
      </c>
      <c r="N599" t="s">
        <v>773</v>
      </c>
      <c r="O599" t="s">
        <v>282</v>
      </c>
      <c r="P599">
        <v>-19.577828</v>
      </c>
      <c r="Q599">
        <v>-43.913378999999999</v>
      </c>
      <c r="R599" s="2" t="str">
        <f>HYPERLINK("https://www.google.com/maps?q=-19.5778280,-43.9133790","Abrir no Google Maps")</f>
        <v>Abrir no Google Maps</v>
      </c>
      <c r="S599">
        <v>3</v>
      </c>
      <c r="T599">
        <v>859.03342664962076</v>
      </c>
      <c r="U599">
        <v>3</v>
      </c>
      <c r="V599">
        <v>12</v>
      </c>
      <c r="W599">
        <v>0.85</v>
      </c>
      <c r="X599">
        <v>10.199999999999999</v>
      </c>
      <c r="Y599">
        <v>5</v>
      </c>
      <c r="Z599">
        <v>914.62514325481504</v>
      </c>
      <c r="AA599">
        <v>2</v>
      </c>
      <c r="AB599">
        <v>3</v>
      </c>
      <c r="AC599">
        <v>7</v>
      </c>
      <c r="AD599">
        <v>24.35</v>
      </c>
      <c r="AE599">
        <v>253</v>
      </c>
      <c r="AF599">
        <v>13</v>
      </c>
      <c r="AG599">
        <v>62</v>
      </c>
      <c r="AH599">
        <v>32</v>
      </c>
      <c r="AI599">
        <v>5.14</v>
      </c>
      <c r="AJ599">
        <v>24.51</v>
      </c>
      <c r="AK599">
        <v>12.65</v>
      </c>
      <c r="AL599">
        <v>-19.578014799999949</v>
      </c>
      <c r="AM599">
        <v>-43.913225677886878</v>
      </c>
      <c r="AN599">
        <v>-19.578014799999949</v>
      </c>
      <c r="AO599">
        <v>-43.913225677886878</v>
      </c>
      <c r="AP599">
        <v>-19.577828</v>
      </c>
      <c r="AQ599">
        <v>-43.913378999999999</v>
      </c>
      <c r="AR599">
        <v>26.287162248725519</v>
      </c>
      <c r="AS599" t="s">
        <v>65</v>
      </c>
      <c r="AT599">
        <v>1</v>
      </c>
      <c r="AU599" t="s">
        <v>774</v>
      </c>
      <c r="AV599" t="s">
        <v>775</v>
      </c>
      <c r="AW599" t="s">
        <v>60</v>
      </c>
      <c r="AX599" t="s">
        <v>68</v>
      </c>
      <c r="AY599" t="s">
        <v>69</v>
      </c>
      <c r="AZ599" t="b">
        <v>1</v>
      </c>
    </row>
    <row r="600" spans="1:52" x14ac:dyDescent="0.3">
      <c r="A600" t="s">
        <v>52</v>
      </c>
      <c r="B600" t="s">
        <v>53</v>
      </c>
      <c r="C600" t="s">
        <v>54</v>
      </c>
      <c r="D600" t="s">
        <v>55</v>
      </c>
      <c r="E600" t="s">
        <v>788</v>
      </c>
      <c r="F600" t="s">
        <v>176</v>
      </c>
      <c r="G600" t="s">
        <v>309</v>
      </c>
      <c r="H600" t="s">
        <v>320</v>
      </c>
      <c r="I600" t="s">
        <v>320</v>
      </c>
      <c r="J600" t="s">
        <v>60</v>
      </c>
      <c r="K600" t="s">
        <v>311</v>
      </c>
      <c r="L600" t="s">
        <v>62</v>
      </c>
      <c r="M600" t="s">
        <v>311</v>
      </c>
      <c r="N600" t="s">
        <v>321</v>
      </c>
      <c r="O600" t="s">
        <v>313</v>
      </c>
      <c r="P600">
        <v>-19.578469999999999</v>
      </c>
      <c r="Q600">
        <v>-43.918922000000002</v>
      </c>
      <c r="R600" s="2" t="str">
        <f>HYPERLINK("https://www.google.com/maps?q=-19.5784700,-43.9189220","Abrir no Google Maps")</f>
        <v>Abrir no Google Maps</v>
      </c>
      <c r="S600">
        <v>3</v>
      </c>
      <c r="T600">
        <v>474.92456146278471</v>
      </c>
      <c r="U600">
        <v>3</v>
      </c>
      <c r="V600">
        <v>18</v>
      </c>
      <c r="W600">
        <v>0.85</v>
      </c>
      <c r="X600">
        <v>15.3</v>
      </c>
      <c r="Y600">
        <v>5</v>
      </c>
      <c r="Z600">
        <v>562.61594151292854</v>
      </c>
      <c r="AA600">
        <v>2</v>
      </c>
      <c r="AB600">
        <v>3</v>
      </c>
      <c r="AC600">
        <v>7</v>
      </c>
      <c r="AD600">
        <v>24.35</v>
      </c>
      <c r="AE600">
        <v>253</v>
      </c>
      <c r="AF600">
        <v>13</v>
      </c>
      <c r="AG600">
        <v>62</v>
      </c>
      <c r="AH600">
        <v>32</v>
      </c>
      <c r="AI600">
        <v>5.14</v>
      </c>
      <c r="AJ600">
        <v>24.51</v>
      </c>
      <c r="AK600">
        <v>12.65</v>
      </c>
      <c r="AL600">
        <v>-19.578483899999959</v>
      </c>
      <c r="AM600">
        <v>-43.918967993509547</v>
      </c>
      <c r="AN600">
        <v>-19.578483899999959</v>
      </c>
      <c r="AO600">
        <v>-43.918967993509547</v>
      </c>
      <c r="AP600">
        <v>-19.578469999999999</v>
      </c>
      <c r="AQ600">
        <v>-43.918922000000002</v>
      </c>
      <c r="AR600">
        <v>5.0660669465561501</v>
      </c>
      <c r="AS600" t="s">
        <v>65</v>
      </c>
      <c r="AT600">
        <v>1</v>
      </c>
      <c r="AU600" t="s">
        <v>322</v>
      </c>
      <c r="AV600" t="s">
        <v>323</v>
      </c>
      <c r="AW600" t="s">
        <v>60</v>
      </c>
      <c r="AX600" t="s">
        <v>68</v>
      </c>
      <c r="AY600" t="s">
        <v>69</v>
      </c>
      <c r="AZ600" t="b">
        <v>1</v>
      </c>
    </row>
    <row r="601" spans="1:52" x14ac:dyDescent="0.3">
      <c r="A601" t="s">
        <v>52</v>
      </c>
      <c r="B601" t="s">
        <v>53</v>
      </c>
      <c r="C601" t="s">
        <v>54</v>
      </c>
      <c r="D601" t="s">
        <v>55</v>
      </c>
      <c r="E601" t="s">
        <v>788</v>
      </c>
      <c r="F601" t="s">
        <v>176</v>
      </c>
      <c r="G601" t="s">
        <v>433</v>
      </c>
      <c r="H601" t="s">
        <v>434</v>
      </c>
      <c r="I601" t="s">
        <v>434</v>
      </c>
      <c r="J601" t="s">
        <v>60</v>
      </c>
      <c r="K601" t="s">
        <v>311</v>
      </c>
      <c r="L601" t="s">
        <v>62</v>
      </c>
      <c r="M601" t="s">
        <v>311</v>
      </c>
      <c r="N601" t="s">
        <v>435</v>
      </c>
      <c r="O601" t="s">
        <v>120</v>
      </c>
      <c r="P601">
        <v>-19.563834</v>
      </c>
      <c r="Q601">
        <v>-43.917617</v>
      </c>
      <c r="R601" s="2" t="str">
        <f>HYPERLINK("https://www.google.com/maps?q=-19.5638340,-43.9176170","Abrir no Google Maps")</f>
        <v>Abrir no Google Maps</v>
      </c>
      <c r="S601">
        <v>3</v>
      </c>
      <c r="T601">
        <v>1208.4380275937069</v>
      </c>
      <c r="U601">
        <v>3</v>
      </c>
      <c r="V601">
        <v>13</v>
      </c>
      <c r="W601">
        <v>1</v>
      </c>
      <c r="X601">
        <v>13</v>
      </c>
      <c r="Y601">
        <v>5</v>
      </c>
      <c r="Z601">
        <v>1239.357315084522</v>
      </c>
      <c r="AA601">
        <v>2</v>
      </c>
      <c r="AB601">
        <v>3</v>
      </c>
      <c r="AC601">
        <v>7</v>
      </c>
      <c r="AD601">
        <v>24.35</v>
      </c>
      <c r="AE601">
        <v>253</v>
      </c>
      <c r="AF601">
        <v>13</v>
      </c>
      <c r="AG601">
        <v>62</v>
      </c>
      <c r="AH601">
        <v>32</v>
      </c>
      <c r="AI601">
        <v>5.14</v>
      </c>
      <c r="AJ601">
        <v>24.51</v>
      </c>
      <c r="AK601">
        <v>12.65</v>
      </c>
      <c r="AL601">
        <v>-19.563932349999959</v>
      </c>
      <c r="AM601">
        <v>-43.917383104532327</v>
      </c>
      <c r="AN601">
        <v>-19.563932349999959</v>
      </c>
      <c r="AO601">
        <v>-43.917383104532327</v>
      </c>
      <c r="AP601">
        <v>-19.563834</v>
      </c>
      <c r="AQ601">
        <v>-43.917617</v>
      </c>
      <c r="AR601">
        <v>26.86608405010627</v>
      </c>
      <c r="AS601" t="s">
        <v>65</v>
      </c>
      <c r="AT601">
        <v>1</v>
      </c>
      <c r="AU601" t="s">
        <v>436</v>
      </c>
      <c r="AV601" t="s">
        <v>437</v>
      </c>
      <c r="AW601" t="s">
        <v>60</v>
      </c>
      <c r="AX601" t="s">
        <v>68</v>
      </c>
      <c r="AY601" t="s">
        <v>69</v>
      </c>
      <c r="AZ601" t="b">
        <v>1</v>
      </c>
    </row>
    <row r="602" spans="1:52" x14ac:dyDescent="0.3">
      <c r="A602" t="s">
        <v>52</v>
      </c>
      <c r="B602" t="s">
        <v>53</v>
      </c>
      <c r="C602" t="s">
        <v>54</v>
      </c>
      <c r="D602" t="s">
        <v>55</v>
      </c>
      <c r="E602" t="s">
        <v>788</v>
      </c>
      <c r="F602" t="s">
        <v>176</v>
      </c>
      <c r="G602" t="s">
        <v>705</v>
      </c>
      <c r="H602" t="s">
        <v>706</v>
      </c>
      <c r="I602" t="s">
        <v>706</v>
      </c>
      <c r="J602" t="s">
        <v>60</v>
      </c>
      <c r="K602" t="s">
        <v>707</v>
      </c>
      <c r="L602" t="s">
        <v>62</v>
      </c>
      <c r="M602" t="s">
        <v>707</v>
      </c>
      <c r="N602" t="s">
        <v>708</v>
      </c>
      <c r="O602" t="s">
        <v>709</v>
      </c>
      <c r="P602">
        <v>-19.649132000000002</v>
      </c>
      <c r="Q602">
        <v>-43.913184999999999</v>
      </c>
      <c r="R602" s="2" t="str">
        <f>HYPERLINK("https://www.google.com/maps?q=-19.6491320,-43.9131850","Abrir no Google Maps")</f>
        <v>Abrir no Google Maps</v>
      </c>
      <c r="S602">
        <v>3</v>
      </c>
      <c r="T602">
        <v>708.05095277627129</v>
      </c>
      <c r="U602">
        <v>3</v>
      </c>
      <c r="V602">
        <v>17</v>
      </c>
      <c r="W602">
        <v>1</v>
      </c>
      <c r="X602">
        <v>17</v>
      </c>
      <c r="Y602">
        <v>4</v>
      </c>
      <c r="Z602">
        <v>786.89435979618963</v>
      </c>
      <c r="AA602">
        <v>2</v>
      </c>
      <c r="AB602">
        <v>3</v>
      </c>
      <c r="AC602">
        <v>7</v>
      </c>
      <c r="AD602">
        <v>24.35</v>
      </c>
      <c r="AE602">
        <v>253</v>
      </c>
      <c r="AF602">
        <v>13</v>
      </c>
      <c r="AG602">
        <v>62</v>
      </c>
      <c r="AH602">
        <v>32</v>
      </c>
      <c r="AI602">
        <v>5.14</v>
      </c>
      <c r="AJ602">
        <v>24.51</v>
      </c>
      <c r="AK602">
        <v>12.65</v>
      </c>
      <c r="AL602">
        <v>-19.649055099999941</v>
      </c>
      <c r="AM602">
        <v>-43.912942827576757</v>
      </c>
      <c r="AN602">
        <v>-19.649055099999941</v>
      </c>
      <c r="AO602">
        <v>-43.912942827576771</v>
      </c>
      <c r="AP602">
        <v>-19.649132000000002</v>
      </c>
      <c r="AQ602">
        <v>-43.913184999999999</v>
      </c>
      <c r="AR602">
        <v>26.793189431239711</v>
      </c>
      <c r="AS602" t="s">
        <v>65</v>
      </c>
      <c r="AT602">
        <v>1</v>
      </c>
      <c r="AU602" t="s">
        <v>710</v>
      </c>
      <c r="AV602" t="s">
        <v>711</v>
      </c>
      <c r="AW602" t="s">
        <v>60</v>
      </c>
      <c r="AX602" t="s">
        <v>68</v>
      </c>
      <c r="AY602" t="s">
        <v>69</v>
      </c>
      <c r="AZ602" t="b">
        <v>1</v>
      </c>
    </row>
    <row r="603" spans="1:52" x14ac:dyDescent="0.3">
      <c r="A603" t="s">
        <v>52</v>
      </c>
      <c r="B603" t="s">
        <v>53</v>
      </c>
      <c r="C603" t="s">
        <v>54</v>
      </c>
      <c r="D603" t="s">
        <v>55</v>
      </c>
      <c r="E603" t="s">
        <v>788</v>
      </c>
      <c r="F603" t="s">
        <v>176</v>
      </c>
      <c r="G603" t="s">
        <v>712</v>
      </c>
      <c r="H603" t="s">
        <v>713</v>
      </c>
      <c r="I603" t="s">
        <v>713</v>
      </c>
      <c r="J603" t="s">
        <v>60</v>
      </c>
      <c r="K603" t="s">
        <v>192</v>
      </c>
      <c r="L603" t="s">
        <v>62</v>
      </c>
      <c r="M603" t="s">
        <v>192</v>
      </c>
      <c r="N603" t="s">
        <v>714</v>
      </c>
      <c r="O603" t="s">
        <v>715</v>
      </c>
      <c r="P603">
        <v>-19.653379999999999</v>
      </c>
      <c r="Q603">
        <v>-43.914634999999997</v>
      </c>
      <c r="R603" s="2" t="str">
        <f>HYPERLINK("https://www.google.com/maps?q=-19.6533800,-43.9146350","Abrir no Google Maps")</f>
        <v>Abrir no Google Maps</v>
      </c>
      <c r="S603">
        <v>3</v>
      </c>
      <c r="T603">
        <v>1209.6845317210091</v>
      </c>
      <c r="U603">
        <v>3</v>
      </c>
      <c r="V603">
        <v>15</v>
      </c>
      <c r="W603">
        <v>1</v>
      </c>
      <c r="X603">
        <v>15</v>
      </c>
      <c r="Y603">
        <v>4</v>
      </c>
      <c r="Z603">
        <v>948.79528152345983</v>
      </c>
      <c r="AA603">
        <v>2</v>
      </c>
      <c r="AB603">
        <v>3</v>
      </c>
      <c r="AC603">
        <v>7</v>
      </c>
      <c r="AD603">
        <v>24.35</v>
      </c>
      <c r="AE603">
        <v>253</v>
      </c>
      <c r="AF603">
        <v>13</v>
      </c>
      <c r="AG603">
        <v>62</v>
      </c>
      <c r="AH603">
        <v>32</v>
      </c>
      <c r="AI603">
        <v>5.14</v>
      </c>
      <c r="AJ603">
        <v>24.51</v>
      </c>
      <c r="AK603">
        <v>12.65</v>
      </c>
      <c r="AL603">
        <v>-19.653402249999939</v>
      </c>
      <c r="AM603">
        <v>-43.91489200796137</v>
      </c>
      <c r="AN603">
        <v>-19.653402249999939</v>
      </c>
      <c r="AO603">
        <v>-43.91489200796137</v>
      </c>
      <c r="AP603">
        <v>-19.653379999999999</v>
      </c>
      <c r="AQ603">
        <v>-43.914634999999997</v>
      </c>
      <c r="AR603">
        <v>27.0570338493382</v>
      </c>
      <c r="AS603" t="s">
        <v>65</v>
      </c>
      <c r="AT603">
        <v>1</v>
      </c>
      <c r="AU603" t="s">
        <v>716</v>
      </c>
      <c r="AV603" t="s">
        <v>717</v>
      </c>
      <c r="AW603" t="s">
        <v>60</v>
      </c>
      <c r="AX603" t="s">
        <v>68</v>
      </c>
      <c r="AY603" t="s">
        <v>69</v>
      </c>
      <c r="AZ603" t="b">
        <v>1</v>
      </c>
    </row>
    <row r="604" spans="1:52" x14ac:dyDescent="0.3">
      <c r="A604" t="s">
        <v>52</v>
      </c>
      <c r="B604" t="s">
        <v>53</v>
      </c>
      <c r="C604" t="s">
        <v>54</v>
      </c>
      <c r="D604" t="s">
        <v>55</v>
      </c>
      <c r="E604" t="s">
        <v>788</v>
      </c>
      <c r="F604" t="s">
        <v>176</v>
      </c>
      <c r="G604" t="s">
        <v>438</v>
      </c>
      <c r="H604" t="s">
        <v>439</v>
      </c>
      <c r="I604" t="s">
        <v>439</v>
      </c>
      <c r="J604" t="s">
        <v>60</v>
      </c>
      <c r="K604" t="s">
        <v>199</v>
      </c>
      <c r="L604" t="s">
        <v>62</v>
      </c>
      <c r="M604" t="s">
        <v>199</v>
      </c>
      <c r="N604" t="s">
        <v>440</v>
      </c>
      <c r="O604" t="s">
        <v>120</v>
      </c>
      <c r="P604">
        <v>-19.642907000000001</v>
      </c>
      <c r="Q604">
        <v>-43.912584000000003</v>
      </c>
      <c r="R604" s="2" t="str">
        <f>HYPERLINK("https://www.google.com/maps?q=-19.6429070,-43.9125840","Abrir no Google Maps")</f>
        <v>Abrir no Google Maps</v>
      </c>
      <c r="S604">
        <v>3</v>
      </c>
      <c r="T604">
        <v>0</v>
      </c>
      <c r="U604">
        <v>3</v>
      </c>
      <c r="V604">
        <v>14</v>
      </c>
      <c r="W604">
        <v>1</v>
      </c>
      <c r="X604">
        <v>14</v>
      </c>
      <c r="Y604">
        <v>4</v>
      </c>
      <c r="Z604">
        <v>617.66392653629225</v>
      </c>
      <c r="AA604">
        <v>2</v>
      </c>
      <c r="AB604">
        <v>3</v>
      </c>
      <c r="AC604">
        <v>7</v>
      </c>
      <c r="AD604">
        <v>24.35</v>
      </c>
      <c r="AE604">
        <v>253</v>
      </c>
      <c r="AF604">
        <v>13</v>
      </c>
      <c r="AG604">
        <v>62</v>
      </c>
      <c r="AH604">
        <v>32</v>
      </c>
      <c r="AI604">
        <v>5.14</v>
      </c>
      <c r="AJ604">
        <v>24.51</v>
      </c>
      <c r="AK604">
        <v>12.65</v>
      </c>
      <c r="AL604">
        <v>-19.64265969999996</v>
      </c>
      <c r="AM604">
        <v>-43.912763285666202</v>
      </c>
      <c r="AN604">
        <v>-19.64265969999996</v>
      </c>
      <c r="AO604">
        <v>-43.912763285666202</v>
      </c>
      <c r="AP604">
        <v>-19.642907000000001</v>
      </c>
      <c r="AQ604">
        <v>-43.912584000000003</v>
      </c>
      <c r="AR604">
        <v>33.334435483196202</v>
      </c>
      <c r="AS604" t="s">
        <v>65</v>
      </c>
      <c r="AT604">
        <v>1</v>
      </c>
      <c r="AU604" t="s">
        <v>441</v>
      </c>
      <c r="AV604" t="s">
        <v>442</v>
      </c>
      <c r="AW604" t="s">
        <v>60</v>
      </c>
      <c r="AX604" t="s">
        <v>68</v>
      </c>
      <c r="AY604" t="s">
        <v>69</v>
      </c>
      <c r="AZ604" t="b">
        <v>1</v>
      </c>
    </row>
    <row r="605" spans="1:52" x14ac:dyDescent="0.3">
      <c r="A605" t="s">
        <v>52</v>
      </c>
      <c r="B605" t="s">
        <v>53</v>
      </c>
      <c r="C605" t="s">
        <v>54</v>
      </c>
      <c r="D605" t="s">
        <v>55</v>
      </c>
      <c r="E605" t="s">
        <v>788</v>
      </c>
      <c r="F605" t="s">
        <v>176</v>
      </c>
      <c r="G605" t="s">
        <v>443</v>
      </c>
      <c r="H605" t="s">
        <v>444</v>
      </c>
      <c r="I605" t="s">
        <v>444</v>
      </c>
      <c r="J605" t="s">
        <v>60</v>
      </c>
      <c r="K605" t="s">
        <v>445</v>
      </c>
      <c r="L605" t="s">
        <v>62</v>
      </c>
      <c r="M605" t="s">
        <v>445</v>
      </c>
      <c r="N605" t="s">
        <v>446</v>
      </c>
      <c r="O605" t="s">
        <v>447</v>
      </c>
      <c r="P605">
        <v>-19.650062999999999</v>
      </c>
      <c r="Q605">
        <v>-43.878337000000002</v>
      </c>
      <c r="R605" s="2" t="str">
        <f>HYPERLINK("https://www.google.com/maps?q=-19.6500630,-43.8783370","Abrir no Google Maps")</f>
        <v>Abrir no Google Maps</v>
      </c>
      <c r="S605">
        <v>3</v>
      </c>
      <c r="T605">
        <v>839.11860749856135</v>
      </c>
      <c r="U605">
        <v>3</v>
      </c>
      <c r="V605">
        <v>15</v>
      </c>
      <c r="W605">
        <v>1</v>
      </c>
      <c r="X605">
        <v>15</v>
      </c>
      <c r="Y605">
        <v>3</v>
      </c>
      <c r="Z605">
        <v>698.86168887476526</v>
      </c>
      <c r="AA605">
        <v>2</v>
      </c>
      <c r="AB605">
        <v>3</v>
      </c>
      <c r="AC605">
        <v>7</v>
      </c>
      <c r="AD605">
        <v>24.35</v>
      </c>
      <c r="AE605">
        <v>253</v>
      </c>
      <c r="AF605">
        <v>13</v>
      </c>
      <c r="AG605">
        <v>62</v>
      </c>
      <c r="AH605">
        <v>32</v>
      </c>
      <c r="AI605">
        <v>5.14</v>
      </c>
      <c r="AJ605">
        <v>24.51</v>
      </c>
      <c r="AK605">
        <v>12.65</v>
      </c>
      <c r="AL605">
        <v>-19.650555399999941</v>
      </c>
      <c r="AM605">
        <v>-43.878603008553611</v>
      </c>
      <c r="AN605">
        <v>-19.650555399999941</v>
      </c>
      <c r="AO605">
        <v>-43.878603008553611</v>
      </c>
      <c r="AP605">
        <v>-19.650062999999999</v>
      </c>
      <c r="AQ605">
        <v>-43.878337000000002</v>
      </c>
      <c r="AR605">
        <v>61.500273251918507</v>
      </c>
      <c r="AS605" t="s">
        <v>65</v>
      </c>
      <c r="AT605">
        <v>1</v>
      </c>
      <c r="AU605" t="s">
        <v>448</v>
      </c>
      <c r="AV605" t="s">
        <v>449</v>
      </c>
      <c r="AW605" t="s">
        <v>60</v>
      </c>
      <c r="AX605" t="s">
        <v>68</v>
      </c>
      <c r="AY605" t="s">
        <v>69</v>
      </c>
      <c r="AZ605" t="b">
        <v>1</v>
      </c>
    </row>
    <row r="606" spans="1:52" x14ac:dyDescent="0.3">
      <c r="A606" t="s">
        <v>52</v>
      </c>
      <c r="B606" t="s">
        <v>53</v>
      </c>
      <c r="C606" t="s">
        <v>54</v>
      </c>
      <c r="D606" t="s">
        <v>55</v>
      </c>
      <c r="E606" t="s">
        <v>788</v>
      </c>
      <c r="F606" t="s">
        <v>176</v>
      </c>
      <c r="G606" t="s">
        <v>450</v>
      </c>
      <c r="H606" t="s">
        <v>451</v>
      </c>
      <c r="I606" t="s">
        <v>451</v>
      </c>
      <c r="J606" t="s">
        <v>60</v>
      </c>
      <c r="K606" t="s">
        <v>452</v>
      </c>
      <c r="L606" t="s">
        <v>62</v>
      </c>
      <c r="M606" t="s">
        <v>452</v>
      </c>
      <c r="N606" t="s">
        <v>453</v>
      </c>
      <c r="O606" t="s">
        <v>454</v>
      </c>
      <c r="P606">
        <v>-19.649691000000001</v>
      </c>
      <c r="Q606">
        <v>-43.873970999999997</v>
      </c>
      <c r="R606" s="2" t="str">
        <f>HYPERLINK("https://www.google.com/maps?q=-19.6496910,-43.8739710","Abrir no Google Maps")</f>
        <v>Abrir no Google Maps</v>
      </c>
      <c r="S606">
        <v>3</v>
      </c>
      <c r="T606">
        <v>433.54329587849469</v>
      </c>
      <c r="U606">
        <v>3</v>
      </c>
      <c r="V606">
        <v>16</v>
      </c>
      <c r="W606">
        <v>1</v>
      </c>
      <c r="X606">
        <v>16</v>
      </c>
      <c r="Y606">
        <v>3</v>
      </c>
      <c r="Z606">
        <v>298.71042308886041</v>
      </c>
      <c r="AA606">
        <v>2</v>
      </c>
      <c r="AB606">
        <v>3</v>
      </c>
      <c r="AC606">
        <v>7</v>
      </c>
      <c r="AD606">
        <v>24.35</v>
      </c>
      <c r="AE606">
        <v>253</v>
      </c>
      <c r="AF606">
        <v>13</v>
      </c>
      <c r="AG606">
        <v>62</v>
      </c>
      <c r="AH606">
        <v>32</v>
      </c>
      <c r="AI606">
        <v>5.14</v>
      </c>
      <c r="AJ606">
        <v>24.51</v>
      </c>
      <c r="AK606">
        <v>12.65</v>
      </c>
      <c r="AL606">
        <v>-19.64973869999994</v>
      </c>
      <c r="AM606">
        <v>-43.873980587601103</v>
      </c>
      <c r="AN606">
        <v>-19.64973869999994</v>
      </c>
      <c r="AO606">
        <v>-43.873980587601103</v>
      </c>
      <c r="AP606">
        <v>-19.649691000000001</v>
      </c>
      <c r="AQ606">
        <v>-43.873970999999997</v>
      </c>
      <c r="AR606">
        <v>5.4042596125531333</v>
      </c>
      <c r="AS606" t="s">
        <v>65</v>
      </c>
      <c r="AT606">
        <v>1</v>
      </c>
      <c r="AU606" t="s">
        <v>455</v>
      </c>
      <c r="AV606" t="s">
        <v>456</v>
      </c>
      <c r="AW606" t="s">
        <v>60</v>
      </c>
      <c r="AX606" t="s">
        <v>68</v>
      </c>
      <c r="AY606" t="s">
        <v>69</v>
      </c>
      <c r="AZ606" t="b">
        <v>1</v>
      </c>
    </row>
    <row r="607" spans="1:52" x14ac:dyDescent="0.3">
      <c r="A607" t="s">
        <v>52</v>
      </c>
      <c r="B607" t="s">
        <v>53</v>
      </c>
      <c r="C607" t="s">
        <v>54</v>
      </c>
      <c r="D607" t="s">
        <v>55</v>
      </c>
      <c r="E607" t="s">
        <v>788</v>
      </c>
      <c r="F607" t="s">
        <v>176</v>
      </c>
      <c r="G607" t="s">
        <v>457</v>
      </c>
      <c r="H607" t="s">
        <v>458</v>
      </c>
      <c r="I607" t="s">
        <v>458</v>
      </c>
      <c r="J607" t="s">
        <v>60</v>
      </c>
      <c r="K607" t="s">
        <v>286</v>
      </c>
      <c r="L607" t="s">
        <v>62</v>
      </c>
      <c r="M607" t="s">
        <v>286</v>
      </c>
      <c r="N607" t="s">
        <v>459</v>
      </c>
      <c r="O607" t="s">
        <v>408</v>
      </c>
      <c r="P607">
        <v>-19.648675000000001</v>
      </c>
      <c r="Q607">
        <v>-43.876176999999998</v>
      </c>
      <c r="R607" s="2" t="str">
        <f>HYPERLINK("https://www.google.com/maps?q=-19.6486750,-43.8761770","Abrir no Google Maps")</f>
        <v>Abrir no Google Maps</v>
      </c>
      <c r="S607">
        <v>3</v>
      </c>
      <c r="T607">
        <v>696.15049931004592</v>
      </c>
      <c r="U607">
        <v>3</v>
      </c>
      <c r="V607">
        <v>13</v>
      </c>
      <c r="W607">
        <v>1</v>
      </c>
      <c r="X607">
        <v>13</v>
      </c>
      <c r="Y607">
        <v>3</v>
      </c>
      <c r="Z607">
        <v>617.40976221624703</v>
      </c>
      <c r="AA607">
        <v>2</v>
      </c>
      <c r="AB607">
        <v>3</v>
      </c>
      <c r="AC607">
        <v>7</v>
      </c>
      <c r="AD607">
        <v>24.35</v>
      </c>
      <c r="AE607">
        <v>253</v>
      </c>
      <c r="AF607">
        <v>13</v>
      </c>
      <c r="AG607">
        <v>62</v>
      </c>
      <c r="AH607">
        <v>32</v>
      </c>
      <c r="AI607">
        <v>5.14</v>
      </c>
      <c r="AJ607">
        <v>24.51</v>
      </c>
      <c r="AK607">
        <v>12.65</v>
      </c>
      <c r="AL607">
        <v>-19.648626649999951</v>
      </c>
      <c r="AM607">
        <v>-43.876233357879343</v>
      </c>
      <c r="AN607">
        <v>-19.648626649999951</v>
      </c>
      <c r="AO607">
        <v>-43.876233357879343</v>
      </c>
      <c r="AP607">
        <v>-19.648675000000001</v>
      </c>
      <c r="AQ607">
        <v>-43.876176999999998</v>
      </c>
      <c r="AR607">
        <v>7.9924470956447653</v>
      </c>
      <c r="AS607" t="s">
        <v>65</v>
      </c>
      <c r="AT607">
        <v>1</v>
      </c>
      <c r="AU607" t="s">
        <v>460</v>
      </c>
      <c r="AV607" t="s">
        <v>461</v>
      </c>
      <c r="AW607" t="s">
        <v>60</v>
      </c>
      <c r="AX607" t="s">
        <v>68</v>
      </c>
      <c r="AY607" t="s">
        <v>69</v>
      </c>
      <c r="AZ607" t="b">
        <v>1</v>
      </c>
    </row>
    <row r="608" spans="1:52" x14ac:dyDescent="0.3">
      <c r="A608" t="s">
        <v>52</v>
      </c>
      <c r="B608" t="s">
        <v>53</v>
      </c>
      <c r="C608" t="s">
        <v>54</v>
      </c>
      <c r="D608" t="s">
        <v>55</v>
      </c>
      <c r="E608" t="s">
        <v>788</v>
      </c>
      <c r="F608" t="s">
        <v>176</v>
      </c>
      <c r="G608" t="s">
        <v>462</v>
      </c>
      <c r="H608" t="s">
        <v>463</v>
      </c>
      <c r="I608" t="s">
        <v>463</v>
      </c>
      <c r="J608" t="s">
        <v>60</v>
      </c>
      <c r="K608" t="s">
        <v>464</v>
      </c>
      <c r="L608" t="s">
        <v>62</v>
      </c>
      <c r="M608" t="s">
        <v>464</v>
      </c>
      <c r="N608" t="s">
        <v>465</v>
      </c>
      <c r="O608" t="s">
        <v>414</v>
      </c>
      <c r="P608">
        <v>-19.655408000000001</v>
      </c>
      <c r="Q608">
        <v>-43.862772999999997</v>
      </c>
      <c r="R608" s="2" t="str">
        <f>HYPERLINK("https://www.google.com/maps?q=-19.6554080,-43.8627730","Abrir no Google Maps")</f>
        <v>Abrir no Google Maps</v>
      </c>
      <c r="S608">
        <v>3</v>
      </c>
      <c r="T608">
        <v>877.50781603676592</v>
      </c>
      <c r="U608">
        <v>3</v>
      </c>
      <c r="V608">
        <v>14</v>
      </c>
      <c r="W608">
        <v>1</v>
      </c>
      <c r="X608">
        <v>14</v>
      </c>
      <c r="Y608">
        <v>3</v>
      </c>
      <c r="Z608">
        <v>1005.9680098732809</v>
      </c>
      <c r="AA608">
        <v>2</v>
      </c>
      <c r="AB608">
        <v>3</v>
      </c>
      <c r="AC608">
        <v>7</v>
      </c>
      <c r="AD608">
        <v>24.35</v>
      </c>
      <c r="AE608">
        <v>253</v>
      </c>
      <c r="AF608">
        <v>13</v>
      </c>
      <c r="AG608">
        <v>62</v>
      </c>
      <c r="AH608">
        <v>32</v>
      </c>
      <c r="AI608">
        <v>5.14</v>
      </c>
      <c r="AJ608">
        <v>24.51</v>
      </c>
      <c r="AK608">
        <v>12.65</v>
      </c>
      <c r="AL608">
        <v>-19.655455099999951</v>
      </c>
      <c r="AM608">
        <v>-43.863149342001513</v>
      </c>
      <c r="AN608">
        <v>-19.655455099999951</v>
      </c>
      <c r="AO608">
        <v>-43.863149342001513</v>
      </c>
      <c r="AP608">
        <v>-19.655408000000001</v>
      </c>
      <c r="AQ608">
        <v>-43.862772999999997</v>
      </c>
      <c r="AR608">
        <v>39.800175805630573</v>
      </c>
      <c r="AS608" t="s">
        <v>65</v>
      </c>
      <c r="AT608">
        <v>1</v>
      </c>
      <c r="AU608" t="s">
        <v>466</v>
      </c>
      <c r="AV608" t="s">
        <v>467</v>
      </c>
      <c r="AW608" t="s">
        <v>60</v>
      </c>
      <c r="AX608" t="s">
        <v>68</v>
      </c>
      <c r="AY608" t="s">
        <v>69</v>
      </c>
      <c r="AZ608" t="b">
        <v>1</v>
      </c>
    </row>
    <row r="609" spans="1:52" x14ac:dyDescent="0.3">
      <c r="A609" t="s">
        <v>52</v>
      </c>
      <c r="B609" t="s">
        <v>53</v>
      </c>
      <c r="C609" t="s">
        <v>54</v>
      </c>
      <c r="D609" t="s">
        <v>55</v>
      </c>
      <c r="E609" t="s">
        <v>788</v>
      </c>
      <c r="F609" t="s">
        <v>176</v>
      </c>
      <c r="G609" t="s">
        <v>783</v>
      </c>
      <c r="H609" t="s">
        <v>784</v>
      </c>
      <c r="I609" t="s">
        <v>784</v>
      </c>
      <c r="J609" t="s">
        <v>60</v>
      </c>
      <c r="K609" t="s">
        <v>326</v>
      </c>
      <c r="L609" t="s">
        <v>62</v>
      </c>
      <c r="M609" t="s">
        <v>326</v>
      </c>
      <c r="N609" t="s">
        <v>785</v>
      </c>
      <c r="O609" t="s">
        <v>282</v>
      </c>
      <c r="P609">
        <v>-19.660250999999999</v>
      </c>
      <c r="Q609">
        <v>-43.872767000000003</v>
      </c>
      <c r="R609" s="2" t="str">
        <f>HYPERLINK("https://www.google.com/maps?q=-19.6602510,-43.8727670","Abrir no Google Maps")</f>
        <v>Abrir no Google Maps</v>
      </c>
      <c r="S609">
        <v>3</v>
      </c>
      <c r="T609">
        <v>867.23644041593502</v>
      </c>
      <c r="U609">
        <v>3</v>
      </c>
      <c r="V609">
        <v>12</v>
      </c>
      <c r="W609">
        <v>1</v>
      </c>
      <c r="X609">
        <v>12</v>
      </c>
      <c r="Y609">
        <v>3</v>
      </c>
      <c r="Z609">
        <v>822.53921499947728</v>
      </c>
      <c r="AA609">
        <v>2</v>
      </c>
      <c r="AB609">
        <v>3</v>
      </c>
      <c r="AC609">
        <v>7</v>
      </c>
      <c r="AD609">
        <v>24.35</v>
      </c>
      <c r="AE609">
        <v>253</v>
      </c>
      <c r="AF609">
        <v>13</v>
      </c>
      <c r="AG609">
        <v>62</v>
      </c>
      <c r="AH609">
        <v>32</v>
      </c>
      <c r="AI609">
        <v>5.14</v>
      </c>
      <c r="AJ609">
        <v>24.51</v>
      </c>
      <c r="AK609">
        <v>12.65</v>
      </c>
      <c r="AL609">
        <v>-19.65986969999997</v>
      </c>
      <c r="AM609">
        <v>-43.872697658306379</v>
      </c>
      <c r="AN609">
        <v>-19.65986969999997</v>
      </c>
      <c r="AO609">
        <v>-43.872697658306379</v>
      </c>
      <c r="AP609">
        <v>-19.660250999999999</v>
      </c>
      <c r="AQ609">
        <v>-43.872767000000003</v>
      </c>
      <c r="AR609">
        <v>43.064256320397227</v>
      </c>
      <c r="AS609" t="s">
        <v>65</v>
      </c>
      <c r="AT609">
        <v>1</v>
      </c>
      <c r="AU609" t="s">
        <v>786</v>
      </c>
      <c r="AV609" t="s">
        <v>787</v>
      </c>
      <c r="AW609" t="s">
        <v>60</v>
      </c>
      <c r="AX609" t="s">
        <v>68</v>
      </c>
      <c r="AY609" t="s">
        <v>69</v>
      </c>
      <c r="AZ609" t="b">
        <v>1</v>
      </c>
    </row>
    <row r="610" spans="1:52" x14ac:dyDescent="0.3">
      <c r="A610" t="s">
        <v>52</v>
      </c>
      <c r="B610" t="s">
        <v>53</v>
      </c>
      <c r="C610" t="s">
        <v>54</v>
      </c>
      <c r="D610" t="s">
        <v>55</v>
      </c>
      <c r="E610" t="s">
        <v>788</v>
      </c>
      <c r="F610" t="s">
        <v>176</v>
      </c>
      <c r="G610" t="s">
        <v>331</v>
      </c>
      <c r="H610" t="s">
        <v>332</v>
      </c>
      <c r="I610" t="s">
        <v>332</v>
      </c>
      <c r="J610" t="s">
        <v>60</v>
      </c>
      <c r="K610" t="s">
        <v>333</v>
      </c>
      <c r="L610" t="s">
        <v>62</v>
      </c>
      <c r="M610" t="s">
        <v>333</v>
      </c>
      <c r="N610" t="s">
        <v>334</v>
      </c>
      <c r="O610" t="s">
        <v>335</v>
      </c>
      <c r="P610">
        <v>-19.638455</v>
      </c>
      <c r="Q610">
        <v>-43.911239000000002</v>
      </c>
      <c r="R610" s="2" t="str">
        <f>HYPERLINK("https://www.google.com/maps?q=-19.6384550,-43.9112390","Abrir no Google Maps")</f>
        <v>Abrir no Google Maps</v>
      </c>
      <c r="S610">
        <v>3</v>
      </c>
      <c r="T610">
        <v>488.53051432983438</v>
      </c>
      <c r="U610">
        <v>3</v>
      </c>
      <c r="V610">
        <v>12</v>
      </c>
      <c r="W610">
        <v>1</v>
      </c>
      <c r="X610">
        <v>12</v>
      </c>
      <c r="Y610">
        <v>3</v>
      </c>
      <c r="Z610">
        <v>503.17412324010428</v>
      </c>
      <c r="AA610">
        <v>2</v>
      </c>
      <c r="AB610">
        <v>3</v>
      </c>
      <c r="AC610">
        <v>7</v>
      </c>
      <c r="AD610">
        <v>24.35</v>
      </c>
      <c r="AE610">
        <v>253</v>
      </c>
      <c r="AF610">
        <v>13</v>
      </c>
      <c r="AG610">
        <v>62</v>
      </c>
      <c r="AH610">
        <v>32</v>
      </c>
      <c r="AI610">
        <v>5.14</v>
      </c>
      <c r="AJ610">
        <v>24.51</v>
      </c>
      <c r="AK610">
        <v>12.65</v>
      </c>
      <c r="AL610">
        <v>-19.63853704999994</v>
      </c>
      <c r="AM610">
        <v>-43.911098254478723</v>
      </c>
      <c r="AN610">
        <v>-19.63853704999994</v>
      </c>
      <c r="AO610">
        <v>-43.911098254478723</v>
      </c>
      <c r="AP610">
        <v>-19.638455</v>
      </c>
      <c r="AQ610">
        <v>-43.911239000000002</v>
      </c>
      <c r="AR610">
        <v>17.354491692685801</v>
      </c>
      <c r="AS610" t="s">
        <v>65</v>
      </c>
      <c r="AT610">
        <v>1</v>
      </c>
      <c r="AU610" t="s">
        <v>336</v>
      </c>
      <c r="AV610" t="s">
        <v>337</v>
      </c>
      <c r="AW610" t="s">
        <v>60</v>
      </c>
      <c r="AX610" t="s">
        <v>68</v>
      </c>
      <c r="AY610" t="s">
        <v>69</v>
      </c>
      <c r="AZ610" t="b">
        <v>1</v>
      </c>
    </row>
    <row r="611" spans="1:52" x14ac:dyDescent="0.3">
      <c r="A611" t="s">
        <v>52</v>
      </c>
      <c r="B611" t="s">
        <v>53</v>
      </c>
      <c r="C611" t="s">
        <v>54</v>
      </c>
      <c r="D611" t="s">
        <v>55</v>
      </c>
      <c r="E611" t="s">
        <v>788</v>
      </c>
      <c r="F611" t="s">
        <v>176</v>
      </c>
      <c r="G611" t="s">
        <v>474</v>
      </c>
      <c r="H611" t="s">
        <v>475</v>
      </c>
      <c r="I611" t="s">
        <v>475</v>
      </c>
      <c r="J611" t="s">
        <v>60</v>
      </c>
      <c r="K611" t="s">
        <v>326</v>
      </c>
      <c r="L611" t="s">
        <v>62</v>
      </c>
      <c r="M611" t="s">
        <v>326</v>
      </c>
      <c r="N611" t="s">
        <v>476</v>
      </c>
      <c r="O611" t="s">
        <v>477</v>
      </c>
      <c r="P611">
        <v>-19.658083000000001</v>
      </c>
      <c r="Q611">
        <v>-43.866957999999997</v>
      </c>
      <c r="R611" s="2" t="str">
        <f>HYPERLINK("https://www.google.com/maps?q=-19.6580830,-43.8669580","Abrir no Google Maps")</f>
        <v>Abrir no Google Maps</v>
      </c>
      <c r="S611">
        <v>3</v>
      </c>
      <c r="T611">
        <v>753.45055811539748</v>
      </c>
      <c r="U611">
        <v>3</v>
      </c>
      <c r="V611">
        <v>14</v>
      </c>
      <c r="W611">
        <v>1</v>
      </c>
      <c r="X611">
        <v>14</v>
      </c>
      <c r="Y611">
        <v>3</v>
      </c>
      <c r="Z611">
        <v>808.47816984050394</v>
      </c>
      <c r="AA611">
        <v>2</v>
      </c>
      <c r="AB611">
        <v>3</v>
      </c>
      <c r="AC611">
        <v>7</v>
      </c>
      <c r="AD611">
        <v>24.35</v>
      </c>
      <c r="AE611">
        <v>253</v>
      </c>
      <c r="AF611">
        <v>13</v>
      </c>
      <c r="AG611">
        <v>62</v>
      </c>
      <c r="AH611">
        <v>32</v>
      </c>
      <c r="AI611">
        <v>5.14</v>
      </c>
      <c r="AJ611">
        <v>24.51</v>
      </c>
      <c r="AK611">
        <v>12.65</v>
      </c>
      <c r="AL611">
        <v>-19.658034899999929</v>
      </c>
      <c r="AM611">
        <v>-43.867024921196148</v>
      </c>
      <c r="AN611">
        <v>-19.658034899999929</v>
      </c>
      <c r="AO611">
        <v>-43.867024921196148</v>
      </c>
      <c r="AP611">
        <v>-19.658083000000001</v>
      </c>
      <c r="AQ611">
        <v>-43.866957999999997</v>
      </c>
      <c r="AR611">
        <v>8.8253920204286462</v>
      </c>
      <c r="AS611" t="s">
        <v>65</v>
      </c>
      <c r="AT611">
        <v>1</v>
      </c>
      <c r="AU611" t="s">
        <v>478</v>
      </c>
      <c r="AV611" t="s">
        <v>349</v>
      </c>
      <c r="AW611" t="s">
        <v>60</v>
      </c>
      <c r="AX611" t="s">
        <v>68</v>
      </c>
      <c r="AY611" t="s">
        <v>69</v>
      </c>
      <c r="AZ611" t="b">
        <v>1</v>
      </c>
    </row>
    <row r="612" spans="1:52" x14ac:dyDescent="0.3">
      <c r="A612" t="s">
        <v>52</v>
      </c>
      <c r="B612" t="s">
        <v>53</v>
      </c>
      <c r="C612" t="s">
        <v>54</v>
      </c>
      <c r="D612" t="s">
        <v>55</v>
      </c>
      <c r="E612" t="s">
        <v>788</v>
      </c>
      <c r="F612" t="s">
        <v>176</v>
      </c>
      <c r="G612" t="s">
        <v>728</v>
      </c>
      <c r="H612" t="s">
        <v>729</v>
      </c>
      <c r="I612" t="s">
        <v>729</v>
      </c>
      <c r="J612" t="s">
        <v>60</v>
      </c>
      <c r="K612" t="s">
        <v>730</v>
      </c>
      <c r="L612" t="s">
        <v>62</v>
      </c>
      <c r="M612" t="s">
        <v>730</v>
      </c>
      <c r="N612" t="s">
        <v>731</v>
      </c>
      <c r="O612" t="s">
        <v>732</v>
      </c>
      <c r="P612">
        <v>-19.598894999999999</v>
      </c>
      <c r="Q612">
        <v>-43.907265000000002</v>
      </c>
      <c r="R612" s="2" t="str">
        <f>HYPERLINK("https://www.google.com/maps?q=-19.5988950,-43.9072650","Abrir no Google Maps")</f>
        <v>Abrir no Google Maps</v>
      </c>
      <c r="S612">
        <v>3</v>
      </c>
      <c r="T612">
        <v>308.81161626838701</v>
      </c>
      <c r="U612">
        <v>3</v>
      </c>
      <c r="V612">
        <v>12</v>
      </c>
      <c r="W612">
        <v>0.85</v>
      </c>
      <c r="X612">
        <v>10.199999999999999</v>
      </c>
      <c r="Y612">
        <v>2</v>
      </c>
      <c r="Z612">
        <v>305.65808615712928</v>
      </c>
      <c r="AA612">
        <v>2</v>
      </c>
      <c r="AB612">
        <v>3</v>
      </c>
      <c r="AC612">
        <v>7</v>
      </c>
      <c r="AD612">
        <v>24.35</v>
      </c>
      <c r="AE612">
        <v>253</v>
      </c>
      <c r="AF612">
        <v>13</v>
      </c>
      <c r="AG612">
        <v>62</v>
      </c>
      <c r="AH612">
        <v>32</v>
      </c>
      <c r="AI612">
        <v>5.14</v>
      </c>
      <c r="AJ612">
        <v>24.51</v>
      </c>
      <c r="AK612">
        <v>12.65</v>
      </c>
      <c r="AL612">
        <v>-19.598929649999949</v>
      </c>
      <c r="AM612">
        <v>-43.90720816146667</v>
      </c>
      <c r="AN612">
        <v>-19.598929649999949</v>
      </c>
      <c r="AO612">
        <v>-43.90720816146667</v>
      </c>
      <c r="AP612">
        <v>-19.598894999999999</v>
      </c>
      <c r="AQ612">
        <v>-43.907265000000002</v>
      </c>
      <c r="AR612">
        <v>7.099864647387605</v>
      </c>
      <c r="AS612" t="s">
        <v>65</v>
      </c>
      <c r="AT612">
        <v>1</v>
      </c>
      <c r="AU612" t="s">
        <v>733</v>
      </c>
      <c r="AV612" t="s">
        <v>734</v>
      </c>
      <c r="AW612" t="s">
        <v>60</v>
      </c>
      <c r="AX612" t="s">
        <v>68</v>
      </c>
      <c r="AY612" t="s">
        <v>69</v>
      </c>
      <c r="AZ612" t="b">
        <v>1</v>
      </c>
    </row>
    <row r="613" spans="1:52" x14ac:dyDescent="0.3">
      <c r="A613" t="s">
        <v>52</v>
      </c>
      <c r="B613" t="s">
        <v>53</v>
      </c>
      <c r="C613" t="s">
        <v>54</v>
      </c>
      <c r="D613" t="s">
        <v>55</v>
      </c>
      <c r="E613" t="s">
        <v>788</v>
      </c>
      <c r="F613" t="s">
        <v>176</v>
      </c>
      <c r="G613" t="s">
        <v>438</v>
      </c>
      <c r="H613" t="s">
        <v>491</v>
      </c>
      <c r="I613" t="s">
        <v>491</v>
      </c>
      <c r="J613" t="s">
        <v>60</v>
      </c>
      <c r="K613" t="s">
        <v>492</v>
      </c>
      <c r="L613" t="s">
        <v>62</v>
      </c>
      <c r="M613" t="s">
        <v>492</v>
      </c>
      <c r="N613" t="s">
        <v>493</v>
      </c>
      <c r="O613" t="s">
        <v>81</v>
      </c>
      <c r="P613">
        <v>-19.599810999999999</v>
      </c>
      <c r="Q613">
        <v>-43.906267</v>
      </c>
      <c r="R613" s="2" t="str">
        <f>HYPERLINK("https://www.google.com/maps?q=-19.5998110,-43.9062670","Abrir no Google Maps")</f>
        <v>Abrir no Google Maps</v>
      </c>
      <c r="S613">
        <v>3</v>
      </c>
      <c r="T613">
        <v>214.87460546260371</v>
      </c>
      <c r="U613">
        <v>3</v>
      </c>
      <c r="V613">
        <v>14</v>
      </c>
      <c r="W613">
        <v>1</v>
      </c>
      <c r="X613">
        <v>14</v>
      </c>
      <c r="Y613">
        <v>2</v>
      </c>
      <c r="Z613">
        <v>211.0648412523515</v>
      </c>
      <c r="AA613">
        <v>2</v>
      </c>
      <c r="AB613">
        <v>3</v>
      </c>
      <c r="AC613">
        <v>7</v>
      </c>
      <c r="AD613">
        <v>24.35</v>
      </c>
      <c r="AE613">
        <v>253</v>
      </c>
      <c r="AF613">
        <v>13</v>
      </c>
      <c r="AG613">
        <v>62</v>
      </c>
      <c r="AH613">
        <v>32</v>
      </c>
      <c r="AI613">
        <v>5.14</v>
      </c>
      <c r="AJ613">
        <v>24.51</v>
      </c>
      <c r="AK613">
        <v>12.65</v>
      </c>
      <c r="AL613">
        <v>-19.600032099999961</v>
      </c>
      <c r="AM613">
        <v>-43.906252350845229</v>
      </c>
      <c r="AN613">
        <v>-19.600032099999961</v>
      </c>
      <c r="AO613">
        <v>-43.906252350845229</v>
      </c>
      <c r="AP613">
        <v>-19.599810999999999</v>
      </c>
      <c r="AQ613">
        <v>-43.906267</v>
      </c>
      <c r="AR613">
        <v>24.660749384148179</v>
      </c>
      <c r="AS613" t="s">
        <v>65</v>
      </c>
      <c r="AT613">
        <v>1</v>
      </c>
      <c r="AU613" t="s">
        <v>494</v>
      </c>
      <c r="AV613" t="s">
        <v>495</v>
      </c>
      <c r="AW613" t="s">
        <v>60</v>
      </c>
      <c r="AX613" t="s">
        <v>68</v>
      </c>
      <c r="AY613" t="s">
        <v>69</v>
      </c>
      <c r="AZ613" t="b">
        <v>1</v>
      </c>
    </row>
    <row r="614" spans="1:52" x14ac:dyDescent="0.3">
      <c r="A614" t="s">
        <v>52</v>
      </c>
      <c r="B614" t="s">
        <v>53</v>
      </c>
      <c r="C614" t="s">
        <v>54</v>
      </c>
      <c r="D614" t="s">
        <v>55</v>
      </c>
      <c r="E614" t="s">
        <v>788</v>
      </c>
      <c r="F614" t="s">
        <v>176</v>
      </c>
      <c r="G614" t="s">
        <v>371</v>
      </c>
      <c r="H614" t="s">
        <v>496</v>
      </c>
      <c r="I614" t="s">
        <v>496</v>
      </c>
      <c r="J614" t="s">
        <v>60</v>
      </c>
      <c r="K614" t="s">
        <v>352</v>
      </c>
      <c r="L614" t="s">
        <v>62</v>
      </c>
      <c r="M614" t="s">
        <v>352</v>
      </c>
      <c r="N614" t="s">
        <v>497</v>
      </c>
      <c r="O614" t="s">
        <v>120</v>
      </c>
      <c r="P614">
        <v>-19.599603999999999</v>
      </c>
      <c r="Q614">
        <v>-43.899650000000001</v>
      </c>
      <c r="R614" s="2" t="str">
        <f>HYPERLINK("https://www.google.com/maps?q=-19.5996040,-43.8996500","Abrir no Google Maps")</f>
        <v>Abrir no Google Maps</v>
      </c>
      <c r="S614">
        <v>3</v>
      </c>
      <c r="T614">
        <v>381.13553853255752</v>
      </c>
      <c r="U614">
        <v>3</v>
      </c>
      <c r="V614">
        <v>19</v>
      </c>
      <c r="W614">
        <v>0.85</v>
      </c>
      <c r="X614">
        <v>16.149999999999999</v>
      </c>
      <c r="Y614">
        <v>2</v>
      </c>
      <c r="Z614">
        <v>445.30611048306139</v>
      </c>
      <c r="AA614">
        <v>2</v>
      </c>
      <c r="AB614">
        <v>3</v>
      </c>
      <c r="AC614">
        <v>7</v>
      </c>
      <c r="AD614">
        <v>24.35</v>
      </c>
      <c r="AE614">
        <v>253</v>
      </c>
      <c r="AF614">
        <v>13</v>
      </c>
      <c r="AG614">
        <v>62</v>
      </c>
      <c r="AH614">
        <v>32</v>
      </c>
      <c r="AI614">
        <v>5.14</v>
      </c>
      <c r="AJ614">
        <v>24.51</v>
      </c>
      <c r="AK614">
        <v>12.65</v>
      </c>
      <c r="AL614">
        <v>-19.59984999999995</v>
      </c>
      <c r="AM614">
        <v>-43.90070409772008</v>
      </c>
      <c r="AN614">
        <v>-19.59984999999995</v>
      </c>
      <c r="AO614">
        <v>-43.90070409772008</v>
      </c>
      <c r="AP614">
        <v>-19.599603999999999</v>
      </c>
      <c r="AQ614">
        <v>-43.899650000000001</v>
      </c>
      <c r="AR614">
        <v>113.8846460473157</v>
      </c>
      <c r="AS614" t="s">
        <v>65</v>
      </c>
      <c r="AT614">
        <v>1</v>
      </c>
      <c r="AU614" t="s">
        <v>498</v>
      </c>
      <c r="AV614" t="s">
        <v>499</v>
      </c>
      <c r="AW614" t="s">
        <v>60</v>
      </c>
      <c r="AX614" t="s">
        <v>68</v>
      </c>
      <c r="AY614" t="s">
        <v>69</v>
      </c>
      <c r="AZ614" t="b">
        <v>1</v>
      </c>
    </row>
    <row r="615" spans="1:52" x14ac:dyDescent="0.3">
      <c r="A615" t="s">
        <v>52</v>
      </c>
      <c r="B615" t="s">
        <v>53</v>
      </c>
      <c r="C615" t="s">
        <v>54</v>
      </c>
      <c r="D615" t="s">
        <v>55</v>
      </c>
      <c r="E615" t="s">
        <v>788</v>
      </c>
      <c r="F615" t="s">
        <v>176</v>
      </c>
      <c r="G615" t="s">
        <v>350</v>
      </c>
      <c r="H615" t="s">
        <v>368</v>
      </c>
      <c r="I615" t="s">
        <v>368</v>
      </c>
      <c r="J615" t="s">
        <v>60</v>
      </c>
      <c r="K615" t="s">
        <v>364</v>
      </c>
      <c r="L615" t="s">
        <v>62</v>
      </c>
      <c r="M615" t="s">
        <v>364</v>
      </c>
      <c r="N615" t="s">
        <v>353</v>
      </c>
      <c r="O615" t="s">
        <v>365</v>
      </c>
      <c r="P615">
        <v>-19.593221</v>
      </c>
      <c r="Q615">
        <v>-43.901839000000002</v>
      </c>
      <c r="R615" s="2" t="str">
        <f>HYPERLINK("https://www.google.com/maps?q=-19.5932210,-43.9018390","Abrir no Google Maps")</f>
        <v>Abrir no Google Maps</v>
      </c>
      <c r="S615">
        <v>3</v>
      </c>
      <c r="T615">
        <v>741.77482535005606</v>
      </c>
      <c r="U615">
        <v>3</v>
      </c>
      <c r="V615">
        <v>17</v>
      </c>
      <c r="W615">
        <v>0.85</v>
      </c>
      <c r="X615">
        <v>14.45</v>
      </c>
      <c r="Y615">
        <v>2</v>
      </c>
      <c r="Z615">
        <v>790.59331647558088</v>
      </c>
      <c r="AA615">
        <v>2</v>
      </c>
      <c r="AB615">
        <v>3</v>
      </c>
      <c r="AC615">
        <v>7</v>
      </c>
      <c r="AD615">
        <v>24.35</v>
      </c>
      <c r="AE615">
        <v>253</v>
      </c>
      <c r="AF615">
        <v>13</v>
      </c>
      <c r="AG615">
        <v>62</v>
      </c>
      <c r="AH615">
        <v>32</v>
      </c>
      <c r="AI615">
        <v>5.14</v>
      </c>
      <c r="AJ615">
        <v>24.51</v>
      </c>
      <c r="AK615">
        <v>12.65</v>
      </c>
      <c r="AL615">
        <v>-19.593187449999959</v>
      </c>
      <c r="AM615">
        <v>-43.901700308057322</v>
      </c>
      <c r="AN615">
        <v>-19.593187449999959</v>
      </c>
      <c r="AO615">
        <v>-43.901700308057322</v>
      </c>
      <c r="AP615">
        <v>-19.593221</v>
      </c>
      <c r="AQ615">
        <v>-43.901839000000002</v>
      </c>
      <c r="AR615">
        <v>15.017055708279431</v>
      </c>
      <c r="AS615" t="s">
        <v>65</v>
      </c>
      <c r="AT615">
        <v>1</v>
      </c>
      <c r="AU615" t="s">
        <v>369</v>
      </c>
      <c r="AV615" t="s">
        <v>370</v>
      </c>
      <c r="AW615" t="s">
        <v>60</v>
      </c>
      <c r="AX615" t="s">
        <v>68</v>
      </c>
      <c r="AY615" t="s">
        <v>69</v>
      </c>
      <c r="AZ615" t="b">
        <v>1</v>
      </c>
    </row>
    <row r="616" spans="1:52" x14ac:dyDescent="0.3">
      <c r="A616" t="s">
        <v>52</v>
      </c>
      <c r="B616" t="s">
        <v>53</v>
      </c>
      <c r="C616" t="s">
        <v>54</v>
      </c>
      <c r="D616" t="s">
        <v>55</v>
      </c>
      <c r="E616" t="s">
        <v>788</v>
      </c>
      <c r="F616" t="s">
        <v>176</v>
      </c>
      <c r="G616" t="s">
        <v>506</v>
      </c>
      <c r="H616" t="s">
        <v>507</v>
      </c>
      <c r="I616" t="s">
        <v>507</v>
      </c>
      <c r="J616" t="s">
        <v>60</v>
      </c>
      <c r="K616" t="s">
        <v>219</v>
      </c>
      <c r="L616" t="s">
        <v>62</v>
      </c>
      <c r="M616" t="s">
        <v>219</v>
      </c>
      <c r="N616" t="s">
        <v>508</v>
      </c>
      <c r="O616" t="s">
        <v>509</v>
      </c>
      <c r="P616">
        <v>-19.663573</v>
      </c>
      <c r="Q616">
        <v>-43.884306000000002</v>
      </c>
      <c r="R616" s="2" t="str">
        <f>HYPERLINK("https://www.google.com/maps?q=-19.6635730,-43.8843060","Abrir no Google Maps")</f>
        <v>Abrir no Google Maps</v>
      </c>
      <c r="S616">
        <v>3</v>
      </c>
      <c r="T616">
        <v>1293.040666597964</v>
      </c>
      <c r="U616">
        <v>3</v>
      </c>
      <c r="V616">
        <v>17</v>
      </c>
      <c r="W616">
        <v>1</v>
      </c>
      <c r="X616">
        <v>17</v>
      </c>
      <c r="Y616">
        <v>1</v>
      </c>
      <c r="Z616">
        <v>649.69199246551727</v>
      </c>
      <c r="AA616">
        <v>2</v>
      </c>
      <c r="AB616">
        <v>3</v>
      </c>
      <c r="AC616">
        <v>7</v>
      </c>
      <c r="AD616">
        <v>24.35</v>
      </c>
      <c r="AE616">
        <v>253</v>
      </c>
      <c r="AF616">
        <v>13</v>
      </c>
      <c r="AG616">
        <v>62</v>
      </c>
      <c r="AH616">
        <v>32</v>
      </c>
      <c r="AI616">
        <v>5.14</v>
      </c>
      <c r="AJ616">
        <v>24.51</v>
      </c>
      <c r="AK616">
        <v>12.65</v>
      </c>
      <c r="AL616">
        <v>-19.663616899999969</v>
      </c>
      <c r="AM616">
        <v>-43.884279937960187</v>
      </c>
      <c r="AN616">
        <v>-19.663616899999969</v>
      </c>
      <c r="AO616">
        <v>-43.884279937960187</v>
      </c>
      <c r="AP616">
        <v>-19.663573</v>
      </c>
      <c r="AQ616">
        <v>-43.884306000000002</v>
      </c>
      <c r="AR616">
        <v>5.5987767285658263</v>
      </c>
      <c r="AS616" t="s">
        <v>65</v>
      </c>
      <c r="AT616">
        <v>1</v>
      </c>
      <c r="AU616" t="s">
        <v>510</v>
      </c>
      <c r="AV616" t="s">
        <v>511</v>
      </c>
      <c r="AW616" t="s">
        <v>60</v>
      </c>
      <c r="AX616" t="s">
        <v>68</v>
      </c>
      <c r="AY616" t="s">
        <v>69</v>
      </c>
      <c r="AZ616" t="b">
        <v>1</v>
      </c>
    </row>
    <row r="617" spans="1:52" x14ac:dyDescent="0.3">
      <c r="A617" t="s">
        <v>52</v>
      </c>
      <c r="B617" t="s">
        <v>53</v>
      </c>
      <c r="C617" t="s">
        <v>54</v>
      </c>
      <c r="D617" t="s">
        <v>55</v>
      </c>
      <c r="E617" t="s">
        <v>788</v>
      </c>
      <c r="F617" t="s">
        <v>512</v>
      </c>
      <c r="G617" t="s">
        <v>58</v>
      </c>
      <c r="H617" t="s">
        <v>59</v>
      </c>
      <c r="I617" t="s">
        <v>59</v>
      </c>
      <c r="J617" t="s">
        <v>60</v>
      </c>
      <c r="K617" t="s">
        <v>61</v>
      </c>
      <c r="L617" t="s">
        <v>62</v>
      </c>
      <c r="M617" t="s">
        <v>61</v>
      </c>
      <c r="N617" t="s">
        <v>63</v>
      </c>
      <c r="O617" t="s">
        <v>64</v>
      </c>
      <c r="P617">
        <v>-19.631502000000001</v>
      </c>
      <c r="Q617">
        <v>-43.910241999999997</v>
      </c>
      <c r="R617" s="2" t="str">
        <f>HYPERLINK("https://www.google.com/maps?q=-19.6315020,-43.9102420","Abrir no Google Maps")</f>
        <v>Abrir no Google Maps</v>
      </c>
      <c r="S617">
        <v>4</v>
      </c>
      <c r="T617">
        <v>789.20099406682743</v>
      </c>
      <c r="U617">
        <v>4</v>
      </c>
      <c r="V617">
        <v>36</v>
      </c>
      <c r="W617">
        <v>1</v>
      </c>
      <c r="X617">
        <v>36</v>
      </c>
      <c r="Y617">
        <v>10</v>
      </c>
      <c r="Z617">
        <v>691.44930074509864</v>
      </c>
      <c r="AA617">
        <v>2</v>
      </c>
      <c r="AB617">
        <v>3</v>
      </c>
      <c r="AC617">
        <v>7</v>
      </c>
      <c r="AD617">
        <v>24.35</v>
      </c>
      <c r="AE617">
        <v>253</v>
      </c>
      <c r="AF617">
        <v>13</v>
      </c>
      <c r="AG617">
        <v>62</v>
      </c>
      <c r="AH617">
        <v>32</v>
      </c>
      <c r="AI617">
        <v>5.14</v>
      </c>
      <c r="AJ617">
        <v>24.51</v>
      </c>
      <c r="AK617">
        <v>12.65</v>
      </c>
      <c r="AL617">
        <v>-19.631719749999949</v>
      </c>
      <c r="AM617">
        <v>-43.910102324517517</v>
      </c>
      <c r="AN617">
        <v>-19.631719749999949</v>
      </c>
      <c r="AO617">
        <v>-43.910102324517517</v>
      </c>
      <c r="AP617">
        <v>-19.631502000000001</v>
      </c>
      <c r="AQ617">
        <v>-43.910241999999997</v>
      </c>
      <c r="AR617">
        <v>28.320416429206599</v>
      </c>
      <c r="AS617" t="s">
        <v>65</v>
      </c>
      <c r="AT617">
        <v>1</v>
      </c>
      <c r="AU617" t="s">
        <v>66</v>
      </c>
      <c r="AV617" t="s">
        <v>67</v>
      </c>
      <c r="AW617" t="s">
        <v>60</v>
      </c>
      <c r="AX617" t="s">
        <v>68</v>
      </c>
      <c r="AY617" t="s">
        <v>69</v>
      </c>
      <c r="AZ617" t="b">
        <v>1</v>
      </c>
    </row>
    <row r="618" spans="1:52" x14ac:dyDescent="0.3">
      <c r="A618" t="s">
        <v>52</v>
      </c>
      <c r="B618" t="s">
        <v>53</v>
      </c>
      <c r="C618" t="s">
        <v>54</v>
      </c>
      <c r="D618" t="s">
        <v>55</v>
      </c>
      <c r="E618" t="s">
        <v>788</v>
      </c>
      <c r="F618" t="s">
        <v>512</v>
      </c>
      <c r="G618" t="s">
        <v>77</v>
      </c>
      <c r="H618" t="s">
        <v>78</v>
      </c>
      <c r="I618" t="s">
        <v>78</v>
      </c>
      <c r="J618" t="s">
        <v>60</v>
      </c>
      <c r="K618" t="s">
        <v>79</v>
      </c>
      <c r="L618" t="s">
        <v>62</v>
      </c>
      <c r="M618" t="s">
        <v>79</v>
      </c>
      <c r="N618" t="s">
        <v>80</v>
      </c>
      <c r="O618" t="s">
        <v>81</v>
      </c>
      <c r="P618">
        <v>-19.632463999999999</v>
      </c>
      <c r="Q618">
        <v>-43.904927999999998</v>
      </c>
      <c r="R618" s="2" t="str">
        <f>HYPERLINK("https://www.google.com/maps?q=-19.6324640,-43.9049280","Abrir no Google Maps")</f>
        <v>Abrir no Google Maps</v>
      </c>
      <c r="S618">
        <v>4</v>
      </c>
      <c r="T618">
        <v>244.1735197453369</v>
      </c>
      <c r="U618">
        <v>3</v>
      </c>
      <c r="V618">
        <v>12</v>
      </c>
      <c r="W618">
        <v>1</v>
      </c>
      <c r="X618">
        <v>12</v>
      </c>
      <c r="Y618">
        <v>10</v>
      </c>
      <c r="Z618">
        <v>287.26068152447448</v>
      </c>
      <c r="AA618">
        <v>2</v>
      </c>
      <c r="AB618">
        <v>3</v>
      </c>
      <c r="AC618">
        <v>7</v>
      </c>
      <c r="AD618">
        <v>24.35</v>
      </c>
      <c r="AE618">
        <v>253</v>
      </c>
      <c r="AF618">
        <v>13</v>
      </c>
      <c r="AG618">
        <v>62</v>
      </c>
      <c r="AH618">
        <v>32</v>
      </c>
      <c r="AI618">
        <v>5.14</v>
      </c>
      <c r="AJ618">
        <v>24.51</v>
      </c>
      <c r="AK618">
        <v>12.65</v>
      </c>
      <c r="AL618">
        <v>-19.63247099999996</v>
      </c>
      <c r="AM618">
        <v>-43.904964174285787</v>
      </c>
      <c r="AN618">
        <v>-19.63247099999996</v>
      </c>
      <c r="AO618">
        <v>-43.904964174285787</v>
      </c>
      <c r="AP618">
        <v>-19.632463999999999</v>
      </c>
      <c r="AQ618">
        <v>-43.904927999999998</v>
      </c>
      <c r="AR618">
        <v>3.8720457500200469</v>
      </c>
      <c r="AS618" t="s">
        <v>65</v>
      </c>
      <c r="AT618">
        <v>1</v>
      </c>
      <c r="AU618" t="s">
        <v>82</v>
      </c>
      <c r="AV618" t="s">
        <v>83</v>
      </c>
      <c r="AW618" t="s">
        <v>60</v>
      </c>
      <c r="AX618" t="s">
        <v>68</v>
      </c>
      <c r="AY618" t="s">
        <v>69</v>
      </c>
      <c r="AZ618" t="b">
        <v>1</v>
      </c>
    </row>
    <row r="619" spans="1:52" x14ac:dyDescent="0.3">
      <c r="A619" t="s">
        <v>52</v>
      </c>
      <c r="B619" t="s">
        <v>53</v>
      </c>
      <c r="C619" t="s">
        <v>54</v>
      </c>
      <c r="D619" t="s">
        <v>55</v>
      </c>
      <c r="E619" t="s">
        <v>788</v>
      </c>
      <c r="F619" t="s">
        <v>512</v>
      </c>
      <c r="G619" t="s">
        <v>91</v>
      </c>
      <c r="H619" t="s">
        <v>92</v>
      </c>
      <c r="I619" t="s">
        <v>92</v>
      </c>
      <c r="J619" t="s">
        <v>60</v>
      </c>
      <c r="K619" t="s">
        <v>86</v>
      </c>
      <c r="L619" t="s">
        <v>62</v>
      </c>
      <c r="M619" t="s">
        <v>86</v>
      </c>
      <c r="N619" t="s">
        <v>93</v>
      </c>
      <c r="O619" t="s">
        <v>94</v>
      </c>
      <c r="P619">
        <v>-19.630676999999999</v>
      </c>
      <c r="Q619">
        <v>-43.907255999999997</v>
      </c>
      <c r="R619" s="2" t="str">
        <f>HYPERLINK("https://www.google.com/maps?q=-19.6306770,-43.9072560","Abrir no Google Maps")</f>
        <v>Abrir no Google Maps</v>
      </c>
      <c r="S619">
        <v>4</v>
      </c>
      <c r="T619">
        <v>545.39374622597825</v>
      </c>
      <c r="U619">
        <v>3</v>
      </c>
      <c r="V619">
        <v>11</v>
      </c>
      <c r="W619">
        <v>1</v>
      </c>
      <c r="X619">
        <v>11</v>
      </c>
      <c r="Y619">
        <v>10</v>
      </c>
      <c r="Z619">
        <v>559.94033759457182</v>
      </c>
      <c r="AA619">
        <v>2</v>
      </c>
      <c r="AB619">
        <v>3</v>
      </c>
      <c r="AC619">
        <v>7</v>
      </c>
      <c r="AD619">
        <v>24.35</v>
      </c>
      <c r="AE619">
        <v>253</v>
      </c>
      <c r="AF619">
        <v>13</v>
      </c>
      <c r="AG619">
        <v>62</v>
      </c>
      <c r="AH619">
        <v>32</v>
      </c>
      <c r="AI619">
        <v>5.14</v>
      </c>
      <c r="AJ619">
        <v>24.51</v>
      </c>
      <c r="AK619">
        <v>12.65</v>
      </c>
      <c r="AL619">
        <v>-19.630448649999941</v>
      </c>
      <c r="AM619">
        <v>-43.907268502495313</v>
      </c>
      <c r="AN619">
        <v>-19.630448649999941</v>
      </c>
      <c r="AO619">
        <v>-43.907268502495313</v>
      </c>
      <c r="AP619">
        <v>-19.630676999999999</v>
      </c>
      <c r="AQ619">
        <v>-43.907255999999997</v>
      </c>
      <c r="AR619">
        <v>25.453700276562468</v>
      </c>
      <c r="AS619" t="s">
        <v>65</v>
      </c>
      <c r="AT619">
        <v>1</v>
      </c>
      <c r="AU619" t="s">
        <v>95</v>
      </c>
      <c r="AV619" t="s">
        <v>96</v>
      </c>
      <c r="AW619" t="s">
        <v>60</v>
      </c>
      <c r="AX619" t="s">
        <v>68</v>
      </c>
      <c r="AY619" t="s">
        <v>69</v>
      </c>
      <c r="AZ619" t="b">
        <v>1</v>
      </c>
    </row>
    <row r="620" spans="1:52" x14ac:dyDescent="0.3">
      <c r="A620" t="s">
        <v>52</v>
      </c>
      <c r="B620" t="s">
        <v>53</v>
      </c>
      <c r="C620" t="s">
        <v>54</v>
      </c>
      <c r="D620" t="s">
        <v>55</v>
      </c>
      <c r="E620" t="s">
        <v>788</v>
      </c>
      <c r="F620" t="s">
        <v>512</v>
      </c>
      <c r="G620" t="s">
        <v>97</v>
      </c>
      <c r="H620" t="s">
        <v>98</v>
      </c>
      <c r="I620" t="s">
        <v>98</v>
      </c>
      <c r="J620" t="s">
        <v>60</v>
      </c>
      <c r="K620" t="s">
        <v>99</v>
      </c>
      <c r="L620" t="s">
        <v>62</v>
      </c>
      <c r="M620" t="s">
        <v>99</v>
      </c>
      <c r="N620" t="s">
        <v>100</v>
      </c>
      <c r="O620" t="s">
        <v>101</v>
      </c>
      <c r="P620">
        <v>-19.629822000000001</v>
      </c>
      <c r="Q620">
        <v>-43.905341</v>
      </c>
      <c r="R620" s="2" t="str">
        <f>HYPERLINK("https://www.google.com/maps?q=-19.6298220,-43.9053410","Abrir no Google Maps")</f>
        <v>Abrir no Google Maps</v>
      </c>
      <c r="S620">
        <v>4</v>
      </c>
      <c r="T620">
        <v>441.30597341744129</v>
      </c>
      <c r="U620">
        <v>3</v>
      </c>
      <c r="V620">
        <v>16</v>
      </c>
      <c r="W620">
        <v>1</v>
      </c>
      <c r="X620">
        <v>16</v>
      </c>
      <c r="Y620">
        <v>10</v>
      </c>
      <c r="Z620">
        <v>513.56493751010987</v>
      </c>
      <c r="AA620">
        <v>2</v>
      </c>
      <c r="AB620">
        <v>3</v>
      </c>
      <c r="AC620">
        <v>7</v>
      </c>
      <c r="AD620">
        <v>24.35</v>
      </c>
      <c r="AE620">
        <v>253</v>
      </c>
      <c r="AF620">
        <v>13</v>
      </c>
      <c r="AG620">
        <v>62</v>
      </c>
      <c r="AH620">
        <v>32</v>
      </c>
      <c r="AI620">
        <v>5.14</v>
      </c>
      <c r="AJ620">
        <v>24.51</v>
      </c>
      <c r="AK620">
        <v>12.65</v>
      </c>
      <c r="AL620">
        <v>-19.629671599999941</v>
      </c>
      <c r="AM620">
        <v>-43.905369597920988</v>
      </c>
      <c r="AN620">
        <v>-19.629671599999931</v>
      </c>
      <c r="AO620">
        <v>-43.905369597920988</v>
      </c>
      <c r="AP620">
        <v>-19.629822000000001</v>
      </c>
      <c r="AQ620">
        <v>-43.905341</v>
      </c>
      <c r="AR620">
        <v>17.008917699186132</v>
      </c>
      <c r="AS620" t="s">
        <v>65</v>
      </c>
      <c r="AT620">
        <v>1</v>
      </c>
      <c r="AU620" t="s">
        <v>102</v>
      </c>
      <c r="AV620" t="s">
        <v>103</v>
      </c>
      <c r="AW620" t="s">
        <v>60</v>
      </c>
      <c r="AX620" t="s">
        <v>68</v>
      </c>
      <c r="AY620" t="s">
        <v>69</v>
      </c>
      <c r="AZ620" t="b">
        <v>1</v>
      </c>
    </row>
    <row r="621" spans="1:52" x14ac:dyDescent="0.3">
      <c r="A621" t="s">
        <v>52</v>
      </c>
      <c r="B621" t="s">
        <v>53</v>
      </c>
      <c r="C621" t="s">
        <v>54</v>
      </c>
      <c r="D621" t="s">
        <v>55</v>
      </c>
      <c r="E621" t="s">
        <v>788</v>
      </c>
      <c r="F621" t="s">
        <v>512</v>
      </c>
      <c r="G621" t="s">
        <v>513</v>
      </c>
      <c r="H621" t="s">
        <v>514</v>
      </c>
      <c r="I621" t="s">
        <v>514</v>
      </c>
      <c r="J621" t="s">
        <v>60</v>
      </c>
      <c r="K621" t="s">
        <v>185</v>
      </c>
      <c r="L621" t="s">
        <v>62</v>
      </c>
      <c r="M621" t="s">
        <v>185</v>
      </c>
      <c r="N621" t="s">
        <v>515</v>
      </c>
      <c r="O621" t="s">
        <v>516</v>
      </c>
      <c r="P621">
        <v>-19.63184</v>
      </c>
      <c r="Q621">
        <v>-43.899625999999998</v>
      </c>
      <c r="R621" s="2" t="str">
        <f>HYPERLINK("https://www.google.com/maps?q=-19.6318400,-43.8996260","Abrir no Google Maps")</f>
        <v>Abrir no Google Maps</v>
      </c>
      <c r="S621">
        <v>4</v>
      </c>
      <c r="T621">
        <v>317.05369638212568</v>
      </c>
      <c r="U621">
        <v>2</v>
      </c>
      <c r="V621">
        <v>10</v>
      </c>
      <c r="W621">
        <v>0.85</v>
      </c>
      <c r="X621">
        <v>8.5</v>
      </c>
      <c r="Y621">
        <v>10</v>
      </c>
      <c r="Z621">
        <v>467.39112963581732</v>
      </c>
      <c r="AA621">
        <v>2</v>
      </c>
      <c r="AB621">
        <v>3</v>
      </c>
      <c r="AC621">
        <v>7</v>
      </c>
      <c r="AD621">
        <v>24.35</v>
      </c>
      <c r="AE621">
        <v>253</v>
      </c>
      <c r="AF621">
        <v>13</v>
      </c>
      <c r="AG621">
        <v>62</v>
      </c>
      <c r="AH621">
        <v>32</v>
      </c>
      <c r="AI621">
        <v>5.14</v>
      </c>
      <c r="AJ621">
        <v>24.51</v>
      </c>
      <c r="AK621">
        <v>12.65</v>
      </c>
      <c r="AL621">
        <v>-19.631819699999941</v>
      </c>
      <c r="AM621">
        <v>-43.89977767057065</v>
      </c>
      <c r="AN621">
        <v>-19.631819699999941</v>
      </c>
      <c r="AO621">
        <v>-43.89977767057065</v>
      </c>
      <c r="AP621">
        <v>-19.63184</v>
      </c>
      <c r="AQ621">
        <v>-43.899625999999998</v>
      </c>
      <c r="AR621">
        <v>16.062279375806241</v>
      </c>
      <c r="AS621" t="s">
        <v>65</v>
      </c>
      <c r="AT621">
        <v>1</v>
      </c>
      <c r="AU621" t="s">
        <v>517</v>
      </c>
      <c r="AV621" t="s">
        <v>518</v>
      </c>
      <c r="AW621" t="s">
        <v>60</v>
      </c>
      <c r="AX621" t="s">
        <v>68</v>
      </c>
      <c r="AY621" t="s">
        <v>69</v>
      </c>
      <c r="AZ621" t="b">
        <v>1</v>
      </c>
    </row>
    <row r="622" spans="1:52" x14ac:dyDescent="0.3">
      <c r="A622" t="s">
        <v>52</v>
      </c>
      <c r="B622" t="s">
        <v>53</v>
      </c>
      <c r="C622" t="s">
        <v>54</v>
      </c>
      <c r="D622" t="s">
        <v>55</v>
      </c>
      <c r="E622" t="s">
        <v>788</v>
      </c>
      <c r="F622" t="s">
        <v>512</v>
      </c>
      <c r="G622" t="s">
        <v>70</v>
      </c>
      <c r="H622" t="s">
        <v>71</v>
      </c>
      <c r="I622" t="s">
        <v>71</v>
      </c>
      <c r="J622" t="s">
        <v>60</v>
      </c>
      <c r="K622" t="s">
        <v>72</v>
      </c>
      <c r="L622" t="s">
        <v>62</v>
      </c>
      <c r="M622" t="s">
        <v>72</v>
      </c>
      <c r="N622" t="s">
        <v>73</v>
      </c>
      <c r="O622" t="s">
        <v>74</v>
      </c>
      <c r="P622">
        <v>-19.632581999999999</v>
      </c>
      <c r="Q622">
        <v>-43.902416000000002</v>
      </c>
      <c r="R622" s="2" t="str">
        <f>HYPERLINK("https://www.google.com/maps?q=-19.6325820,-43.9024160","Abrir no Google Maps")</f>
        <v>Abrir no Google Maps</v>
      </c>
      <c r="S622">
        <v>4</v>
      </c>
      <c r="T622">
        <v>0</v>
      </c>
      <c r="U622">
        <v>2</v>
      </c>
      <c r="V622">
        <v>7</v>
      </c>
      <c r="W622">
        <v>1</v>
      </c>
      <c r="X622">
        <v>7</v>
      </c>
      <c r="Y622">
        <v>10</v>
      </c>
      <c r="Z622">
        <v>146.6968158874696</v>
      </c>
      <c r="AA622">
        <v>2</v>
      </c>
      <c r="AB622">
        <v>3</v>
      </c>
      <c r="AC622">
        <v>7</v>
      </c>
      <c r="AD622">
        <v>24.35</v>
      </c>
      <c r="AE622">
        <v>253</v>
      </c>
      <c r="AF622">
        <v>13</v>
      </c>
      <c r="AG622">
        <v>62</v>
      </c>
      <c r="AH622">
        <v>32</v>
      </c>
      <c r="AI622">
        <v>5.14</v>
      </c>
      <c r="AJ622">
        <v>24.51</v>
      </c>
      <c r="AK622">
        <v>12.65</v>
      </c>
      <c r="AL622">
        <v>-19.63271449999996</v>
      </c>
      <c r="AM622">
        <v>-43.902649897389402</v>
      </c>
      <c r="AN622">
        <v>-19.63271449999996</v>
      </c>
      <c r="AO622">
        <v>-43.902649897389402</v>
      </c>
      <c r="AP622">
        <v>-19.632581999999999</v>
      </c>
      <c r="AQ622">
        <v>-43.902416000000002</v>
      </c>
      <c r="AR622">
        <v>28.617753432996459</v>
      </c>
      <c r="AS622" t="s">
        <v>65</v>
      </c>
      <c r="AT622">
        <v>1</v>
      </c>
      <c r="AU622" t="s">
        <v>75</v>
      </c>
      <c r="AV622" t="s">
        <v>76</v>
      </c>
      <c r="AW622" t="s">
        <v>60</v>
      </c>
      <c r="AX622" t="s">
        <v>68</v>
      </c>
      <c r="AY622" t="s">
        <v>69</v>
      </c>
      <c r="AZ622" t="b">
        <v>1</v>
      </c>
    </row>
    <row r="623" spans="1:52" x14ac:dyDescent="0.3">
      <c r="A623" t="s">
        <v>52</v>
      </c>
      <c r="B623" t="s">
        <v>53</v>
      </c>
      <c r="C623" t="s">
        <v>54</v>
      </c>
      <c r="D623" t="s">
        <v>55</v>
      </c>
      <c r="E623" t="s">
        <v>788</v>
      </c>
      <c r="F623" t="s">
        <v>512</v>
      </c>
      <c r="G623" t="s">
        <v>84</v>
      </c>
      <c r="H623" t="s">
        <v>85</v>
      </c>
      <c r="I623" t="s">
        <v>85</v>
      </c>
      <c r="J623" t="s">
        <v>60</v>
      </c>
      <c r="K623" t="s">
        <v>86</v>
      </c>
      <c r="L623" t="s">
        <v>62</v>
      </c>
      <c r="M623" t="s">
        <v>86</v>
      </c>
      <c r="N623" t="s">
        <v>87</v>
      </c>
      <c r="O623" t="s">
        <v>88</v>
      </c>
      <c r="P623">
        <v>-19.629436999999999</v>
      </c>
      <c r="Q623">
        <v>-43.910398999999998</v>
      </c>
      <c r="R623" s="2" t="str">
        <f>HYPERLINK("https://www.google.com/maps?q=-19.6294370,-43.9103990","Abrir no Google Maps")</f>
        <v>Abrir no Google Maps</v>
      </c>
      <c r="S623">
        <v>4</v>
      </c>
      <c r="T623">
        <v>888.82060643108082</v>
      </c>
      <c r="U623">
        <v>2</v>
      </c>
      <c r="V623">
        <v>9</v>
      </c>
      <c r="W623">
        <v>1</v>
      </c>
      <c r="X623">
        <v>9</v>
      </c>
      <c r="Y623">
        <v>10</v>
      </c>
      <c r="Z623">
        <v>867.42797341651737</v>
      </c>
      <c r="AA623">
        <v>2</v>
      </c>
      <c r="AB623">
        <v>3</v>
      </c>
      <c r="AC623">
        <v>7</v>
      </c>
      <c r="AD623">
        <v>24.35</v>
      </c>
      <c r="AE623">
        <v>253</v>
      </c>
      <c r="AF623">
        <v>13</v>
      </c>
      <c r="AG623">
        <v>62</v>
      </c>
      <c r="AH623">
        <v>32</v>
      </c>
      <c r="AI623">
        <v>5.14</v>
      </c>
      <c r="AJ623">
        <v>24.51</v>
      </c>
      <c r="AK623">
        <v>12.65</v>
      </c>
      <c r="AL623">
        <v>-19.62934694999996</v>
      </c>
      <c r="AM623">
        <v>-43.910344699357317</v>
      </c>
      <c r="AN623">
        <v>-19.62934694999996</v>
      </c>
      <c r="AO623">
        <v>-43.910344699357331</v>
      </c>
      <c r="AP623">
        <v>-19.629436999999999</v>
      </c>
      <c r="AQ623">
        <v>-43.910398999999998</v>
      </c>
      <c r="AR623">
        <v>11.52837377953678</v>
      </c>
      <c r="AS623" t="s">
        <v>65</v>
      </c>
      <c r="AT623">
        <v>1</v>
      </c>
      <c r="AU623" t="s">
        <v>89</v>
      </c>
      <c r="AV623" t="s">
        <v>90</v>
      </c>
      <c r="AW623" t="s">
        <v>60</v>
      </c>
      <c r="AX623" t="s">
        <v>68</v>
      </c>
      <c r="AY623" t="s">
        <v>69</v>
      </c>
      <c r="AZ623" t="b">
        <v>1</v>
      </c>
    </row>
    <row r="624" spans="1:52" x14ac:dyDescent="0.3">
      <c r="A624" t="s">
        <v>52</v>
      </c>
      <c r="B624" t="s">
        <v>53</v>
      </c>
      <c r="C624" t="s">
        <v>54</v>
      </c>
      <c r="D624" t="s">
        <v>55</v>
      </c>
      <c r="E624" t="s">
        <v>788</v>
      </c>
      <c r="F624" t="s">
        <v>512</v>
      </c>
      <c r="G624" t="s">
        <v>519</v>
      </c>
      <c r="H624" t="s">
        <v>520</v>
      </c>
      <c r="I624" t="s">
        <v>520</v>
      </c>
      <c r="J624" t="s">
        <v>60</v>
      </c>
      <c r="K624" t="s">
        <v>72</v>
      </c>
      <c r="L624" t="s">
        <v>62</v>
      </c>
      <c r="M624" t="s">
        <v>72</v>
      </c>
      <c r="N624" t="s">
        <v>521</v>
      </c>
      <c r="O624" t="s">
        <v>522</v>
      </c>
      <c r="P624">
        <v>-19.634713000000001</v>
      </c>
      <c r="Q624">
        <v>-43.908909999999999</v>
      </c>
      <c r="R624" s="2" t="str">
        <f>HYPERLINK("https://www.google.com/maps?q=-19.6347130,-43.9089100","Abrir no Google Maps")</f>
        <v>Abrir no Google Maps</v>
      </c>
      <c r="S624">
        <v>4</v>
      </c>
      <c r="T624">
        <v>700.74700083720154</v>
      </c>
      <c r="U624">
        <v>1</v>
      </c>
      <c r="V624">
        <v>4</v>
      </c>
      <c r="W624">
        <v>0.85</v>
      </c>
      <c r="X624">
        <v>3.4</v>
      </c>
      <c r="Y624">
        <v>10</v>
      </c>
      <c r="Z624">
        <v>557.86159429038207</v>
      </c>
      <c r="AA624">
        <v>2</v>
      </c>
      <c r="AB624">
        <v>3</v>
      </c>
      <c r="AC624">
        <v>7</v>
      </c>
      <c r="AD624">
        <v>24.35</v>
      </c>
      <c r="AE624">
        <v>253</v>
      </c>
      <c r="AF624">
        <v>13</v>
      </c>
      <c r="AG624">
        <v>62</v>
      </c>
      <c r="AH624">
        <v>32</v>
      </c>
      <c r="AI624">
        <v>5.14</v>
      </c>
      <c r="AJ624">
        <v>24.51</v>
      </c>
      <c r="AK624">
        <v>12.65</v>
      </c>
      <c r="AL624">
        <v>-19.634626949999959</v>
      </c>
      <c r="AM624">
        <v>-43.909020333181857</v>
      </c>
      <c r="AN624">
        <v>-19.634626949999959</v>
      </c>
      <c r="AO624">
        <v>-43.909020333181857</v>
      </c>
      <c r="AP624">
        <v>-19.634713000000001</v>
      </c>
      <c r="AQ624">
        <v>-43.908909999999999</v>
      </c>
      <c r="AR624">
        <v>15.01933861967664</v>
      </c>
      <c r="AS624" t="s">
        <v>65</v>
      </c>
      <c r="AT624">
        <v>1</v>
      </c>
      <c r="AU624" t="s">
        <v>523</v>
      </c>
      <c r="AV624" t="s">
        <v>524</v>
      </c>
      <c r="AW624" t="s">
        <v>60</v>
      </c>
      <c r="AX624" t="s">
        <v>68</v>
      </c>
      <c r="AY624" t="s">
        <v>69</v>
      </c>
      <c r="AZ624" t="b">
        <v>1</v>
      </c>
    </row>
    <row r="625" spans="1:52" x14ac:dyDescent="0.3">
      <c r="A625" t="s">
        <v>52</v>
      </c>
      <c r="B625" t="s">
        <v>53</v>
      </c>
      <c r="C625" t="s">
        <v>54</v>
      </c>
      <c r="D625" t="s">
        <v>55</v>
      </c>
      <c r="E625" t="s">
        <v>788</v>
      </c>
      <c r="F625" t="s">
        <v>512</v>
      </c>
      <c r="G625" t="s">
        <v>525</v>
      </c>
      <c r="H625" t="s">
        <v>526</v>
      </c>
      <c r="I625" t="s">
        <v>526</v>
      </c>
      <c r="J625" t="s">
        <v>60</v>
      </c>
      <c r="K625" t="s">
        <v>286</v>
      </c>
      <c r="L625" t="s">
        <v>62</v>
      </c>
      <c r="M625" t="s">
        <v>286</v>
      </c>
      <c r="N625" t="s">
        <v>527</v>
      </c>
      <c r="O625" t="s">
        <v>113</v>
      </c>
      <c r="P625">
        <v>-19.629049999999999</v>
      </c>
      <c r="Q625">
        <v>-43.887543000000001</v>
      </c>
      <c r="R625" s="2" t="str">
        <f>HYPERLINK("https://www.google.com/maps?q=-19.6290500,-43.8875430","Abrir no Google Maps")</f>
        <v>Abrir no Google Maps</v>
      </c>
      <c r="S625">
        <v>3</v>
      </c>
      <c r="T625">
        <v>420.9244758141914</v>
      </c>
      <c r="U625">
        <v>3</v>
      </c>
      <c r="V625">
        <v>12</v>
      </c>
      <c r="W625">
        <v>0.85</v>
      </c>
      <c r="X625">
        <v>10.199999999999999</v>
      </c>
      <c r="Y625">
        <v>18</v>
      </c>
      <c r="Z625">
        <v>298.16529694300579</v>
      </c>
      <c r="AA625">
        <v>2</v>
      </c>
      <c r="AB625">
        <v>3</v>
      </c>
      <c r="AC625">
        <v>7</v>
      </c>
      <c r="AD625">
        <v>24.35</v>
      </c>
      <c r="AE625">
        <v>253</v>
      </c>
      <c r="AF625">
        <v>13</v>
      </c>
      <c r="AG625">
        <v>62</v>
      </c>
      <c r="AH625">
        <v>32</v>
      </c>
      <c r="AI625">
        <v>5.14</v>
      </c>
      <c r="AJ625">
        <v>24.51</v>
      </c>
      <c r="AK625">
        <v>12.65</v>
      </c>
      <c r="AL625">
        <v>-19.62914789999996</v>
      </c>
      <c r="AM625">
        <v>-43.887659532387332</v>
      </c>
      <c r="AN625">
        <v>-19.62914789999996</v>
      </c>
      <c r="AO625">
        <v>-43.887659532387332</v>
      </c>
      <c r="AP625">
        <v>-19.629049999999999</v>
      </c>
      <c r="AQ625">
        <v>-43.887543000000001</v>
      </c>
      <c r="AR625">
        <v>16.372645779361299</v>
      </c>
      <c r="AS625" t="s">
        <v>65</v>
      </c>
      <c r="AT625">
        <v>1</v>
      </c>
      <c r="AU625" t="s">
        <v>528</v>
      </c>
      <c r="AV625" t="s">
        <v>529</v>
      </c>
      <c r="AW625" t="s">
        <v>60</v>
      </c>
      <c r="AX625" t="s">
        <v>68</v>
      </c>
      <c r="AY625" t="s">
        <v>69</v>
      </c>
      <c r="AZ625" t="b">
        <v>1</v>
      </c>
    </row>
    <row r="626" spans="1:52" x14ac:dyDescent="0.3">
      <c r="A626" t="s">
        <v>52</v>
      </c>
      <c r="B626" t="s">
        <v>53</v>
      </c>
      <c r="C626" t="s">
        <v>54</v>
      </c>
      <c r="D626" t="s">
        <v>55</v>
      </c>
      <c r="E626" t="s">
        <v>788</v>
      </c>
      <c r="F626" t="s">
        <v>512</v>
      </c>
      <c r="G626" t="s">
        <v>394</v>
      </c>
      <c r="H626" t="s">
        <v>395</v>
      </c>
      <c r="I626" t="s">
        <v>395</v>
      </c>
      <c r="J626" t="s">
        <v>60</v>
      </c>
      <c r="K626" t="s">
        <v>286</v>
      </c>
      <c r="L626" t="s">
        <v>62</v>
      </c>
      <c r="M626" t="s">
        <v>286</v>
      </c>
      <c r="N626" t="s">
        <v>396</v>
      </c>
      <c r="O626" t="s">
        <v>88</v>
      </c>
      <c r="P626">
        <v>-19.636932999999999</v>
      </c>
      <c r="Q626">
        <v>-43.882691999999999</v>
      </c>
      <c r="R626" s="2" t="str">
        <f>HYPERLINK("https://www.google.com/maps?q=-19.6369330,-43.8826920","Abrir no Google Maps")</f>
        <v>Abrir no Google Maps</v>
      </c>
      <c r="S626">
        <v>3</v>
      </c>
      <c r="T626">
        <v>523.52675813688109</v>
      </c>
      <c r="U626">
        <v>3</v>
      </c>
      <c r="V626">
        <v>16</v>
      </c>
      <c r="W626">
        <v>1</v>
      </c>
      <c r="X626">
        <v>16</v>
      </c>
      <c r="Y626">
        <v>10</v>
      </c>
      <c r="Z626">
        <v>372.58135532659509</v>
      </c>
      <c r="AA626">
        <v>2</v>
      </c>
      <c r="AB626">
        <v>3</v>
      </c>
      <c r="AC626">
        <v>7</v>
      </c>
      <c r="AD626">
        <v>24.35</v>
      </c>
      <c r="AE626">
        <v>253</v>
      </c>
      <c r="AF626">
        <v>13</v>
      </c>
      <c r="AG626">
        <v>62</v>
      </c>
      <c r="AH626">
        <v>32</v>
      </c>
      <c r="AI626">
        <v>5.14</v>
      </c>
      <c r="AJ626">
        <v>24.51</v>
      </c>
      <c r="AK626">
        <v>12.65</v>
      </c>
      <c r="AL626">
        <v>-19.637159949999951</v>
      </c>
      <c r="AM626">
        <v>-43.882643289441461</v>
      </c>
      <c r="AN626">
        <v>-19.637159949999951</v>
      </c>
      <c r="AO626">
        <v>-43.882643289441461</v>
      </c>
      <c r="AP626">
        <v>-19.636932999999999</v>
      </c>
      <c r="AQ626">
        <v>-43.882691999999999</v>
      </c>
      <c r="AR626">
        <v>25.775099947452478</v>
      </c>
      <c r="AS626" t="s">
        <v>65</v>
      </c>
      <c r="AT626">
        <v>1</v>
      </c>
      <c r="AU626" t="s">
        <v>397</v>
      </c>
      <c r="AV626" t="s">
        <v>398</v>
      </c>
      <c r="AW626" t="s">
        <v>60</v>
      </c>
      <c r="AX626" t="s">
        <v>68</v>
      </c>
      <c r="AY626" t="s">
        <v>69</v>
      </c>
      <c r="AZ626" t="b">
        <v>1</v>
      </c>
    </row>
    <row r="627" spans="1:52" x14ac:dyDescent="0.3">
      <c r="A627" t="s">
        <v>52</v>
      </c>
      <c r="B627" t="s">
        <v>53</v>
      </c>
      <c r="C627" t="s">
        <v>54</v>
      </c>
      <c r="D627" t="s">
        <v>55</v>
      </c>
      <c r="E627" t="s">
        <v>788</v>
      </c>
      <c r="F627" t="s">
        <v>512</v>
      </c>
      <c r="G627" t="s">
        <v>284</v>
      </c>
      <c r="H627" t="s">
        <v>285</v>
      </c>
      <c r="I627" t="s">
        <v>285</v>
      </c>
      <c r="J627" t="s">
        <v>60</v>
      </c>
      <c r="K627" t="s">
        <v>286</v>
      </c>
      <c r="L627" t="s">
        <v>62</v>
      </c>
      <c r="M627" t="s">
        <v>286</v>
      </c>
      <c r="N627" t="s">
        <v>287</v>
      </c>
      <c r="O627" t="s">
        <v>288</v>
      </c>
      <c r="P627">
        <v>-19.639790000000001</v>
      </c>
      <c r="Q627">
        <v>-43.882798999999999</v>
      </c>
      <c r="R627" s="2" t="str">
        <f>HYPERLINK("https://www.google.com/maps?q=-19.6397900,-43.8827990","Abrir no Google Maps")</f>
        <v>Abrir no Google Maps</v>
      </c>
      <c r="S627">
        <v>3</v>
      </c>
      <c r="T627">
        <v>242.7052058134478</v>
      </c>
      <c r="U627">
        <v>3</v>
      </c>
      <c r="V627">
        <v>17</v>
      </c>
      <c r="W627">
        <v>1</v>
      </c>
      <c r="X627">
        <v>17</v>
      </c>
      <c r="Y627">
        <v>10</v>
      </c>
      <c r="Z627">
        <v>187.2088809462339</v>
      </c>
      <c r="AA627">
        <v>2</v>
      </c>
      <c r="AB627">
        <v>3</v>
      </c>
      <c r="AC627">
        <v>7</v>
      </c>
      <c r="AD627">
        <v>24.35</v>
      </c>
      <c r="AE627">
        <v>253</v>
      </c>
      <c r="AF627">
        <v>13</v>
      </c>
      <c r="AG627">
        <v>62</v>
      </c>
      <c r="AH627">
        <v>32</v>
      </c>
      <c r="AI627">
        <v>5.14</v>
      </c>
      <c r="AJ627">
        <v>24.51</v>
      </c>
      <c r="AK627">
        <v>12.65</v>
      </c>
      <c r="AL627">
        <v>-19.639855599999951</v>
      </c>
      <c r="AM627">
        <v>-43.882909745178452</v>
      </c>
      <c r="AN627">
        <v>-19.639855599999951</v>
      </c>
      <c r="AO627">
        <v>-43.882909745178452</v>
      </c>
      <c r="AP627">
        <v>-19.639790000000001</v>
      </c>
      <c r="AQ627">
        <v>-43.882798999999999</v>
      </c>
      <c r="AR627">
        <v>13.716486068571211</v>
      </c>
      <c r="AS627" t="s">
        <v>65</v>
      </c>
      <c r="AT627">
        <v>1</v>
      </c>
      <c r="AU627" t="s">
        <v>289</v>
      </c>
      <c r="AV627" t="s">
        <v>290</v>
      </c>
      <c r="AW627" t="s">
        <v>60</v>
      </c>
      <c r="AX627" t="s">
        <v>68</v>
      </c>
      <c r="AY627" t="s">
        <v>69</v>
      </c>
      <c r="AZ627" t="b">
        <v>1</v>
      </c>
    </row>
    <row r="628" spans="1:52" x14ac:dyDescent="0.3">
      <c r="A628" t="s">
        <v>52</v>
      </c>
      <c r="B628" t="s">
        <v>53</v>
      </c>
      <c r="C628" t="s">
        <v>54</v>
      </c>
      <c r="D628" t="s">
        <v>55</v>
      </c>
      <c r="E628" t="s">
        <v>788</v>
      </c>
      <c r="F628" t="s">
        <v>512</v>
      </c>
      <c r="G628" t="s">
        <v>291</v>
      </c>
      <c r="H628" t="s">
        <v>292</v>
      </c>
      <c r="I628" t="s">
        <v>292</v>
      </c>
      <c r="J628" t="s">
        <v>60</v>
      </c>
      <c r="K628" t="s">
        <v>286</v>
      </c>
      <c r="L628" t="s">
        <v>62</v>
      </c>
      <c r="M628" t="s">
        <v>286</v>
      </c>
      <c r="N628" t="s">
        <v>293</v>
      </c>
      <c r="O628" t="s">
        <v>294</v>
      </c>
      <c r="P628">
        <v>-19.640333999999999</v>
      </c>
      <c r="Q628">
        <v>-43.880004999999997</v>
      </c>
      <c r="R628" s="2" t="str">
        <f>HYPERLINK("https://www.google.com/maps?q=-19.6403340,-43.8800050","Abrir no Google Maps")</f>
        <v>Abrir no Google Maps</v>
      </c>
      <c r="S628">
        <v>3</v>
      </c>
      <c r="T628">
        <v>276.80943817309782</v>
      </c>
      <c r="U628">
        <v>3</v>
      </c>
      <c r="V628">
        <v>17</v>
      </c>
      <c r="W628">
        <v>1</v>
      </c>
      <c r="X628">
        <v>17</v>
      </c>
      <c r="Y628">
        <v>10</v>
      </c>
      <c r="Z628">
        <v>361.98332038983392</v>
      </c>
      <c r="AA628">
        <v>2</v>
      </c>
      <c r="AB628">
        <v>3</v>
      </c>
      <c r="AC628">
        <v>7</v>
      </c>
      <c r="AD628">
        <v>24.35</v>
      </c>
      <c r="AE628">
        <v>253</v>
      </c>
      <c r="AF628">
        <v>13</v>
      </c>
      <c r="AG628">
        <v>62</v>
      </c>
      <c r="AH628">
        <v>32</v>
      </c>
      <c r="AI628">
        <v>5.14</v>
      </c>
      <c r="AJ628">
        <v>24.51</v>
      </c>
      <c r="AK628">
        <v>12.65</v>
      </c>
      <c r="AL628">
        <v>-19.640260249999951</v>
      </c>
      <c r="AM628">
        <v>-43.880090474326408</v>
      </c>
      <c r="AN628">
        <v>-19.640260249999951</v>
      </c>
      <c r="AO628">
        <v>-43.880090474326408</v>
      </c>
      <c r="AP628">
        <v>-19.640333999999999</v>
      </c>
      <c r="AQ628">
        <v>-43.880004999999997</v>
      </c>
      <c r="AR628">
        <v>12.153556195359609</v>
      </c>
      <c r="AS628" t="s">
        <v>65</v>
      </c>
      <c r="AT628">
        <v>1</v>
      </c>
      <c r="AU628" t="s">
        <v>295</v>
      </c>
      <c r="AV628" t="s">
        <v>296</v>
      </c>
      <c r="AW628" t="s">
        <v>60</v>
      </c>
      <c r="AX628" t="s">
        <v>68</v>
      </c>
      <c r="AY628" t="s">
        <v>69</v>
      </c>
      <c r="AZ628" t="b">
        <v>1</v>
      </c>
    </row>
    <row r="629" spans="1:52" x14ac:dyDescent="0.3">
      <c r="A629" t="s">
        <v>52</v>
      </c>
      <c r="B629" t="s">
        <v>53</v>
      </c>
      <c r="C629" t="s">
        <v>54</v>
      </c>
      <c r="D629" t="s">
        <v>55</v>
      </c>
      <c r="E629" t="s">
        <v>788</v>
      </c>
      <c r="F629" t="s">
        <v>512</v>
      </c>
      <c r="G629" t="s">
        <v>405</v>
      </c>
      <c r="H629" t="s">
        <v>406</v>
      </c>
      <c r="I629" t="s">
        <v>406</v>
      </c>
      <c r="J629" t="s">
        <v>60</v>
      </c>
      <c r="K629" t="s">
        <v>286</v>
      </c>
      <c r="L629" t="s">
        <v>62</v>
      </c>
      <c r="M629" t="s">
        <v>286</v>
      </c>
      <c r="N629" t="s">
        <v>407</v>
      </c>
      <c r="O629" t="s">
        <v>408</v>
      </c>
      <c r="P629">
        <v>-19.646345</v>
      </c>
      <c r="Q629">
        <v>-43.882294999999999</v>
      </c>
      <c r="R629" s="2" t="str">
        <f>HYPERLINK("https://www.google.com/maps?q=-19.6463450,-43.8822950","Abrir no Google Maps")</f>
        <v>Abrir no Google Maps</v>
      </c>
      <c r="S629">
        <v>3</v>
      </c>
      <c r="T629">
        <v>450.3180538635894</v>
      </c>
      <c r="U629">
        <v>3</v>
      </c>
      <c r="V629">
        <v>14</v>
      </c>
      <c r="W629">
        <v>1</v>
      </c>
      <c r="X629">
        <v>14</v>
      </c>
      <c r="Y629">
        <v>10</v>
      </c>
      <c r="Z629">
        <v>349.23341775902583</v>
      </c>
      <c r="AA629">
        <v>2</v>
      </c>
      <c r="AB629">
        <v>3</v>
      </c>
      <c r="AC629">
        <v>7</v>
      </c>
      <c r="AD629">
        <v>24.35</v>
      </c>
      <c r="AE629">
        <v>253</v>
      </c>
      <c r="AF629">
        <v>13</v>
      </c>
      <c r="AG629">
        <v>62</v>
      </c>
      <c r="AH629">
        <v>32</v>
      </c>
      <c r="AI629">
        <v>5.14</v>
      </c>
      <c r="AJ629">
        <v>24.51</v>
      </c>
      <c r="AK629">
        <v>12.65</v>
      </c>
      <c r="AL629">
        <v>-19.646391649999941</v>
      </c>
      <c r="AM629">
        <v>-43.882007396993302</v>
      </c>
      <c r="AN629">
        <v>-19.646391649999941</v>
      </c>
      <c r="AO629">
        <v>-43.882007396993302</v>
      </c>
      <c r="AP629">
        <v>-19.646345</v>
      </c>
      <c r="AQ629">
        <v>-43.882294999999999</v>
      </c>
      <c r="AR629">
        <v>30.596105513395301</v>
      </c>
      <c r="AS629" t="s">
        <v>65</v>
      </c>
      <c r="AT629">
        <v>1</v>
      </c>
      <c r="AU629" t="s">
        <v>409</v>
      </c>
      <c r="AV629" t="s">
        <v>410</v>
      </c>
      <c r="AW629" t="s">
        <v>60</v>
      </c>
      <c r="AX629" t="s">
        <v>68</v>
      </c>
      <c r="AY629" t="s">
        <v>69</v>
      </c>
      <c r="AZ629" t="b">
        <v>1</v>
      </c>
    </row>
    <row r="630" spans="1:52" x14ac:dyDescent="0.3">
      <c r="A630" t="s">
        <v>52</v>
      </c>
      <c r="B630" t="s">
        <v>53</v>
      </c>
      <c r="C630" t="s">
        <v>54</v>
      </c>
      <c r="D630" t="s">
        <v>55</v>
      </c>
      <c r="E630" t="s">
        <v>788</v>
      </c>
      <c r="F630" t="s">
        <v>512</v>
      </c>
      <c r="G630" t="s">
        <v>388</v>
      </c>
      <c r="H630" t="s">
        <v>389</v>
      </c>
      <c r="I630" t="s">
        <v>389</v>
      </c>
      <c r="J630" t="s">
        <v>60</v>
      </c>
      <c r="K630" t="s">
        <v>185</v>
      </c>
      <c r="L630" t="s">
        <v>62</v>
      </c>
      <c r="M630" t="s">
        <v>185</v>
      </c>
      <c r="N630" t="s">
        <v>390</v>
      </c>
      <c r="O630" t="s">
        <v>391</v>
      </c>
      <c r="P630">
        <v>-19.628802</v>
      </c>
      <c r="Q630">
        <v>-43.891649000000001</v>
      </c>
      <c r="R630" s="2" t="str">
        <f>HYPERLINK("https://www.google.com/maps?q=-19.6288020,-43.8916490","Abrir no Google Maps")</f>
        <v>Abrir no Google Maps</v>
      </c>
      <c r="S630">
        <v>3</v>
      </c>
      <c r="T630">
        <v>0</v>
      </c>
      <c r="U630">
        <v>2</v>
      </c>
      <c r="V630">
        <v>9</v>
      </c>
      <c r="W630">
        <v>0.85</v>
      </c>
      <c r="X630">
        <v>7.6499999999999986</v>
      </c>
      <c r="Y630">
        <v>18</v>
      </c>
      <c r="Z630">
        <v>117.5064585283839</v>
      </c>
      <c r="AA630">
        <v>2</v>
      </c>
      <c r="AB630">
        <v>3</v>
      </c>
      <c r="AC630">
        <v>7</v>
      </c>
      <c r="AD630">
        <v>24.35</v>
      </c>
      <c r="AE630">
        <v>253</v>
      </c>
      <c r="AF630">
        <v>13</v>
      </c>
      <c r="AG630">
        <v>62</v>
      </c>
      <c r="AH630">
        <v>32</v>
      </c>
      <c r="AI630">
        <v>5.14</v>
      </c>
      <c r="AJ630">
        <v>24.51</v>
      </c>
      <c r="AK630">
        <v>12.65</v>
      </c>
      <c r="AL630">
        <v>-19.628865499999961</v>
      </c>
      <c r="AM630">
        <v>-43.891662391334172</v>
      </c>
      <c r="AN630">
        <v>-19.628865499999961</v>
      </c>
      <c r="AO630">
        <v>-43.891662391334172</v>
      </c>
      <c r="AP630">
        <v>-19.628802</v>
      </c>
      <c r="AQ630">
        <v>-43.891649000000001</v>
      </c>
      <c r="AR630">
        <v>7.2069201904448459</v>
      </c>
      <c r="AS630" t="s">
        <v>65</v>
      </c>
      <c r="AT630">
        <v>1</v>
      </c>
      <c r="AU630" t="s">
        <v>392</v>
      </c>
      <c r="AV630" t="s">
        <v>393</v>
      </c>
      <c r="AW630" t="s">
        <v>60</v>
      </c>
      <c r="AX630" t="s">
        <v>68</v>
      </c>
      <c r="AY630" t="s">
        <v>69</v>
      </c>
      <c r="AZ630" t="b">
        <v>1</v>
      </c>
    </row>
    <row r="631" spans="1:52" x14ac:dyDescent="0.3">
      <c r="A631" t="s">
        <v>52</v>
      </c>
      <c r="B631" t="s">
        <v>53</v>
      </c>
      <c r="C631" t="s">
        <v>54</v>
      </c>
      <c r="D631" t="s">
        <v>55</v>
      </c>
      <c r="E631" t="s">
        <v>788</v>
      </c>
      <c r="F631" t="s">
        <v>512</v>
      </c>
      <c r="G631" t="s">
        <v>541</v>
      </c>
      <c r="H631" t="s">
        <v>542</v>
      </c>
      <c r="I631" t="s">
        <v>542</v>
      </c>
      <c r="J631" t="s">
        <v>60</v>
      </c>
      <c r="K631" t="s">
        <v>445</v>
      </c>
      <c r="L631" t="s">
        <v>62</v>
      </c>
      <c r="M631" t="s">
        <v>445</v>
      </c>
      <c r="N631" t="s">
        <v>543</v>
      </c>
      <c r="O631" t="s">
        <v>328</v>
      </c>
      <c r="P631">
        <v>-19.642263</v>
      </c>
      <c r="Q631">
        <v>-43.881428999999997</v>
      </c>
      <c r="R631" s="2" t="str">
        <f>HYPERLINK("https://www.google.com/maps?q=-19.6422630,-43.8814290","Abrir no Google Maps")</f>
        <v>Abrir no Google Maps</v>
      </c>
      <c r="S631">
        <v>3</v>
      </c>
      <c r="T631">
        <v>0</v>
      </c>
      <c r="U631">
        <v>2</v>
      </c>
      <c r="V631">
        <v>7</v>
      </c>
      <c r="W631">
        <v>0.85</v>
      </c>
      <c r="X631">
        <v>5.95</v>
      </c>
      <c r="Y631">
        <v>10</v>
      </c>
      <c r="Z631">
        <v>162.4764384685345</v>
      </c>
      <c r="AA631">
        <v>2</v>
      </c>
      <c r="AB631">
        <v>3</v>
      </c>
      <c r="AC631">
        <v>7</v>
      </c>
      <c r="AD631">
        <v>24.35</v>
      </c>
      <c r="AE631">
        <v>253</v>
      </c>
      <c r="AF631">
        <v>13</v>
      </c>
      <c r="AG631">
        <v>62</v>
      </c>
      <c r="AH631">
        <v>32</v>
      </c>
      <c r="AI631">
        <v>5.14</v>
      </c>
      <c r="AJ631">
        <v>24.51</v>
      </c>
      <c r="AK631">
        <v>12.65</v>
      </c>
      <c r="AL631">
        <v>-19.642346249999949</v>
      </c>
      <c r="AM631">
        <v>-43.881546938715289</v>
      </c>
      <c r="AN631">
        <v>-19.642346249999939</v>
      </c>
      <c r="AO631">
        <v>-43.881546938715289</v>
      </c>
      <c r="AP631">
        <v>-19.642263</v>
      </c>
      <c r="AQ631">
        <v>-43.881428999999997</v>
      </c>
      <c r="AR631">
        <v>15.45239906956777</v>
      </c>
      <c r="AS631" t="s">
        <v>65</v>
      </c>
      <c r="AT631">
        <v>1</v>
      </c>
      <c r="AU631" t="s">
        <v>544</v>
      </c>
      <c r="AV631" t="s">
        <v>545</v>
      </c>
      <c r="AW631" t="s">
        <v>60</v>
      </c>
      <c r="AX631" t="s">
        <v>68</v>
      </c>
      <c r="AY631" t="s">
        <v>69</v>
      </c>
      <c r="AZ631" t="b">
        <v>1</v>
      </c>
    </row>
    <row r="632" spans="1:52" x14ac:dyDescent="0.3">
      <c r="A632" t="s">
        <v>52</v>
      </c>
      <c r="B632" t="s">
        <v>53</v>
      </c>
      <c r="C632" t="s">
        <v>54</v>
      </c>
      <c r="D632" t="s">
        <v>55</v>
      </c>
      <c r="E632" t="s">
        <v>788</v>
      </c>
      <c r="F632" t="s">
        <v>512</v>
      </c>
      <c r="G632" t="s">
        <v>546</v>
      </c>
      <c r="H632" t="s">
        <v>547</v>
      </c>
      <c r="I632" t="s">
        <v>547</v>
      </c>
      <c r="J632" t="s">
        <v>60</v>
      </c>
      <c r="K632" t="s">
        <v>445</v>
      </c>
      <c r="L632" t="s">
        <v>62</v>
      </c>
      <c r="M632" t="s">
        <v>445</v>
      </c>
      <c r="N632" t="s">
        <v>548</v>
      </c>
      <c r="O632" t="s">
        <v>549</v>
      </c>
      <c r="P632">
        <v>-19.642752999999999</v>
      </c>
      <c r="Q632">
        <v>-43.879080999999999</v>
      </c>
      <c r="R632" s="2" t="str">
        <f>HYPERLINK("https://www.google.com/maps?q=-19.6427530,-43.8790810","Abrir no Google Maps")</f>
        <v>Abrir no Google Maps</v>
      </c>
      <c r="S632">
        <v>3</v>
      </c>
      <c r="T632">
        <v>256.19518367376457</v>
      </c>
      <c r="U632">
        <v>2</v>
      </c>
      <c r="V632">
        <v>9</v>
      </c>
      <c r="W632">
        <v>0.85</v>
      </c>
      <c r="X632">
        <v>7.6499999999999986</v>
      </c>
      <c r="Y632">
        <v>10</v>
      </c>
      <c r="Z632">
        <v>192.73978446408199</v>
      </c>
      <c r="AA632">
        <v>2</v>
      </c>
      <c r="AB632">
        <v>3</v>
      </c>
      <c r="AC632">
        <v>7</v>
      </c>
      <c r="AD632">
        <v>24.35</v>
      </c>
      <c r="AE632">
        <v>253</v>
      </c>
      <c r="AF632">
        <v>13</v>
      </c>
      <c r="AG632">
        <v>62</v>
      </c>
      <c r="AH632">
        <v>32</v>
      </c>
      <c r="AI632">
        <v>5.14</v>
      </c>
      <c r="AJ632">
        <v>24.51</v>
      </c>
      <c r="AK632">
        <v>12.65</v>
      </c>
      <c r="AL632">
        <v>-19.642703749999949</v>
      </c>
      <c r="AM632">
        <v>-43.879132974738582</v>
      </c>
      <c r="AN632">
        <v>-19.642703749999949</v>
      </c>
      <c r="AO632">
        <v>-43.879132974738582</v>
      </c>
      <c r="AP632">
        <v>-19.642752999999999</v>
      </c>
      <c r="AQ632">
        <v>-43.879080999999999</v>
      </c>
      <c r="AR632">
        <v>7.7298757823687696</v>
      </c>
      <c r="AS632" t="s">
        <v>65</v>
      </c>
      <c r="AT632">
        <v>1</v>
      </c>
      <c r="AU632" t="s">
        <v>550</v>
      </c>
      <c r="AV632" t="s">
        <v>551</v>
      </c>
      <c r="AW632" t="s">
        <v>60</v>
      </c>
      <c r="AX632" t="s">
        <v>68</v>
      </c>
      <c r="AY632" t="s">
        <v>69</v>
      </c>
      <c r="AZ632" t="b">
        <v>1</v>
      </c>
    </row>
    <row r="633" spans="1:52" x14ac:dyDescent="0.3">
      <c r="A633" t="s">
        <v>52</v>
      </c>
      <c r="B633" t="s">
        <v>53</v>
      </c>
      <c r="C633" t="s">
        <v>54</v>
      </c>
      <c r="D633" t="s">
        <v>55</v>
      </c>
      <c r="E633" t="s">
        <v>788</v>
      </c>
      <c r="F633" t="s">
        <v>512</v>
      </c>
      <c r="G633" t="s">
        <v>563</v>
      </c>
      <c r="H633" t="s">
        <v>564</v>
      </c>
      <c r="I633" t="s">
        <v>564</v>
      </c>
      <c r="J633" t="s">
        <v>60</v>
      </c>
      <c r="K633" t="s">
        <v>445</v>
      </c>
      <c r="L633" t="s">
        <v>62</v>
      </c>
      <c r="M633" t="s">
        <v>445</v>
      </c>
      <c r="N633" t="s">
        <v>565</v>
      </c>
      <c r="O633" t="s">
        <v>566</v>
      </c>
      <c r="P633">
        <v>-19.645859000000002</v>
      </c>
      <c r="Q633">
        <v>-43.878008000000001</v>
      </c>
      <c r="R633" s="2" t="str">
        <f>HYPERLINK("https://www.google.com/maps?q=-19.6458590,-43.8780080","Abrir no Google Maps")</f>
        <v>Abrir no Google Maps</v>
      </c>
      <c r="S633">
        <v>3</v>
      </c>
      <c r="T633">
        <v>535.60651658514928</v>
      </c>
      <c r="U633">
        <v>2</v>
      </c>
      <c r="V633">
        <v>7</v>
      </c>
      <c r="W633">
        <v>0.85</v>
      </c>
      <c r="X633">
        <v>5.95</v>
      </c>
      <c r="Y633">
        <v>10</v>
      </c>
      <c r="Z633">
        <v>356.77070476702067</v>
      </c>
      <c r="AA633">
        <v>2</v>
      </c>
      <c r="AB633">
        <v>3</v>
      </c>
      <c r="AC633">
        <v>7</v>
      </c>
      <c r="AD633">
        <v>24.35</v>
      </c>
      <c r="AE633">
        <v>253</v>
      </c>
      <c r="AF633">
        <v>13</v>
      </c>
      <c r="AG633">
        <v>62</v>
      </c>
      <c r="AH633">
        <v>32</v>
      </c>
      <c r="AI633">
        <v>5.14</v>
      </c>
      <c r="AJ633">
        <v>24.51</v>
      </c>
      <c r="AK633">
        <v>12.65</v>
      </c>
      <c r="AL633">
        <v>-19.645894599999959</v>
      </c>
      <c r="AM633">
        <v>-43.878073476665591</v>
      </c>
      <c r="AN633">
        <v>-19.645894599999959</v>
      </c>
      <c r="AO633">
        <v>-43.878073476665591</v>
      </c>
      <c r="AP633">
        <v>-19.645859000000002</v>
      </c>
      <c r="AQ633">
        <v>-43.878008000000001</v>
      </c>
      <c r="AR633">
        <v>7.9263849189726594</v>
      </c>
      <c r="AS633" t="s">
        <v>65</v>
      </c>
      <c r="AT633">
        <v>1</v>
      </c>
      <c r="AU633" t="s">
        <v>567</v>
      </c>
      <c r="AV633" t="s">
        <v>568</v>
      </c>
      <c r="AW633" t="s">
        <v>60</v>
      </c>
      <c r="AX633" t="s">
        <v>68</v>
      </c>
      <c r="AY633" t="s">
        <v>69</v>
      </c>
      <c r="AZ633" t="b">
        <v>1</v>
      </c>
    </row>
    <row r="634" spans="1:52" x14ac:dyDescent="0.3">
      <c r="A634" t="s">
        <v>52</v>
      </c>
      <c r="B634" t="s">
        <v>53</v>
      </c>
      <c r="C634" t="s">
        <v>54</v>
      </c>
      <c r="D634" t="s">
        <v>55</v>
      </c>
      <c r="E634" t="s">
        <v>788</v>
      </c>
      <c r="F634" t="s">
        <v>512</v>
      </c>
      <c r="G634" t="s">
        <v>580</v>
      </c>
      <c r="H634" t="s">
        <v>581</v>
      </c>
      <c r="I634" t="s">
        <v>581</v>
      </c>
      <c r="J634" t="s">
        <v>60</v>
      </c>
      <c r="K634" t="s">
        <v>179</v>
      </c>
      <c r="L634" t="s">
        <v>62</v>
      </c>
      <c r="M634" t="s">
        <v>179</v>
      </c>
      <c r="N634" t="s">
        <v>582</v>
      </c>
      <c r="O634" t="s">
        <v>583</v>
      </c>
      <c r="P634">
        <v>-19.651917999999998</v>
      </c>
      <c r="Q634">
        <v>-43.888081</v>
      </c>
      <c r="R634" s="2" t="str">
        <f>HYPERLINK("https://www.google.com/maps?q=-19.6519180,-43.8880810","Abrir no Google Maps")</f>
        <v>Abrir no Google Maps</v>
      </c>
      <c r="S634">
        <v>3</v>
      </c>
      <c r="T634">
        <v>1192.758363020145</v>
      </c>
      <c r="U634">
        <v>2</v>
      </c>
      <c r="V634">
        <v>9</v>
      </c>
      <c r="W634">
        <v>0.85</v>
      </c>
      <c r="X634">
        <v>7.6499999999999986</v>
      </c>
      <c r="Y634">
        <v>10</v>
      </c>
      <c r="Z634">
        <v>1164.020417046748</v>
      </c>
      <c r="AA634">
        <v>2</v>
      </c>
      <c r="AB634">
        <v>3</v>
      </c>
      <c r="AC634">
        <v>7</v>
      </c>
      <c r="AD634">
        <v>24.35</v>
      </c>
      <c r="AE634">
        <v>253</v>
      </c>
      <c r="AF634">
        <v>13</v>
      </c>
      <c r="AG634">
        <v>62</v>
      </c>
      <c r="AH634">
        <v>32</v>
      </c>
      <c r="AI634">
        <v>5.14</v>
      </c>
      <c r="AJ634">
        <v>24.51</v>
      </c>
      <c r="AK634">
        <v>12.65</v>
      </c>
      <c r="AL634">
        <v>-19.65182809999996</v>
      </c>
      <c r="AM634">
        <v>-43.887955347266519</v>
      </c>
      <c r="AN634">
        <v>-19.65182809999996</v>
      </c>
      <c r="AO634">
        <v>-43.887955347266519</v>
      </c>
      <c r="AP634">
        <v>-19.651917999999998</v>
      </c>
      <c r="AQ634">
        <v>-43.888081</v>
      </c>
      <c r="AR634">
        <v>16.543262936495491</v>
      </c>
      <c r="AS634" t="s">
        <v>65</v>
      </c>
      <c r="AT634">
        <v>1</v>
      </c>
      <c r="AU634" t="s">
        <v>584</v>
      </c>
      <c r="AV634" t="s">
        <v>585</v>
      </c>
      <c r="AW634" t="s">
        <v>60</v>
      </c>
      <c r="AX634" t="s">
        <v>68</v>
      </c>
      <c r="AY634" t="s">
        <v>69</v>
      </c>
      <c r="AZ634" t="b">
        <v>1</v>
      </c>
    </row>
    <row r="635" spans="1:52" x14ac:dyDescent="0.3">
      <c r="A635" t="s">
        <v>52</v>
      </c>
      <c r="B635" t="s">
        <v>53</v>
      </c>
      <c r="C635" t="s">
        <v>54</v>
      </c>
      <c r="D635" t="s">
        <v>55</v>
      </c>
      <c r="E635" t="s">
        <v>788</v>
      </c>
      <c r="F635" t="s">
        <v>512</v>
      </c>
      <c r="G635" t="s">
        <v>530</v>
      </c>
      <c r="H635" t="s">
        <v>531</v>
      </c>
      <c r="I635" t="s">
        <v>531</v>
      </c>
      <c r="J635" t="s">
        <v>60</v>
      </c>
      <c r="K635" t="s">
        <v>185</v>
      </c>
      <c r="L635" t="s">
        <v>62</v>
      </c>
      <c r="M635" t="s">
        <v>185</v>
      </c>
      <c r="N635" t="s">
        <v>532</v>
      </c>
      <c r="O635" t="s">
        <v>533</v>
      </c>
      <c r="P635">
        <v>-19.625264000000001</v>
      </c>
      <c r="Q635">
        <v>-43.889451000000001</v>
      </c>
      <c r="R635" s="2" t="str">
        <f>HYPERLINK("https://www.google.com/maps?q=-19.6252640,-43.8894510","Abrir no Google Maps")</f>
        <v>Abrir no Google Maps</v>
      </c>
      <c r="S635">
        <v>3</v>
      </c>
      <c r="T635">
        <v>466.11340370665903</v>
      </c>
      <c r="U635">
        <v>1</v>
      </c>
      <c r="V635">
        <v>5</v>
      </c>
      <c r="W635">
        <v>0.85</v>
      </c>
      <c r="X635">
        <v>4.25</v>
      </c>
      <c r="Y635">
        <v>18</v>
      </c>
      <c r="Z635">
        <v>320.77337440837812</v>
      </c>
      <c r="AA635">
        <v>2</v>
      </c>
      <c r="AB635">
        <v>3</v>
      </c>
      <c r="AC635">
        <v>7</v>
      </c>
      <c r="AD635">
        <v>24.35</v>
      </c>
      <c r="AE635">
        <v>253</v>
      </c>
      <c r="AF635">
        <v>13</v>
      </c>
      <c r="AG635">
        <v>62</v>
      </c>
      <c r="AH635">
        <v>32</v>
      </c>
      <c r="AI635">
        <v>5.14</v>
      </c>
      <c r="AJ635">
        <v>24.51</v>
      </c>
      <c r="AK635">
        <v>12.65</v>
      </c>
      <c r="AL635">
        <v>-19.62516189999997</v>
      </c>
      <c r="AM635">
        <v>-43.88954614566876</v>
      </c>
      <c r="AN635">
        <v>-19.62516189999997</v>
      </c>
      <c r="AO635">
        <v>-43.88954614566876</v>
      </c>
      <c r="AP635">
        <v>-19.625264000000001</v>
      </c>
      <c r="AQ635">
        <v>-43.889451000000001</v>
      </c>
      <c r="AR635">
        <v>15.12310549834147</v>
      </c>
      <c r="AS635" t="s">
        <v>65</v>
      </c>
      <c r="AT635">
        <v>1</v>
      </c>
      <c r="AU635" t="s">
        <v>534</v>
      </c>
      <c r="AV635" t="s">
        <v>535</v>
      </c>
      <c r="AW635" t="s">
        <v>60</v>
      </c>
      <c r="AX635" t="s">
        <v>68</v>
      </c>
      <c r="AY635" t="s">
        <v>69</v>
      </c>
      <c r="AZ635" t="b">
        <v>1</v>
      </c>
    </row>
    <row r="636" spans="1:52" x14ac:dyDescent="0.3">
      <c r="A636" t="s">
        <v>52</v>
      </c>
      <c r="B636" t="s">
        <v>53</v>
      </c>
      <c r="C636" t="s">
        <v>54</v>
      </c>
      <c r="D636" t="s">
        <v>55</v>
      </c>
      <c r="E636" t="s">
        <v>788</v>
      </c>
      <c r="F636" t="s">
        <v>512</v>
      </c>
      <c r="G636" t="s">
        <v>536</v>
      </c>
      <c r="H636" t="s">
        <v>537</v>
      </c>
      <c r="I636" t="s">
        <v>537</v>
      </c>
      <c r="J636" t="s">
        <v>60</v>
      </c>
      <c r="K636" t="s">
        <v>185</v>
      </c>
      <c r="L636" t="s">
        <v>62</v>
      </c>
      <c r="M636" t="s">
        <v>185</v>
      </c>
      <c r="N636" t="s">
        <v>538</v>
      </c>
      <c r="O636" t="s">
        <v>408</v>
      </c>
      <c r="P636">
        <v>-19.630147999999998</v>
      </c>
      <c r="Q636">
        <v>-43.893844000000001</v>
      </c>
      <c r="R636" s="2" t="str">
        <f>HYPERLINK("https://www.google.com/maps?q=-19.6301480,-43.8938440","Abrir no Google Maps")</f>
        <v>Abrir no Google Maps</v>
      </c>
      <c r="S636">
        <v>3</v>
      </c>
      <c r="T636">
        <v>262.94285160220159</v>
      </c>
      <c r="U636">
        <v>1</v>
      </c>
      <c r="V636">
        <v>6</v>
      </c>
      <c r="W636">
        <v>0.85</v>
      </c>
      <c r="X636">
        <v>5.0999999999999996</v>
      </c>
      <c r="Y636">
        <v>18</v>
      </c>
      <c r="Z636">
        <v>351.25774094845309</v>
      </c>
      <c r="AA636">
        <v>2</v>
      </c>
      <c r="AB636">
        <v>3</v>
      </c>
      <c r="AC636">
        <v>7</v>
      </c>
      <c r="AD636">
        <v>24.35</v>
      </c>
      <c r="AE636">
        <v>253</v>
      </c>
      <c r="AF636">
        <v>13</v>
      </c>
      <c r="AG636">
        <v>62</v>
      </c>
      <c r="AH636">
        <v>32</v>
      </c>
      <c r="AI636">
        <v>5.14</v>
      </c>
      <c r="AJ636">
        <v>24.51</v>
      </c>
      <c r="AK636">
        <v>12.65</v>
      </c>
      <c r="AL636">
        <v>-19.630177599999939</v>
      </c>
      <c r="AM636">
        <v>-43.893752755034278</v>
      </c>
      <c r="AN636">
        <v>-19.630177599999939</v>
      </c>
      <c r="AO636">
        <v>-43.893752755034278</v>
      </c>
      <c r="AP636">
        <v>-19.630147999999998</v>
      </c>
      <c r="AQ636">
        <v>-43.893844000000001</v>
      </c>
      <c r="AR636">
        <v>10.1185927114604</v>
      </c>
      <c r="AS636" t="s">
        <v>65</v>
      </c>
      <c r="AT636">
        <v>1</v>
      </c>
      <c r="AU636" t="s">
        <v>539</v>
      </c>
      <c r="AV636" t="s">
        <v>540</v>
      </c>
      <c r="AW636" t="s">
        <v>60</v>
      </c>
      <c r="AX636" t="s">
        <v>68</v>
      </c>
      <c r="AY636" t="s">
        <v>69</v>
      </c>
      <c r="AZ636" t="b">
        <v>1</v>
      </c>
    </row>
    <row r="637" spans="1:52" x14ac:dyDescent="0.3">
      <c r="A637" t="s">
        <v>52</v>
      </c>
      <c r="B637" t="s">
        <v>53</v>
      </c>
      <c r="C637" t="s">
        <v>54</v>
      </c>
      <c r="D637" t="s">
        <v>55</v>
      </c>
      <c r="E637" t="s">
        <v>788</v>
      </c>
      <c r="F637" t="s">
        <v>512</v>
      </c>
      <c r="G637" t="s">
        <v>399</v>
      </c>
      <c r="H637" t="s">
        <v>400</v>
      </c>
      <c r="I637" t="s">
        <v>400</v>
      </c>
      <c r="J637" t="s">
        <v>60</v>
      </c>
      <c r="K637" t="s">
        <v>286</v>
      </c>
      <c r="L637" t="s">
        <v>62</v>
      </c>
      <c r="M637" t="s">
        <v>286</v>
      </c>
      <c r="N637" t="s">
        <v>401</v>
      </c>
      <c r="O637" t="s">
        <v>402</v>
      </c>
      <c r="P637">
        <v>-19.639906</v>
      </c>
      <c r="Q637">
        <v>-43.886059000000003</v>
      </c>
      <c r="R637" s="2" t="str">
        <f>HYPERLINK("https://www.google.com/maps?q=-19.6399060,-43.8860590","Abrir no Google Maps")</f>
        <v>Abrir no Google Maps</v>
      </c>
      <c r="S637">
        <v>3</v>
      </c>
      <c r="T637">
        <v>256.0748811302048</v>
      </c>
      <c r="U637">
        <v>1</v>
      </c>
      <c r="V637">
        <v>5</v>
      </c>
      <c r="W637">
        <v>1</v>
      </c>
      <c r="X637">
        <v>5</v>
      </c>
      <c r="Y637">
        <v>10</v>
      </c>
      <c r="Z637">
        <v>205.06236700857289</v>
      </c>
      <c r="AA637">
        <v>2</v>
      </c>
      <c r="AB637">
        <v>3</v>
      </c>
      <c r="AC637">
        <v>7</v>
      </c>
      <c r="AD637">
        <v>24.35</v>
      </c>
      <c r="AE637">
        <v>253</v>
      </c>
      <c r="AF637">
        <v>13</v>
      </c>
      <c r="AG637">
        <v>62</v>
      </c>
      <c r="AH637">
        <v>32</v>
      </c>
      <c r="AI637">
        <v>5.14</v>
      </c>
      <c r="AJ637">
        <v>24.51</v>
      </c>
      <c r="AK637">
        <v>12.65</v>
      </c>
      <c r="AL637">
        <v>-19.639789499999949</v>
      </c>
      <c r="AM637">
        <v>-43.885737855031408</v>
      </c>
      <c r="AN637">
        <v>-19.639789499999949</v>
      </c>
      <c r="AO637">
        <v>-43.885737855031408</v>
      </c>
      <c r="AP637">
        <v>-19.639906</v>
      </c>
      <c r="AQ637">
        <v>-43.886059000000003</v>
      </c>
      <c r="AR637">
        <v>36.081349702130403</v>
      </c>
      <c r="AS637" t="s">
        <v>65</v>
      </c>
      <c r="AT637">
        <v>1</v>
      </c>
      <c r="AU637" t="s">
        <v>403</v>
      </c>
      <c r="AV637" t="s">
        <v>404</v>
      </c>
      <c r="AW637" t="s">
        <v>60</v>
      </c>
      <c r="AX637" t="s">
        <v>68</v>
      </c>
      <c r="AY637" t="s">
        <v>69</v>
      </c>
      <c r="AZ637" t="b">
        <v>1</v>
      </c>
    </row>
    <row r="638" spans="1:52" x14ac:dyDescent="0.3">
      <c r="A638" t="s">
        <v>52</v>
      </c>
      <c r="B638" t="s">
        <v>53</v>
      </c>
      <c r="C638" t="s">
        <v>54</v>
      </c>
      <c r="D638" t="s">
        <v>55</v>
      </c>
      <c r="E638" t="s">
        <v>788</v>
      </c>
      <c r="F638" t="s">
        <v>512</v>
      </c>
      <c r="G638" t="s">
        <v>552</v>
      </c>
      <c r="H638" t="s">
        <v>553</v>
      </c>
      <c r="I638" t="s">
        <v>553</v>
      </c>
      <c r="J638" t="s">
        <v>60</v>
      </c>
      <c r="K638" t="s">
        <v>445</v>
      </c>
      <c r="L638" t="s">
        <v>62</v>
      </c>
      <c r="M638" t="s">
        <v>445</v>
      </c>
      <c r="N638" t="s">
        <v>554</v>
      </c>
      <c r="O638" t="s">
        <v>207</v>
      </c>
      <c r="P638">
        <v>-19.641549999999999</v>
      </c>
      <c r="Q638">
        <v>-43.873263999999999</v>
      </c>
      <c r="R638" s="2" t="str">
        <f>HYPERLINK("https://www.google.com/maps?q=-19.6415500,-43.8732640","Abrir no Google Maps")</f>
        <v>Abrir no Google Maps</v>
      </c>
      <c r="S638">
        <v>3</v>
      </c>
      <c r="T638">
        <v>879.45465995735231</v>
      </c>
      <c r="U638">
        <v>1</v>
      </c>
      <c r="V638">
        <v>5</v>
      </c>
      <c r="W638">
        <v>0.85</v>
      </c>
      <c r="X638">
        <v>4.25</v>
      </c>
      <c r="Y638">
        <v>10</v>
      </c>
      <c r="Z638">
        <v>830.70905214077095</v>
      </c>
      <c r="AA638">
        <v>2</v>
      </c>
      <c r="AB638">
        <v>3</v>
      </c>
      <c r="AC638">
        <v>7</v>
      </c>
      <c r="AD638">
        <v>24.35</v>
      </c>
      <c r="AE638">
        <v>253</v>
      </c>
      <c r="AF638">
        <v>13</v>
      </c>
      <c r="AG638">
        <v>62</v>
      </c>
      <c r="AH638">
        <v>32</v>
      </c>
      <c r="AI638">
        <v>5.14</v>
      </c>
      <c r="AJ638">
        <v>24.51</v>
      </c>
      <c r="AK638">
        <v>12.65</v>
      </c>
      <c r="AL638">
        <v>-19.641459949999959</v>
      </c>
      <c r="AM638">
        <v>-43.873212145688711</v>
      </c>
      <c r="AN638">
        <v>-19.641459949999959</v>
      </c>
      <c r="AO638">
        <v>-43.873212145688711</v>
      </c>
      <c r="AP638">
        <v>-19.641549999999999</v>
      </c>
      <c r="AQ638">
        <v>-43.873263999999999</v>
      </c>
      <c r="AR638">
        <v>11.40368340137019</v>
      </c>
      <c r="AS638" t="s">
        <v>65</v>
      </c>
      <c r="AT638">
        <v>1</v>
      </c>
      <c r="AU638" t="s">
        <v>555</v>
      </c>
      <c r="AV638" t="s">
        <v>556</v>
      </c>
      <c r="AW638" t="s">
        <v>60</v>
      </c>
      <c r="AX638" t="s">
        <v>68</v>
      </c>
      <c r="AY638" t="s">
        <v>69</v>
      </c>
      <c r="AZ638" t="b">
        <v>1</v>
      </c>
    </row>
    <row r="639" spans="1:52" x14ac:dyDescent="0.3">
      <c r="A639" t="s">
        <v>52</v>
      </c>
      <c r="B639" t="s">
        <v>53</v>
      </c>
      <c r="C639" t="s">
        <v>54</v>
      </c>
      <c r="D639" t="s">
        <v>55</v>
      </c>
      <c r="E639" t="s">
        <v>788</v>
      </c>
      <c r="F639" t="s">
        <v>512</v>
      </c>
      <c r="G639" t="s">
        <v>557</v>
      </c>
      <c r="H639" t="s">
        <v>558</v>
      </c>
      <c r="I639" t="s">
        <v>558</v>
      </c>
      <c r="J639" t="s">
        <v>60</v>
      </c>
      <c r="K639" t="s">
        <v>445</v>
      </c>
      <c r="L639" t="s">
        <v>62</v>
      </c>
      <c r="M639" t="s">
        <v>445</v>
      </c>
      <c r="N639" t="s">
        <v>559</v>
      </c>
      <c r="O639" t="s">
        <v>560</v>
      </c>
      <c r="P639">
        <v>-19.641839000000001</v>
      </c>
      <c r="Q639">
        <v>-43.876227</v>
      </c>
      <c r="R639" s="2" t="str">
        <f>HYPERLINK("https://www.google.com/maps?q=-19.6418390,-43.8762270","Abrir no Google Maps")</f>
        <v>Abrir no Google Maps</v>
      </c>
      <c r="S639">
        <v>3</v>
      </c>
      <c r="T639">
        <v>564.50471877254449</v>
      </c>
      <c r="U639">
        <v>1</v>
      </c>
      <c r="V639">
        <v>6</v>
      </c>
      <c r="W639">
        <v>0.85</v>
      </c>
      <c r="X639">
        <v>5.0999999999999996</v>
      </c>
      <c r="Y639">
        <v>10</v>
      </c>
      <c r="Z639">
        <v>490.40238336341412</v>
      </c>
      <c r="AA639">
        <v>2</v>
      </c>
      <c r="AB639">
        <v>3</v>
      </c>
      <c r="AC639">
        <v>7</v>
      </c>
      <c r="AD639">
        <v>24.35</v>
      </c>
      <c r="AE639">
        <v>253</v>
      </c>
      <c r="AF639">
        <v>13</v>
      </c>
      <c r="AG639">
        <v>62</v>
      </c>
      <c r="AH639">
        <v>32</v>
      </c>
      <c r="AI639">
        <v>5.14</v>
      </c>
      <c r="AJ639">
        <v>24.51</v>
      </c>
      <c r="AK639">
        <v>12.65</v>
      </c>
      <c r="AL639">
        <v>-19.641880699999941</v>
      </c>
      <c r="AM639">
        <v>-43.876185869580858</v>
      </c>
      <c r="AN639">
        <v>-19.641880699999941</v>
      </c>
      <c r="AO639">
        <v>-43.876185869580858</v>
      </c>
      <c r="AP639">
        <v>-19.641839000000001</v>
      </c>
      <c r="AQ639">
        <v>-43.876227</v>
      </c>
      <c r="AR639">
        <v>6.3359121862683301</v>
      </c>
      <c r="AS639" t="s">
        <v>65</v>
      </c>
      <c r="AT639">
        <v>1</v>
      </c>
      <c r="AU639" t="s">
        <v>561</v>
      </c>
      <c r="AV639" t="s">
        <v>562</v>
      </c>
      <c r="AW639" t="s">
        <v>60</v>
      </c>
      <c r="AX639" t="s">
        <v>68</v>
      </c>
      <c r="AY639" t="s">
        <v>69</v>
      </c>
      <c r="AZ639" t="b">
        <v>1</v>
      </c>
    </row>
    <row r="640" spans="1:52" x14ac:dyDescent="0.3">
      <c r="A640" t="s">
        <v>52</v>
      </c>
      <c r="B640" t="s">
        <v>53</v>
      </c>
      <c r="C640" t="s">
        <v>54</v>
      </c>
      <c r="D640" t="s">
        <v>55</v>
      </c>
      <c r="E640" t="s">
        <v>788</v>
      </c>
      <c r="F640" t="s">
        <v>512</v>
      </c>
      <c r="G640" t="s">
        <v>569</v>
      </c>
      <c r="H640" t="s">
        <v>570</v>
      </c>
      <c r="I640" t="s">
        <v>570</v>
      </c>
      <c r="J640" t="s">
        <v>60</v>
      </c>
      <c r="K640" t="s">
        <v>445</v>
      </c>
      <c r="L640" t="s">
        <v>62</v>
      </c>
      <c r="M640" t="s">
        <v>445</v>
      </c>
      <c r="N640" t="s">
        <v>571</v>
      </c>
      <c r="O640" t="s">
        <v>572</v>
      </c>
      <c r="P640">
        <v>-19.646602999999999</v>
      </c>
      <c r="Q640">
        <v>-43.879826000000001</v>
      </c>
      <c r="R640" s="2" t="str">
        <f>HYPERLINK("https://www.google.com/maps?q=-19.6466030,-43.8798260","Abrir no Google Maps")</f>
        <v>Abrir no Google Maps</v>
      </c>
      <c r="S640">
        <v>3</v>
      </c>
      <c r="T640">
        <v>497.89126003830972</v>
      </c>
      <c r="U640">
        <v>1</v>
      </c>
      <c r="V640">
        <v>5</v>
      </c>
      <c r="W640">
        <v>0.85</v>
      </c>
      <c r="X640">
        <v>4.25</v>
      </c>
      <c r="Y640">
        <v>10</v>
      </c>
      <c r="Z640">
        <v>228.69190976735251</v>
      </c>
      <c r="AA640">
        <v>2</v>
      </c>
      <c r="AB640">
        <v>3</v>
      </c>
      <c r="AC640">
        <v>7</v>
      </c>
      <c r="AD640">
        <v>24.35</v>
      </c>
      <c r="AE640">
        <v>253</v>
      </c>
      <c r="AF640">
        <v>13</v>
      </c>
      <c r="AG640">
        <v>62</v>
      </c>
      <c r="AH640">
        <v>32</v>
      </c>
      <c r="AI640">
        <v>5.14</v>
      </c>
      <c r="AJ640">
        <v>24.51</v>
      </c>
      <c r="AK640">
        <v>12.65</v>
      </c>
      <c r="AL640">
        <v>-19.646577499999982</v>
      </c>
      <c r="AM640">
        <v>-43.879934131171261</v>
      </c>
      <c r="AN640">
        <v>-19.646577499999971</v>
      </c>
      <c r="AO640">
        <v>-43.879934131171261</v>
      </c>
      <c r="AP640">
        <v>-19.646602999999999</v>
      </c>
      <c r="AQ640">
        <v>-43.879826000000001</v>
      </c>
      <c r="AR640">
        <v>11.68641198848764</v>
      </c>
      <c r="AS640" t="s">
        <v>65</v>
      </c>
      <c r="AT640">
        <v>1</v>
      </c>
      <c r="AU640" t="s">
        <v>573</v>
      </c>
      <c r="AV640" t="s">
        <v>574</v>
      </c>
      <c r="AW640" t="s">
        <v>60</v>
      </c>
      <c r="AX640" t="s">
        <v>68</v>
      </c>
      <c r="AY640" t="s">
        <v>69</v>
      </c>
      <c r="AZ640" t="b">
        <v>1</v>
      </c>
    </row>
    <row r="641" spans="1:52" x14ac:dyDescent="0.3">
      <c r="A641" t="s">
        <v>52</v>
      </c>
      <c r="B641" t="s">
        <v>53</v>
      </c>
      <c r="C641" t="s">
        <v>54</v>
      </c>
      <c r="D641" t="s">
        <v>55</v>
      </c>
      <c r="E641" t="s">
        <v>788</v>
      </c>
      <c r="F641" t="s">
        <v>512</v>
      </c>
      <c r="G641" t="s">
        <v>586</v>
      </c>
      <c r="H641" t="s">
        <v>587</v>
      </c>
      <c r="I641" t="s">
        <v>587</v>
      </c>
      <c r="J641" t="s">
        <v>60</v>
      </c>
      <c r="K641" t="s">
        <v>286</v>
      </c>
      <c r="L641" t="s">
        <v>62</v>
      </c>
      <c r="M641" t="s">
        <v>286</v>
      </c>
      <c r="N641" t="s">
        <v>588</v>
      </c>
      <c r="O641" t="s">
        <v>589</v>
      </c>
      <c r="P641">
        <v>-19.638362999999998</v>
      </c>
      <c r="Q641">
        <v>-43.887081000000002</v>
      </c>
      <c r="R641" s="2" t="str">
        <f>HYPERLINK("https://www.google.com/maps?q=-19.6383630,-43.8870810","Abrir no Google Maps")</f>
        <v>Abrir no Google Maps</v>
      </c>
      <c r="S641">
        <v>3</v>
      </c>
      <c r="T641">
        <v>521.16909902210193</v>
      </c>
      <c r="U641">
        <v>1</v>
      </c>
      <c r="V641">
        <v>0</v>
      </c>
      <c r="W641">
        <v>0.85</v>
      </c>
      <c r="X641">
        <v>0</v>
      </c>
      <c r="Y641">
        <v>10</v>
      </c>
      <c r="Z641">
        <v>416.66355243950221</v>
      </c>
      <c r="AA641">
        <v>2</v>
      </c>
      <c r="AB641">
        <v>3</v>
      </c>
      <c r="AC641">
        <v>7</v>
      </c>
      <c r="AD641">
        <v>24.35</v>
      </c>
      <c r="AE641">
        <v>253</v>
      </c>
      <c r="AF641">
        <v>13</v>
      </c>
      <c r="AG641">
        <v>62</v>
      </c>
      <c r="AH641">
        <v>32</v>
      </c>
      <c r="AI641">
        <v>5.14</v>
      </c>
      <c r="AJ641">
        <v>24.51</v>
      </c>
      <c r="AK641">
        <v>12.65</v>
      </c>
      <c r="AL641">
        <v>-19.638074649999961</v>
      </c>
      <c r="AM641">
        <v>-43.887517684870552</v>
      </c>
      <c r="AN641">
        <v>-19.638074649999961</v>
      </c>
      <c r="AO641">
        <v>-43.887517684870552</v>
      </c>
      <c r="AP641">
        <v>-19.638362999999998</v>
      </c>
      <c r="AQ641">
        <v>-43.887081000000002</v>
      </c>
      <c r="AR641">
        <v>55.915550702564907</v>
      </c>
      <c r="AS641" t="s">
        <v>65</v>
      </c>
      <c r="AT641">
        <v>1</v>
      </c>
      <c r="AU641" t="s">
        <v>590</v>
      </c>
      <c r="AV641" t="s">
        <v>591</v>
      </c>
      <c r="AW641" t="s">
        <v>60</v>
      </c>
      <c r="AX641" t="s">
        <v>68</v>
      </c>
      <c r="AY641" t="s">
        <v>69</v>
      </c>
      <c r="AZ641" t="b">
        <v>1</v>
      </c>
    </row>
    <row r="642" spans="1:52" x14ac:dyDescent="0.3">
      <c r="A642" t="s">
        <v>52</v>
      </c>
      <c r="B642" t="s">
        <v>53</v>
      </c>
      <c r="C642" t="s">
        <v>54</v>
      </c>
      <c r="D642" t="s">
        <v>55</v>
      </c>
      <c r="E642" t="s">
        <v>788</v>
      </c>
      <c r="F642" t="s">
        <v>512</v>
      </c>
      <c r="G642" t="s">
        <v>411</v>
      </c>
      <c r="H642" t="s">
        <v>412</v>
      </c>
      <c r="I642" t="s">
        <v>412</v>
      </c>
      <c r="J642" t="s">
        <v>60</v>
      </c>
      <c r="K642" t="s">
        <v>179</v>
      </c>
      <c r="L642" t="s">
        <v>62</v>
      </c>
      <c r="M642" t="s">
        <v>179</v>
      </c>
      <c r="N642" t="s">
        <v>413</v>
      </c>
      <c r="O642" t="s">
        <v>414</v>
      </c>
      <c r="P642">
        <v>-19.650079000000002</v>
      </c>
      <c r="Q642">
        <v>-43.884253999999999</v>
      </c>
      <c r="R642" s="2" t="str">
        <f>HYPERLINK("https://www.google.com/maps?q=-19.6500790,-43.8842540","Abrir no Google Maps")</f>
        <v>Abrir no Google Maps</v>
      </c>
      <c r="S642">
        <v>3</v>
      </c>
      <c r="T642">
        <v>797.21430129715498</v>
      </c>
      <c r="U642">
        <v>1</v>
      </c>
      <c r="V642">
        <v>5</v>
      </c>
      <c r="W642">
        <v>1</v>
      </c>
      <c r="X642">
        <v>5</v>
      </c>
      <c r="Y642">
        <v>10</v>
      </c>
      <c r="Z642">
        <v>774.04145012702554</v>
      </c>
      <c r="AA642">
        <v>2</v>
      </c>
      <c r="AB642">
        <v>3</v>
      </c>
      <c r="AC642">
        <v>7</v>
      </c>
      <c r="AD642">
        <v>24.35</v>
      </c>
      <c r="AE642">
        <v>253</v>
      </c>
      <c r="AF642">
        <v>13</v>
      </c>
      <c r="AG642">
        <v>62</v>
      </c>
      <c r="AH642">
        <v>32</v>
      </c>
      <c r="AI642">
        <v>5.14</v>
      </c>
      <c r="AJ642">
        <v>24.51</v>
      </c>
      <c r="AK642">
        <v>12.65</v>
      </c>
      <c r="AL642">
        <v>-19.649199399999961</v>
      </c>
      <c r="AM642">
        <v>-43.883888390043637</v>
      </c>
      <c r="AN642">
        <v>-19.649199399999961</v>
      </c>
      <c r="AO642">
        <v>-43.883888390043637</v>
      </c>
      <c r="AP642">
        <v>-19.650079000000002</v>
      </c>
      <c r="AQ642">
        <v>-43.884253999999999</v>
      </c>
      <c r="AR642">
        <v>105.1518915696123</v>
      </c>
      <c r="AS642" t="s">
        <v>65</v>
      </c>
      <c r="AT642">
        <v>1</v>
      </c>
      <c r="AU642" t="s">
        <v>415</v>
      </c>
      <c r="AV642" t="s">
        <v>416</v>
      </c>
      <c r="AW642" t="s">
        <v>60</v>
      </c>
      <c r="AX642" t="s">
        <v>68</v>
      </c>
      <c r="AY642" t="s">
        <v>69</v>
      </c>
      <c r="AZ642" t="b">
        <v>1</v>
      </c>
    </row>
    <row r="643" spans="1:52" x14ac:dyDescent="0.3">
      <c r="A643" t="s">
        <v>52</v>
      </c>
      <c r="B643" t="s">
        <v>53</v>
      </c>
      <c r="C643" t="s">
        <v>54</v>
      </c>
      <c r="D643" t="s">
        <v>55</v>
      </c>
      <c r="E643" t="s">
        <v>788</v>
      </c>
      <c r="F643" t="s">
        <v>512</v>
      </c>
      <c r="G643" t="s">
        <v>575</v>
      </c>
      <c r="H643" t="s">
        <v>576</v>
      </c>
      <c r="I643" t="s">
        <v>576</v>
      </c>
      <c r="J643" t="s">
        <v>60</v>
      </c>
      <c r="K643" t="s">
        <v>445</v>
      </c>
      <c r="L643" t="s">
        <v>62</v>
      </c>
      <c r="M643" t="s">
        <v>445</v>
      </c>
      <c r="N643" t="s">
        <v>577</v>
      </c>
      <c r="O643" t="s">
        <v>214</v>
      </c>
      <c r="P643">
        <v>-19.639865</v>
      </c>
      <c r="Q643">
        <v>-43.877858000000003</v>
      </c>
      <c r="R643" s="2" t="str">
        <f>HYPERLINK("https://www.google.com/maps?q=-19.6398650,-43.8778580","Abrir no Google Maps")</f>
        <v>Abrir no Google Maps</v>
      </c>
      <c r="S643">
        <v>3</v>
      </c>
      <c r="T643">
        <v>497.47318171010488</v>
      </c>
      <c r="U643">
        <v>1</v>
      </c>
      <c r="V643">
        <v>3</v>
      </c>
      <c r="W643">
        <v>0.85</v>
      </c>
      <c r="X643">
        <v>2.5499999999999998</v>
      </c>
      <c r="Y643">
        <v>10</v>
      </c>
      <c r="Z643">
        <v>547.08184956634818</v>
      </c>
      <c r="AA643">
        <v>2</v>
      </c>
      <c r="AB643">
        <v>3</v>
      </c>
      <c r="AC643">
        <v>7</v>
      </c>
      <c r="AD643">
        <v>24.35</v>
      </c>
      <c r="AE643">
        <v>253</v>
      </c>
      <c r="AF643">
        <v>13</v>
      </c>
      <c r="AG643">
        <v>62</v>
      </c>
      <c r="AH643">
        <v>32</v>
      </c>
      <c r="AI643">
        <v>5.14</v>
      </c>
      <c r="AJ643">
        <v>24.51</v>
      </c>
      <c r="AK643">
        <v>12.65</v>
      </c>
      <c r="AL643">
        <v>-19.639907499999961</v>
      </c>
      <c r="AM643">
        <v>-43.877561677180587</v>
      </c>
      <c r="AN643">
        <v>-19.639907499999961</v>
      </c>
      <c r="AO643">
        <v>-43.877561677180587</v>
      </c>
      <c r="AP643">
        <v>-19.639865</v>
      </c>
      <c r="AQ643">
        <v>-43.877858000000003</v>
      </c>
      <c r="AR643">
        <v>31.4257813556037</v>
      </c>
      <c r="AS643" t="s">
        <v>65</v>
      </c>
      <c r="AT643">
        <v>1</v>
      </c>
      <c r="AU643" t="s">
        <v>578</v>
      </c>
      <c r="AV643" t="s">
        <v>579</v>
      </c>
      <c r="AW643" t="s">
        <v>60</v>
      </c>
      <c r="AX643" t="s">
        <v>68</v>
      </c>
      <c r="AY643" t="s">
        <v>69</v>
      </c>
      <c r="AZ643" t="b">
        <v>1</v>
      </c>
    </row>
    <row r="644" spans="1:52" x14ac:dyDescent="0.3">
      <c r="A644" t="s">
        <v>52</v>
      </c>
      <c r="B644" t="s">
        <v>53</v>
      </c>
      <c r="C644" t="s">
        <v>54</v>
      </c>
      <c r="D644" t="s">
        <v>55</v>
      </c>
      <c r="E644" t="s">
        <v>788</v>
      </c>
      <c r="F644" t="s">
        <v>512</v>
      </c>
      <c r="G644" t="s">
        <v>592</v>
      </c>
      <c r="H644" t="s">
        <v>593</v>
      </c>
      <c r="I644" t="s">
        <v>593</v>
      </c>
      <c r="J644" t="s">
        <v>60</v>
      </c>
      <c r="K644" t="s">
        <v>445</v>
      </c>
      <c r="L644" t="s">
        <v>62</v>
      </c>
      <c r="M644" t="s">
        <v>445</v>
      </c>
      <c r="N644" t="s">
        <v>594</v>
      </c>
      <c r="O644" t="s">
        <v>477</v>
      </c>
      <c r="P644">
        <v>-19.640709000000001</v>
      </c>
      <c r="Q644">
        <v>-43.868687999999999</v>
      </c>
      <c r="R644" s="2" t="str">
        <f>HYPERLINK("https://www.google.com/maps?q=-19.6407090,-43.8686880","Abrir no Google Maps")</f>
        <v>Abrir no Google Maps</v>
      </c>
      <c r="S644">
        <v>1</v>
      </c>
      <c r="T644">
        <v>1174.9679995958841</v>
      </c>
      <c r="U644">
        <v>3</v>
      </c>
      <c r="V644">
        <v>12</v>
      </c>
      <c r="W644">
        <v>1</v>
      </c>
      <c r="X644">
        <v>12</v>
      </c>
      <c r="Y644">
        <v>10</v>
      </c>
      <c r="Z644">
        <v>1230.8029594060461</v>
      </c>
      <c r="AA644">
        <v>2</v>
      </c>
      <c r="AB644">
        <v>3</v>
      </c>
      <c r="AC644">
        <v>7</v>
      </c>
      <c r="AD644">
        <v>24.35</v>
      </c>
      <c r="AE644">
        <v>253</v>
      </c>
      <c r="AF644">
        <v>13</v>
      </c>
      <c r="AG644">
        <v>62</v>
      </c>
      <c r="AH644">
        <v>32</v>
      </c>
      <c r="AI644">
        <v>5.14</v>
      </c>
      <c r="AJ644">
        <v>24.51</v>
      </c>
      <c r="AK644">
        <v>12.65</v>
      </c>
      <c r="AL644">
        <v>-19.641057949999979</v>
      </c>
      <c r="AM644">
        <v>-43.868800137485707</v>
      </c>
      <c r="AN644">
        <v>-19.641057949999979</v>
      </c>
      <c r="AO644">
        <v>-43.868800137485707</v>
      </c>
      <c r="AP644">
        <v>-19.640709000000001</v>
      </c>
      <c r="AQ644">
        <v>-43.868687999999999</v>
      </c>
      <c r="AR644">
        <v>40.585293798071682</v>
      </c>
      <c r="AS644" t="s">
        <v>65</v>
      </c>
      <c r="AT644">
        <v>1</v>
      </c>
      <c r="AU644" t="s">
        <v>595</v>
      </c>
      <c r="AV644" t="s">
        <v>596</v>
      </c>
      <c r="AW644" t="s">
        <v>60</v>
      </c>
      <c r="AX644" t="s">
        <v>68</v>
      </c>
      <c r="AY644" t="s">
        <v>69</v>
      </c>
      <c r="AZ644" t="b">
        <v>1</v>
      </c>
    </row>
    <row r="645" spans="1:52" x14ac:dyDescent="0.3">
      <c r="A645" t="s">
        <v>52</v>
      </c>
      <c r="B645" t="s">
        <v>53</v>
      </c>
      <c r="C645" t="s">
        <v>54</v>
      </c>
      <c r="D645" t="s">
        <v>55</v>
      </c>
      <c r="E645" t="s">
        <v>788</v>
      </c>
      <c r="F645" t="s">
        <v>512</v>
      </c>
      <c r="G645" t="s">
        <v>602</v>
      </c>
      <c r="H645" t="s">
        <v>603</v>
      </c>
      <c r="I645" t="s">
        <v>603</v>
      </c>
      <c r="J645" t="s">
        <v>60</v>
      </c>
      <c r="K645" t="s">
        <v>185</v>
      </c>
      <c r="L645" t="s">
        <v>62</v>
      </c>
      <c r="M645" t="s">
        <v>185</v>
      </c>
      <c r="N645" t="s">
        <v>604</v>
      </c>
      <c r="O645" t="s">
        <v>341</v>
      </c>
      <c r="P645">
        <v>-19.624801999999999</v>
      </c>
      <c r="Q645">
        <v>-43.891128999999999</v>
      </c>
      <c r="R645" s="2" t="str">
        <f>HYPERLINK("https://www.google.com/maps?q=-19.6248020,-43.8911290","Abrir no Google Maps")</f>
        <v>Abrir no Google Maps</v>
      </c>
      <c r="S645">
        <v>1</v>
      </c>
      <c r="T645">
        <v>340.53720321500958</v>
      </c>
      <c r="U645">
        <v>2</v>
      </c>
      <c r="V645">
        <v>7</v>
      </c>
      <c r="W645">
        <v>0.85</v>
      </c>
      <c r="X645">
        <v>5.95</v>
      </c>
      <c r="Y645">
        <v>18</v>
      </c>
      <c r="Z645">
        <v>362.68114540183888</v>
      </c>
      <c r="AA645">
        <v>2</v>
      </c>
      <c r="AB645">
        <v>3</v>
      </c>
      <c r="AC645">
        <v>7</v>
      </c>
      <c r="AD645">
        <v>24.35</v>
      </c>
      <c r="AE645">
        <v>253</v>
      </c>
      <c r="AF645">
        <v>13</v>
      </c>
      <c r="AG645">
        <v>62</v>
      </c>
      <c r="AH645">
        <v>32</v>
      </c>
      <c r="AI645">
        <v>5.14</v>
      </c>
      <c r="AJ645">
        <v>24.51</v>
      </c>
      <c r="AK645">
        <v>12.65</v>
      </c>
      <c r="AL645">
        <v>-19.625033299999959</v>
      </c>
      <c r="AM645">
        <v>-43.891084256403538</v>
      </c>
      <c r="AN645">
        <v>-19.625033299999959</v>
      </c>
      <c r="AO645">
        <v>-43.891084256403538</v>
      </c>
      <c r="AP645">
        <v>-19.624801999999999</v>
      </c>
      <c r="AQ645">
        <v>-43.891128999999999</v>
      </c>
      <c r="AR645">
        <v>26.172240371022362</v>
      </c>
      <c r="AS645" t="s">
        <v>65</v>
      </c>
      <c r="AT645">
        <v>1</v>
      </c>
      <c r="AU645" t="s">
        <v>605</v>
      </c>
      <c r="AV645" t="s">
        <v>606</v>
      </c>
      <c r="AW645" t="s">
        <v>60</v>
      </c>
      <c r="AX645" t="s">
        <v>68</v>
      </c>
      <c r="AY645" t="s">
        <v>69</v>
      </c>
      <c r="AZ645" t="b">
        <v>1</v>
      </c>
    </row>
    <row r="646" spans="1:52" x14ac:dyDescent="0.3">
      <c r="A646" t="s">
        <v>52</v>
      </c>
      <c r="B646" t="s">
        <v>53</v>
      </c>
      <c r="C646" t="s">
        <v>54</v>
      </c>
      <c r="D646" t="s">
        <v>55</v>
      </c>
      <c r="E646" t="s">
        <v>788</v>
      </c>
      <c r="F646" t="s">
        <v>512</v>
      </c>
      <c r="G646" t="s">
        <v>597</v>
      </c>
      <c r="H646" t="s">
        <v>598</v>
      </c>
      <c r="I646" t="s">
        <v>598</v>
      </c>
      <c r="J646" t="s">
        <v>60</v>
      </c>
      <c r="K646" t="s">
        <v>445</v>
      </c>
      <c r="L646" t="s">
        <v>62</v>
      </c>
      <c r="M646" t="s">
        <v>445</v>
      </c>
      <c r="N646" t="s">
        <v>599</v>
      </c>
      <c r="O646" t="s">
        <v>391</v>
      </c>
      <c r="P646">
        <v>-19.637060999999999</v>
      </c>
      <c r="Q646">
        <v>-43.871026000000001</v>
      </c>
      <c r="R646" s="2" t="str">
        <f>HYPERLINK("https://www.google.com/maps?q=-19.6370610,-43.8710260","Abrir no Google Maps")</f>
        <v>Abrir no Google Maps</v>
      </c>
      <c r="S646">
        <v>1</v>
      </c>
      <c r="T646">
        <v>737.61884389282102</v>
      </c>
      <c r="U646">
        <v>2</v>
      </c>
      <c r="V646">
        <v>10</v>
      </c>
      <c r="W646">
        <v>1</v>
      </c>
      <c r="X646">
        <v>10</v>
      </c>
      <c r="Y646">
        <v>10</v>
      </c>
      <c r="Z646">
        <v>1331.4501394006061</v>
      </c>
      <c r="AA646">
        <v>2</v>
      </c>
      <c r="AB646">
        <v>3</v>
      </c>
      <c r="AC646">
        <v>7</v>
      </c>
      <c r="AD646">
        <v>24.35</v>
      </c>
      <c r="AE646">
        <v>253</v>
      </c>
      <c r="AF646">
        <v>13</v>
      </c>
      <c r="AG646">
        <v>62</v>
      </c>
      <c r="AH646">
        <v>32</v>
      </c>
      <c r="AI646">
        <v>5.14</v>
      </c>
      <c r="AJ646">
        <v>24.51</v>
      </c>
      <c r="AK646">
        <v>12.65</v>
      </c>
      <c r="AL646">
        <v>-19.637111899999951</v>
      </c>
      <c r="AM646">
        <v>-43.870888931681193</v>
      </c>
      <c r="AN646">
        <v>-19.637111899999951</v>
      </c>
      <c r="AO646">
        <v>-43.870888931681193</v>
      </c>
      <c r="AP646">
        <v>-19.637060999999999</v>
      </c>
      <c r="AQ646">
        <v>-43.871026000000001</v>
      </c>
      <c r="AR646">
        <v>15.44770924391884</v>
      </c>
      <c r="AS646" t="s">
        <v>65</v>
      </c>
      <c r="AT646">
        <v>1</v>
      </c>
      <c r="AU646" t="s">
        <v>600</v>
      </c>
      <c r="AV646" t="s">
        <v>601</v>
      </c>
      <c r="AW646" t="s">
        <v>60</v>
      </c>
      <c r="AX646" t="s">
        <v>68</v>
      </c>
      <c r="AY646" t="s">
        <v>69</v>
      </c>
      <c r="AZ646" t="b">
        <v>1</v>
      </c>
    </row>
    <row r="647" spans="1:52" x14ac:dyDescent="0.3">
      <c r="A647" t="s">
        <v>52</v>
      </c>
      <c r="B647" t="s">
        <v>53</v>
      </c>
      <c r="C647" t="s">
        <v>54</v>
      </c>
      <c r="D647" t="s">
        <v>55</v>
      </c>
      <c r="E647" t="s">
        <v>788</v>
      </c>
      <c r="F647" t="s">
        <v>512</v>
      </c>
      <c r="G647" t="s">
        <v>123</v>
      </c>
      <c r="H647" t="s">
        <v>607</v>
      </c>
      <c r="I647" t="s">
        <v>607</v>
      </c>
      <c r="J647" t="s">
        <v>60</v>
      </c>
      <c r="K647" t="s">
        <v>333</v>
      </c>
      <c r="L647" t="s">
        <v>62</v>
      </c>
      <c r="M647" t="s">
        <v>333</v>
      </c>
      <c r="N647" t="s">
        <v>125</v>
      </c>
      <c r="O647" t="s">
        <v>608</v>
      </c>
      <c r="P647">
        <v>-19.636002999999999</v>
      </c>
      <c r="Q647">
        <v>-43.908445</v>
      </c>
      <c r="R647" s="2" t="str">
        <f>HYPERLINK("https://www.google.com/maps?q=-19.6360030,-43.9084450","Abrir no Google Maps")</f>
        <v>Abrir no Google Maps</v>
      </c>
      <c r="S647">
        <v>1</v>
      </c>
      <c r="T647">
        <v>612.64850802557942</v>
      </c>
      <c r="U647">
        <v>1</v>
      </c>
      <c r="V647">
        <v>5</v>
      </c>
      <c r="W647">
        <v>0.85</v>
      </c>
      <c r="X647">
        <v>4.25</v>
      </c>
      <c r="Y647">
        <v>10</v>
      </c>
      <c r="Z647">
        <v>606.91793961222209</v>
      </c>
      <c r="AA647">
        <v>2</v>
      </c>
      <c r="AB647">
        <v>3</v>
      </c>
      <c r="AC647">
        <v>7</v>
      </c>
      <c r="AD647">
        <v>24.35</v>
      </c>
      <c r="AE647">
        <v>253</v>
      </c>
      <c r="AF647">
        <v>13</v>
      </c>
      <c r="AG647">
        <v>62</v>
      </c>
      <c r="AH647">
        <v>32</v>
      </c>
      <c r="AI647">
        <v>5.14</v>
      </c>
      <c r="AJ647">
        <v>24.51</v>
      </c>
      <c r="AK647">
        <v>12.65</v>
      </c>
      <c r="AL647">
        <v>-19.63618049999997</v>
      </c>
      <c r="AM647">
        <v>-43.908471095478113</v>
      </c>
      <c r="AN647">
        <v>-19.63618049999997</v>
      </c>
      <c r="AO647">
        <v>-43.908471095478113</v>
      </c>
      <c r="AP647">
        <v>-19.636002999999999</v>
      </c>
      <c r="AQ647">
        <v>-43.908445</v>
      </c>
      <c r="AR647">
        <v>19.947824476218141</v>
      </c>
      <c r="AS647" t="s">
        <v>65</v>
      </c>
      <c r="AT647">
        <v>1</v>
      </c>
      <c r="AU647" t="s">
        <v>609</v>
      </c>
      <c r="AV647" t="s">
        <v>610</v>
      </c>
      <c r="AW647" t="s">
        <v>60</v>
      </c>
      <c r="AX647" t="s">
        <v>68</v>
      </c>
      <c r="AY647" t="s">
        <v>69</v>
      </c>
      <c r="AZ647" t="b">
        <v>1</v>
      </c>
    </row>
    <row r="648" spans="1:52" x14ac:dyDescent="0.3">
      <c r="A648" t="s">
        <v>52</v>
      </c>
      <c r="B648" t="s">
        <v>53</v>
      </c>
      <c r="C648" t="s">
        <v>54</v>
      </c>
      <c r="D648" t="s">
        <v>55</v>
      </c>
      <c r="E648" t="s">
        <v>788</v>
      </c>
      <c r="F648" t="s">
        <v>512</v>
      </c>
      <c r="G648" t="s">
        <v>611</v>
      </c>
      <c r="H648" t="s">
        <v>612</v>
      </c>
      <c r="I648" t="s">
        <v>612</v>
      </c>
      <c r="J648" t="s">
        <v>60</v>
      </c>
      <c r="K648" t="s">
        <v>445</v>
      </c>
      <c r="L648" t="s">
        <v>62</v>
      </c>
      <c r="M648" t="s">
        <v>445</v>
      </c>
      <c r="N648" t="s">
        <v>613</v>
      </c>
      <c r="O648" t="s">
        <v>94</v>
      </c>
      <c r="P648">
        <v>-19.639271999999998</v>
      </c>
      <c r="Q648">
        <v>-43.875624000000002</v>
      </c>
      <c r="R648" s="2" t="str">
        <f>HYPERLINK("https://www.google.com/maps?q=-19.6392720,-43.8756240","Abrir no Google Maps")</f>
        <v>Abrir no Google Maps</v>
      </c>
      <c r="S648">
        <v>1</v>
      </c>
      <c r="T648">
        <v>618.4798639458262</v>
      </c>
      <c r="U648">
        <v>1</v>
      </c>
      <c r="V648">
        <v>3</v>
      </c>
      <c r="W648">
        <v>0.85</v>
      </c>
      <c r="X648">
        <v>2.5499999999999998</v>
      </c>
      <c r="Y648">
        <v>10</v>
      </c>
      <c r="Z648">
        <v>724.62991660382431</v>
      </c>
      <c r="AA648">
        <v>2</v>
      </c>
      <c r="AB648">
        <v>3</v>
      </c>
      <c r="AC648">
        <v>7</v>
      </c>
      <c r="AD648">
        <v>24.35</v>
      </c>
      <c r="AE648">
        <v>253</v>
      </c>
      <c r="AF648">
        <v>13</v>
      </c>
      <c r="AG648">
        <v>62</v>
      </c>
      <c r="AH648">
        <v>32</v>
      </c>
      <c r="AI648">
        <v>5.14</v>
      </c>
      <c r="AJ648">
        <v>24.51</v>
      </c>
      <c r="AK648">
        <v>12.65</v>
      </c>
      <c r="AL648">
        <v>-19.639239899999978</v>
      </c>
      <c r="AM648">
        <v>-43.875497463228079</v>
      </c>
      <c r="AN648">
        <v>-19.639239899999978</v>
      </c>
      <c r="AO648">
        <v>-43.875497463228079</v>
      </c>
      <c r="AP648">
        <v>-19.639271999999998</v>
      </c>
      <c r="AQ648">
        <v>-43.875624000000002</v>
      </c>
      <c r="AR648">
        <v>13.73946951590594</v>
      </c>
      <c r="AS648" t="s">
        <v>65</v>
      </c>
      <c r="AT648">
        <v>1</v>
      </c>
      <c r="AU648" t="s">
        <v>614</v>
      </c>
      <c r="AV648" t="s">
        <v>615</v>
      </c>
      <c r="AW648" t="s">
        <v>60</v>
      </c>
      <c r="AX648" t="s">
        <v>68</v>
      </c>
      <c r="AY648" t="s">
        <v>69</v>
      </c>
      <c r="AZ648" t="b">
        <v>1</v>
      </c>
    </row>
    <row r="649" spans="1:52" x14ac:dyDescent="0.3">
      <c r="A649" t="s">
        <v>52</v>
      </c>
      <c r="B649" t="s">
        <v>53</v>
      </c>
      <c r="C649" t="s">
        <v>54</v>
      </c>
      <c r="D649" t="s">
        <v>55</v>
      </c>
      <c r="E649" t="s">
        <v>795</v>
      </c>
      <c r="F649" t="s">
        <v>57</v>
      </c>
      <c r="G649" t="s">
        <v>58</v>
      </c>
      <c r="H649" t="s">
        <v>59</v>
      </c>
      <c r="I649" t="s">
        <v>59</v>
      </c>
      <c r="J649" t="s">
        <v>60</v>
      </c>
      <c r="K649" t="s">
        <v>61</v>
      </c>
      <c r="L649" t="s">
        <v>62</v>
      </c>
      <c r="M649" t="s">
        <v>61</v>
      </c>
      <c r="N649" t="s">
        <v>63</v>
      </c>
      <c r="O649" t="s">
        <v>64</v>
      </c>
      <c r="P649">
        <v>-19.631502000000001</v>
      </c>
      <c r="Q649">
        <v>-43.910241999999997</v>
      </c>
      <c r="R649" s="2" t="str">
        <f>HYPERLINK("https://www.google.com/maps?q=-19.6315020,-43.9102420","Abrir no Google Maps")</f>
        <v>Abrir no Google Maps</v>
      </c>
      <c r="S649">
        <v>4</v>
      </c>
      <c r="T649">
        <v>789.20099406682743</v>
      </c>
      <c r="U649">
        <v>4</v>
      </c>
      <c r="V649">
        <v>0.42094747486426121</v>
      </c>
      <c r="W649">
        <v>1</v>
      </c>
      <c r="X649">
        <v>0.42094747486426121</v>
      </c>
      <c r="Y649">
        <v>10</v>
      </c>
      <c r="Z649">
        <v>691.44930074509864</v>
      </c>
      <c r="AA649">
        <v>2</v>
      </c>
      <c r="AB649">
        <v>3</v>
      </c>
      <c r="AC649">
        <v>7</v>
      </c>
      <c r="AD649">
        <v>26.01</v>
      </c>
      <c r="AE649">
        <v>253</v>
      </c>
      <c r="AF649">
        <v>17</v>
      </c>
      <c r="AG649">
        <v>60</v>
      </c>
      <c r="AH649">
        <v>32</v>
      </c>
      <c r="AI649">
        <v>6.72</v>
      </c>
      <c r="AJ649">
        <v>23.72</v>
      </c>
      <c r="AK649">
        <v>12.65</v>
      </c>
      <c r="AL649">
        <v>-19.631719749999949</v>
      </c>
      <c r="AM649">
        <v>-43.910102324517517</v>
      </c>
      <c r="AN649">
        <v>-19.631719749999949</v>
      </c>
      <c r="AO649">
        <v>-43.910102324517517</v>
      </c>
      <c r="AP649">
        <v>-19.631502000000001</v>
      </c>
      <c r="AQ649">
        <v>-43.910241999999997</v>
      </c>
      <c r="AR649">
        <v>28.320416429206599</v>
      </c>
      <c r="AS649" t="s">
        <v>65</v>
      </c>
      <c r="AT649">
        <v>1</v>
      </c>
      <c r="AU649" t="s">
        <v>66</v>
      </c>
      <c r="AV649" t="s">
        <v>67</v>
      </c>
      <c r="AW649" t="s">
        <v>60</v>
      </c>
      <c r="AX649" t="s">
        <v>68</v>
      </c>
      <c r="AY649" t="s">
        <v>69</v>
      </c>
      <c r="AZ649" t="b">
        <v>1</v>
      </c>
    </row>
    <row r="650" spans="1:52" x14ac:dyDescent="0.3">
      <c r="A650" t="s">
        <v>52</v>
      </c>
      <c r="B650" t="s">
        <v>53</v>
      </c>
      <c r="C650" t="s">
        <v>54</v>
      </c>
      <c r="D650" t="s">
        <v>55</v>
      </c>
      <c r="E650" t="s">
        <v>795</v>
      </c>
      <c r="F650" t="s">
        <v>57</v>
      </c>
      <c r="G650" t="s">
        <v>70</v>
      </c>
      <c r="H650" t="s">
        <v>71</v>
      </c>
      <c r="I650" t="s">
        <v>71</v>
      </c>
      <c r="J650" t="s">
        <v>60</v>
      </c>
      <c r="K650" t="s">
        <v>72</v>
      </c>
      <c r="L650" t="s">
        <v>62</v>
      </c>
      <c r="M650" t="s">
        <v>72</v>
      </c>
      <c r="N650" t="s">
        <v>73</v>
      </c>
      <c r="O650" t="s">
        <v>74</v>
      </c>
      <c r="P650">
        <v>-19.632581999999999</v>
      </c>
      <c r="Q650">
        <v>-43.902416000000002</v>
      </c>
      <c r="R650" s="2" t="str">
        <f>HYPERLINK("https://www.google.com/maps?q=-19.6325820,-43.9024160","Abrir no Google Maps")</f>
        <v>Abrir no Google Maps</v>
      </c>
      <c r="S650">
        <v>4</v>
      </c>
      <c r="T650">
        <v>0</v>
      </c>
      <c r="U650">
        <v>4</v>
      </c>
      <c r="V650">
        <v>0.48623282478969931</v>
      </c>
      <c r="W650">
        <v>1</v>
      </c>
      <c r="X650">
        <v>0.48623282478969931</v>
      </c>
      <c r="Y650">
        <v>10</v>
      </c>
      <c r="Z650">
        <v>146.6968158874696</v>
      </c>
      <c r="AA650">
        <v>2</v>
      </c>
      <c r="AB650">
        <v>3</v>
      </c>
      <c r="AC650">
        <v>7</v>
      </c>
      <c r="AD650">
        <v>26.01</v>
      </c>
      <c r="AE650">
        <v>253</v>
      </c>
      <c r="AF650">
        <v>17</v>
      </c>
      <c r="AG650">
        <v>60</v>
      </c>
      <c r="AH650">
        <v>32</v>
      </c>
      <c r="AI650">
        <v>6.72</v>
      </c>
      <c r="AJ650">
        <v>23.72</v>
      </c>
      <c r="AK650">
        <v>12.65</v>
      </c>
      <c r="AL650">
        <v>-19.63271449999996</v>
      </c>
      <c r="AM650">
        <v>-43.902649897389402</v>
      </c>
      <c r="AN650">
        <v>-19.63271449999996</v>
      </c>
      <c r="AO650">
        <v>-43.902649897389402</v>
      </c>
      <c r="AP650">
        <v>-19.632581999999999</v>
      </c>
      <c r="AQ650">
        <v>-43.902416000000002</v>
      </c>
      <c r="AR650">
        <v>28.617753432996459</v>
      </c>
      <c r="AS650" t="s">
        <v>65</v>
      </c>
      <c r="AT650">
        <v>1</v>
      </c>
      <c r="AU650" t="s">
        <v>75</v>
      </c>
      <c r="AV650" t="s">
        <v>76</v>
      </c>
      <c r="AW650" t="s">
        <v>60</v>
      </c>
      <c r="AX650" t="s">
        <v>68</v>
      </c>
      <c r="AY650" t="s">
        <v>69</v>
      </c>
      <c r="AZ650" t="b">
        <v>1</v>
      </c>
    </row>
    <row r="651" spans="1:52" x14ac:dyDescent="0.3">
      <c r="A651" t="s">
        <v>52</v>
      </c>
      <c r="B651" t="s">
        <v>53</v>
      </c>
      <c r="C651" t="s">
        <v>54</v>
      </c>
      <c r="D651" t="s">
        <v>55</v>
      </c>
      <c r="E651" t="s">
        <v>795</v>
      </c>
      <c r="F651" t="s">
        <v>57</v>
      </c>
      <c r="G651" t="s">
        <v>77</v>
      </c>
      <c r="H651" t="s">
        <v>78</v>
      </c>
      <c r="I651" t="s">
        <v>78</v>
      </c>
      <c r="J651" t="s">
        <v>60</v>
      </c>
      <c r="K651" t="s">
        <v>79</v>
      </c>
      <c r="L651" t="s">
        <v>62</v>
      </c>
      <c r="M651" t="s">
        <v>79</v>
      </c>
      <c r="N651" t="s">
        <v>80</v>
      </c>
      <c r="O651" t="s">
        <v>81</v>
      </c>
      <c r="P651">
        <v>-19.632463999999999</v>
      </c>
      <c r="Q651">
        <v>-43.904927999999998</v>
      </c>
      <c r="R651" s="2" t="str">
        <f>HYPERLINK("https://www.google.com/maps?q=-19.6324640,-43.9049280","Abrir no Google Maps")</f>
        <v>Abrir no Google Maps</v>
      </c>
      <c r="S651">
        <v>4</v>
      </c>
      <c r="T651">
        <v>244.1735197453369</v>
      </c>
      <c r="U651">
        <v>4</v>
      </c>
      <c r="V651">
        <v>0.47595691209789098</v>
      </c>
      <c r="W651">
        <v>1</v>
      </c>
      <c r="X651">
        <v>0.47595691209789098</v>
      </c>
      <c r="Y651">
        <v>10</v>
      </c>
      <c r="Z651">
        <v>287.26068152447448</v>
      </c>
      <c r="AA651">
        <v>2</v>
      </c>
      <c r="AB651">
        <v>3</v>
      </c>
      <c r="AC651">
        <v>7</v>
      </c>
      <c r="AD651">
        <v>26.01</v>
      </c>
      <c r="AE651">
        <v>253</v>
      </c>
      <c r="AF651">
        <v>17</v>
      </c>
      <c r="AG651">
        <v>60</v>
      </c>
      <c r="AH651">
        <v>32</v>
      </c>
      <c r="AI651">
        <v>6.72</v>
      </c>
      <c r="AJ651">
        <v>23.72</v>
      </c>
      <c r="AK651">
        <v>12.65</v>
      </c>
      <c r="AL651">
        <v>-19.63247099999996</v>
      </c>
      <c r="AM651">
        <v>-43.904964174285787</v>
      </c>
      <c r="AN651">
        <v>-19.63247099999996</v>
      </c>
      <c r="AO651">
        <v>-43.904964174285787</v>
      </c>
      <c r="AP651">
        <v>-19.632463999999999</v>
      </c>
      <c r="AQ651">
        <v>-43.904927999999998</v>
      </c>
      <c r="AR651">
        <v>3.8720457500200469</v>
      </c>
      <c r="AS651" t="s">
        <v>65</v>
      </c>
      <c r="AT651">
        <v>1</v>
      </c>
      <c r="AU651" t="s">
        <v>82</v>
      </c>
      <c r="AV651" t="s">
        <v>83</v>
      </c>
      <c r="AW651" t="s">
        <v>60</v>
      </c>
      <c r="AX651" t="s">
        <v>68</v>
      </c>
      <c r="AY651" t="s">
        <v>69</v>
      </c>
      <c r="AZ651" t="b">
        <v>1</v>
      </c>
    </row>
    <row r="652" spans="1:52" x14ac:dyDescent="0.3">
      <c r="A652" t="s">
        <v>52</v>
      </c>
      <c r="B652" t="s">
        <v>53</v>
      </c>
      <c r="C652" t="s">
        <v>54</v>
      </c>
      <c r="D652" t="s">
        <v>55</v>
      </c>
      <c r="E652" t="s">
        <v>795</v>
      </c>
      <c r="F652" t="s">
        <v>57</v>
      </c>
      <c r="G652" t="s">
        <v>97</v>
      </c>
      <c r="H652" t="s">
        <v>98</v>
      </c>
      <c r="I652" t="s">
        <v>98</v>
      </c>
      <c r="J652" t="s">
        <v>60</v>
      </c>
      <c r="K652" t="s">
        <v>99</v>
      </c>
      <c r="L652" t="s">
        <v>62</v>
      </c>
      <c r="M652" t="s">
        <v>99</v>
      </c>
      <c r="N652" t="s">
        <v>100</v>
      </c>
      <c r="O652" t="s">
        <v>101</v>
      </c>
      <c r="P652">
        <v>-19.629822000000001</v>
      </c>
      <c r="Q652">
        <v>-43.905341</v>
      </c>
      <c r="R652" s="2" t="str">
        <f>HYPERLINK("https://www.google.com/maps?q=-19.6298220,-43.9053410","Abrir no Google Maps")</f>
        <v>Abrir no Google Maps</v>
      </c>
      <c r="S652">
        <v>4</v>
      </c>
      <c r="T652">
        <v>441.30597341744129</v>
      </c>
      <c r="U652">
        <v>4</v>
      </c>
      <c r="V652">
        <v>0.42467805457168439</v>
      </c>
      <c r="W652">
        <v>1</v>
      </c>
      <c r="X652">
        <v>0.42467805457168439</v>
      </c>
      <c r="Y652">
        <v>10</v>
      </c>
      <c r="Z652">
        <v>513.56493751010987</v>
      </c>
      <c r="AA652">
        <v>2</v>
      </c>
      <c r="AB652">
        <v>3</v>
      </c>
      <c r="AC652">
        <v>7</v>
      </c>
      <c r="AD652">
        <v>26.01</v>
      </c>
      <c r="AE652">
        <v>253</v>
      </c>
      <c r="AF652">
        <v>17</v>
      </c>
      <c r="AG652">
        <v>60</v>
      </c>
      <c r="AH652">
        <v>32</v>
      </c>
      <c r="AI652">
        <v>6.72</v>
      </c>
      <c r="AJ652">
        <v>23.72</v>
      </c>
      <c r="AK652">
        <v>12.65</v>
      </c>
      <c r="AL652">
        <v>-19.629671599999941</v>
      </c>
      <c r="AM652">
        <v>-43.905369597920988</v>
      </c>
      <c r="AN652">
        <v>-19.629671599999931</v>
      </c>
      <c r="AO652">
        <v>-43.905369597920988</v>
      </c>
      <c r="AP652">
        <v>-19.629822000000001</v>
      </c>
      <c r="AQ652">
        <v>-43.905341</v>
      </c>
      <c r="AR652">
        <v>17.008917699186132</v>
      </c>
      <c r="AS652" t="s">
        <v>65</v>
      </c>
      <c r="AT652">
        <v>1</v>
      </c>
      <c r="AU652" t="s">
        <v>102</v>
      </c>
      <c r="AV652" t="s">
        <v>103</v>
      </c>
      <c r="AW652" t="s">
        <v>60</v>
      </c>
      <c r="AX652" t="s">
        <v>68</v>
      </c>
      <c r="AY652" t="s">
        <v>69</v>
      </c>
      <c r="AZ652" t="b">
        <v>1</v>
      </c>
    </row>
    <row r="653" spans="1:52" x14ac:dyDescent="0.3">
      <c r="A653" t="s">
        <v>52</v>
      </c>
      <c r="B653" t="s">
        <v>53</v>
      </c>
      <c r="C653" t="s">
        <v>54</v>
      </c>
      <c r="D653" t="s">
        <v>55</v>
      </c>
      <c r="E653" t="s">
        <v>795</v>
      </c>
      <c r="F653" t="s">
        <v>57</v>
      </c>
      <c r="G653" t="s">
        <v>104</v>
      </c>
      <c r="H653" t="s">
        <v>105</v>
      </c>
      <c r="I653" t="s">
        <v>105</v>
      </c>
      <c r="J653" t="s">
        <v>60</v>
      </c>
      <c r="K653" t="s">
        <v>99</v>
      </c>
      <c r="L653" t="s">
        <v>62</v>
      </c>
      <c r="M653" t="s">
        <v>99</v>
      </c>
      <c r="N653" t="s">
        <v>106</v>
      </c>
      <c r="O653" t="s">
        <v>107</v>
      </c>
      <c r="P653">
        <v>-19.627993</v>
      </c>
      <c r="Q653">
        <v>-43.904820000000001</v>
      </c>
      <c r="R653" s="2" t="str">
        <f>HYPERLINK("https://www.google.com/maps?q=-19.6279930,-43.9048200","Abrir no Google Maps")</f>
        <v>Abrir no Google Maps</v>
      </c>
      <c r="S653">
        <v>4</v>
      </c>
      <c r="T653">
        <v>573.16526621674666</v>
      </c>
      <c r="U653">
        <v>4</v>
      </c>
      <c r="V653">
        <v>0.46560399057997182</v>
      </c>
      <c r="W653">
        <v>1</v>
      </c>
      <c r="X653">
        <v>0.46560399057997182</v>
      </c>
      <c r="Y653">
        <v>7</v>
      </c>
      <c r="Z653">
        <v>659.04372306144853</v>
      </c>
      <c r="AA653">
        <v>2</v>
      </c>
      <c r="AB653">
        <v>3</v>
      </c>
      <c r="AC653">
        <v>7</v>
      </c>
      <c r="AD653">
        <v>26.01</v>
      </c>
      <c r="AE653">
        <v>253</v>
      </c>
      <c r="AF653">
        <v>17</v>
      </c>
      <c r="AG653">
        <v>60</v>
      </c>
      <c r="AH653">
        <v>32</v>
      </c>
      <c r="AI653">
        <v>6.72</v>
      </c>
      <c r="AJ653">
        <v>23.72</v>
      </c>
      <c r="AK653">
        <v>12.65</v>
      </c>
      <c r="AL653">
        <v>-19.627956249999951</v>
      </c>
      <c r="AM653">
        <v>-43.904807634206207</v>
      </c>
      <c r="AN653">
        <v>-19.627956249999951</v>
      </c>
      <c r="AO653">
        <v>-43.904807634206207</v>
      </c>
      <c r="AP653">
        <v>-19.627993</v>
      </c>
      <c r="AQ653">
        <v>-43.904820000000001</v>
      </c>
      <c r="AR653">
        <v>4.291557430205998</v>
      </c>
      <c r="AS653" t="s">
        <v>65</v>
      </c>
      <c r="AT653">
        <v>1</v>
      </c>
      <c r="AU653" t="s">
        <v>108</v>
      </c>
      <c r="AV653" t="s">
        <v>103</v>
      </c>
      <c r="AW653" t="s">
        <v>60</v>
      </c>
      <c r="AX653" t="s">
        <v>68</v>
      </c>
      <c r="AY653" t="s">
        <v>69</v>
      </c>
      <c r="AZ653" t="b">
        <v>1</v>
      </c>
    </row>
    <row r="654" spans="1:52" x14ac:dyDescent="0.3">
      <c r="A654" t="s">
        <v>52</v>
      </c>
      <c r="B654" t="s">
        <v>53</v>
      </c>
      <c r="C654" t="s">
        <v>54</v>
      </c>
      <c r="D654" t="s">
        <v>55</v>
      </c>
      <c r="E654" t="s">
        <v>795</v>
      </c>
      <c r="F654" t="s">
        <v>57</v>
      </c>
      <c r="G654" t="s">
        <v>183</v>
      </c>
      <c r="H654" t="s">
        <v>184</v>
      </c>
      <c r="I654" t="s">
        <v>184</v>
      </c>
      <c r="J654" t="s">
        <v>60</v>
      </c>
      <c r="K654" t="s">
        <v>185</v>
      </c>
      <c r="L654" t="s">
        <v>62</v>
      </c>
      <c r="M654" t="s">
        <v>185</v>
      </c>
      <c r="N654" t="s">
        <v>186</v>
      </c>
      <c r="O654" t="s">
        <v>187</v>
      </c>
      <c r="P654">
        <v>-19.628589000000002</v>
      </c>
      <c r="Q654">
        <v>-43.900232000000003</v>
      </c>
      <c r="R654" s="2" t="str">
        <f>HYPERLINK("https://www.google.com/maps?q=-19.6285890,-43.9002320","Abrir no Google Maps")</f>
        <v>Abrir no Google Maps</v>
      </c>
      <c r="S654">
        <v>4</v>
      </c>
      <c r="T654">
        <v>479.31588622283061</v>
      </c>
      <c r="U654">
        <v>4</v>
      </c>
      <c r="V654">
        <v>0.50390147586120615</v>
      </c>
      <c r="W654">
        <v>0.85</v>
      </c>
      <c r="X654">
        <v>0.4283162544820252</v>
      </c>
      <c r="Y654">
        <v>6</v>
      </c>
      <c r="Z654">
        <v>383.34726345998263</v>
      </c>
      <c r="AA654">
        <v>2</v>
      </c>
      <c r="AB654">
        <v>3</v>
      </c>
      <c r="AC654">
        <v>7</v>
      </c>
      <c r="AD654">
        <v>26.01</v>
      </c>
      <c r="AE654">
        <v>253</v>
      </c>
      <c r="AF654">
        <v>17</v>
      </c>
      <c r="AG654">
        <v>60</v>
      </c>
      <c r="AH654">
        <v>32</v>
      </c>
      <c r="AI654">
        <v>6.72</v>
      </c>
      <c r="AJ654">
        <v>23.72</v>
      </c>
      <c r="AK654">
        <v>12.65</v>
      </c>
      <c r="AL654">
        <v>-19.628813749999949</v>
      </c>
      <c r="AM654">
        <v>-43.90066394563523</v>
      </c>
      <c r="AN654">
        <v>-19.628813749999949</v>
      </c>
      <c r="AO654">
        <v>-43.90066394563523</v>
      </c>
      <c r="AP654">
        <v>-19.628589000000002</v>
      </c>
      <c r="AQ654">
        <v>-43.900232000000003</v>
      </c>
      <c r="AR654">
        <v>51.741071441894853</v>
      </c>
      <c r="AS654" t="s">
        <v>65</v>
      </c>
      <c r="AT654">
        <v>1</v>
      </c>
      <c r="AU654" t="s">
        <v>188</v>
      </c>
      <c r="AV654" t="s">
        <v>189</v>
      </c>
      <c r="AW654" t="s">
        <v>60</v>
      </c>
      <c r="AX654" t="s">
        <v>68</v>
      </c>
      <c r="AY654" t="s">
        <v>69</v>
      </c>
      <c r="AZ654" t="b">
        <v>1</v>
      </c>
    </row>
    <row r="655" spans="1:52" x14ac:dyDescent="0.3">
      <c r="A655" t="s">
        <v>52</v>
      </c>
      <c r="B655" t="s">
        <v>53</v>
      </c>
      <c r="C655" t="s">
        <v>54</v>
      </c>
      <c r="D655" t="s">
        <v>55</v>
      </c>
      <c r="E655" t="s">
        <v>795</v>
      </c>
      <c r="F655" t="s">
        <v>57</v>
      </c>
      <c r="G655" t="s">
        <v>109</v>
      </c>
      <c r="H655" t="s">
        <v>110</v>
      </c>
      <c r="I655" t="s">
        <v>110</v>
      </c>
      <c r="J655" t="s">
        <v>60</v>
      </c>
      <c r="K655" t="s">
        <v>111</v>
      </c>
      <c r="L655" t="s">
        <v>62</v>
      </c>
      <c r="M655" t="s">
        <v>111</v>
      </c>
      <c r="N655" t="s">
        <v>112</v>
      </c>
      <c r="O655" t="s">
        <v>113</v>
      </c>
      <c r="P655">
        <v>-19.654686000000002</v>
      </c>
      <c r="Q655">
        <v>-43.907240000000002</v>
      </c>
      <c r="R655" s="2" t="str">
        <f>HYPERLINK("https://www.google.com/maps?q=-19.6546860,-43.9072400","Abrir no Google Maps")</f>
        <v>Abrir no Google Maps</v>
      </c>
      <c r="S655">
        <v>4</v>
      </c>
      <c r="T655">
        <v>824.24450564548704</v>
      </c>
      <c r="U655">
        <v>4</v>
      </c>
      <c r="V655">
        <v>0.48169047875241189</v>
      </c>
      <c r="W655">
        <v>1</v>
      </c>
      <c r="X655">
        <v>0.48169047875241189</v>
      </c>
      <c r="Y655">
        <v>4</v>
      </c>
      <c r="Z655">
        <v>524.70106879290392</v>
      </c>
      <c r="AA655">
        <v>2</v>
      </c>
      <c r="AB655">
        <v>3</v>
      </c>
      <c r="AC655">
        <v>7</v>
      </c>
      <c r="AD655">
        <v>26.01</v>
      </c>
      <c r="AE655">
        <v>253</v>
      </c>
      <c r="AF655">
        <v>17</v>
      </c>
      <c r="AG655">
        <v>60</v>
      </c>
      <c r="AH655">
        <v>32</v>
      </c>
      <c r="AI655">
        <v>6.72</v>
      </c>
      <c r="AJ655">
        <v>23.72</v>
      </c>
      <c r="AK655">
        <v>12.65</v>
      </c>
      <c r="AL655">
        <v>-19.65511684999996</v>
      </c>
      <c r="AM655">
        <v>-43.905662999837993</v>
      </c>
      <c r="AN655">
        <v>-19.65511684999996</v>
      </c>
      <c r="AO655">
        <v>-43.905662999837993</v>
      </c>
      <c r="AP655">
        <v>-19.654686000000002</v>
      </c>
      <c r="AQ655">
        <v>-43.907240000000002</v>
      </c>
      <c r="AR655">
        <v>172.13969981835351</v>
      </c>
      <c r="AS655" t="s">
        <v>65</v>
      </c>
      <c r="AT655">
        <v>1</v>
      </c>
      <c r="AU655" t="s">
        <v>114</v>
      </c>
      <c r="AV655" t="s">
        <v>115</v>
      </c>
      <c r="AW655" t="s">
        <v>60</v>
      </c>
      <c r="AX655" t="s">
        <v>68</v>
      </c>
      <c r="AY655" t="s">
        <v>69</v>
      </c>
      <c r="AZ655" t="b">
        <v>1</v>
      </c>
    </row>
    <row r="656" spans="1:52" x14ac:dyDescent="0.3">
      <c r="A656" t="s">
        <v>52</v>
      </c>
      <c r="B656" t="s">
        <v>53</v>
      </c>
      <c r="C656" t="s">
        <v>54</v>
      </c>
      <c r="D656" t="s">
        <v>55</v>
      </c>
      <c r="E656" t="s">
        <v>795</v>
      </c>
      <c r="F656" t="s">
        <v>57</v>
      </c>
      <c r="G656" t="s">
        <v>190</v>
      </c>
      <c r="H656" t="s">
        <v>191</v>
      </c>
      <c r="I656" t="s">
        <v>191</v>
      </c>
      <c r="J656" t="s">
        <v>60</v>
      </c>
      <c r="K656" t="s">
        <v>192</v>
      </c>
      <c r="L656" t="s">
        <v>62</v>
      </c>
      <c r="M656" t="s">
        <v>192</v>
      </c>
      <c r="N656" t="s">
        <v>193</v>
      </c>
      <c r="O656" t="s">
        <v>194</v>
      </c>
      <c r="P656">
        <v>-19.654112000000001</v>
      </c>
      <c r="Q656">
        <v>-43.910761999999998</v>
      </c>
      <c r="R656" s="2" t="str">
        <f>HYPERLINK("https://www.google.com/maps?q=-19.6541120,-43.9107620","Abrir no Google Maps")</f>
        <v>Abrir no Google Maps</v>
      </c>
      <c r="S656">
        <v>4</v>
      </c>
      <c r="T656">
        <v>1080.0524626304521</v>
      </c>
      <c r="U656">
        <v>4</v>
      </c>
      <c r="V656">
        <v>0.42373716082619078</v>
      </c>
      <c r="W656">
        <v>1</v>
      </c>
      <c r="X656">
        <v>0.42373716082619078</v>
      </c>
      <c r="Y656">
        <v>4</v>
      </c>
      <c r="Z656">
        <v>666.99022879086885</v>
      </c>
      <c r="AA656">
        <v>2</v>
      </c>
      <c r="AB656">
        <v>3</v>
      </c>
      <c r="AC656">
        <v>7</v>
      </c>
      <c r="AD656">
        <v>26.01</v>
      </c>
      <c r="AE656">
        <v>253</v>
      </c>
      <c r="AF656">
        <v>17</v>
      </c>
      <c r="AG656">
        <v>60</v>
      </c>
      <c r="AH656">
        <v>32</v>
      </c>
      <c r="AI656">
        <v>6.72</v>
      </c>
      <c r="AJ656">
        <v>23.72</v>
      </c>
      <c r="AK656">
        <v>12.65</v>
      </c>
      <c r="AL656">
        <v>-19.653869149999959</v>
      </c>
      <c r="AM656">
        <v>-43.911142816432779</v>
      </c>
      <c r="AN656">
        <v>-19.653869149999959</v>
      </c>
      <c r="AO656">
        <v>-43.911142816432779</v>
      </c>
      <c r="AP656">
        <v>-19.654112000000001</v>
      </c>
      <c r="AQ656">
        <v>-43.910761999999998</v>
      </c>
      <c r="AR656">
        <v>48.214810864237499</v>
      </c>
      <c r="AS656" t="s">
        <v>65</v>
      </c>
      <c r="AT656">
        <v>1</v>
      </c>
      <c r="AU656" t="s">
        <v>195</v>
      </c>
      <c r="AV656" t="s">
        <v>196</v>
      </c>
      <c r="AW656" t="s">
        <v>60</v>
      </c>
      <c r="AX656" t="s">
        <v>68</v>
      </c>
      <c r="AY656" t="s">
        <v>69</v>
      </c>
      <c r="AZ656" t="b">
        <v>1</v>
      </c>
    </row>
    <row r="657" spans="1:52" x14ac:dyDescent="0.3">
      <c r="A657" t="s">
        <v>52</v>
      </c>
      <c r="B657" t="s">
        <v>53</v>
      </c>
      <c r="C657" t="s">
        <v>54</v>
      </c>
      <c r="D657" t="s">
        <v>55</v>
      </c>
      <c r="E657" t="s">
        <v>795</v>
      </c>
      <c r="F657" t="s">
        <v>57</v>
      </c>
      <c r="G657" t="s">
        <v>116</v>
      </c>
      <c r="H657" t="s">
        <v>117</v>
      </c>
      <c r="I657" t="s">
        <v>117</v>
      </c>
      <c r="J657" t="s">
        <v>60</v>
      </c>
      <c r="K657" t="s">
        <v>118</v>
      </c>
      <c r="L657" t="s">
        <v>62</v>
      </c>
      <c r="M657" t="s">
        <v>118</v>
      </c>
      <c r="N657" t="s">
        <v>119</v>
      </c>
      <c r="O657" t="s">
        <v>120</v>
      </c>
      <c r="P657">
        <v>-19.663869999999999</v>
      </c>
      <c r="Q657">
        <v>-43.904916999999998</v>
      </c>
      <c r="R657" s="2" t="str">
        <f>HYPERLINK("https://www.google.com/maps?q=-19.6638700,-43.9049170","Abrir no Google Maps")</f>
        <v>Abrir no Google Maps</v>
      </c>
      <c r="S657">
        <v>4</v>
      </c>
      <c r="T657">
        <v>0</v>
      </c>
      <c r="U657">
        <v>4</v>
      </c>
      <c r="V657">
        <v>0.54085789894254022</v>
      </c>
      <c r="W657">
        <v>1</v>
      </c>
      <c r="X657">
        <v>0.54085789894254022</v>
      </c>
      <c r="Y657">
        <v>4</v>
      </c>
      <c r="Z657">
        <v>1169.476938179705</v>
      </c>
      <c r="AA657">
        <v>2</v>
      </c>
      <c r="AB657">
        <v>3</v>
      </c>
      <c r="AC657">
        <v>7</v>
      </c>
      <c r="AD657">
        <v>26.01</v>
      </c>
      <c r="AE657">
        <v>253</v>
      </c>
      <c r="AF657">
        <v>17</v>
      </c>
      <c r="AG657">
        <v>60</v>
      </c>
      <c r="AH657">
        <v>32</v>
      </c>
      <c r="AI657">
        <v>6.72</v>
      </c>
      <c r="AJ657">
        <v>23.72</v>
      </c>
      <c r="AK657">
        <v>12.65</v>
      </c>
      <c r="AL657">
        <v>-19.657063599999962</v>
      </c>
      <c r="AM657">
        <v>-43.898074976464507</v>
      </c>
      <c r="AN657">
        <v>-19.657063599999962</v>
      </c>
      <c r="AO657">
        <v>-43.898074976464507</v>
      </c>
      <c r="AP657">
        <v>-19.663869999999999</v>
      </c>
      <c r="AQ657">
        <v>-43.904916999999998</v>
      </c>
      <c r="AR657">
        <v>1043.3426220355029</v>
      </c>
      <c r="AS657" t="s">
        <v>65</v>
      </c>
      <c r="AT657">
        <v>1</v>
      </c>
      <c r="AU657" t="s">
        <v>121</v>
      </c>
      <c r="AV657" t="s">
        <v>122</v>
      </c>
      <c r="AW657" t="s">
        <v>60</v>
      </c>
      <c r="AX657" t="s">
        <v>68</v>
      </c>
      <c r="AY657" t="s">
        <v>69</v>
      </c>
      <c r="AZ657" t="b">
        <v>1</v>
      </c>
    </row>
    <row r="658" spans="1:52" x14ac:dyDescent="0.3">
      <c r="A658" t="s">
        <v>52</v>
      </c>
      <c r="B658" t="s">
        <v>53</v>
      </c>
      <c r="C658" t="s">
        <v>54</v>
      </c>
      <c r="D658" t="s">
        <v>55</v>
      </c>
      <c r="E658" t="s">
        <v>795</v>
      </c>
      <c r="F658" t="s">
        <v>57</v>
      </c>
      <c r="G658" t="s">
        <v>204</v>
      </c>
      <c r="H658" t="s">
        <v>205</v>
      </c>
      <c r="I658" t="s">
        <v>205</v>
      </c>
      <c r="J658" t="s">
        <v>60</v>
      </c>
      <c r="K658" t="s">
        <v>171</v>
      </c>
      <c r="L658" t="s">
        <v>62</v>
      </c>
      <c r="M658" t="s">
        <v>171</v>
      </c>
      <c r="N658" t="s">
        <v>206</v>
      </c>
      <c r="O658" t="s">
        <v>207</v>
      </c>
      <c r="P658">
        <v>-19.674109000000001</v>
      </c>
      <c r="Q658">
        <v>-43.890711000000003</v>
      </c>
      <c r="R658" s="2" t="str">
        <f>HYPERLINK("https://www.google.com/maps?q=-19.6741090,-43.8907110","Abrir no Google Maps")</f>
        <v>Abrir no Google Maps</v>
      </c>
      <c r="S658">
        <v>4</v>
      </c>
      <c r="T658">
        <v>396.53059443764772</v>
      </c>
      <c r="U658">
        <v>4</v>
      </c>
      <c r="V658">
        <v>0.4191003903980382</v>
      </c>
      <c r="W658">
        <v>1</v>
      </c>
      <c r="X658">
        <v>0.4191003903980382</v>
      </c>
      <c r="Y658">
        <v>3</v>
      </c>
      <c r="Z658">
        <v>499.22520255557538</v>
      </c>
      <c r="AA658">
        <v>2</v>
      </c>
      <c r="AB658">
        <v>3</v>
      </c>
      <c r="AC658">
        <v>7</v>
      </c>
      <c r="AD658">
        <v>26.01</v>
      </c>
      <c r="AE658">
        <v>253</v>
      </c>
      <c r="AF658">
        <v>17</v>
      </c>
      <c r="AG658">
        <v>60</v>
      </c>
      <c r="AH658">
        <v>32</v>
      </c>
      <c r="AI658">
        <v>6.72</v>
      </c>
      <c r="AJ658">
        <v>23.72</v>
      </c>
      <c r="AK658">
        <v>12.65</v>
      </c>
      <c r="AL658">
        <v>-19.67362479999997</v>
      </c>
      <c r="AM658">
        <v>-43.89068378253377</v>
      </c>
      <c r="AN658">
        <v>-19.67362479999997</v>
      </c>
      <c r="AO658">
        <v>-43.89068378253377</v>
      </c>
      <c r="AP658">
        <v>-19.674109000000001</v>
      </c>
      <c r="AQ658">
        <v>-43.890711000000003</v>
      </c>
      <c r="AR658">
        <v>53.976595260276227</v>
      </c>
      <c r="AS658" t="s">
        <v>65</v>
      </c>
      <c r="AT658">
        <v>1</v>
      </c>
      <c r="AU658" t="s">
        <v>208</v>
      </c>
      <c r="AV658" t="s">
        <v>209</v>
      </c>
      <c r="AW658" t="s">
        <v>60</v>
      </c>
      <c r="AX658" t="s">
        <v>68</v>
      </c>
      <c r="AY658" t="s">
        <v>69</v>
      </c>
      <c r="AZ658" t="b">
        <v>1</v>
      </c>
    </row>
    <row r="659" spans="1:52" x14ac:dyDescent="0.3">
      <c r="A659" t="s">
        <v>52</v>
      </c>
      <c r="B659" t="s">
        <v>53</v>
      </c>
      <c r="C659" t="s">
        <v>54</v>
      </c>
      <c r="D659" t="s">
        <v>55</v>
      </c>
      <c r="E659" t="s">
        <v>795</v>
      </c>
      <c r="F659" t="s">
        <v>57</v>
      </c>
      <c r="G659" t="s">
        <v>123</v>
      </c>
      <c r="H659" t="s">
        <v>124</v>
      </c>
      <c r="I659" t="s">
        <v>124</v>
      </c>
      <c r="J659" t="s">
        <v>60</v>
      </c>
      <c r="K659" t="s">
        <v>72</v>
      </c>
      <c r="L659" t="s">
        <v>62</v>
      </c>
      <c r="M659" t="s">
        <v>72</v>
      </c>
      <c r="N659" t="s">
        <v>125</v>
      </c>
      <c r="O659" t="s">
        <v>126</v>
      </c>
      <c r="P659">
        <v>-19.634015000000002</v>
      </c>
      <c r="Q659">
        <v>-43.918776000000001</v>
      </c>
      <c r="R659" s="2" t="str">
        <f>HYPERLINK("https://www.google.com/maps?q=-19.6340150,-43.9187760","Abrir no Google Maps")</f>
        <v>Abrir no Google Maps</v>
      </c>
      <c r="S659">
        <v>4</v>
      </c>
      <c r="T659">
        <v>525.62818365919122</v>
      </c>
      <c r="U659">
        <v>4</v>
      </c>
      <c r="V659">
        <v>0.54791435203801508</v>
      </c>
      <c r="W659">
        <v>1</v>
      </c>
      <c r="X659">
        <v>0.54791435203801508</v>
      </c>
      <c r="Y659">
        <v>3</v>
      </c>
      <c r="Z659">
        <v>474.91441433808131</v>
      </c>
      <c r="AA659">
        <v>2</v>
      </c>
      <c r="AB659">
        <v>3</v>
      </c>
      <c r="AC659">
        <v>7</v>
      </c>
      <c r="AD659">
        <v>26.01</v>
      </c>
      <c r="AE659">
        <v>253</v>
      </c>
      <c r="AF659">
        <v>17</v>
      </c>
      <c r="AG659">
        <v>60</v>
      </c>
      <c r="AH659">
        <v>32</v>
      </c>
      <c r="AI659">
        <v>6.72</v>
      </c>
      <c r="AJ659">
        <v>23.72</v>
      </c>
      <c r="AK659">
        <v>12.65</v>
      </c>
      <c r="AL659">
        <v>-19.63405809999994</v>
      </c>
      <c r="AM659">
        <v>-43.919666391328043</v>
      </c>
      <c r="AN659">
        <v>-19.63405809999994</v>
      </c>
      <c r="AO659">
        <v>-43.919666391328029</v>
      </c>
      <c r="AP659">
        <v>-19.634015000000002</v>
      </c>
      <c r="AQ659">
        <v>-43.918776000000001</v>
      </c>
      <c r="AR659">
        <v>93.478621134470259</v>
      </c>
      <c r="AS659" t="s">
        <v>65</v>
      </c>
      <c r="AT659">
        <v>1</v>
      </c>
      <c r="AU659" t="s">
        <v>127</v>
      </c>
      <c r="AV659" t="s">
        <v>128</v>
      </c>
      <c r="AW659" t="s">
        <v>60</v>
      </c>
      <c r="AX659" t="s">
        <v>68</v>
      </c>
      <c r="AY659" t="s">
        <v>69</v>
      </c>
      <c r="AZ659" t="b">
        <v>1</v>
      </c>
    </row>
    <row r="660" spans="1:52" x14ac:dyDescent="0.3">
      <c r="A660" t="s">
        <v>52</v>
      </c>
      <c r="B660" t="s">
        <v>53</v>
      </c>
      <c r="C660" t="s">
        <v>54</v>
      </c>
      <c r="D660" t="s">
        <v>55</v>
      </c>
      <c r="E660" t="s">
        <v>795</v>
      </c>
      <c r="F660" t="s">
        <v>57</v>
      </c>
      <c r="G660" t="s">
        <v>129</v>
      </c>
      <c r="H660" t="s">
        <v>130</v>
      </c>
      <c r="I660" t="s">
        <v>130</v>
      </c>
      <c r="J660" t="s">
        <v>60</v>
      </c>
      <c r="K660" t="s">
        <v>131</v>
      </c>
      <c r="L660" t="s">
        <v>62</v>
      </c>
      <c r="M660" t="s">
        <v>131</v>
      </c>
      <c r="N660" t="s">
        <v>132</v>
      </c>
      <c r="O660" t="s">
        <v>133</v>
      </c>
      <c r="P660">
        <v>-19.632088</v>
      </c>
      <c r="Q660">
        <v>-43.916114999999998</v>
      </c>
      <c r="R660" s="2" t="str">
        <f>HYPERLINK("https://www.google.com/maps?q=-19.6320880,-43.9161150","Abrir no Google Maps")</f>
        <v>Abrir no Google Maps</v>
      </c>
      <c r="S660">
        <v>4</v>
      </c>
      <c r="T660">
        <v>566.5346232632869</v>
      </c>
      <c r="U660">
        <v>4</v>
      </c>
      <c r="V660">
        <v>0.5625755984450943</v>
      </c>
      <c r="W660">
        <v>1</v>
      </c>
      <c r="X660">
        <v>0.5625755984450943</v>
      </c>
      <c r="Y660">
        <v>3</v>
      </c>
      <c r="Z660">
        <v>488.06597434012792</v>
      </c>
      <c r="AA660">
        <v>2</v>
      </c>
      <c r="AB660">
        <v>3</v>
      </c>
      <c r="AC660">
        <v>7</v>
      </c>
      <c r="AD660">
        <v>26.01</v>
      </c>
      <c r="AE660">
        <v>253</v>
      </c>
      <c r="AF660">
        <v>17</v>
      </c>
      <c r="AG660">
        <v>60</v>
      </c>
      <c r="AH660">
        <v>32</v>
      </c>
      <c r="AI660">
        <v>6.72</v>
      </c>
      <c r="AJ660">
        <v>23.72</v>
      </c>
      <c r="AK660">
        <v>12.65</v>
      </c>
      <c r="AL660">
        <v>-19.632034449999939</v>
      </c>
      <c r="AM660">
        <v>-43.916174776913351</v>
      </c>
      <c r="AN660">
        <v>-19.632034449999939</v>
      </c>
      <c r="AO660">
        <v>-43.916174776913351</v>
      </c>
      <c r="AP660">
        <v>-19.632088</v>
      </c>
      <c r="AQ660">
        <v>-43.916114999999998</v>
      </c>
      <c r="AR660">
        <v>8.6497324882263911</v>
      </c>
      <c r="AS660" t="s">
        <v>65</v>
      </c>
      <c r="AT660">
        <v>1</v>
      </c>
      <c r="AU660" t="s">
        <v>134</v>
      </c>
      <c r="AV660" t="s">
        <v>135</v>
      </c>
      <c r="AW660" t="s">
        <v>60</v>
      </c>
      <c r="AX660" t="s">
        <v>68</v>
      </c>
      <c r="AY660" t="s">
        <v>69</v>
      </c>
      <c r="AZ660" t="b">
        <v>1</v>
      </c>
    </row>
    <row r="661" spans="1:52" x14ac:dyDescent="0.3">
      <c r="A661" t="s">
        <v>52</v>
      </c>
      <c r="B661" t="s">
        <v>53</v>
      </c>
      <c r="C661" t="s">
        <v>54</v>
      </c>
      <c r="D661" t="s">
        <v>55</v>
      </c>
      <c r="E661" t="s">
        <v>795</v>
      </c>
      <c r="F661" t="s">
        <v>57</v>
      </c>
      <c r="G661" t="s">
        <v>129</v>
      </c>
      <c r="H661" t="s">
        <v>136</v>
      </c>
      <c r="I661" t="s">
        <v>136</v>
      </c>
      <c r="J661" t="s">
        <v>60</v>
      </c>
      <c r="K661" t="s">
        <v>131</v>
      </c>
      <c r="L661" t="s">
        <v>62</v>
      </c>
      <c r="M661" t="s">
        <v>131</v>
      </c>
      <c r="N661" t="s">
        <v>132</v>
      </c>
      <c r="O661" t="s">
        <v>133</v>
      </c>
      <c r="P661">
        <v>-19.632290999999999</v>
      </c>
      <c r="Q661">
        <v>-43.916542999999997</v>
      </c>
      <c r="R661" s="2" t="str">
        <f>HYPERLINK("https://www.google.com/maps?q=-19.6322910,-43.9165430","Abrir no Google Maps")</f>
        <v>Abrir no Google Maps</v>
      </c>
      <c r="S661">
        <v>4</v>
      </c>
      <c r="T661">
        <v>556.95255545673058</v>
      </c>
      <c r="U661">
        <v>4</v>
      </c>
      <c r="V661">
        <v>0.55133792000756909</v>
      </c>
      <c r="W661">
        <v>1</v>
      </c>
      <c r="X661">
        <v>0.55133792000756909</v>
      </c>
      <c r="Y661">
        <v>3</v>
      </c>
      <c r="Z661">
        <v>479.66756878400719</v>
      </c>
      <c r="AA661">
        <v>2</v>
      </c>
      <c r="AB661">
        <v>3</v>
      </c>
      <c r="AC661">
        <v>7</v>
      </c>
      <c r="AD661">
        <v>26.01</v>
      </c>
      <c r="AE661">
        <v>253</v>
      </c>
      <c r="AF661">
        <v>17</v>
      </c>
      <c r="AG661">
        <v>60</v>
      </c>
      <c r="AH661">
        <v>32</v>
      </c>
      <c r="AI661">
        <v>6.72</v>
      </c>
      <c r="AJ661">
        <v>23.72</v>
      </c>
      <c r="AK661">
        <v>12.65</v>
      </c>
      <c r="AL661">
        <v>-19.63215424999996</v>
      </c>
      <c r="AM661">
        <v>-43.916542189528307</v>
      </c>
      <c r="AN661">
        <v>-19.63215424999996</v>
      </c>
      <c r="AO661">
        <v>-43.916542189528307</v>
      </c>
      <c r="AP661">
        <v>-19.632290999999999</v>
      </c>
      <c r="AQ661">
        <v>-43.916542999999997</v>
      </c>
      <c r="AR661">
        <v>15.22324717984722</v>
      </c>
      <c r="AS661" t="s">
        <v>65</v>
      </c>
      <c r="AT661">
        <v>1</v>
      </c>
      <c r="AU661" t="s">
        <v>137</v>
      </c>
      <c r="AV661" t="s">
        <v>138</v>
      </c>
      <c r="AW661" t="s">
        <v>60</v>
      </c>
      <c r="AX661" t="s">
        <v>68</v>
      </c>
      <c r="AY661" t="s">
        <v>69</v>
      </c>
      <c r="AZ661" t="b">
        <v>1</v>
      </c>
    </row>
    <row r="662" spans="1:52" x14ac:dyDescent="0.3">
      <c r="A662" t="s">
        <v>52</v>
      </c>
      <c r="B662" t="s">
        <v>53</v>
      </c>
      <c r="C662" t="s">
        <v>54</v>
      </c>
      <c r="D662" t="s">
        <v>55</v>
      </c>
      <c r="E662" t="s">
        <v>795</v>
      </c>
      <c r="F662" t="s">
        <v>57</v>
      </c>
      <c r="G662" t="s">
        <v>139</v>
      </c>
      <c r="H662" t="s">
        <v>140</v>
      </c>
      <c r="I662" t="s">
        <v>140</v>
      </c>
      <c r="J662" t="s">
        <v>60</v>
      </c>
      <c r="K662" t="s">
        <v>79</v>
      </c>
      <c r="L662" t="s">
        <v>62</v>
      </c>
      <c r="M662" t="s">
        <v>79</v>
      </c>
      <c r="N662" t="s">
        <v>141</v>
      </c>
      <c r="O662" t="s">
        <v>142</v>
      </c>
      <c r="P662">
        <v>-19.628888</v>
      </c>
      <c r="Q662">
        <v>-43.912554</v>
      </c>
      <c r="R662" s="2" t="str">
        <f>HYPERLINK("https://www.google.com/maps?q=-19.6288880,-43.9125540","Abrir no Google Maps")</f>
        <v>Abrir no Google Maps</v>
      </c>
      <c r="S662">
        <v>4</v>
      </c>
      <c r="T662">
        <v>1013.629555558835</v>
      </c>
      <c r="U662">
        <v>4</v>
      </c>
      <c r="V662">
        <v>0.63661545185583657</v>
      </c>
      <c r="W662">
        <v>0.85</v>
      </c>
      <c r="X662">
        <v>0.54112313407746104</v>
      </c>
      <c r="Y662">
        <v>3</v>
      </c>
      <c r="Z662">
        <v>950.42126394515765</v>
      </c>
      <c r="AA662">
        <v>2</v>
      </c>
      <c r="AB662">
        <v>3</v>
      </c>
      <c r="AC662">
        <v>7</v>
      </c>
      <c r="AD662">
        <v>26.01</v>
      </c>
      <c r="AE662">
        <v>253</v>
      </c>
      <c r="AF662">
        <v>17</v>
      </c>
      <c r="AG662">
        <v>60</v>
      </c>
      <c r="AH662">
        <v>32</v>
      </c>
      <c r="AI662">
        <v>6.72</v>
      </c>
      <c r="AJ662">
        <v>23.72</v>
      </c>
      <c r="AK662">
        <v>12.65</v>
      </c>
      <c r="AL662">
        <v>-19.628472899999959</v>
      </c>
      <c r="AM662">
        <v>-43.912746118821246</v>
      </c>
      <c r="AN662">
        <v>-19.628472899999959</v>
      </c>
      <c r="AO662">
        <v>-43.912746118821246</v>
      </c>
      <c r="AP662">
        <v>-19.628888</v>
      </c>
      <c r="AQ662">
        <v>-43.912554</v>
      </c>
      <c r="AR662">
        <v>50.408750888077009</v>
      </c>
      <c r="AS662" t="s">
        <v>65</v>
      </c>
      <c r="AT662">
        <v>1</v>
      </c>
      <c r="AU662" t="s">
        <v>143</v>
      </c>
      <c r="AV662" t="s">
        <v>144</v>
      </c>
      <c r="AW662" t="s">
        <v>60</v>
      </c>
      <c r="AX662" t="s">
        <v>68</v>
      </c>
      <c r="AY662" t="s">
        <v>69</v>
      </c>
      <c r="AZ662" t="b">
        <v>1</v>
      </c>
    </row>
    <row r="663" spans="1:52" x14ac:dyDescent="0.3">
      <c r="A663" t="s">
        <v>52</v>
      </c>
      <c r="B663" t="s">
        <v>53</v>
      </c>
      <c r="C663" t="s">
        <v>54</v>
      </c>
      <c r="D663" t="s">
        <v>55</v>
      </c>
      <c r="E663" t="s">
        <v>795</v>
      </c>
      <c r="F663" t="s">
        <v>57</v>
      </c>
      <c r="G663" t="s">
        <v>151</v>
      </c>
      <c r="H663" t="s">
        <v>152</v>
      </c>
      <c r="I663" t="s">
        <v>152</v>
      </c>
      <c r="J663" t="s">
        <v>60</v>
      </c>
      <c r="K663" t="s">
        <v>72</v>
      </c>
      <c r="L663" t="s">
        <v>62</v>
      </c>
      <c r="M663" t="s">
        <v>72</v>
      </c>
      <c r="N663" t="s">
        <v>153</v>
      </c>
      <c r="O663" t="s">
        <v>81</v>
      </c>
      <c r="P663">
        <v>-19.635065999999998</v>
      </c>
      <c r="Q663">
        <v>-43.916640000000001</v>
      </c>
      <c r="R663" s="2" t="str">
        <f>HYPERLINK("https://www.google.com/maps?q=-19.6350660,-43.9166400","Abrir no Google Maps")</f>
        <v>Abrir no Google Maps</v>
      </c>
      <c r="S663">
        <v>4</v>
      </c>
      <c r="T663">
        <v>245.09875796292749</v>
      </c>
      <c r="U663">
        <v>4</v>
      </c>
      <c r="V663">
        <v>0.43633848627372451</v>
      </c>
      <c r="W663">
        <v>1</v>
      </c>
      <c r="X663">
        <v>0.43633848627372451</v>
      </c>
      <c r="Y663">
        <v>3</v>
      </c>
      <c r="Z663">
        <v>207.74356419317499</v>
      </c>
      <c r="AA663">
        <v>2</v>
      </c>
      <c r="AB663">
        <v>3</v>
      </c>
      <c r="AC663">
        <v>7</v>
      </c>
      <c r="AD663">
        <v>26.01</v>
      </c>
      <c r="AE663">
        <v>253</v>
      </c>
      <c r="AF663">
        <v>17</v>
      </c>
      <c r="AG663">
        <v>60</v>
      </c>
      <c r="AH663">
        <v>32</v>
      </c>
      <c r="AI663">
        <v>6.72</v>
      </c>
      <c r="AJ663">
        <v>23.72</v>
      </c>
      <c r="AK663">
        <v>12.65</v>
      </c>
      <c r="AL663">
        <v>-19.63505579999995</v>
      </c>
      <c r="AM663">
        <v>-43.916633303072622</v>
      </c>
      <c r="AN663">
        <v>-19.63505579999995</v>
      </c>
      <c r="AO663">
        <v>-43.916633303072622</v>
      </c>
      <c r="AP663">
        <v>-19.635065999999998</v>
      </c>
      <c r="AQ663">
        <v>-43.916640000000001</v>
      </c>
      <c r="AR663">
        <v>1.335026849412978</v>
      </c>
      <c r="AS663" t="s">
        <v>65</v>
      </c>
      <c r="AT663">
        <v>1</v>
      </c>
      <c r="AU663" t="s">
        <v>154</v>
      </c>
      <c r="AV663" t="s">
        <v>155</v>
      </c>
      <c r="AW663" t="s">
        <v>60</v>
      </c>
      <c r="AX663" t="s">
        <v>68</v>
      </c>
      <c r="AY663" t="s">
        <v>69</v>
      </c>
      <c r="AZ663" t="b">
        <v>1</v>
      </c>
    </row>
    <row r="664" spans="1:52" x14ac:dyDescent="0.3">
      <c r="A664" t="s">
        <v>52</v>
      </c>
      <c r="B664" t="s">
        <v>53</v>
      </c>
      <c r="C664" t="s">
        <v>54</v>
      </c>
      <c r="D664" t="s">
        <v>55</v>
      </c>
      <c r="E664" t="s">
        <v>795</v>
      </c>
      <c r="F664" t="s">
        <v>57</v>
      </c>
      <c r="G664" t="s">
        <v>156</v>
      </c>
      <c r="H664" t="s">
        <v>157</v>
      </c>
      <c r="I664" t="s">
        <v>157</v>
      </c>
      <c r="J664" t="s">
        <v>60</v>
      </c>
      <c r="K664" t="s">
        <v>79</v>
      </c>
      <c r="L664" t="s">
        <v>62</v>
      </c>
      <c r="M664" t="s">
        <v>79</v>
      </c>
      <c r="N664" t="s">
        <v>158</v>
      </c>
      <c r="O664" t="s">
        <v>159</v>
      </c>
      <c r="P664">
        <v>-19.634687</v>
      </c>
      <c r="Q664">
        <v>-43.912925999999999</v>
      </c>
      <c r="R664" s="2" t="str">
        <f>HYPERLINK("https://www.google.com/maps?q=-19.6346870,-43.9129260","Abrir no Google Maps")</f>
        <v>Abrir no Google Maps</v>
      </c>
      <c r="S664">
        <v>4</v>
      </c>
      <c r="T664">
        <v>363.69725005634331</v>
      </c>
      <c r="U664">
        <v>4</v>
      </c>
      <c r="V664">
        <v>0.42020958329884289</v>
      </c>
      <c r="W664">
        <v>1</v>
      </c>
      <c r="X664">
        <v>0.42020958329884289</v>
      </c>
      <c r="Y664">
        <v>3</v>
      </c>
      <c r="Z664">
        <v>343.04088334900467</v>
      </c>
      <c r="AA664">
        <v>2</v>
      </c>
      <c r="AB664">
        <v>3</v>
      </c>
      <c r="AC664">
        <v>7</v>
      </c>
      <c r="AD664">
        <v>26.01</v>
      </c>
      <c r="AE664">
        <v>253</v>
      </c>
      <c r="AF664">
        <v>17</v>
      </c>
      <c r="AG664">
        <v>60</v>
      </c>
      <c r="AH664">
        <v>32</v>
      </c>
      <c r="AI664">
        <v>6.72</v>
      </c>
      <c r="AJ664">
        <v>23.72</v>
      </c>
      <c r="AK664">
        <v>12.65</v>
      </c>
      <c r="AL664">
        <v>-19.635145849999962</v>
      </c>
      <c r="AM664">
        <v>-43.913103387269381</v>
      </c>
      <c r="AN664">
        <v>-19.635145849999962</v>
      </c>
      <c r="AO664">
        <v>-43.913103387269381</v>
      </c>
      <c r="AP664">
        <v>-19.634687</v>
      </c>
      <c r="AQ664">
        <v>-43.912925999999999</v>
      </c>
      <c r="AR664">
        <v>54.359794849827942</v>
      </c>
      <c r="AS664" t="s">
        <v>65</v>
      </c>
      <c r="AT664">
        <v>1</v>
      </c>
      <c r="AU664" t="s">
        <v>160</v>
      </c>
      <c r="AV664" t="s">
        <v>161</v>
      </c>
      <c r="AW664" t="s">
        <v>60</v>
      </c>
      <c r="AX664" t="s">
        <v>68</v>
      </c>
      <c r="AY664" t="s">
        <v>69</v>
      </c>
      <c r="AZ664" t="b">
        <v>1</v>
      </c>
    </row>
    <row r="665" spans="1:52" x14ac:dyDescent="0.3">
      <c r="A665" t="s">
        <v>52</v>
      </c>
      <c r="B665" t="s">
        <v>53</v>
      </c>
      <c r="C665" t="s">
        <v>54</v>
      </c>
      <c r="D665" t="s">
        <v>55</v>
      </c>
      <c r="E665" t="s">
        <v>795</v>
      </c>
      <c r="F665" t="s">
        <v>57</v>
      </c>
      <c r="G665" t="s">
        <v>169</v>
      </c>
      <c r="H665" t="s">
        <v>170</v>
      </c>
      <c r="I665" t="s">
        <v>170</v>
      </c>
      <c r="J665" t="s">
        <v>60</v>
      </c>
      <c r="K665" t="s">
        <v>171</v>
      </c>
      <c r="L665" t="s">
        <v>62</v>
      </c>
      <c r="M665" t="s">
        <v>171</v>
      </c>
      <c r="N665" t="s">
        <v>172</v>
      </c>
      <c r="O665" t="s">
        <v>173</v>
      </c>
      <c r="P665">
        <v>-19.676233</v>
      </c>
      <c r="Q665">
        <v>-43.88861</v>
      </c>
      <c r="R665" s="2" t="str">
        <f>HYPERLINK("https://www.google.com/maps?q=-19.6762330,-43.8886100","Abrir no Google Maps")</f>
        <v>Abrir no Google Maps</v>
      </c>
      <c r="S665">
        <v>4</v>
      </c>
      <c r="T665">
        <v>209.5772620412292</v>
      </c>
      <c r="U665">
        <v>4</v>
      </c>
      <c r="V665">
        <v>0.4322757778863372</v>
      </c>
      <c r="W665">
        <v>1</v>
      </c>
      <c r="X665">
        <v>0.4322757778863372</v>
      </c>
      <c r="Y665">
        <v>0</v>
      </c>
      <c r="Z665">
        <v>194.26571923644971</v>
      </c>
      <c r="AA665">
        <v>2</v>
      </c>
      <c r="AB665">
        <v>3</v>
      </c>
      <c r="AC665">
        <v>7</v>
      </c>
      <c r="AD665">
        <v>26.01</v>
      </c>
      <c r="AE665">
        <v>253</v>
      </c>
      <c r="AF665">
        <v>17</v>
      </c>
      <c r="AG665">
        <v>60</v>
      </c>
      <c r="AH665">
        <v>32</v>
      </c>
      <c r="AI665">
        <v>6.72</v>
      </c>
      <c r="AJ665">
        <v>23.72</v>
      </c>
      <c r="AK665">
        <v>12.65</v>
      </c>
      <c r="AL665">
        <v>-19.676097449999961</v>
      </c>
      <c r="AM665">
        <v>-43.888455613153738</v>
      </c>
      <c r="AN665">
        <v>-19.676097449999961</v>
      </c>
      <c r="AO665">
        <v>-43.888455613153738</v>
      </c>
      <c r="AP665">
        <v>-19.676233</v>
      </c>
      <c r="AQ665">
        <v>-43.88861</v>
      </c>
      <c r="AR665">
        <v>22.126352434234079</v>
      </c>
      <c r="AS665" t="s">
        <v>65</v>
      </c>
      <c r="AT665">
        <v>1</v>
      </c>
      <c r="AU665" t="s">
        <v>174</v>
      </c>
      <c r="AV665" t="s">
        <v>175</v>
      </c>
      <c r="AW665" t="s">
        <v>60</v>
      </c>
      <c r="AX665" t="s">
        <v>68</v>
      </c>
      <c r="AY665" t="s">
        <v>69</v>
      </c>
      <c r="AZ665" t="b">
        <v>1</v>
      </c>
    </row>
    <row r="666" spans="1:52" x14ac:dyDescent="0.3">
      <c r="A666" t="s">
        <v>52</v>
      </c>
      <c r="B666" t="s">
        <v>53</v>
      </c>
      <c r="C666" t="s">
        <v>54</v>
      </c>
      <c r="D666" t="s">
        <v>55</v>
      </c>
      <c r="E666" t="s">
        <v>795</v>
      </c>
      <c r="F666" t="s">
        <v>176</v>
      </c>
      <c r="G666" t="s">
        <v>84</v>
      </c>
      <c r="H666" t="s">
        <v>85</v>
      </c>
      <c r="I666" t="s">
        <v>85</v>
      </c>
      <c r="J666" t="s">
        <v>60</v>
      </c>
      <c r="K666" t="s">
        <v>86</v>
      </c>
      <c r="L666" t="s">
        <v>62</v>
      </c>
      <c r="M666" t="s">
        <v>86</v>
      </c>
      <c r="N666" t="s">
        <v>87</v>
      </c>
      <c r="O666" t="s">
        <v>88</v>
      </c>
      <c r="P666">
        <v>-19.629436999999999</v>
      </c>
      <c r="Q666">
        <v>-43.910398999999998</v>
      </c>
      <c r="R666" s="2" t="str">
        <f>HYPERLINK("https://www.google.com/maps?q=-19.6294370,-43.9103990","Abrir no Google Maps")</f>
        <v>Abrir no Google Maps</v>
      </c>
      <c r="S666">
        <v>4</v>
      </c>
      <c r="T666">
        <v>888.82060643108082</v>
      </c>
      <c r="U666">
        <v>3</v>
      </c>
      <c r="V666">
        <v>0.40243493543840758</v>
      </c>
      <c r="W666">
        <v>1</v>
      </c>
      <c r="X666">
        <v>0.40243493543840758</v>
      </c>
      <c r="Y666">
        <v>10</v>
      </c>
      <c r="Z666">
        <v>867.42797341651737</v>
      </c>
      <c r="AA666">
        <v>2</v>
      </c>
      <c r="AB666">
        <v>3</v>
      </c>
      <c r="AC666">
        <v>7</v>
      </c>
      <c r="AD666">
        <v>26.01</v>
      </c>
      <c r="AE666">
        <v>253</v>
      </c>
      <c r="AF666">
        <v>17</v>
      </c>
      <c r="AG666">
        <v>60</v>
      </c>
      <c r="AH666">
        <v>32</v>
      </c>
      <c r="AI666">
        <v>6.72</v>
      </c>
      <c r="AJ666">
        <v>23.72</v>
      </c>
      <c r="AK666">
        <v>12.65</v>
      </c>
      <c r="AL666">
        <v>-19.62934694999996</v>
      </c>
      <c r="AM666">
        <v>-43.910344699357317</v>
      </c>
      <c r="AN666">
        <v>-19.62934694999996</v>
      </c>
      <c r="AO666">
        <v>-43.910344699357331</v>
      </c>
      <c r="AP666">
        <v>-19.629436999999999</v>
      </c>
      <c r="AQ666">
        <v>-43.910398999999998</v>
      </c>
      <c r="AR666">
        <v>11.52837377953678</v>
      </c>
      <c r="AS666" t="s">
        <v>65</v>
      </c>
      <c r="AT666">
        <v>1</v>
      </c>
      <c r="AU666" t="s">
        <v>89</v>
      </c>
      <c r="AV666" t="s">
        <v>90</v>
      </c>
      <c r="AW666" t="s">
        <v>60</v>
      </c>
      <c r="AX666" t="s">
        <v>68</v>
      </c>
      <c r="AY666" t="s">
        <v>69</v>
      </c>
      <c r="AZ666" t="b">
        <v>1</v>
      </c>
    </row>
    <row r="667" spans="1:52" x14ac:dyDescent="0.3">
      <c r="A667" t="s">
        <v>52</v>
      </c>
      <c r="B667" t="s">
        <v>53</v>
      </c>
      <c r="C667" t="s">
        <v>54</v>
      </c>
      <c r="D667" t="s">
        <v>55</v>
      </c>
      <c r="E667" t="s">
        <v>795</v>
      </c>
      <c r="F667" t="s">
        <v>176</v>
      </c>
      <c r="G667" t="s">
        <v>91</v>
      </c>
      <c r="H667" t="s">
        <v>92</v>
      </c>
      <c r="I667" t="s">
        <v>92</v>
      </c>
      <c r="J667" t="s">
        <v>60</v>
      </c>
      <c r="K667" t="s">
        <v>86</v>
      </c>
      <c r="L667" t="s">
        <v>62</v>
      </c>
      <c r="M667" t="s">
        <v>86</v>
      </c>
      <c r="N667" t="s">
        <v>93</v>
      </c>
      <c r="O667" t="s">
        <v>94</v>
      </c>
      <c r="P667">
        <v>-19.630676999999999</v>
      </c>
      <c r="Q667">
        <v>-43.907255999999997</v>
      </c>
      <c r="R667" s="2" t="str">
        <f>HYPERLINK("https://www.google.com/maps?q=-19.6306770,-43.9072560","Abrir no Google Maps")</f>
        <v>Abrir no Google Maps</v>
      </c>
      <c r="S667">
        <v>4</v>
      </c>
      <c r="T667">
        <v>545.39374622597825</v>
      </c>
      <c r="U667">
        <v>3</v>
      </c>
      <c r="V667">
        <v>0.409065715635891</v>
      </c>
      <c r="W667">
        <v>1</v>
      </c>
      <c r="X667">
        <v>0.409065715635891</v>
      </c>
      <c r="Y667">
        <v>10</v>
      </c>
      <c r="Z667">
        <v>559.94033759457182</v>
      </c>
      <c r="AA667">
        <v>2</v>
      </c>
      <c r="AB667">
        <v>3</v>
      </c>
      <c r="AC667">
        <v>7</v>
      </c>
      <c r="AD667">
        <v>26.01</v>
      </c>
      <c r="AE667">
        <v>253</v>
      </c>
      <c r="AF667">
        <v>17</v>
      </c>
      <c r="AG667">
        <v>60</v>
      </c>
      <c r="AH667">
        <v>32</v>
      </c>
      <c r="AI667">
        <v>6.72</v>
      </c>
      <c r="AJ667">
        <v>23.72</v>
      </c>
      <c r="AK667">
        <v>12.65</v>
      </c>
      <c r="AL667">
        <v>-19.630448649999941</v>
      </c>
      <c r="AM667">
        <v>-43.907268502495313</v>
      </c>
      <c r="AN667">
        <v>-19.630448649999941</v>
      </c>
      <c r="AO667">
        <v>-43.907268502495313</v>
      </c>
      <c r="AP667">
        <v>-19.630676999999999</v>
      </c>
      <c r="AQ667">
        <v>-43.907255999999997</v>
      </c>
      <c r="AR667">
        <v>25.453700276562468</v>
      </c>
      <c r="AS667" t="s">
        <v>65</v>
      </c>
      <c r="AT667">
        <v>1</v>
      </c>
      <c r="AU667" t="s">
        <v>95</v>
      </c>
      <c r="AV667" t="s">
        <v>96</v>
      </c>
      <c r="AW667" t="s">
        <v>60</v>
      </c>
      <c r="AX667" t="s">
        <v>68</v>
      </c>
      <c r="AY667" t="s">
        <v>69</v>
      </c>
      <c r="AZ667" t="b">
        <v>1</v>
      </c>
    </row>
    <row r="668" spans="1:52" x14ac:dyDescent="0.3">
      <c r="A668" t="s">
        <v>52</v>
      </c>
      <c r="B668" t="s">
        <v>53</v>
      </c>
      <c r="C668" t="s">
        <v>54</v>
      </c>
      <c r="D668" t="s">
        <v>55</v>
      </c>
      <c r="E668" t="s">
        <v>795</v>
      </c>
      <c r="F668" t="s">
        <v>176</v>
      </c>
      <c r="G668" t="s">
        <v>177</v>
      </c>
      <c r="H668" t="s">
        <v>178</v>
      </c>
      <c r="I668" t="s">
        <v>178</v>
      </c>
      <c r="J668" t="s">
        <v>60</v>
      </c>
      <c r="K668" t="s">
        <v>179</v>
      </c>
      <c r="L668" t="s">
        <v>62</v>
      </c>
      <c r="M668" t="s">
        <v>179</v>
      </c>
      <c r="N668" t="s">
        <v>180</v>
      </c>
      <c r="O668" t="s">
        <v>120</v>
      </c>
      <c r="P668">
        <v>-19.651526</v>
      </c>
      <c r="Q668">
        <v>-43.891382999999998</v>
      </c>
      <c r="R668" s="2" t="str">
        <f>HYPERLINK("https://www.google.com/maps?q=-19.6515260,-43.8913830","Abrir no Google Maps")</f>
        <v>Abrir no Google Maps</v>
      </c>
      <c r="S668">
        <v>4</v>
      </c>
      <c r="T668">
        <v>925.67779296789433</v>
      </c>
      <c r="U668">
        <v>3</v>
      </c>
      <c r="V668">
        <v>0.40296691321068051</v>
      </c>
      <c r="W668">
        <v>1</v>
      </c>
      <c r="X668">
        <v>0.40296691321068051</v>
      </c>
      <c r="Y668">
        <v>7</v>
      </c>
      <c r="Z668">
        <v>1193.102297436121</v>
      </c>
      <c r="AA668">
        <v>2</v>
      </c>
      <c r="AB668">
        <v>3</v>
      </c>
      <c r="AC668">
        <v>7</v>
      </c>
      <c r="AD668">
        <v>26.01</v>
      </c>
      <c r="AE668">
        <v>253</v>
      </c>
      <c r="AF668">
        <v>17</v>
      </c>
      <c r="AG668">
        <v>60</v>
      </c>
      <c r="AH668">
        <v>32</v>
      </c>
      <c r="AI668">
        <v>6.72</v>
      </c>
      <c r="AJ668">
        <v>23.72</v>
      </c>
      <c r="AK668">
        <v>12.65</v>
      </c>
      <c r="AL668">
        <v>-19.651590199999958</v>
      </c>
      <c r="AM668">
        <v>-43.891399191449963</v>
      </c>
      <c r="AN668">
        <v>-19.651590199999958</v>
      </c>
      <c r="AO668">
        <v>-43.891399191449963</v>
      </c>
      <c r="AP668">
        <v>-19.651526</v>
      </c>
      <c r="AQ668">
        <v>-43.891382999999998</v>
      </c>
      <c r="AR668">
        <v>7.3455622550785931</v>
      </c>
      <c r="AS668" t="s">
        <v>65</v>
      </c>
      <c r="AT668">
        <v>1</v>
      </c>
      <c r="AU668" t="s">
        <v>181</v>
      </c>
      <c r="AV668" t="s">
        <v>182</v>
      </c>
      <c r="AW668" t="s">
        <v>60</v>
      </c>
      <c r="AX668" t="s">
        <v>68</v>
      </c>
      <c r="AY668" t="s">
        <v>69</v>
      </c>
      <c r="AZ668" t="b">
        <v>1</v>
      </c>
    </row>
    <row r="669" spans="1:52" x14ac:dyDescent="0.3">
      <c r="A669" t="s">
        <v>52</v>
      </c>
      <c r="B669" t="s">
        <v>53</v>
      </c>
      <c r="C669" t="s">
        <v>54</v>
      </c>
      <c r="D669" t="s">
        <v>55</v>
      </c>
      <c r="E669" t="s">
        <v>795</v>
      </c>
      <c r="F669" t="s">
        <v>176</v>
      </c>
      <c r="G669" t="s">
        <v>197</v>
      </c>
      <c r="H669" t="s">
        <v>198</v>
      </c>
      <c r="I669" t="s">
        <v>198</v>
      </c>
      <c r="J669" t="s">
        <v>60</v>
      </c>
      <c r="K669" t="s">
        <v>199</v>
      </c>
      <c r="L669" t="s">
        <v>62</v>
      </c>
      <c r="M669" t="s">
        <v>199</v>
      </c>
      <c r="N669" t="s">
        <v>200</v>
      </c>
      <c r="O669" t="s">
        <v>201</v>
      </c>
      <c r="P669">
        <v>-19.639250000000001</v>
      </c>
      <c r="Q669">
        <v>-43.916449999999998</v>
      </c>
      <c r="R669" s="2" t="str">
        <f>HYPERLINK("https://www.google.com/maps?q=-19.6392500,-43.9164500","Abrir no Google Maps")</f>
        <v>Abrir no Google Maps</v>
      </c>
      <c r="S669">
        <v>4</v>
      </c>
      <c r="T669">
        <v>249.46350881074861</v>
      </c>
      <c r="U669">
        <v>3</v>
      </c>
      <c r="V669">
        <v>0.3957197890779518</v>
      </c>
      <c r="W669">
        <v>1</v>
      </c>
      <c r="X669">
        <v>0.3957197890779518</v>
      </c>
      <c r="Y669">
        <v>3</v>
      </c>
      <c r="Z669">
        <v>267.54148787490578</v>
      </c>
      <c r="AA669">
        <v>2</v>
      </c>
      <c r="AB669">
        <v>3</v>
      </c>
      <c r="AC669">
        <v>7</v>
      </c>
      <c r="AD669">
        <v>26.01</v>
      </c>
      <c r="AE669">
        <v>253</v>
      </c>
      <c r="AF669">
        <v>17</v>
      </c>
      <c r="AG669">
        <v>60</v>
      </c>
      <c r="AH669">
        <v>32</v>
      </c>
      <c r="AI669">
        <v>6.72</v>
      </c>
      <c r="AJ669">
        <v>23.72</v>
      </c>
      <c r="AK669">
        <v>12.65</v>
      </c>
      <c r="AL669">
        <v>-19.639331149999951</v>
      </c>
      <c r="AM669">
        <v>-43.916434187886892</v>
      </c>
      <c r="AN669">
        <v>-19.639331149999951</v>
      </c>
      <c r="AO669">
        <v>-43.916434187886892</v>
      </c>
      <c r="AP669">
        <v>-19.639250000000001</v>
      </c>
      <c r="AQ669">
        <v>-43.916449999999998</v>
      </c>
      <c r="AR669">
        <v>9.1844750188843953</v>
      </c>
      <c r="AS669" t="s">
        <v>65</v>
      </c>
      <c r="AT669">
        <v>1</v>
      </c>
      <c r="AU669" t="s">
        <v>202</v>
      </c>
      <c r="AV669" t="s">
        <v>203</v>
      </c>
      <c r="AW669" t="s">
        <v>60</v>
      </c>
      <c r="AX669" t="s">
        <v>68</v>
      </c>
      <c r="AY669" t="s">
        <v>69</v>
      </c>
      <c r="AZ669" t="b">
        <v>1</v>
      </c>
    </row>
    <row r="670" spans="1:52" x14ac:dyDescent="0.3">
      <c r="A670" t="s">
        <v>52</v>
      </c>
      <c r="B670" t="s">
        <v>53</v>
      </c>
      <c r="C670" t="s">
        <v>54</v>
      </c>
      <c r="D670" t="s">
        <v>55</v>
      </c>
      <c r="E670" t="s">
        <v>795</v>
      </c>
      <c r="F670" t="s">
        <v>176</v>
      </c>
      <c r="G670" t="s">
        <v>210</v>
      </c>
      <c r="H670" t="s">
        <v>211</v>
      </c>
      <c r="I670" t="s">
        <v>211</v>
      </c>
      <c r="J670" t="s">
        <v>60</v>
      </c>
      <c r="K670" t="s">
        <v>212</v>
      </c>
      <c r="L670" t="s">
        <v>62</v>
      </c>
      <c r="M670" t="s">
        <v>212</v>
      </c>
      <c r="N670" t="s">
        <v>213</v>
      </c>
      <c r="O670" t="s">
        <v>214</v>
      </c>
      <c r="P670">
        <v>-19.632814</v>
      </c>
      <c r="Q670">
        <v>-43.930782000000001</v>
      </c>
      <c r="R670" s="2" t="str">
        <f>HYPERLINK("https://www.google.com/maps?q=-19.6328140,-43.9307820","Abrir no Google Maps")</f>
        <v>Abrir no Google Maps</v>
      </c>
      <c r="S670">
        <v>4</v>
      </c>
      <c r="T670">
        <v>1643.2659380538339</v>
      </c>
      <c r="U670">
        <v>3</v>
      </c>
      <c r="V670">
        <v>0.39609791717931941</v>
      </c>
      <c r="W670">
        <v>1</v>
      </c>
      <c r="X670">
        <v>0.39609791717931941</v>
      </c>
      <c r="Y670">
        <v>3</v>
      </c>
      <c r="Z670">
        <v>1661.7410651481421</v>
      </c>
      <c r="AA670">
        <v>2</v>
      </c>
      <c r="AB670">
        <v>3</v>
      </c>
      <c r="AC670">
        <v>7</v>
      </c>
      <c r="AD670">
        <v>26.01</v>
      </c>
      <c r="AE670">
        <v>253</v>
      </c>
      <c r="AF670">
        <v>17</v>
      </c>
      <c r="AG670">
        <v>60</v>
      </c>
      <c r="AH670">
        <v>32</v>
      </c>
      <c r="AI670">
        <v>6.72</v>
      </c>
      <c r="AJ670">
        <v>23.72</v>
      </c>
      <c r="AK670">
        <v>12.65</v>
      </c>
      <c r="AL670">
        <v>-19.633145799999941</v>
      </c>
      <c r="AM670">
        <v>-43.930948481999309</v>
      </c>
      <c r="AN670">
        <v>-19.633145799999941</v>
      </c>
      <c r="AO670">
        <v>-43.930948481999309</v>
      </c>
      <c r="AP670">
        <v>-19.632814</v>
      </c>
      <c r="AQ670">
        <v>-43.930782000000001</v>
      </c>
      <c r="AR670">
        <v>40.852848555758172</v>
      </c>
      <c r="AS670" t="s">
        <v>65</v>
      </c>
      <c r="AT670">
        <v>1</v>
      </c>
      <c r="AU670" t="s">
        <v>215</v>
      </c>
      <c r="AV670" t="s">
        <v>216</v>
      </c>
      <c r="AW670" t="s">
        <v>60</v>
      </c>
      <c r="AX670" t="s">
        <v>68</v>
      </c>
      <c r="AY670" t="s">
        <v>69</v>
      </c>
      <c r="AZ670" t="b">
        <v>1</v>
      </c>
    </row>
    <row r="671" spans="1:52" x14ac:dyDescent="0.3">
      <c r="A671" t="s">
        <v>52</v>
      </c>
      <c r="B671" t="s">
        <v>53</v>
      </c>
      <c r="C671" t="s">
        <v>54</v>
      </c>
      <c r="D671" t="s">
        <v>55</v>
      </c>
      <c r="E671" t="s">
        <v>795</v>
      </c>
      <c r="F671" t="s">
        <v>176</v>
      </c>
      <c r="G671" t="s">
        <v>145</v>
      </c>
      <c r="H671" t="s">
        <v>146</v>
      </c>
      <c r="I671" t="s">
        <v>146</v>
      </c>
      <c r="J671" t="s">
        <v>60</v>
      </c>
      <c r="K671" t="s">
        <v>147</v>
      </c>
      <c r="L671" t="s">
        <v>62</v>
      </c>
      <c r="M671" t="s">
        <v>147</v>
      </c>
      <c r="N671" t="s">
        <v>148</v>
      </c>
      <c r="O671" t="s">
        <v>81</v>
      </c>
      <c r="P671">
        <v>-19.629356999999999</v>
      </c>
      <c r="Q671">
        <v>-43.916857</v>
      </c>
      <c r="R671" s="2" t="str">
        <f>HYPERLINK("https://www.google.com/maps?q=-19.6293570,-43.9168570","Abrir no Google Maps")</f>
        <v>Abrir no Google Maps</v>
      </c>
      <c r="S671">
        <v>4</v>
      </c>
      <c r="T671">
        <v>834.49898564045827</v>
      </c>
      <c r="U671">
        <v>3</v>
      </c>
      <c r="V671">
        <v>0.40499978328471031</v>
      </c>
      <c r="W671">
        <v>1</v>
      </c>
      <c r="X671">
        <v>0.40499978328471031</v>
      </c>
      <c r="Y671">
        <v>3</v>
      </c>
      <c r="Z671">
        <v>774.2841152512085</v>
      </c>
      <c r="AA671">
        <v>2</v>
      </c>
      <c r="AB671">
        <v>3</v>
      </c>
      <c r="AC671">
        <v>7</v>
      </c>
      <c r="AD671">
        <v>26.01</v>
      </c>
      <c r="AE671">
        <v>253</v>
      </c>
      <c r="AF671">
        <v>17</v>
      </c>
      <c r="AG671">
        <v>60</v>
      </c>
      <c r="AH671">
        <v>32</v>
      </c>
      <c r="AI671">
        <v>6.72</v>
      </c>
      <c r="AJ671">
        <v>23.72</v>
      </c>
      <c r="AK671">
        <v>12.65</v>
      </c>
      <c r="AL671">
        <v>-19.62962324999998</v>
      </c>
      <c r="AM671">
        <v>-43.916419823634037</v>
      </c>
      <c r="AN671">
        <v>-19.62962324999998</v>
      </c>
      <c r="AO671">
        <v>-43.916419823634051</v>
      </c>
      <c r="AP671">
        <v>-19.629356999999999</v>
      </c>
      <c r="AQ671">
        <v>-43.916857</v>
      </c>
      <c r="AR671">
        <v>54.585757388798442</v>
      </c>
      <c r="AS671" t="s">
        <v>65</v>
      </c>
      <c r="AT671">
        <v>1</v>
      </c>
      <c r="AU671" t="s">
        <v>149</v>
      </c>
      <c r="AV671" t="s">
        <v>150</v>
      </c>
      <c r="AW671" t="s">
        <v>60</v>
      </c>
      <c r="AX671" t="s">
        <v>68</v>
      </c>
      <c r="AY671" t="s">
        <v>69</v>
      </c>
      <c r="AZ671" t="b">
        <v>1</v>
      </c>
    </row>
    <row r="672" spans="1:52" x14ac:dyDescent="0.3">
      <c r="A672" t="s">
        <v>52</v>
      </c>
      <c r="B672" t="s">
        <v>53</v>
      </c>
      <c r="C672" t="s">
        <v>54</v>
      </c>
      <c r="D672" t="s">
        <v>55</v>
      </c>
      <c r="E672" t="s">
        <v>795</v>
      </c>
      <c r="F672" t="s">
        <v>176</v>
      </c>
      <c r="G672" t="s">
        <v>217</v>
      </c>
      <c r="H672" t="s">
        <v>218</v>
      </c>
      <c r="I672" t="s">
        <v>218</v>
      </c>
      <c r="J672" t="s">
        <v>60</v>
      </c>
      <c r="K672" t="s">
        <v>219</v>
      </c>
      <c r="L672" t="s">
        <v>62</v>
      </c>
      <c r="M672" t="s">
        <v>219</v>
      </c>
      <c r="N672" t="s">
        <v>220</v>
      </c>
      <c r="O672" t="s">
        <v>221</v>
      </c>
      <c r="P672">
        <v>-19.668924000000001</v>
      </c>
      <c r="Q672">
        <v>-43.888824</v>
      </c>
      <c r="R672" s="2" t="str">
        <f>HYPERLINK("https://www.google.com/maps?q=-19.6689240,-43.8888240","Abrir no Google Maps")</f>
        <v>Abrir no Google Maps</v>
      </c>
      <c r="S672">
        <v>4</v>
      </c>
      <c r="T672">
        <v>911.82770913869297</v>
      </c>
      <c r="U672">
        <v>3</v>
      </c>
      <c r="V672">
        <v>0.39198107149865052</v>
      </c>
      <c r="W672">
        <v>1</v>
      </c>
      <c r="X672">
        <v>0.39198107149865052</v>
      </c>
      <c r="Y672">
        <v>3</v>
      </c>
      <c r="Z672">
        <v>306.43809582423751</v>
      </c>
      <c r="AA672">
        <v>2</v>
      </c>
      <c r="AB672">
        <v>3</v>
      </c>
      <c r="AC672">
        <v>7</v>
      </c>
      <c r="AD672">
        <v>26.01</v>
      </c>
      <c r="AE672">
        <v>253</v>
      </c>
      <c r="AF672">
        <v>17</v>
      </c>
      <c r="AG672">
        <v>60</v>
      </c>
      <c r="AH672">
        <v>32</v>
      </c>
      <c r="AI672">
        <v>6.72</v>
      </c>
      <c r="AJ672">
        <v>23.72</v>
      </c>
      <c r="AK672">
        <v>12.65</v>
      </c>
      <c r="AL672">
        <v>-19.669015399999981</v>
      </c>
      <c r="AM672">
        <v>-43.88883436988452</v>
      </c>
      <c r="AN672">
        <v>-19.669015399999971</v>
      </c>
      <c r="AO672">
        <v>-43.88883436988452</v>
      </c>
      <c r="AP672">
        <v>-19.668924000000001</v>
      </c>
      <c r="AQ672">
        <v>-43.888824</v>
      </c>
      <c r="AR672">
        <v>10.23254983885769</v>
      </c>
      <c r="AS672" t="s">
        <v>65</v>
      </c>
      <c r="AT672">
        <v>1</v>
      </c>
      <c r="AU672" t="s">
        <v>222</v>
      </c>
      <c r="AV672" t="s">
        <v>223</v>
      </c>
      <c r="AW672" t="s">
        <v>60</v>
      </c>
      <c r="AX672" t="s">
        <v>68</v>
      </c>
      <c r="AY672" t="s">
        <v>69</v>
      </c>
      <c r="AZ672" t="b">
        <v>1</v>
      </c>
    </row>
    <row r="673" spans="1:52" x14ac:dyDescent="0.3">
      <c r="A673" t="s">
        <v>52</v>
      </c>
      <c r="B673" t="s">
        <v>53</v>
      </c>
      <c r="C673" t="s">
        <v>54</v>
      </c>
      <c r="D673" t="s">
        <v>55</v>
      </c>
      <c r="E673" t="s">
        <v>795</v>
      </c>
      <c r="F673" t="s">
        <v>176</v>
      </c>
      <c r="G673" t="s">
        <v>197</v>
      </c>
      <c r="H673" t="s">
        <v>224</v>
      </c>
      <c r="I673" t="s">
        <v>224</v>
      </c>
      <c r="J673" t="s">
        <v>60</v>
      </c>
      <c r="K673" t="s">
        <v>199</v>
      </c>
      <c r="L673" t="s">
        <v>62</v>
      </c>
      <c r="M673" t="s">
        <v>199</v>
      </c>
      <c r="N673" t="s">
        <v>200</v>
      </c>
      <c r="O673" t="s">
        <v>225</v>
      </c>
      <c r="P673">
        <v>-19.637217</v>
      </c>
      <c r="Q673">
        <v>-43.916117</v>
      </c>
      <c r="R673" s="2" t="str">
        <f>HYPERLINK("https://www.google.com/maps?q=-19.6372170,-43.9161170","Abrir no Google Maps")</f>
        <v>Abrir no Google Maps</v>
      </c>
      <c r="S673">
        <v>4</v>
      </c>
      <c r="T673">
        <v>0</v>
      </c>
      <c r="U673">
        <v>3</v>
      </c>
      <c r="V673">
        <v>0.41152186422785769</v>
      </c>
      <c r="W673">
        <v>1</v>
      </c>
      <c r="X673">
        <v>0.41152186422785769</v>
      </c>
      <c r="Y673">
        <v>3</v>
      </c>
      <c r="Z673">
        <v>94.289538231800577</v>
      </c>
      <c r="AA673">
        <v>2</v>
      </c>
      <c r="AB673">
        <v>3</v>
      </c>
      <c r="AC673">
        <v>7</v>
      </c>
      <c r="AD673">
        <v>26.01</v>
      </c>
      <c r="AE673">
        <v>253</v>
      </c>
      <c r="AF673">
        <v>17</v>
      </c>
      <c r="AG673">
        <v>60</v>
      </c>
      <c r="AH673">
        <v>32</v>
      </c>
      <c r="AI673">
        <v>6.72</v>
      </c>
      <c r="AJ673">
        <v>23.72</v>
      </c>
      <c r="AK673">
        <v>12.65</v>
      </c>
      <c r="AL673">
        <v>-19.63714454999996</v>
      </c>
      <c r="AM673">
        <v>-43.915856532303224</v>
      </c>
      <c r="AN673">
        <v>-19.63714454999996</v>
      </c>
      <c r="AO673">
        <v>-43.915856532303224</v>
      </c>
      <c r="AP673">
        <v>-19.637217</v>
      </c>
      <c r="AQ673">
        <v>-43.916117</v>
      </c>
      <c r="AR673">
        <v>28.47493692061667</v>
      </c>
      <c r="AS673" t="s">
        <v>65</v>
      </c>
      <c r="AT673">
        <v>1</v>
      </c>
      <c r="AU673" t="s">
        <v>226</v>
      </c>
      <c r="AV673" t="s">
        <v>227</v>
      </c>
      <c r="AW673" t="s">
        <v>60</v>
      </c>
      <c r="AX673" t="s">
        <v>68</v>
      </c>
      <c r="AY673" t="s">
        <v>69</v>
      </c>
      <c r="AZ673" t="b">
        <v>1</v>
      </c>
    </row>
    <row r="674" spans="1:52" x14ac:dyDescent="0.3">
      <c r="A674" t="s">
        <v>52</v>
      </c>
      <c r="B674" t="s">
        <v>53</v>
      </c>
      <c r="C674" t="s">
        <v>54</v>
      </c>
      <c r="D674" t="s">
        <v>55</v>
      </c>
      <c r="E674" t="s">
        <v>795</v>
      </c>
      <c r="F674" t="s">
        <v>176</v>
      </c>
      <c r="G674" t="s">
        <v>228</v>
      </c>
      <c r="H674" t="s">
        <v>229</v>
      </c>
      <c r="I674" t="s">
        <v>229</v>
      </c>
      <c r="J674" t="s">
        <v>60</v>
      </c>
      <c r="K674" t="s">
        <v>199</v>
      </c>
      <c r="L674" t="s">
        <v>62</v>
      </c>
      <c r="M674" t="s">
        <v>199</v>
      </c>
      <c r="N674" t="s">
        <v>230</v>
      </c>
      <c r="O674" t="s">
        <v>88</v>
      </c>
      <c r="P674">
        <v>-19.637703999999999</v>
      </c>
      <c r="Q674">
        <v>-43.913817999999999</v>
      </c>
      <c r="R674" s="2" t="str">
        <f>HYPERLINK("https://www.google.com/maps?q=-19.6377040,-43.9138180","Abrir no Google Maps")</f>
        <v>Abrir no Google Maps</v>
      </c>
      <c r="S674">
        <v>4</v>
      </c>
      <c r="T674">
        <v>216.67225021659709</v>
      </c>
      <c r="U674">
        <v>3</v>
      </c>
      <c r="V674">
        <v>0.40266255179531663</v>
      </c>
      <c r="W674">
        <v>1</v>
      </c>
      <c r="X674">
        <v>0.40266255179531663</v>
      </c>
      <c r="Y674">
        <v>3</v>
      </c>
      <c r="Z674">
        <v>250.25912407368671</v>
      </c>
      <c r="AA674">
        <v>2</v>
      </c>
      <c r="AB674">
        <v>3</v>
      </c>
      <c r="AC674">
        <v>7</v>
      </c>
      <c r="AD674">
        <v>26.01</v>
      </c>
      <c r="AE674">
        <v>253</v>
      </c>
      <c r="AF674">
        <v>17</v>
      </c>
      <c r="AG674">
        <v>60</v>
      </c>
      <c r="AH674">
        <v>32</v>
      </c>
      <c r="AI674">
        <v>6.72</v>
      </c>
      <c r="AJ674">
        <v>23.72</v>
      </c>
      <c r="AK674">
        <v>12.65</v>
      </c>
      <c r="AL674">
        <v>-19.637548049999939</v>
      </c>
      <c r="AM674">
        <v>-43.91383458447649</v>
      </c>
      <c r="AN674">
        <v>-19.637548049999939</v>
      </c>
      <c r="AO674">
        <v>-43.91383458447649</v>
      </c>
      <c r="AP674">
        <v>-19.637703999999999</v>
      </c>
      <c r="AQ674">
        <v>-43.913817999999999</v>
      </c>
      <c r="AR674">
        <v>17.44721566371809</v>
      </c>
      <c r="AS674" t="s">
        <v>65</v>
      </c>
      <c r="AT674">
        <v>1</v>
      </c>
      <c r="AU674" t="s">
        <v>231</v>
      </c>
      <c r="AV674" t="s">
        <v>232</v>
      </c>
      <c r="AW674" t="s">
        <v>60</v>
      </c>
      <c r="AX674" t="s">
        <v>68</v>
      </c>
      <c r="AY674" t="s">
        <v>69</v>
      </c>
      <c r="AZ674" t="b">
        <v>1</v>
      </c>
    </row>
    <row r="675" spans="1:52" x14ac:dyDescent="0.3">
      <c r="A675" t="s">
        <v>52</v>
      </c>
      <c r="B675" t="s">
        <v>53</v>
      </c>
      <c r="C675" t="s">
        <v>54</v>
      </c>
      <c r="D675" t="s">
        <v>55</v>
      </c>
      <c r="E675" t="s">
        <v>795</v>
      </c>
      <c r="F675" t="s">
        <v>176</v>
      </c>
      <c r="G675" t="s">
        <v>233</v>
      </c>
      <c r="H675" t="s">
        <v>234</v>
      </c>
      <c r="I675" t="s">
        <v>234</v>
      </c>
      <c r="J675" t="s">
        <v>60</v>
      </c>
      <c r="K675" t="s">
        <v>235</v>
      </c>
      <c r="L675" t="s">
        <v>62</v>
      </c>
      <c r="M675" t="s">
        <v>235</v>
      </c>
      <c r="N675" t="s">
        <v>236</v>
      </c>
      <c r="O675" t="s">
        <v>120</v>
      </c>
      <c r="P675">
        <v>-19.621310000000001</v>
      </c>
      <c r="Q675">
        <v>-43.919790999999996</v>
      </c>
      <c r="R675" s="2" t="str">
        <f>HYPERLINK("https://www.google.com/maps?q=-19.6213100,-43.9197910","Abrir no Google Maps")</f>
        <v>Abrir no Google Maps</v>
      </c>
      <c r="S675">
        <v>4</v>
      </c>
      <c r="T675">
        <v>1927.7454867197271</v>
      </c>
      <c r="U675">
        <v>3</v>
      </c>
      <c r="V675">
        <v>0.40188891729152471</v>
      </c>
      <c r="W675">
        <v>1</v>
      </c>
      <c r="X675">
        <v>0.40188891729152471</v>
      </c>
      <c r="Y675">
        <v>3</v>
      </c>
      <c r="Z675">
        <v>1860.010741524231</v>
      </c>
      <c r="AA675">
        <v>2</v>
      </c>
      <c r="AB675">
        <v>3</v>
      </c>
      <c r="AC675">
        <v>7</v>
      </c>
      <c r="AD675">
        <v>26.01</v>
      </c>
      <c r="AE675">
        <v>253</v>
      </c>
      <c r="AF675">
        <v>17</v>
      </c>
      <c r="AG675">
        <v>60</v>
      </c>
      <c r="AH675">
        <v>32</v>
      </c>
      <c r="AI675">
        <v>6.72</v>
      </c>
      <c r="AJ675">
        <v>23.72</v>
      </c>
      <c r="AK675">
        <v>12.65</v>
      </c>
      <c r="AL675">
        <v>-19.620273649999941</v>
      </c>
      <c r="AM675">
        <v>-43.920429283389112</v>
      </c>
      <c r="AN675">
        <v>-19.620273649999941</v>
      </c>
      <c r="AO675">
        <v>-43.920429283389112</v>
      </c>
      <c r="AP675">
        <v>-19.621310000000001</v>
      </c>
      <c r="AQ675">
        <v>-43.919790999999996</v>
      </c>
      <c r="AR675">
        <v>133.3747125733897</v>
      </c>
      <c r="AS675" t="s">
        <v>65</v>
      </c>
      <c r="AT675">
        <v>1</v>
      </c>
      <c r="AU675" t="s">
        <v>237</v>
      </c>
      <c r="AV675" t="s">
        <v>238</v>
      </c>
      <c r="AW675" t="s">
        <v>60</v>
      </c>
      <c r="AX675" t="s">
        <v>68</v>
      </c>
      <c r="AY675" t="s">
        <v>69</v>
      </c>
      <c r="AZ675" t="b">
        <v>1</v>
      </c>
    </row>
    <row r="676" spans="1:52" x14ac:dyDescent="0.3">
      <c r="A676" t="s">
        <v>52</v>
      </c>
      <c r="B676" t="s">
        <v>53</v>
      </c>
      <c r="C676" t="s">
        <v>54</v>
      </c>
      <c r="D676" t="s">
        <v>55</v>
      </c>
      <c r="E676" t="s">
        <v>795</v>
      </c>
      <c r="F676" t="s">
        <v>176</v>
      </c>
      <c r="G676" t="s">
        <v>239</v>
      </c>
      <c r="H676" t="s">
        <v>240</v>
      </c>
      <c r="I676" t="s">
        <v>240</v>
      </c>
      <c r="J676" t="s">
        <v>60</v>
      </c>
      <c r="K676" t="s">
        <v>241</v>
      </c>
      <c r="L676" t="s">
        <v>62</v>
      </c>
      <c r="M676" t="s">
        <v>241</v>
      </c>
      <c r="N676" t="s">
        <v>242</v>
      </c>
      <c r="O676" t="s">
        <v>243</v>
      </c>
      <c r="P676">
        <v>-19.64987</v>
      </c>
      <c r="Q676">
        <v>-43.901328999999997</v>
      </c>
      <c r="R676" s="2" t="str">
        <f>HYPERLINK("https://www.google.com/maps?q=-19.6498700,-43.9013290","Abrir no Google Maps")</f>
        <v>Abrir no Google Maps</v>
      </c>
      <c r="S676">
        <v>4</v>
      </c>
      <c r="T676">
        <v>379.88574886534309</v>
      </c>
      <c r="U676">
        <v>3</v>
      </c>
      <c r="V676">
        <v>0.41453148644875121</v>
      </c>
      <c r="W676">
        <v>1</v>
      </c>
      <c r="X676">
        <v>0.41453148644875121</v>
      </c>
      <c r="Y676">
        <v>1</v>
      </c>
      <c r="Z676">
        <v>442.33649591135162</v>
      </c>
      <c r="AA676">
        <v>2</v>
      </c>
      <c r="AB676">
        <v>3</v>
      </c>
      <c r="AC676">
        <v>7</v>
      </c>
      <c r="AD676">
        <v>26.01</v>
      </c>
      <c r="AE676">
        <v>253</v>
      </c>
      <c r="AF676">
        <v>17</v>
      </c>
      <c r="AG676">
        <v>60</v>
      </c>
      <c r="AH676">
        <v>32</v>
      </c>
      <c r="AI676">
        <v>6.72</v>
      </c>
      <c r="AJ676">
        <v>23.72</v>
      </c>
      <c r="AK676">
        <v>12.65</v>
      </c>
      <c r="AL676">
        <v>-19.64971674999995</v>
      </c>
      <c r="AM676">
        <v>-43.901441574655102</v>
      </c>
      <c r="AN676">
        <v>-19.64971674999995</v>
      </c>
      <c r="AO676">
        <v>-43.901441574655102</v>
      </c>
      <c r="AP676">
        <v>-19.64987</v>
      </c>
      <c r="AQ676">
        <v>-43.901328999999997</v>
      </c>
      <c r="AR676">
        <v>20.744262514610401</v>
      </c>
      <c r="AS676" t="s">
        <v>65</v>
      </c>
      <c r="AT676">
        <v>1</v>
      </c>
      <c r="AU676" t="s">
        <v>244</v>
      </c>
      <c r="AV676" t="s">
        <v>245</v>
      </c>
      <c r="AW676" t="s">
        <v>60</v>
      </c>
      <c r="AX676" t="s">
        <v>68</v>
      </c>
      <c r="AY676" t="s">
        <v>69</v>
      </c>
      <c r="AZ676" t="b">
        <v>1</v>
      </c>
    </row>
    <row r="677" spans="1:52" x14ac:dyDescent="0.3">
      <c r="A677" t="s">
        <v>52</v>
      </c>
      <c r="B677" t="s">
        <v>53</v>
      </c>
      <c r="C677" t="s">
        <v>54</v>
      </c>
      <c r="D677" t="s">
        <v>55</v>
      </c>
      <c r="E677" t="s">
        <v>795</v>
      </c>
      <c r="F677" t="s">
        <v>176</v>
      </c>
      <c r="G677" t="s">
        <v>246</v>
      </c>
      <c r="H677" t="s">
        <v>247</v>
      </c>
      <c r="I677" t="s">
        <v>247</v>
      </c>
      <c r="J677" t="s">
        <v>60</v>
      </c>
      <c r="K677" t="s">
        <v>164</v>
      </c>
      <c r="L677" t="s">
        <v>62</v>
      </c>
      <c r="M677" t="s">
        <v>164</v>
      </c>
      <c r="N677" t="s">
        <v>248</v>
      </c>
      <c r="O677" t="s">
        <v>249</v>
      </c>
      <c r="P677">
        <v>-19.6448</v>
      </c>
      <c r="Q677">
        <v>-43.901600999999999</v>
      </c>
      <c r="R677" s="2" t="str">
        <f>HYPERLINK("https://www.google.com/maps?q=-19.6448000,-43.9016010","Abrir no Google Maps")</f>
        <v>Abrir no Google Maps</v>
      </c>
      <c r="S677">
        <v>4</v>
      </c>
      <c r="T677">
        <v>317.869447308274</v>
      </c>
      <c r="U677">
        <v>3</v>
      </c>
      <c r="V677">
        <v>0.39034974563773328</v>
      </c>
      <c r="W677">
        <v>1</v>
      </c>
      <c r="X677">
        <v>0.39034974563773328</v>
      </c>
      <c r="Y677">
        <v>1</v>
      </c>
      <c r="Z677">
        <v>349.42631749673592</v>
      </c>
      <c r="AA677">
        <v>2</v>
      </c>
      <c r="AB677">
        <v>3</v>
      </c>
      <c r="AC677">
        <v>7</v>
      </c>
      <c r="AD677">
        <v>26.01</v>
      </c>
      <c r="AE677">
        <v>253</v>
      </c>
      <c r="AF677">
        <v>17</v>
      </c>
      <c r="AG677">
        <v>60</v>
      </c>
      <c r="AH677">
        <v>32</v>
      </c>
      <c r="AI677">
        <v>6.72</v>
      </c>
      <c r="AJ677">
        <v>23.72</v>
      </c>
      <c r="AK677">
        <v>12.65</v>
      </c>
      <c r="AL677">
        <v>-19.644877249999951</v>
      </c>
      <c r="AM677">
        <v>-43.901796079893373</v>
      </c>
      <c r="AN677">
        <v>-19.644877249999951</v>
      </c>
      <c r="AO677">
        <v>-43.901796079893373</v>
      </c>
      <c r="AP677">
        <v>-19.6448</v>
      </c>
      <c r="AQ677">
        <v>-43.901600999999999</v>
      </c>
      <c r="AR677">
        <v>22.186635956426102</v>
      </c>
      <c r="AS677" t="s">
        <v>65</v>
      </c>
      <c r="AT677">
        <v>1</v>
      </c>
      <c r="AU677" t="s">
        <v>250</v>
      </c>
      <c r="AV677" t="s">
        <v>251</v>
      </c>
      <c r="AW677" t="s">
        <v>60</v>
      </c>
      <c r="AX677" t="s">
        <v>68</v>
      </c>
      <c r="AY677" t="s">
        <v>69</v>
      </c>
      <c r="AZ677" t="b">
        <v>1</v>
      </c>
    </row>
    <row r="678" spans="1:52" x14ac:dyDescent="0.3">
      <c r="A678" t="s">
        <v>52</v>
      </c>
      <c r="B678" t="s">
        <v>53</v>
      </c>
      <c r="C678" t="s">
        <v>54</v>
      </c>
      <c r="D678" t="s">
        <v>55</v>
      </c>
      <c r="E678" t="s">
        <v>795</v>
      </c>
      <c r="F678" t="s">
        <v>176</v>
      </c>
      <c r="G678" t="s">
        <v>252</v>
      </c>
      <c r="H678" t="s">
        <v>253</v>
      </c>
      <c r="I678" t="s">
        <v>253</v>
      </c>
      <c r="J678" t="s">
        <v>60</v>
      </c>
      <c r="K678" t="s">
        <v>164</v>
      </c>
      <c r="L678" t="s">
        <v>62</v>
      </c>
      <c r="M678" t="s">
        <v>164</v>
      </c>
      <c r="N678" t="s">
        <v>254</v>
      </c>
      <c r="O678" t="s">
        <v>255</v>
      </c>
      <c r="P678">
        <v>-19.652244</v>
      </c>
      <c r="Q678">
        <v>-43.906869</v>
      </c>
      <c r="R678" s="2" t="str">
        <f>HYPERLINK("https://www.google.com/maps?q=-19.6522440,-43.9068690","Abrir no Google Maps")</f>
        <v>Abrir no Google Maps</v>
      </c>
      <c r="S678">
        <v>4</v>
      </c>
      <c r="T678">
        <v>659.98887289357856</v>
      </c>
      <c r="U678">
        <v>3</v>
      </c>
      <c r="V678">
        <v>0.38912282880832749</v>
      </c>
      <c r="W678">
        <v>1</v>
      </c>
      <c r="X678">
        <v>0.38912282880832749</v>
      </c>
      <c r="Y678">
        <v>1</v>
      </c>
      <c r="Z678">
        <v>607.69009953455907</v>
      </c>
      <c r="AA678">
        <v>2</v>
      </c>
      <c r="AB678">
        <v>3</v>
      </c>
      <c r="AC678">
        <v>7</v>
      </c>
      <c r="AD678">
        <v>26.01</v>
      </c>
      <c r="AE678">
        <v>253</v>
      </c>
      <c r="AF678">
        <v>17</v>
      </c>
      <c r="AG678">
        <v>60</v>
      </c>
      <c r="AH678">
        <v>32</v>
      </c>
      <c r="AI678">
        <v>6.72</v>
      </c>
      <c r="AJ678">
        <v>23.72</v>
      </c>
      <c r="AK678">
        <v>12.65</v>
      </c>
      <c r="AL678">
        <v>-19.65225609999996</v>
      </c>
      <c r="AM678">
        <v>-43.906862663911163</v>
      </c>
      <c r="AN678">
        <v>-19.65225609999996</v>
      </c>
      <c r="AO678">
        <v>-43.906862663911149</v>
      </c>
      <c r="AP678">
        <v>-19.652244</v>
      </c>
      <c r="AQ678">
        <v>-43.906869</v>
      </c>
      <c r="AR678">
        <v>1.501852076897872</v>
      </c>
      <c r="AS678" t="s">
        <v>65</v>
      </c>
      <c r="AT678">
        <v>1</v>
      </c>
      <c r="AU678" t="s">
        <v>256</v>
      </c>
      <c r="AV678" t="s">
        <v>257</v>
      </c>
      <c r="AW678" t="s">
        <v>60</v>
      </c>
      <c r="AX678" t="s">
        <v>68</v>
      </c>
      <c r="AY678" t="s">
        <v>69</v>
      </c>
      <c r="AZ678" t="b">
        <v>1</v>
      </c>
    </row>
    <row r="679" spans="1:52" x14ac:dyDescent="0.3">
      <c r="A679" t="s">
        <v>52</v>
      </c>
      <c r="B679" t="s">
        <v>53</v>
      </c>
      <c r="C679" t="s">
        <v>54</v>
      </c>
      <c r="D679" t="s">
        <v>55</v>
      </c>
      <c r="E679" t="s">
        <v>795</v>
      </c>
      <c r="F679" t="s">
        <v>176</v>
      </c>
      <c r="G679" t="s">
        <v>258</v>
      </c>
      <c r="H679" t="s">
        <v>259</v>
      </c>
      <c r="I679" t="s">
        <v>259</v>
      </c>
      <c r="J679" t="s">
        <v>60</v>
      </c>
      <c r="K679" t="s">
        <v>192</v>
      </c>
      <c r="L679" t="s">
        <v>62</v>
      </c>
      <c r="M679" t="s">
        <v>192</v>
      </c>
      <c r="N679" t="s">
        <v>260</v>
      </c>
      <c r="O679" t="s">
        <v>261</v>
      </c>
      <c r="P679">
        <v>-19.651322</v>
      </c>
      <c r="Q679">
        <v>-43.909526999999997</v>
      </c>
      <c r="R679" s="2" t="str">
        <f>HYPERLINK("https://www.google.com/maps?q=-19.6513220,-43.9095270","Abrir no Google Maps")</f>
        <v>Abrir no Google Maps</v>
      </c>
      <c r="S679">
        <v>4</v>
      </c>
      <c r="T679">
        <v>818.75599819160288</v>
      </c>
      <c r="U679">
        <v>3</v>
      </c>
      <c r="V679">
        <v>0.4067167690521627</v>
      </c>
      <c r="W679">
        <v>1</v>
      </c>
      <c r="X679">
        <v>0.4067167690521627</v>
      </c>
      <c r="Y679">
        <v>1</v>
      </c>
      <c r="Z679">
        <v>730.53961508554767</v>
      </c>
      <c r="AA679">
        <v>2</v>
      </c>
      <c r="AB679">
        <v>3</v>
      </c>
      <c r="AC679">
        <v>7</v>
      </c>
      <c r="AD679">
        <v>26.01</v>
      </c>
      <c r="AE679">
        <v>253</v>
      </c>
      <c r="AF679">
        <v>17</v>
      </c>
      <c r="AG679">
        <v>60</v>
      </c>
      <c r="AH679">
        <v>32</v>
      </c>
      <c r="AI679">
        <v>6.72</v>
      </c>
      <c r="AJ679">
        <v>23.72</v>
      </c>
      <c r="AK679">
        <v>12.65</v>
      </c>
      <c r="AL679">
        <v>-19.65143184999997</v>
      </c>
      <c r="AM679">
        <v>-43.910059983056307</v>
      </c>
      <c r="AN679">
        <v>-19.65143184999997</v>
      </c>
      <c r="AO679">
        <v>-43.910059983056307</v>
      </c>
      <c r="AP679">
        <v>-19.651322</v>
      </c>
      <c r="AQ679">
        <v>-43.909526999999997</v>
      </c>
      <c r="AR679">
        <v>57.198416395481701</v>
      </c>
      <c r="AS679" t="s">
        <v>65</v>
      </c>
      <c r="AT679">
        <v>1</v>
      </c>
      <c r="AU679" t="s">
        <v>262</v>
      </c>
      <c r="AV679" t="s">
        <v>263</v>
      </c>
      <c r="AW679" t="s">
        <v>60</v>
      </c>
      <c r="AX679" t="s">
        <v>68</v>
      </c>
      <c r="AY679" t="s">
        <v>69</v>
      </c>
      <c r="AZ679" t="b">
        <v>1</v>
      </c>
    </row>
    <row r="680" spans="1:52" x14ac:dyDescent="0.3">
      <c r="A680" t="s">
        <v>52</v>
      </c>
      <c r="B680" t="s">
        <v>53</v>
      </c>
      <c r="C680" t="s">
        <v>54</v>
      </c>
      <c r="D680" t="s">
        <v>55</v>
      </c>
      <c r="E680" t="s">
        <v>795</v>
      </c>
      <c r="F680" t="s">
        <v>176</v>
      </c>
      <c r="G680" t="s">
        <v>217</v>
      </c>
      <c r="H680" t="s">
        <v>264</v>
      </c>
      <c r="I680" t="s">
        <v>264</v>
      </c>
      <c r="J680" t="s">
        <v>60</v>
      </c>
      <c r="K680" t="s">
        <v>219</v>
      </c>
      <c r="L680" t="s">
        <v>62</v>
      </c>
      <c r="M680" t="s">
        <v>219</v>
      </c>
      <c r="N680" t="s">
        <v>220</v>
      </c>
      <c r="O680" t="s">
        <v>265</v>
      </c>
      <c r="P680">
        <v>-19.668958</v>
      </c>
      <c r="Q680">
        <v>-43.890619999999998</v>
      </c>
      <c r="R680" s="2" t="str">
        <f>HYPERLINK("https://www.google.com/maps?q=-19.6689580,-43.8906200","Abrir no Google Maps")</f>
        <v>Abrir no Google Maps</v>
      </c>
      <c r="S680">
        <v>4</v>
      </c>
      <c r="T680">
        <v>893.53138484322108</v>
      </c>
      <c r="U680">
        <v>3</v>
      </c>
      <c r="V680">
        <v>0.38827253125816308</v>
      </c>
      <c r="W680">
        <v>1</v>
      </c>
      <c r="X680">
        <v>0.38827253125816308</v>
      </c>
      <c r="Y680">
        <v>1</v>
      </c>
      <c r="Z680">
        <v>336.68220024294959</v>
      </c>
      <c r="AA680">
        <v>2</v>
      </c>
      <c r="AB680">
        <v>3</v>
      </c>
      <c r="AC680">
        <v>7</v>
      </c>
      <c r="AD680">
        <v>26.01</v>
      </c>
      <c r="AE680">
        <v>253</v>
      </c>
      <c r="AF680">
        <v>17</v>
      </c>
      <c r="AG680">
        <v>60</v>
      </c>
      <c r="AH680">
        <v>32</v>
      </c>
      <c r="AI680">
        <v>6.72</v>
      </c>
      <c r="AJ680">
        <v>23.72</v>
      </c>
      <c r="AK680">
        <v>12.65</v>
      </c>
      <c r="AL680">
        <v>-19.669114549999961</v>
      </c>
      <c r="AM680">
        <v>-43.890740893526242</v>
      </c>
      <c r="AN680">
        <v>-19.669114549999961</v>
      </c>
      <c r="AO680">
        <v>-43.890740893526242</v>
      </c>
      <c r="AP680">
        <v>-19.668958</v>
      </c>
      <c r="AQ680">
        <v>-43.890619999999998</v>
      </c>
      <c r="AR680">
        <v>21.54764375256557</v>
      </c>
      <c r="AS680" t="s">
        <v>65</v>
      </c>
      <c r="AT680">
        <v>1</v>
      </c>
      <c r="AU680" t="s">
        <v>266</v>
      </c>
      <c r="AV680" t="s">
        <v>267</v>
      </c>
      <c r="AW680" t="s">
        <v>60</v>
      </c>
      <c r="AX680" t="s">
        <v>68</v>
      </c>
      <c r="AY680" t="s">
        <v>69</v>
      </c>
      <c r="AZ680" t="b">
        <v>1</v>
      </c>
    </row>
    <row r="681" spans="1:52" x14ac:dyDescent="0.3">
      <c r="A681" t="s">
        <v>52</v>
      </c>
      <c r="B681" t="s">
        <v>53</v>
      </c>
      <c r="C681" t="s">
        <v>54</v>
      </c>
      <c r="D681" t="s">
        <v>55</v>
      </c>
      <c r="E681" t="s">
        <v>795</v>
      </c>
      <c r="F681" t="s">
        <v>176</v>
      </c>
      <c r="G681" t="s">
        <v>268</v>
      </c>
      <c r="H681" t="s">
        <v>269</v>
      </c>
      <c r="I681" t="s">
        <v>269</v>
      </c>
      <c r="J681" t="s">
        <v>60</v>
      </c>
      <c r="K681" t="s">
        <v>164</v>
      </c>
      <c r="L681" t="s">
        <v>62</v>
      </c>
      <c r="M681" t="s">
        <v>164</v>
      </c>
      <c r="N681" t="s">
        <v>270</v>
      </c>
      <c r="O681" t="s">
        <v>113</v>
      </c>
      <c r="P681">
        <v>-19.648771</v>
      </c>
      <c r="Q681">
        <v>-43.903640000000003</v>
      </c>
      <c r="R681" s="2" t="str">
        <f>HYPERLINK("https://www.google.com/maps?q=-19.6487710,-43.9036400","Abrir no Google Maps")</f>
        <v>Abrir no Google Maps</v>
      </c>
      <c r="S681">
        <v>4</v>
      </c>
      <c r="T681">
        <v>206.63717887005251</v>
      </c>
      <c r="U681">
        <v>3</v>
      </c>
      <c r="V681">
        <v>0.38857543205601319</v>
      </c>
      <c r="W681">
        <v>1</v>
      </c>
      <c r="X681">
        <v>0.38857543205601319</v>
      </c>
      <c r="Y681">
        <v>1</v>
      </c>
      <c r="Z681">
        <v>200.80459056276209</v>
      </c>
      <c r="AA681">
        <v>2</v>
      </c>
      <c r="AB681">
        <v>3</v>
      </c>
      <c r="AC681">
        <v>7</v>
      </c>
      <c r="AD681">
        <v>26.01</v>
      </c>
      <c r="AE681">
        <v>253</v>
      </c>
      <c r="AF681">
        <v>17</v>
      </c>
      <c r="AG681">
        <v>60</v>
      </c>
      <c r="AH681">
        <v>32</v>
      </c>
      <c r="AI681">
        <v>6.72</v>
      </c>
      <c r="AJ681">
        <v>23.72</v>
      </c>
      <c r="AK681">
        <v>12.65</v>
      </c>
      <c r="AL681">
        <v>-19.648938299999969</v>
      </c>
      <c r="AM681">
        <v>-43.903687287450857</v>
      </c>
      <c r="AN681">
        <v>-19.648938299999969</v>
      </c>
      <c r="AO681">
        <v>-43.903687287450857</v>
      </c>
      <c r="AP681">
        <v>-19.648771</v>
      </c>
      <c r="AQ681">
        <v>-43.903640000000003</v>
      </c>
      <c r="AR681">
        <v>19.272369946853829</v>
      </c>
      <c r="AS681" t="s">
        <v>65</v>
      </c>
      <c r="AT681">
        <v>1</v>
      </c>
      <c r="AU681" t="s">
        <v>271</v>
      </c>
      <c r="AV681" t="s">
        <v>272</v>
      </c>
      <c r="AW681" t="s">
        <v>60</v>
      </c>
      <c r="AX681" t="s">
        <v>68</v>
      </c>
      <c r="AY681" t="s">
        <v>69</v>
      </c>
      <c r="AZ681" t="b">
        <v>1</v>
      </c>
    </row>
    <row r="682" spans="1:52" x14ac:dyDescent="0.3">
      <c r="A682" t="s">
        <v>52</v>
      </c>
      <c r="B682" t="s">
        <v>53</v>
      </c>
      <c r="C682" t="s">
        <v>54</v>
      </c>
      <c r="D682" t="s">
        <v>55</v>
      </c>
      <c r="E682" t="s">
        <v>795</v>
      </c>
      <c r="F682" t="s">
        <v>176</v>
      </c>
      <c r="G682" t="s">
        <v>162</v>
      </c>
      <c r="H682" t="s">
        <v>163</v>
      </c>
      <c r="I682" t="s">
        <v>163</v>
      </c>
      <c r="J682" t="s">
        <v>60</v>
      </c>
      <c r="K682" t="s">
        <v>164</v>
      </c>
      <c r="L682" t="s">
        <v>62</v>
      </c>
      <c r="M682" t="s">
        <v>164</v>
      </c>
      <c r="N682" t="s">
        <v>165</v>
      </c>
      <c r="O682" t="s">
        <v>166</v>
      </c>
      <c r="P682">
        <v>-19.650033000000001</v>
      </c>
      <c r="Q682">
        <v>-43.904634000000001</v>
      </c>
      <c r="R682" s="2" t="str">
        <f>HYPERLINK("https://www.google.com/maps?q=-19.6500330,-43.9046340","Abrir no Google Maps")</f>
        <v>Abrir no Google Maps</v>
      </c>
      <c r="S682">
        <v>4</v>
      </c>
      <c r="T682">
        <v>343.61469317865811</v>
      </c>
      <c r="U682">
        <v>3</v>
      </c>
      <c r="V682">
        <v>0.39298696420882911</v>
      </c>
      <c r="W682">
        <v>1</v>
      </c>
      <c r="X682">
        <v>0.39298696420882911</v>
      </c>
      <c r="Y682">
        <v>1</v>
      </c>
      <c r="Z682">
        <v>351.81960241626399</v>
      </c>
      <c r="AA682">
        <v>2</v>
      </c>
      <c r="AB682">
        <v>3</v>
      </c>
      <c r="AC682">
        <v>7</v>
      </c>
      <c r="AD682">
        <v>26.01</v>
      </c>
      <c r="AE682">
        <v>253</v>
      </c>
      <c r="AF682">
        <v>17</v>
      </c>
      <c r="AG682">
        <v>60</v>
      </c>
      <c r="AH682">
        <v>32</v>
      </c>
      <c r="AI682">
        <v>6.72</v>
      </c>
      <c r="AJ682">
        <v>23.72</v>
      </c>
      <c r="AK682">
        <v>12.65</v>
      </c>
      <c r="AL682">
        <v>-19.650065899999959</v>
      </c>
      <c r="AM682">
        <v>-43.904619920569793</v>
      </c>
      <c r="AN682">
        <v>-19.650065899999959</v>
      </c>
      <c r="AO682">
        <v>-43.904619920569793</v>
      </c>
      <c r="AP682">
        <v>-19.650033000000001</v>
      </c>
      <c r="AQ682">
        <v>-43.904634000000001</v>
      </c>
      <c r="AR682">
        <v>3.9486827164921792</v>
      </c>
      <c r="AS682" t="s">
        <v>65</v>
      </c>
      <c r="AT682">
        <v>1</v>
      </c>
      <c r="AU682" t="s">
        <v>167</v>
      </c>
      <c r="AV682" t="s">
        <v>168</v>
      </c>
      <c r="AW682" t="s">
        <v>60</v>
      </c>
      <c r="AX682" t="s">
        <v>68</v>
      </c>
      <c r="AY682" t="s">
        <v>69</v>
      </c>
      <c r="AZ682" t="b">
        <v>1</v>
      </c>
    </row>
    <row r="683" spans="1:52" x14ac:dyDescent="0.3">
      <c r="A683" t="s">
        <v>52</v>
      </c>
      <c r="B683" t="s">
        <v>53</v>
      </c>
      <c r="C683" t="s">
        <v>54</v>
      </c>
      <c r="D683" t="s">
        <v>55</v>
      </c>
      <c r="E683" t="s">
        <v>795</v>
      </c>
      <c r="F683" t="s">
        <v>176</v>
      </c>
      <c r="G683" t="s">
        <v>273</v>
      </c>
      <c r="H683" t="s">
        <v>274</v>
      </c>
      <c r="I683" t="s">
        <v>274</v>
      </c>
      <c r="J683" t="s">
        <v>60</v>
      </c>
      <c r="K683" t="s">
        <v>171</v>
      </c>
      <c r="L683" t="s">
        <v>62</v>
      </c>
      <c r="M683" t="s">
        <v>171</v>
      </c>
      <c r="N683" t="s">
        <v>275</v>
      </c>
      <c r="O683" t="s">
        <v>276</v>
      </c>
      <c r="P683">
        <v>-19.679956000000001</v>
      </c>
      <c r="Q683">
        <v>-43.888520999999997</v>
      </c>
      <c r="R683" s="2" t="str">
        <f>HYPERLINK("https://www.google.com/maps?q=-19.6799560,-43.8885210","Abrir no Google Maps")</f>
        <v>Abrir no Google Maps</v>
      </c>
      <c r="S683">
        <v>4</v>
      </c>
      <c r="T683">
        <v>346.2974251077423</v>
      </c>
      <c r="U683">
        <v>3</v>
      </c>
      <c r="V683">
        <v>0.4093877953050396</v>
      </c>
      <c r="W683">
        <v>1</v>
      </c>
      <c r="X683">
        <v>0.4093877953050396</v>
      </c>
      <c r="Y683">
        <v>0</v>
      </c>
      <c r="Z683">
        <v>223.68420981797229</v>
      </c>
      <c r="AA683">
        <v>2</v>
      </c>
      <c r="AB683">
        <v>3</v>
      </c>
      <c r="AC683">
        <v>7</v>
      </c>
      <c r="AD683">
        <v>26.01</v>
      </c>
      <c r="AE683">
        <v>253</v>
      </c>
      <c r="AF683">
        <v>17</v>
      </c>
      <c r="AG683">
        <v>60</v>
      </c>
      <c r="AH683">
        <v>32</v>
      </c>
      <c r="AI683">
        <v>6.72</v>
      </c>
      <c r="AJ683">
        <v>23.72</v>
      </c>
      <c r="AK683">
        <v>12.65</v>
      </c>
      <c r="AL683">
        <v>-19.67989189999998</v>
      </c>
      <c r="AM683">
        <v>-43.888485157753777</v>
      </c>
      <c r="AN683">
        <v>-19.67989189999998</v>
      </c>
      <c r="AO683">
        <v>-43.888485157753777</v>
      </c>
      <c r="AP683">
        <v>-19.679956000000001</v>
      </c>
      <c r="AQ683">
        <v>-43.888520999999997</v>
      </c>
      <c r="AR683">
        <v>8.0641961934087583</v>
      </c>
      <c r="AS683" t="s">
        <v>65</v>
      </c>
      <c r="AT683">
        <v>1</v>
      </c>
      <c r="AU683" t="s">
        <v>277</v>
      </c>
      <c r="AV683" t="s">
        <v>278</v>
      </c>
      <c r="AW683" t="s">
        <v>60</v>
      </c>
      <c r="AX683" t="s">
        <v>68</v>
      </c>
      <c r="AY683" t="s">
        <v>69</v>
      </c>
      <c r="AZ683" t="b">
        <v>1</v>
      </c>
    </row>
    <row r="684" spans="1:52" x14ac:dyDescent="0.3">
      <c r="A684" t="s">
        <v>52</v>
      </c>
      <c r="B684" t="s">
        <v>53</v>
      </c>
      <c r="C684" t="s">
        <v>54</v>
      </c>
      <c r="D684" t="s">
        <v>55</v>
      </c>
      <c r="E684" t="s">
        <v>795</v>
      </c>
      <c r="F684" t="s">
        <v>176</v>
      </c>
      <c r="G684" t="s">
        <v>279</v>
      </c>
      <c r="H684" t="s">
        <v>280</v>
      </c>
      <c r="I684" t="s">
        <v>280</v>
      </c>
      <c r="J684" t="s">
        <v>60</v>
      </c>
      <c r="K684" t="s">
        <v>171</v>
      </c>
      <c r="L684" t="s">
        <v>62</v>
      </c>
      <c r="M684" t="s">
        <v>171</v>
      </c>
      <c r="N684" t="s">
        <v>281</v>
      </c>
      <c r="O684" t="s">
        <v>282</v>
      </c>
      <c r="P684">
        <v>-19.677088000000001</v>
      </c>
      <c r="Q684">
        <v>-43.890014000000001</v>
      </c>
      <c r="R684" s="2" t="str">
        <f>HYPERLINK("https://www.google.com/maps?q=-19.6770880,-43.8900140","Abrir no Google Maps")</f>
        <v>Abrir no Google Maps</v>
      </c>
      <c r="S684">
        <v>4</v>
      </c>
      <c r="T684">
        <v>0</v>
      </c>
      <c r="U684">
        <v>3</v>
      </c>
      <c r="V684">
        <v>0.40364471700672971</v>
      </c>
      <c r="W684">
        <v>1</v>
      </c>
      <c r="X684">
        <v>0.40364471700672971</v>
      </c>
      <c r="Y684">
        <v>0</v>
      </c>
      <c r="Z684">
        <v>151.75635194559609</v>
      </c>
      <c r="AA684">
        <v>2</v>
      </c>
      <c r="AB684">
        <v>3</v>
      </c>
      <c r="AC684">
        <v>7</v>
      </c>
      <c r="AD684">
        <v>26.01</v>
      </c>
      <c r="AE684">
        <v>253</v>
      </c>
      <c r="AF684">
        <v>17</v>
      </c>
      <c r="AG684">
        <v>60</v>
      </c>
      <c r="AH684">
        <v>32</v>
      </c>
      <c r="AI684">
        <v>6.72</v>
      </c>
      <c r="AJ684">
        <v>23.72</v>
      </c>
      <c r="AK684">
        <v>12.65</v>
      </c>
      <c r="AL684">
        <v>-19.677165649999949</v>
      </c>
      <c r="AM684">
        <v>-43.890106299611283</v>
      </c>
      <c r="AN684">
        <v>-19.677165649999949</v>
      </c>
      <c r="AO684">
        <v>-43.890106299611283</v>
      </c>
      <c r="AP684">
        <v>-19.677088000000001</v>
      </c>
      <c r="AQ684">
        <v>-43.890014000000001</v>
      </c>
      <c r="AR684">
        <v>12.973833126778279</v>
      </c>
      <c r="AS684" t="s">
        <v>65</v>
      </c>
      <c r="AT684">
        <v>1</v>
      </c>
      <c r="AU684" t="s">
        <v>283</v>
      </c>
      <c r="AV684" t="s">
        <v>175</v>
      </c>
      <c r="AW684" t="s">
        <v>60</v>
      </c>
      <c r="AX684" t="s">
        <v>68</v>
      </c>
      <c r="AY684" t="s">
        <v>69</v>
      </c>
      <c r="AZ684" t="b">
        <v>1</v>
      </c>
    </row>
    <row r="685" spans="1:52" x14ac:dyDescent="0.3">
      <c r="A685" t="s">
        <v>52</v>
      </c>
      <c r="B685" t="s">
        <v>53</v>
      </c>
      <c r="C685" t="s">
        <v>54</v>
      </c>
      <c r="D685" t="s">
        <v>55</v>
      </c>
      <c r="E685" t="s">
        <v>795</v>
      </c>
      <c r="F685" t="s">
        <v>176</v>
      </c>
      <c r="G685" t="s">
        <v>388</v>
      </c>
      <c r="H685" t="s">
        <v>389</v>
      </c>
      <c r="I685" t="s">
        <v>389</v>
      </c>
      <c r="J685" t="s">
        <v>60</v>
      </c>
      <c r="K685" t="s">
        <v>185</v>
      </c>
      <c r="L685" t="s">
        <v>62</v>
      </c>
      <c r="M685" t="s">
        <v>185</v>
      </c>
      <c r="N685" t="s">
        <v>390</v>
      </c>
      <c r="O685" t="s">
        <v>391</v>
      </c>
      <c r="P685">
        <v>-19.628802</v>
      </c>
      <c r="Q685">
        <v>-43.891649000000001</v>
      </c>
      <c r="R685" s="2" t="str">
        <f>HYPERLINK("https://www.google.com/maps?q=-19.6288020,-43.8916490","Abrir no Google Maps")</f>
        <v>Abrir no Google Maps</v>
      </c>
      <c r="S685">
        <v>3</v>
      </c>
      <c r="T685">
        <v>0</v>
      </c>
      <c r="U685">
        <v>4</v>
      </c>
      <c r="V685">
        <v>0.50162256494549251</v>
      </c>
      <c r="W685">
        <v>0.85</v>
      </c>
      <c r="X685">
        <v>0.42637918020366861</v>
      </c>
      <c r="Y685">
        <v>18</v>
      </c>
      <c r="Z685">
        <v>117.5064585283839</v>
      </c>
      <c r="AA685">
        <v>2</v>
      </c>
      <c r="AB685">
        <v>3</v>
      </c>
      <c r="AC685">
        <v>7</v>
      </c>
      <c r="AD685">
        <v>26.01</v>
      </c>
      <c r="AE685">
        <v>253</v>
      </c>
      <c r="AF685">
        <v>17</v>
      </c>
      <c r="AG685">
        <v>60</v>
      </c>
      <c r="AH685">
        <v>32</v>
      </c>
      <c r="AI685">
        <v>6.72</v>
      </c>
      <c r="AJ685">
        <v>23.72</v>
      </c>
      <c r="AK685">
        <v>12.65</v>
      </c>
      <c r="AL685">
        <v>-19.628865499999961</v>
      </c>
      <c r="AM685">
        <v>-43.891662391334172</v>
      </c>
      <c r="AN685">
        <v>-19.628865499999961</v>
      </c>
      <c r="AO685">
        <v>-43.891662391334172</v>
      </c>
      <c r="AP685">
        <v>-19.628802</v>
      </c>
      <c r="AQ685">
        <v>-43.891649000000001</v>
      </c>
      <c r="AR685">
        <v>7.2069201904448459</v>
      </c>
      <c r="AS685" t="s">
        <v>65</v>
      </c>
      <c r="AT685">
        <v>1</v>
      </c>
      <c r="AU685" t="s">
        <v>392</v>
      </c>
      <c r="AV685" t="s">
        <v>393</v>
      </c>
      <c r="AW685" t="s">
        <v>60</v>
      </c>
      <c r="AX685" t="s">
        <v>68</v>
      </c>
      <c r="AY685" t="s">
        <v>69</v>
      </c>
      <c r="AZ685" t="b">
        <v>1</v>
      </c>
    </row>
    <row r="686" spans="1:52" x14ac:dyDescent="0.3">
      <c r="A686" t="s">
        <v>52</v>
      </c>
      <c r="B686" t="s">
        <v>53</v>
      </c>
      <c r="C686" t="s">
        <v>54</v>
      </c>
      <c r="D686" t="s">
        <v>55</v>
      </c>
      <c r="E686" t="s">
        <v>795</v>
      </c>
      <c r="F686" t="s">
        <v>176</v>
      </c>
      <c r="G686" t="s">
        <v>284</v>
      </c>
      <c r="H686" t="s">
        <v>285</v>
      </c>
      <c r="I686" t="s">
        <v>285</v>
      </c>
      <c r="J686" t="s">
        <v>60</v>
      </c>
      <c r="K686" t="s">
        <v>286</v>
      </c>
      <c r="L686" t="s">
        <v>62</v>
      </c>
      <c r="M686" t="s">
        <v>286</v>
      </c>
      <c r="N686" t="s">
        <v>287</v>
      </c>
      <c r="O686" t="s">
        <v>288</v>
      </c>
      <c r="P686">
        <v>-19.639790000000001</v>
      </c>
      <c r="Q686">
        <v>-43.882798999999999</v>
      </c>
      <c r="R686" s="2" t="str">
        <f>HYPERLINK("https://www.google.com/maps?q=-19.6397900,-43.8827990","Abrir no Google Maps")</f>
        <v>Abrir no Google Maps</v>
      </c>
      <c r="S686">
        <v>3</v>
      </c>
      <c r="T686">
        <v>242.7052058134478</v>
      </c>
      <c r="U686">
        <v>4</v>
      </c>
      <c r="V686">
        <v>0.41674096770041191</v>
      </c>
      <c r="W686">
        <v>1</v>
      </c>
      <c r="X686">
        <v>0.41674096770041191</v>
      </c>
      <c r="Y686">
        <v>10</v>
      </c>
      <c r="Z686">
        <v>187.2088809462339</v>
      </c>
      <c r="AA686">
        <v>2</v>
      </c>
      <c r="AB686">
        <v>3</v>
      </c>
      <c r="AC686">
        <v>7</v>
      </c>
      <c r="AD686">
        <v>26.01</v>
      </c>
      <c r="AE686">
        <v>253</v>
      </c>
      <c r="AF686">
        <v>17</v>
      </c>
      <c r="AG686">
        <v>60</v>
      </c>
      <c r="AH686">
        <v>32</v>
      </c>
      <c r="AI686">
        <v>6.72</v>
      </c>
      <c r="AJ686">
        <v>23.72</v>
      </c>
      <c r="AK686">
        <v>12.65</v>
      </c>
      <c r="AL686">
        <v>-19.639855599999951</v>
      </c>
      <c r="AM686">
        <v>-43.882909745178452</v>
      </c>
      <c r="AN686">
        <v>-19.639855599999951</v>
      </c>
      <c r="AO686">
        <v>-43.882909745178452</v>
      </c>
      <c r="AP686">
        <v>-19.639790000000001</v>
      </c>
      <c r="AQ686">
        <v>-43.882798999999999</v>
      </c>
      <c r="AR686">
        <v>13.716486068571211</v>
      </c>
      <c r="AS686" t="s">
        <v>65</v>
      </c>
      <c r="AT686">
        <v>1</v>
      </c>
      <c r="AU686" t="s">
        <v>289</v>
      </c>
      <c r="AV686" t="s">
        <v>290</v>
      </c>
      <c r="AW686" t="s">
        <v>60</v>
      </c>
      <c r="AX686" t="s">
        <v>68</v>
      </c>
      <c r="AY686" t="s">
        <v>69</v>
      </c>
      <c r="AZ686" t="b">
        <v>1</v>
      </c>
    </row>
    <row r="687" spans="1:52" x14ac:dyDescent="0.3">
      <c r="A687" t="s">
        <v>52</v>
      </c>
      <c r="B687" t="s">
        <v>53</v>
      </c>
      <c r="C687" t="s">
        <v>54</v>
      </c>
      <c r="D687" t="s">
        <v>55</v>
      </c>
      <c r="E687" t="s">
        <v>795</v>
      </c>
      <c r="F687" t="s">
        <v>176</v>
      </c>
      <c r="G687" t="s">
        <v>291</v>
      </c>
      <c r="H687" t="s">
        <v>292</v>
      </c>
      <c r="I687" t="s">
        <v>292</v>
      </c>
      <c r="J687" t="s">
        <v>60</v>
      </c>
      <c r="K687" t="s">
        <v>286</v>
      </c>
      <c r="L687" t="s">
        <v>62</v>
      </c>
      <c r="M687" t="s">
        <v>286</v>
      </c>
      <c r="N687" t="s">
        <v>293</v>
      </c>
      <c r="O687" t="s">
        <v>294</v>
      </c>
      <c r="P687">
        <v>-19.640333999999999</v>
      </c>
      <c r="Q687">
        <v>-43.880004999999997</v>
      </c>
      <c r="R687" s="2" t="str">
        <f>HYPERLINK("https://www.google.com/maps?q=-19.6403340,-43.8800050","Abrir no Google Maps")</f>
        <v>Abrir no Google Maps</v>
      </c>
      <c r="S687">
        <v>3</v>
      </c>
      <c r="T687">
        <v>276.80943817309782</v>
      </c>
      <c r="U687">
        <v>4</v>
      </c>
      <c r="V687">
        <v>0.42861001531924309</v>
      </c>
      <c r="W687">
        <v>1</v>
      </c>
      <c r="X687">
        <v>0.42861001531924309</v>
      </c>
      <c r="Y687">
        <v>10</v>
      </c>
      <c r="Z687">
        <v>361.98332038983392</v>
      </c>
      <c r="AA687">
        <v>2</v>
      </c>
      <c r="AB687">
        <v>3</v>
      </c>
      <c r="AC687">
        <v>7</v>
      </c>
      <c r="AD687">
        <v>26.01</v>
      </c>
      <c r="AE687">
        <v>253</v>
      </c>
      <c r="AF687">
        <v>17</v>
      </c>
      <c r="AG687">
        <v>60</v>
      </c>
      <c r="AH687">
        <v>32</v>
      </c>
      <c r="AI687">
        <v>6.72</v>
      </c>
      <c r="AJ687">
        <v>23.72</v>
      </c>
      <c r="AK687">
        <v>12.65</v>
      </c>
      <c r="AL687">
        <v>-19.640260249999951</v>
      </c>
      <c r="AM687">
        <v>-43.880090474326408</v>
      </c>
      <c r="AN687">
        <v>-19.640260249999951</v>
      </c>
      <c r="AO687">
        <v>-43.880090474326408</v>
      </c>
      <c r="AP687">
        <v>-19.640333999999999</v>
      </c>
      <c r="AQ687">
        <v>-43.880004999999997</v>
      </c>
      <c r="AR687">
        <v>12.153556195359609</v>
      </c>
      <c r="AS687" t="s">
        <v>65</v>
      </c>
      <c r="AT687">
        <v>1</v>
      </c>
      <c r="AU687" t="s">
        <v>295</v>
      </c>
      <c r="AV687" t="s">
        <v>296</v>
      </c>
      <c r="AW687" t="s">
        <v>60</v>
      </c>
      <c r="AX687" t="s">
        <v>68</v>
      </c>
      <c r="AY687" t="s">
        <v>69</v>
      </c>
      <c r="AZ687" t="b">
        <v>1</v>
      </c>
    </row>
    <row r="688" spans="1:52" x14ac:dyDescent="0.3">
      <c r="A688" t="s">
        <v>52</v>
      </c>
      <c r="B688" t="s">
        <v>53</v>
      </c>
      <c r="C688" t="s">
        <v>54</v>
      </c>
      <c r="D688" t="s">
        <v>55</v>
      </c>
      <c r="E688" t="s">
        <v>795</v>
      </c>
      <c r="F688" t="s">
        <v>176</v>
      </c>
      <c r="G688" t="s">
        <v>405</v>
      </c>
      <c r="H688" t="s">
        <v>406</v>
      </c>
      <c r="I688" t="s">
        <v>406</v>
      </c>
      <c r="J688" t="s">
        <v>60</v>
      </c>
      <c r="K688" t="s">
        <v>286</v>
      </c>
      <c r="L688" t="s">
        <v>62</v>
      </c>
      <c r="M688" t="s">
        <v>286</v>
      </c>
      <c r="N688" t="s">
        <v>407</v>
      </c>
      <c r="O688" t="s">
        <v>408</v>
      </c>
      <c r="P688">
        <v>-19.646345</v>
      </c>
      <c r="Q688">
        <v>-43.882294999999999</v>
      </c>
      <c r="R688" s="2" t="str">
        <f>HYPERLINK("https://www.google.com/maps?q=-19.6463450,-43.8822950","Abrir no Google Maps")</f>
        <v>Abrir no Google Maps</v>
      </c>
      <c r="S688">
        <v>3</v>
      </c>
      <c r="T688">
        <v>450.3180538635894</v>
      </c>
      <c r="U688">
        <v>4</v>
      </c>
      <c r="V688">
        <v>0.42207939260800859</v>
      </c>
      <c r="W688">
        <v>1</v>
      </c>
      <c r="X688">
        <v>0.42207939260800859</v>
      </c>
      <c r="Y688">
        <v>10</v>
      </c>
      <c r="Z688">
        <v>349.23341775902583</v>
      </c>
      <c r="AA688">
        <v>2</v>
      </c>
      <c r="AB688">
        <v>3</v>
      </c>
      <c r="AC688">
        <v>7</v>
      </c>
      <c r="AD688">
        <v>26.01</v>
      </c>
      <c r="AE688">
        <v>253</v>
      </c>
      <c r="AF688">
        <v>17</v>
      </c>
      <c r="AG688">
        <v>60</v>
      </c>
      <c r="AH688">
        <v>32</v>
      </c>
      <c r="AI688">
        <v>6.72</v>
      </c>
      <c r="AJ688">
        <v>23.72</v>
      </c>
      <c r="AK688">
        <v>12.65</v>
      </c>
      <c r="AL688">
        <v>-19.646391649999941</v>
      </c>
      <c r="AM688">
        <v>-43.882007396993302</v>
      </c>
      <c r="AN688">
        <v>-19.646391649999941</v>
      </c>
      <c r="AO688">
        <v>-43.882007396993302</v>
      </c>
      <c r="AP688">
        <v>-19.646345</v>
      </c>
      <c r="AQ688">
        <v>-43.882294999999999</v>
      </c>
      <c r="AR688">
        <v>30.596105513395301</v>
      </c>
      <c r="AS688" t="s">
        <v>65</v>
      </c>
      <c r="AT688">
        <v>1</v>
      </c>
      <c r="AU688" t="s">
        <v>409</v>
      </c>
      <c r="AV688" t="s">
        <v>410</v>
      </c>
      <c r="AW688" t="s">
        <v>60</v>
      </c>
      <c r="AX688" t="s">
        <v>68</v>
      </c>
      <c r="AY688" t="s">
        <v>69</v>
      </c>
      <c r="AZ688" t="b">
        <v>1</v>
      </c>
    </row>
    <row r="689" spans="1:52" x14ac:dyDescent="0.3">
      <c r="A689" t="s">
        <v>52</v>
      </c>
      <c r="B689" t="s">
        <v>53</v>
      </c>
      <c r="C689" t="s">
        <v>54</v>
      </c>
      <c r="D689" t="s">
        <v>55</v>
      </c>
      <c r="E689" t="s">
        <v>795</v>
      </c>
      <c r="F689" t="s">
        <v>176</v>
      </c>
      <c r="G689" t="s">
        <v>297</v>
      </c>
      <c r="H689" t="s">
        <v>298</v>
      </c>
      <c r="I689" t="s">
        <v>298</v>
      </c>
      <c r="J689" t="s">
        <v>60</v>
      </c>
      <c r="K689" t="s">
        <v>299</v>
      </c>
      <c r="L689" t="s">
        <v>62</v>
      </c>
      <c r="M689" t="s">
        <v>299</v>
      </c>
      <c r="N689" t="s">
        <v>300</v>
      </c>
      <c r="O689" t="s">
        <v>301</v>
      </c>
      <c r="P689">
        <v>-19.679597000000001</v>
      </c>
      <c r="Q689">
        <v>-43.912095000000001</v>
      </c>
      <c r="R689" s="2" t="str">
        <f>HYPERLINK("https://www.google.com/maps?q=-19.6795970,-43.9120950","Abrir no Google Maps")</f>
        <v>Abrir no Google Maps</v>
      </c>
      <c r="S689">
        <v>3</v>
      </c>
      <c r="T689">
        <v>1581.3368267219889</v>
      </c>
      <c r="U689">
        <v>4</v>
      </c>
      <c r="V689">
        <v>0.41727240017354561</v>
      </c>
      <c r="W689">
        <v>1</v>
      </c>
      <c r="X689">
        <v>0.41727240017354561</v>
      </c>
      <c r="Y689">
        <v>5</v>
      </c>
      <c r="Z689">
        <v>2051.2590436749392</v>
      </c>
      <c r="AA689">
        <v>2</v>
      </c>
      <c r="AB689">
        <v>3</v>
      </c>
      <c r="AC689">
        <v>7</v>
      </c>
      <c r="AD689">
        <v>26.01</v>
      </c>
      <c r="AE689">
        <v>253</v>
      </c>
      <c r="AF689">
        <v>17</v>
      </c>
      <c r="AG689">
        <v>60</v>
      </c>
      <c r="AH689">
        <v>32</v>
      </c>
      <c r="AI689">
        <v>6.72</v>
      </c>
      <c r="AJ689">
        <v>23.72</v>
      </c>
      <c r="AK689">
        <v>12.65</v>
      </c>
      <c r="AL689">
        <v>-19.679572799999931</v>
      </c>
      <c r="AM689">
        <v>-43.912071775440793</v>
      </c>
      <c r="AN689">
        <v>-19.679572799999931</v>
      </c>
      <c r="AO689">
        <v>-43.912071775440793</v>
      </c>
      <c r="AP689">
        <v>-19.679597000000001</v>
      </c>
      <c r="AQ689">
        <v>-43.912095000000001</v>
      </c>
      <c r="AR689">
        <v>3.6308936744190978</v>
      </c>
      <c r="AS689" t="s">
        <v>65</v>
      </c>
      <c r="AT689">
        <v>1</v>
      </c>
      <c r="AU689" t="s">
        <v>302</v>
      </c>
      <c r="AV689" t="s">
        <v>303</v>
      </c>
      <c r="AW689" t="s">
        <v>60</v>
      </c>
      <c r="AX689" t="s">
        <v>68</v>
      </c>
      <c r="AY689" t="s">
        <v>69</v>
      </c>
      <c r="AZ689" t="b">
        <v>1</v>
      </c>
    </row>
    <row r="690" spans="1:52" x14ac:dyDescent="0.3">
      <c r="A690" t="s">
        <v>52</v>
      </c>
      <c r="B690" t="s">
        <v>53</v>
      </c>
      <c r="C690" t="s">
        <v>54</v>
      </c>
      <c r="D690" t="s">
        <v>55</v>
      </c>
      <c r="E690" t="s">
        <v>795</v>
      </c>
      <c r="F690" t="s">
        <v>176</v>
      </c>
      <c r="G690" t="s">
        <v>309</v>
      </c>
      <c r="H690" t="s">
        <v>310</v>
      </c>
      <c r="I690" t="s">
        <v>310</v>
      </c>
      <c r="J690" t="s">
        <v>60</v>
      </c>
      <c r="K690" t="s">
        <v>311</v>
      </c>
      <c r="L690" t="s">
        <v>62</v>
      </c>
      <c r="M690" t="s">
        <v>311</v>
      </c>
      <c r="N690" t="s">
        <v>312</v>
      </c>
      <c r="O690" t="s">
        <v>313</v>
      </c>
      <c r="P690">
        <v>-19.576996999999999</v>
      </c>
      <c r="Q690">
        <v>-43.919024999999998</v>
      </c>
      <c r="R690" s="2" t="str">
        <f>HYPERLINK("https://www.google.com/maps?q=-19.5769970,-43.9190250","Abrir no Google Maps")</f>
        <v>Abrir no Google Maps</v>
      </c>
      <c r="S690">
        <v>3</v>
      </c>
      <c r="T690">
        <v>316.64266747869789</v>
      </c>
      <c r="U690">
        <v>4</v>
      </c>
      <c r="V690">
        <v>0.59785553728383223</v>
      </c>
      <c r="W690">
        <v>0.85</v>
      </c>
      <c r="X690">
        <v>0.50817720669125743</v>
      </c>
      <c r="Y690">
        <v>5</v>
      </c>
      <c r="Z690">
        <v>411.74435151529269</v>
      </c>
      <c r="AA690">
        <v>2</v>
      </c>
      <c r="AB690">
        <v>3</v>
      </c>
      <c r="AC690">
        <v>7</v>
      </c>
      <c r="AD690">
        <v>26.01</v>
      </c>
      <c r="AE690">
        <v>253</v>
      </c>
      <c r="AF690">
        <v>17</v>
      </c>
      <c r="AG690">
        <v>60</v>
      </c>
      <c r="AH690">
        <v>32</v>
      </c>
      <c r="AI690">
        <v>6.72</v>
      </c>
      <c r="AJ690">
        <v>23.72</v>
      </c>
      <c r="AK690">
        <v>12.65</v>
      </c>
      <c r="AL690">
        <v>-19.576964999999941</v>
      </c>
      <c r="AM690">
        <v>-43.919068241233632</v>
      </c>
      <c r="AN690">
        <v>-19.576964999999941</v>
      </c>
      <c r="AO690">
        <v>-43.919068241233632</v>
      </c>
      <c r="AP690">
        <v>-19.576996999999999</v>
      </c>
      <c r="AQ690">
        <v>-43.919024999999998</v>
      </c>
      <c r="AR690">
        <v>5.7670575161946216</v>
      </c>
      <c r="AS690" t="s">
        <v>65</v>
      </c>
      <c r="AT690">
        <v>1</v>
      </c>
      <c r="AU690" t="s">
        <v>314</v>
      </c>
      <c r="AV690" t="s">
        <v>315</v>
      </c>
      <c r="AW690" t="s">
        <v>60</v>
      </c>
      <c r="AX690" t="s">
        <v>68</v>
      </c>
      <c r="AY690" t="s">
        <v>69</v>
      </c>
      <c r="AZ690" t="b">
        <v>1</v>
      </c>
    </row>
    <row r="691" spans="1:52" x14ac:dyDescent="0.3">
      <c r="A691" t="s">
        <v>52</v>
      </c>
      <c r="B691" t="s">
        <v>53</v>
      </c>
      <c r="C691" t="s">
        <v>54</v>
      </c>
      <c r="D691" t="s">
        <v>55</v>
      </c>
      <c r="E691" t="s">
        <v>795</v>
      </c>
      <c r="F691" t="s">
        <v>176</v>
      </c>
      <c r="G691" t="s">
        <v>309</v>
      </c>
      <c r="H691" t="s">
        <v>316</v>
      </c>
      <c r="I691" t="s">
        <v>316</v>
      </c>
      <c r="J691" t="s">
        <v>60</v>
      </c>
      <c r="K691" t="s">
        <v>311</v>
      </c>
      <c r="L691" t="s">
        <v>62</v>
      </c>
      <c r="M691" t="s">
        <v>311</v>
      </c>
      <c r="N691" t="s">
        <v>317</v>
      </c>
      <c r="O691" t="s">
        <v>313</v>
      </c>
      <c r="P691">
        <v>-19.580131999999999</v>
      </c>
      <c r="Q691">
        <v>-43.918303000000002</v>
      </c>
      <c r="R691" s="2" t="str">
        <f>HYPERLINK("https://www.google.com/maps?q=-19.5801320,-43.9183030","Abrir no Google Maps")</f>
        <v>Abrir no Google Maps</v>
      </c>
      <c r="S691">
        <v>3</v>
      </c>
      <c r="T691">
        <v>665.05989403461285</v>
      </c>
      <c r="U691">
        <v>4</v>
      </c>
      <c r="V691">
        <v>0.5836994167156887</v>
      </c>
      <c r="W691">
        <v>1</v>
      </c>
      <c r="X691">
        <v>0.5836994167156887</v>
      </c>
      <c r="Y691">
        <v>5</v>
      </c>
      <c r="Z691">
        <v>743.64474333505098</v>
      </c>
      <c r="AA691">
        <v>2</v>
      </c>
      <c r="AB691">
        <v>3</v>
      </c>
      <c r="AC691">
        <v>7</v>
      </c>
      <c r="AD691">
        <v>26.01</v>
      </c>
      <c r="AE691">
        <v>253</v>
      </c>
      <c r="AF691">
        <v>17</v>
      </c>
      <c r="AG691">
        <v>60</v>
      </c>
      <c r="AH691">
        <v>32</v>
      </c>
      <c r="AI691">
        <v>6.72</v>
      </c>
      <c r="AJ691">
        <v>23.72</v>
      </c>
      <c r="AK691">
        <v>12.65</v>
      </c>
      <c r="AL691">
        <v>-19.58010349999995</v>
      </c>
      <c r="AM691">
        <v>-43.918363319288602</v>
      </c>
      <c r="AN691">
        <v>-19.58010349999995</v>
      </c>
      <c r="AO691">
        <v>-43.918363319288602</v>
      </c>
      <c r="AP691">
        <v>-19.580131999999999</v>
      </c>
      <c r="AQ691">
        <v>-43.918303000000002</v>
      </c>
      <c r="AR691">
        <v>7.0773977790944862</v>
      </c>
      <c r="AS691" t="s">
        <v>65</v>
      </c>
      <c r="AT691">
        <v>1</v>
      </c>
      <c r="AU691" t="s">
        <v>318</v>
      </c>
      <c r="AV691" t="s">
        <v>319</v>
      </c>
      <c r="AW691" t="s">
        <v>60</v>
      </c>
      <c r="AX691" t="s">
        <v>68</v>
      </c>
      <c r="AY691" t="s">
        <v>69</v>
      </c>
      <c r="AZ691" t="b">
        <v>1</v>
      </c>
    </row>
    <row r="692" spans="1:52" x14ac:dyDescent="0.3">
      <c r="A692" t="s">
        <v>52</v>
      </c>
      <c r="B692" t="s">
        <v>53</v>
      </c>
      <c r="C692" t="s">
        <v>54</v>
      </c>
      <c r="D692" t="s">
        <v>55</v>
      </c>
      <c r="E692" t="s">
        <v>795</v>
      </c>
      <c r="F692" t="s">
        <v>176</v>
      </c>
      <c r="G692" t="s">
        <v>309</v>
      </c>
      <c r="H692" t="s">
        <v>320</v>
      </c>
      <c r="I692" t="s">
        <v>320</v>
      </c>
      <c r="J692" t="s">
        <v>60</v>
      </c>
      <c r="K692" t="s">
        <v>311</v>
      </c>
      <c r="L692" t="s">
        <v>62</v>
      </c>
      <c r="M692" t="s">
        <v>311</v>
      </c>
      <c r="N692" t="s">
        <v>321</v>
      </c>
      <c r="O692" t="s">
        <v>313</v>
      </c>
      <c r="P692">
        <v>-19.578469999999999</v>
      </c>
      <c r="Q692">
        <v>-43.918922000000002</v>
      </c>
      <c r="R692" s="2" t="str">
        <f>HYPERLINK("https://www.google.com/maps?q=-19.5784700,-43.9189220","Abrir no Google Maps")</f>
        <v>Abrir no Google Maps</v>
      </c>
      <c r="S692">
        <v>3</v>
      </c>
      <c r="T692">
        <v>474.92456146278471</v>
      </c>
      <c r="U692">
        <v>4</v>
      </c>
      <c r="V692">
        <v>0.55958215970034075</v>
      </c>
      <c r="W692">
        <v>0.85</v>
      </c>
      <c r="X692">
        <v>0.47564483574528971</v>
      </c>
      <c r="Y692">
        <v>5</v>
      </c>
      <c r="Z692">
        <v>562.61594151292854</v>
      </c>
      <c r="AA692">
        <v>2</v>
      </c>
      <c r="AB692">
        <v>3</v>
      </c>
      <c r="AC692">
        <v>7</v>
      </c>
      <c r="AD692">
        <v>26.01</v>
      </c>
      <c r="AE692">
        <v>253</v>
      </c>
      <c r="AF692">
        <v>17</v>
      </c>
      <c r="AG692">
        <v>60</v>
      </c>
      <c r="AH692">
        <v>32</v>
      </c>
      <c r="AI692">
        <v>6.72</v>
      </c>
      <c r="AJ692">
        <v>23.72</v>
      </c>
      <c r="AK692">
        <v>12.65</v>
      </c>
      <c r="AL692">
        <v>-19.578483899999959</v>
      </c>
      <c r="AM692">
        <v>-43.918967993509547</v>
      </c>
      <c r="AN692">
        <v>-19.578483899999959</v>
      </c>
      <c r="AO692">
        <v>-43.918967993509547</v>
      </c>
      <c r="AP692">
        <v>-19.578469999999999</v>
      </c>
      <c r="AQ692">
        <v>-43.918922000000002</v>
      </c>
      <c r="AR692">
        <v>5.0660669465561501</v>
      </c>
      <c r="AS692" t="s">
        <v>65</v>
      </c>
      <c r="AT692">
        <v>1</v>
      </c>
      <c r="AU692" t="s">
        <v>322</v>
      </c>
      <c r="AV692" t="s">
        <v>323</v>
      </c>
      <c r="AW692" t="s">
        <v>60</v>
      </c>
      <c r="AX692" t="s">
        <v>68</v>
      </c>
      <c r="AY692" t="s">
        <v>69</v>
      </c>
      <c r="AZ692" t="b">
        <v>1</v>
      </c>
    </row>
    <row r="693" spans="1:52" x14ac:dyDescent="0.3">
      <c r="A693" t="s">
        <v>52</v>
      </c>
      <c r="B693" t="s">
        <v>53</v>
      </c>
      <c r="C693" t="s">
        <v>54</v>
      </c>
      <c r="D693" t="s">
        <v>55</v>
      </c>
      <c r="E693" t="s">
        <v>795</v>
      </c>
      <c r="F693" t="s">
        <v>176</v>
      </c>
      <c r="G693" t="s">
        <v>331</v>
      </c>
      <c r="H693" t="s">
        <v>332</v>
      </c>
      <c r="I693" t="s">
        <v>332</v>
      </c>
      <c r="J693" t="s">
        <v>60</v>
      </c>
      <c r="K693" t="s">
        <v>333</v>
      </c>
      <c r="L693" t="s">
        <v>62</v>
      </c>
      <c r="M693" t="s">
        <v>333</v>
      </c>
      <c r="N693" t="s">
        <v>334</v>
      </c>
      <c r="O693" t="s">
        <v>335</v>
      </c>
      <c r="P693">
        <v>-19.638455</v>
      </c>
      <c r="Q693">
        <v>-43.911239000000002</v>
      </c>
      <c r="R693" s="2" t="str">
        <f>HYPERLINK("https://www.google.com/maps?q=-19.6384550,-43.9112390","Abrir no Google Maps")</f>
        <v>Abrir no Google Maps</v>
      </c>
      <c r="S693">
        <v>3</v>
      </c>
      <c r="T693">
        <v>488.53051432983438</v>
      </c>
      <c r="U693">
        <v>4</v>
      </c>
      <c r="V693">
        <v>0.43540839148327071</v>
      </c>
      <c r="W693">
        <v>1</v>
      </c>
      <c r="X693">
        <v>0.43540839148327071</v>
      </c>
      <c r="Y693">
        <v>3</v>
      </c>
      <c r="Z693">
        <v>503.17412324010428</v>
      </c>
      <c r="AA693">
        <v>2</v>
      </c>
      <c r="AB693">
        <v>3</v>
      </c>
      <c r="AC693">
        <v>7</v>
      </c>
      <c r="AD693">
        <v>26.01</v>
      </c>
      <c r="AE693">
        <v>253</v>
      </c>
      <c r="AF693">
        <v>17</v>
      </c>
      <c r="AG693">
        <v>60</v>
      </c>
      <c r="AH693">
        <v>32</v>
      </c>
      <c r="AI693">
        <v>6.72</v>
      </c>
      <c r="AJ693">
        <v>23.72</v>
      </c>
      <c r="AK693">
        <v>12.65</v>
      </c>
      <c r="AL693">
        <v>-19.63853704999994</v>
      </c>
      <c r="AM693">
        <v>-43.911098254478723</v>
      </c>
      <c r="AN693">
        <v>-19.63853704999994</v>
      </c>
      <c r="AO693">
        <v>-43.911098254478723</v>
      </c>
      <c r="AP693">
        <v>-19.638455</v>
      </c>
      <c r="AQ693">
        <v>-43.911239000000002</v>
      </c>
      <c r="AR693">
        <v>17.354491692685801</v>
      </c>
      <c r="AS693" t="s">
        <v>65</v>
      </c>
      <c r="AT693">
        <v>1</v>
      </c>
      <c r="AU693" t="s">
        <v>336</v>
      </c>
      <c r="AV693" t="s">
        <v>337</v>
      </c>
      <c r="AW693" t="s">
        <v>60</v>
      </c>
      <c r="AX693" t="s">
        <v>68</v>
      </c>
      <c r="AY693" t="s">
        <v>69</v>
      </c>
      <c r="AZ693" t="b">
        <v>1</v>
      </c>
    </row>
    <row r="694" spans="1:52" x14ac:dyDescent="0.3">
      <c r="A694" t="s">
        <v>52</v>
      </c>
      <c r="B694" t="s">
        <v>53</v>
      </c>
      <c r="C694" t="s">
        <v>54</v>
      </c>
      <c r="D694" t="s">
        <v>55</v>
      </c>
      <c r="E694" t="s">
        <v>795</v>
      </c>
      <c r="F694" t="s">
        <v>176</v>
      </c>
      <c r="G694" t="s">
        <v>344</v>
      </c>
      <c r="H694" t="s">
        <v>345</v>
      </c>
      <c r="I694" t="s">
        <v>345</v>
      </c>
      <c r="J694" t="s">
        <v>60</v>
      </c>
      <c r="K694" t="s">
        <v>326</v>
      </c>
      <c r="L694" t="s">
        <v>62</v>
      </c>
      <c r="M694" t="s">
        <v>326</v>
      </c>
      <c r="N694" t="s">
        <v>346</v>
      </c>
      <c r="O694" t="s">
        <v>347</v>
      </c>
      <c r="P694">
        <v>-19.659784999999999</v>
      </c>
      <c r="Q694">
        <v>-43.868257999999997</v>
      </c>
      <c r="R694" s="2" t="str">
        <f>HYPERLINK("https://www.google.com/maps?q=-19.6597850,-43.8682580","Abrir no Google Maps")</f>
        <v>Abrir no Google Maps</v>
      </c>
      <c r="S694">
        <v>3</v>
      </c>
      <c r="T694">
        <v>887.40196140413514</v>
      </c>
      <c r="U694">
        <v>4</v>
      </c>
      <c r="V694">
        <v>0.44564695225978929</v>
      </c>
      <c r="W694">
        <v>1</v>
      </c>
      <c r="X694">
        <v>0.44564695225978929</v>
      </c>
      <c r="Y694">
        <v>3</v>
      </c>
      <c r="Z694">
        <v>951.67106090939239</v>
      </c>
      <c r="AA694">
        <v>2</v>
      </c>
      <c r="AB694">
        <v>3</v>
      </c>
      <c r="AC694">
        <v>7</v>
      </c>
      <c r="AD694">
        <v>26.01</v>
      </c>
      <c r="AE694">
        <v>253</v>
      </c>
      <c r="AF694">
        <v>17</v>
      </c>
      <c r="AG694">
        <v>60</v>
      </c>
      <c r="AH694">
        <v>32</v>
      </c>
      <c r="AI694">
        <v>6.72</v>
      </c>
      <c r="AJ694">
        <v>23.72</v>
      </c>
      <c r="AK694">
        <v>12.65</v>
      </c>
      <c r="AL694">
        <v>-19.659938849999971</v>
      </c>
      <c r="AM694">
        <v>-43.868426732971933</v>
      </c>
      <c r="AN694">
        <v>-19.659938849999971</v>
      </c>
      <c r="AO694">
        <v>-43.868426732971933</v>
      </c>
      <c r="AP694">
        <v>-19.659784999999999</v>
      </c>
      <c r="AQ694">
        <v>-43.868257999999997</v>
      </c>
      <c r="AR694">
        <v>24.621113441172451</v>
      </c>
      <c r="AS694" t="s">
        <v>65</v>
      </c>
      <c r="AT694">
        <v>1</v>
      </c>
      <c r="AU694" t="s">
        <v>348</v>
      </c>
      <c r="AV694" t="s">
        <v>349</v>
      </c>
      <c r="AW694" t="s">
        <v>60</v>
      </c>
      <c r="AX694" t="s">
        <v>68</v>
      </c>
      <c r="AY694" t="s">
        <v>69</v>
      </c>
      <c r="AZ694" t="b">
        <v>1</v>
      </c>
    </row>
    <row r="695" spans="1:52" x14ac:dyDescent="0.3">
      <c r="A695" t="s">
        <v>52</v>
      </c>
      <c r="B695" t="s">
        <v>53</v>
      </c>
      <c r="C695" t="s">
        <v>54</v>
      </c>
      <c r="D695" t="s">
        <v>55</v>
      </c>
      <c r="E695" t="s">
        <v>795</v>
      </c>
      <c r="F695" t="s">
        <v>176</v>
      </c>
      <c r="G695" t="s">
        <v>479</v>
      </c>
      <c r="H695" t="s">
        <v>480</v>
      </c>
      <c r="I695" t="s">
        <v>480</v>
      </c>
      <c r="J695" t="s">
        <v>60</v>
      </c>
      <c r="K695" t="s">
        <v>286</v>
      </c>
      <c r="L695" t="s">
        <v>62</v>
      </c>
      <c r="M695" t="s">
        <v>286</v>
      </c>
      <c r="N695" t="s">
        <v>481</v>
      </c>
      <c r="O695" t="s">
        <v>159</v>
      </c>
      <c r="P695">
        <v>-19.635337</v>
      </c>
      <c r="Q695">
        <v>-43.884400999999997</v>
      </c>
      <c r="R695" s="2" t="str">
        <f>HYPERLINK("https://www.google.com/maps?q=-19.6353370,-43.8844010","Abrir no Google Maps")</f>
        <v>Abrir no Google Maps</v>
      </c>
      <c r="S695">
        <v>3</v>
      </c>
      <c r="T695">
        <v>697.1404216088763</v>
      </c>
      <c r="U695">
        <v>4</v>
      </c>
      <c r="V695">
        <v>0.41578208429977781</v>
      </c>
      <c r="W695">
        <v>1</v>
      </c>
      <c r="X695">
        <v>0.41578208429977781</v>
      </c>
      <c r="Y695">
        <v>2</v>
      </c>
      <c r="Z695">
        <v>178.9017814618079</v>
      </c>
      <c r="AA695">
        <v>2</v>
      </c>
      <c r="AB695">
        <v>3</v>
      </c>
      <c r="AC695">
        <v>7</v>
      </c>
      <c r="AD695">
        <v>26.01</v>
      </c>
      <c r="AE695">
        <v>253</v>
      </c>
      <c r="AF695">
        <v>17</v>
      </c>
      <c r="AG695">
        <v>60</v>
      </c>
      <c r="AH695">
        <v>32</v>
      </c>
      <c r="AI695">
        <v>6.72</v>
      </c>
      <c r="AJ695">
        <v>23.72</v>
      </c>
      <c r="AK695">
        <v>12.65</v>
      </c>
      <c r="AL695">
        <v>-19.635338699999949</v>
      </c>
      <c r="AM695">
        <v>-43.884486286355838</v>
      </c>
      <c r="AN695">
        <v>-19.635338699999949</v>
      </c>
      <c r="AO695">
        <v>-43.884486286355838</v>
      </c>
      <c r="AP695">
        <v>-19.635337</v>
      </c>
      <c r="AQ695">
        <v>-43.884400999999997</v>
      </c>
      <c r="AR695">
        <v>8.9440024153343494</v>
      </c>
      <c r="AS695" t="s">
        <v>65</v>
      </c>
      <c r="AT695">
        <v>1</v>
      </c>
      <c r="AU695" t="s">
        <v>482</v>
      </c>
      <c r="AV695" t="s">
        <v>483</v>
      </c>
      <c r="AW695" t="s">
        <v>60</v>
      </c>
      <c r="AX695" t="s">
        <v>68</v>
      </c>
      <c r="AY695" t="s">
        <v>69</v>
      </c>
      <c r="AZ695" t="b">
        <v>1</v>
      </c>
    </row>
    <row r="696" spans="1:52" x14ac:dyDescent="0.3">
      <c r="A696" t="s">
        <v>52</v>
      </c>
      <c r="B696" t="s">
        <v>53</v>
      </c>
      <c r="C696" t="s">
        <v>54</v>
      </c>
      <c r="D696" t="s">
        <v>55</v>
      </c>
      <c r="E696" t="s">
        <v>795</v>
      </c>
      <c r="F696" t="s">
        <v>176</v>
      </c>
      <c r="G696" t="s">
        <v>350</v>
      </c>
      <c r="H696" t="s">
        <v>351</v>
      </c>
      <c r="I696" t="s">
        <v>351</v>
      </c>
      <c r="J696" t="s">
        <v>60</v>
      </c>
      <c r="K696" t="s">
        <v>352</v>
      </c>
      <c r="L696" t="s">
        <v>62</v>
      </c>
      <c r="M696" t="s">
        <v>352</v>
      </c>
      <c r="N696" t="s">
        <v>353</v>
      </c>
      <c r="O696" t="s">
        <v>354</v>
      </c>
      <c r="P696">
        <v>-19.595734</v>
      </c>
      <c r="Q696">
        <v>-43.900387000000002</v>
      </c>
      <c r="R696" s="2" t="str">
        <f>HYPERLINK("https://www.google.com/maps?q=-19.5957340,-43.9003870","Abrir no Google Maps")</f>
        <v>Abrir no Google Maps</v>
      </c>
      <c r="S696">
        <v>3</v>
      </c>
      <c r="T696">
        <v>600.67809066127609</v>
      </c>
      <c r="U696">
        <v>4</v>
      </c>
      <c r="V696">
        <v>0.5721768835274369</v>
      </c>
      <c r="W696">
        <v>1</v>
      </c>
      <c r="X696">
        <v>0.5721768835274369</v>
      </c>
      <c r="Y696">
        <v>2</v>
      </c>
      <c r="Z696">
        <v>676.06682548988681</v>
      </c>
      <c r="AA696">
        <v>2</v>
      </c>
      <c r="AB696">
        <v>3</v>
      </c>
      <c r="AC696">
        <v>7</v>
      </c>
      <c r="AD696">
        <v>26.01</v>
      </c>
      <c r="AE696">
        <v>253</v>
      </c>
      <c r="AF696">
        <v>17</v>
      </c>
      <c r="AG696">
        <v>60</v>
      </c>
      <c r="AH696">
        <v>32</v>
      </c>
      <c r="AI696">
        <v>6.72</v>
      </c>
      <c r="AJ696">
        <v>23.72</v>
      </c>
      <c r="AK696">
        <v>12.65</v>
      </c>
      <c r="AL696">
        <v>-19.595574149999951</v>
      </c>
      <c r="AM696">
        <v>-43.900265035317688</v>
      </c>
      <c r="AN696">
        <v>-19.595574149999951</v>
      </c>
      <c r="AO696">
        <v>-43.900265035317688</v>
      </c>
      <c r="AP696">
        <v>-19.595734</v>
      </c>
      <c r="AQ696">
        <v>-43.900387000000002</v>
      </c>
      <c r="AR696">
        <v>21.91456243504582</v>
      </c>
      <c r="AS696" t="s">
        <v>65</v>
      </c>
      <c r="AT696">
        <v>1</v>
      </c>
      <c r="AU696" t="s">
        <v>355</v>
      </c>
      <c r="AV696" t="s">
        <v>356</v>
      </c>
      <c r="AW696" t="s">
        <v>60</v>
      </c>
      <c r="AX696" t="s">
        <v>68</v>
      </c>
      <c r="AY696" t="s">
        <v>69</v>
      </c>
      <c r="AZ696" t="b">
        <v>1</v>
      </c>
    </row>
    <row r="697" spans="1:52" x14ac:dyDescent="0.3">
      <c r="A697" t="s">
        <v>52</v>
      </c>
      <c r="B697" t="s">
        <v>53</v>
      </c>
      <c r="C697" t="s">
        <v>54</v>
      </c>
      <c r="D697" t="s">
        <v>55</v>
      </c>
      <c r="E697" t="s">
        <v>795</v>
      </c>
      <c r="F697" t="s">
        <v>176</v>
      </c>
      <c r="G697" t="s">
        <v>371</v>
      </c>
      <c r="H697" t="s">
        <v>496</v>
      </c>
      <c r="I697" t="s">
        <v>496</v>
      </c>
      <c r="J697" t="s">
        <v>60</v>
      </c>
      <c r="K697" t="s">
        <v>352</v>
      </c>
      <c r="L697" t="s">
        <v>62</v>
      </c>
      <c r="M697" t="s">
        <v>352</v>
      </c>
      <c r="N697" t="s">
        <v>497</v>
      </c>
      <c r="O697" t="s">
        <v>120</v>
      </c>
      <c r="P697">
        <v>-19.599603999999999</v>
      </c>
      <c r="Q697">
        <v>-43.899650000000001</v>
      </c>
      <c r="R697" s="2" t="str">
        <f>HYPERLINK("https://www.google.com/maps?q=-19.5996040,-43.8996500","Abrir no Google Maps")</f>
        <v>Abrir no Google Maps</v>
      </c>
      <c r="S697">
        <v>3</v>
      </c>
      <c r="T697">
        <v>381.13553853255752</v>
      </c>
      <c r="U697">
        <v>4</v>
      </c>
      <c r="V697">
        <v>0.50580165820590306</v>
      </c>
      <c r="W697">
        <v>0.85</v>
      </c>
      <c r="X697">
        <v>0.42993140947501762</v>
      </c>
      <c r="Y697">
        <v>2</v>
      </c>
      <c r="Z697">
        <v>445.30611048306139</v>
      </c>
      <c r="AA697">
        <v>2</v>
      </c>
      <c r="AB697">
        <v>3</v>
      </c>
      <c r="AC697">
        <v>7</v>
      </c>
      <c r="AD697">
        <v>26.01</v>
      </c>
      <c r="AE697">
        <v>253</v>
      </c>
      <c r="AF697">
        <v>17</v>
      </c>
      <c r="AG697">
        <v>60</v>
      </c>
      <c r="AH697">
        <v>32</v>
      </c>
      <c r="AI697">
        <v>6.72</v>
      </c>
      <c r="AJ697">
        <v>23.72</v>
      </c>
      <c r="AK697">
        <v>12.65</v>
      </c>
      <c r="AL697">
        <v>-19.59984999999995</v>
      </c>
      <c r="AM697">
        <v>-43.90070409772008</v>
      </c>
      <c r="AN697">
        <v>-19.59984999999995</v>
      </c>
      <c r="AO697">
        <v>-43.90070409772008</v>
      </c>
      <c r="AP697">
        <v>-19.599603999999999</v>
      </c>
      <c r="AQ697">
        <v>-43.899650000000001</v>
      </c>
      <c r="AR697">
        <v>113.8846460473157</v>
      </c>
      <c r="AS697" t="s">
        <v>65</v>
      </c>
      <c r="AT697">
        <v>1</v>
      </c>
      <c r="AU697" t="s">
        <v>498</v>
      </c>
      <c r="AV697" t="s">
        <v>499</v>
      </c>
      <c r="AW697" t="s">
        <v>60</v>
      </c>
      <c r="AX697" t="s">
        <v>68</v>
      </c>
      <c r="AY697" t="s">
        <v>69</v>
      </c>
      <c r="AZ697" t="b">
        <v>1</v>
      </c>
    </row>
    <row r="698" spans="1:52" x14ac:dyDescent="0.3">
      <c r="A698" t="s">
        <v>52</v>
      </c>
      <c r="B698" t="s">
        <v>53</v>
      </c>
      <c r="C698" t="s">
        <v>54</v>
      </c>
      <c r="D698" t="s">
        <v>55</v>
      </c>
      <c r="E698" t="s">
        <v>795</v>
      </c>
      <c r="F698" t="s">
        <v>176</v>
      </c>
      <c r="G698" t="s">
        <v>357</v>
      </c>
      <c r="H698" t="s">
        <v>358</v>
      </c>
      <c r="I698" t="s">
        <v>358</v>
      </c>
      <c r="J698" t="s">
        <v>60</v>
      </c>
      <c r="K698" t="s">
        <v>359</v>
      </c>
      <c r="L698" t="s">
        <v>62</v>
      </c>
      <c r="M698" t="s">
        <v>359</v>
      </c>
      <c r="N698" t="s">
        <v>360</v>
      </c>
      <c r="O698" t="s">
        <v>201</v>
      </c>
      <c r="P698">
        <v>-19.601168000000001</v>
      </c>
      <c r="Q698">
        <v>-43.896143000000002</v>
      </c>
      <c r="R698" s="2" t="str">
        <f>HYPERLINK("https://www.google.com/maps?q=-19.6011680,-43.8961430","Abrir no Google Maps")</f>
        <v>Abrir no Google Maps</v>
      </c>
      <c r="S698">
        <v>3</v>
      </c>
      <c r="T698">
        <v>886.80074895427902</v>
      </c>
      <c r="U698">
        <v>4</v>
      </c>
      <c r="V698">
        <v>0.44098708225787309</v>
      </c>
      <c r="W698">
        <v>1</v>
      </c>
      <c r="X698">
        <v>0.44098708225787309</v>
      </c>
      <c r="Y698">
        <v>2</v>
      </c>
      <c r="Z698">
        <v>807.27931110193254</v>
      </c>
      <c r="AA698">
        <v>2</v>
      </c>
      <c r="AB698">
        <v>3</v>
      </c>
      <c r="AC698">
        <v>7</v>
      </c>
      <c r="AD698">
        <v>26.01</v>
      </c>
      <c r="AE698">
        <v>253</v>
      </c>
      <c r="AF698">
        <v>17</v>
      </c>
      <c r="AG698">
        <v>60</v>
      </c>
      <c r="AH698">
        <v>32</v>
      </c>
      <c r="AI698">
        <v>6.72</v>
      </c>
      <c r="AJ698">
        <v>23.72</v>
      </c>
      <c r="AK698">
        <v>12.65</v>
      </c>
      <c r="AL698">
        <v>-19.60112959999995</v>
      </c>
      <c r="AM698">
        <v>-43.896049426747439</v>
      </c>
      <c r="AN698">
        <v>-19.60112959999995</v>
      </c>
      <c r="AO698">
        <v>-43.896049426747439</v>
      </c>
      <c r="AP698">
        <v>-19.601168000000001</v>
      </c>
      <c r="AQ698">
        <v>-43.896143000000002</v>
      </c>
      <c r="AR698">
        <v>10.703588298793671</v>
      </c>
      <c r="AS698" t="s">
        <v>65</v>
      </c>
      <c r="AT698">
        <v>1</v>
      </c>
      <c r="AU698" t="s">
        <v>361</v>
      </c>
      <c r="AV698" t="s">
        <v>362</v>
      </c>
      <c r="AW698" t="s">
        <v>60</v>
      </c>
      <c r="AX698" t="s">
        <v>68</v>
      </c>
      <c r="AY698" t="s">
        <v>69</v>
      </c>
      <c r="AZ698" t="b">
        <v>1</v>
      </c>
    </row>
    <row r="699" spans="1:52" x14ac:dyDescent="0.3">
      <c r="A699" t="s">
        <v>52</v>
      </c>
      <c r="B699" t="s">
        <v>53</v>
      </c>
      <c r="C699" t="s">
        <v>54</v>
      </c>
      <c r="D699" t="s">
        <v>55</v>
      </c>
      <c r="E699" t="s">
        <v>795</v>
      </c>
      <c r="F699" t="s">
        <v>176</v>
      </c>
      <c r="G699" t="s">
        <v>350</v>
      </c>
      <c r="H699" t="s">
        <v>363</v>
      </c>
      <c r="I699" t="s">
        <v>363</v>
      </c>
      <c r="J699" t="s">
        <v>60</v>
      </c>
      <c r="K699" t="s">
        <v>364</v>
      </c>
      <c r="L699" t="s">
        <v>62</v>
      </c>
      <c r="M699" t="s">
        <v>364</v>
      </c>
      <c r="N699" t="s">
        <v>353</v>
      </c>
      <c r="O699" t="s">
        <v>365</v>
      </c>
      <c r="P699">
        <v>-19.594657000000002</v>
      </c>
      <c r="Q699">
        <v>-43.901567</v>
      </c>
      <c r="R699" s="2" t="str">
        <f>HYPERLINK("https://www.google.com/maps?q=-19.5946570,-43.9015670","Abrir no Google Maps")</f>
        <v>Abrir no Google Maps</v>
      </c>
      <c r="S699">
        <v>3</v>
      </c>
      <c r="T699">
        <v>592.43040989358553</v>
      </c>
      <c r="U699">
        <v>4</v>
      </c>
      <c r="V699">
        <v>0.58085333240835624</v>
      </c>
      <c r="W699">
        <v>1</v>
      </c>
      <c r="X699">
        <v>0.58085333240835624</v>
      </c>
      <c r="Y699">
        <v>2</v>
      </c>
      <c r="Z699">
        <v>597.4493869225131</v>
      </c>
      <c r="AA699">
        <v>2</v>
      </c>
      <c r="AB699">
        <v>3</v>
      </c>
      <c r="AC699">
        <v>7</v>
      </c>
      <c r="AD699">
        <v>26.01</v>
      </c>
      <c r="AE699">
        <v>253</v>
      </c>
      <c r="AF699">
        <v>17</v>
      </c>
      <c r="AG699">
        <v>60</v>
      </c>
      <c r="AH699">
        <v>32</v>
      </c>
      <c r="AI699">
        <v>6.72</v>
      </c>
      <c r="AJ699">
        <v>23.72</v>
      </c>
      <c r="AK699">
        <v>12.65</v>
      </c>
      <c r="AL699">
        <v>-19.59470494999994</v>
      </c>
      <c r="AM699">
        <v>-43.901629434678291</v>
      </c>
      <c r="AN699">
        <v>-19.59470494999994</v>
      </c>
      <c r="AO699">
        <v>-43.901629434678291</v>
      </c>
      <c r="AP699">
        <v>-19.594657000000002</v>
      </c>
      <c r="AQ699">
        <v>-43.901567</v>
      </c>
      <c r="AR699">
        <v>8.4477696105165858</v>
      </c>
      <c r="AS699" t="s">
        <v>65</v>
      </c>
      <c r="AT699">
        <v>1</v>
      </c>
      <c r="AU699" t="s">
        <v>366</v>
      </c>
      <c r="AV699" t="s">
        <v>367</v>
      </c>
      <c r="AW699" t="s">
        <v>60</v>
      </c>
      <c r="AX699" t="s">
        <v>68</v>
      </c>
      <c r="AY699" t="s">
        <v>69</v>
      </c>
      <c r="AZ699" t="b">
        <v>1</v>
      </c>
    </row>
    <row r="700" spans="1:52" x14ac:dyDescent="0.3">
      <c r="A700" t="s">
        <v>52</v>
      </c>
      <c r="B700" t="s">
        <v>53</v>
      </c>
      <c r="C700" t="s">
        <v>54</v>
      </c>
      <c r="D700" t="s">
        <v>55</v>
      </c>
      <c r="E700" t="s">
        <v>795</v>
      </c>
      <c r="F700" t="s">
        <v>176</v>
      </c>
      <c r="G700" t="s">
        <v>350</v>
      </c>
      <c r="H700" t="s">
        <v>368</v>
      </c>
      <c r="I700" t="s">
        <v>368</v>
      </c>
      <c r="J700" t="s">
        <v>60</v>
      </c>
      <c r="K700" t="s">
        <v>364</v>
      </c>
      <c r="L700" t="s">
        <v>62</v>
      </c>
      <c r="M700" t="s">
        <v>364</v>
      </c>
      <c r="N700" t="s">
        <v>353</v>
      </c>
      <c r="O700" t="s">
        <v>365</v>
      </c>
      <c r="P700">
        <v>-19.593221</v>
      </c>
      <c r="Q700">
        <v>-43.901839000000002</v>
      </c>
      <c r="R700" s="2" t="str">
        <f>HYPERLINK("https://www.google.com/maps?q=-19.5932210,-43.9018390","Abrir no Google Maps")</f>
        <v>Abrir no Google Maps</v>
      </c>
      <c r="S700">
        <v>3</v>
      </c>
      <c r="T700">
        <v>741.77482535005606</v>
      </c>
      <c r="U700">
        <v>4</v>
      </c>
      <c r="V700">
        <v>0.58277032987617028</v>
      </c>
      <c r="W700">
        <v>0.85</v>
      </c>
      <c r="X700">
        <v>0.49535478039474468</v>
      </c>
      <c r="Y700">
        <v>2</v>
      </c>
      <c r="Z700">
        <v>790.59331647558088</v>
      </c>
      <c r="AA700">
        <v>2</v>
      </c>
      <c r="AB700">
        <v>3</v>
      </c>
      <c r="AC700">
        <v>7</v>
      </c>
      <c r="AD700">
        <v>26.01</v>
      </c>
      <c r="AE700">
        <v>253</v>
      </c>
      <c r="AF700">
        <v>17</v>
      </c>
      <c r="AG700">
        <v>60</v>
      </c>
      <c r="AH700">
        <v>32</v>
      </c>
      <c r="AI700">
        <v>6.72</v>
      </c>
      <c r="AJ700">
        <v>23.72</v>
      </c>
      <c r="AK700">
        <v>12.65</v>
      </c>
      <c r="AL700">
        <v>-19.593187449999959</v>
      </c>
      <c r="AM700">
        <v>-43.901700308057322</v>
      </c>
      <c r="AN700">
        <v>-19.593187449999959</v>
      </c>
      <c r="AO700">
        <v>-43.901700308057322</v>
      </c>
      <c r="AP700">
        <v>-19.593221</v>
      </c>
      <c r="AQ700">
        <v>-43.901839000000002</v>
      </c>
      <c r="AR700">
        <v>15.017055708279431</v>
      </c>
      <c r="AS700" t="s">
        <v>65</v>
      </c>
      <c r="AT700">
        <v>1</v>
      </c>
      <c r="AU700" t="s">
        <v>369</v>
      </c>
      <c r="AV700" t="s">
        <v>370</v>
      </c>
      <c r="AW700" t="s">
        <v>60</v>
      </c>
      <c r="AX700" t="s">
        <v>68</v>
      </c>
      <c r="AY700" t="s">
        <v>69</v>
      </c>
      <c r="AZ700" t="b">
        <v>1</v>
      </c>
    </row>
    <row r="701" spans="1:52" x14ac:dyDescent="0.3">
      <c r="A701" t="s">
        <v>52</v>
      </c>
      <c r="B701" t="s">
        <v>53</v>
      </c>
      <c r="C701" t="s">
        <v>54</v>
      </c>
      <c r="D701" t="s">
        <v>55</v>
      </c>
      <c r="E701" t="s">
        <v>795</v>
      </c>
      <c r="F701" t="s">
        <v>176</v>
      </c>
      <c r="G701" t="s">
        <v>371</v>
      </c>
      <c r="H701" t="s">
        <v>372</v>
      </c>
      <c r="I701" t="s">
        <v>372</v>
      </c>
      <c r="J701" t="s">
        <v>60</v>
      </c>
      <c r="K701" t="s">
        <v>352</v>
      </c>
      <c r="L701" t="s">
        <v>62</v>
      </c>
      <c r="M701" t="s">
        <v>352</v>
      </c>
      <c r="N701" t="s">
        <v>353</v>
      </c>
      <c r="O701" t="s">
        <v>373</v>
      </c>
      <c r="P701">
        <v>-19.596541999999999</v>
      </c>
      <c r="Q701">
        <v>-43.900803000000003</v>
      </c>
      <c r="R701" s="2" t="str">
        <f>HYPERLINK("https://www.google.com/maps?q=-19.5965420,-43.9008030","Abrir no Google Maps")</f>
        <v>Abrir no Google Maps</v>
      </c>
      <c r="S701">
        <v>3</v>
      </c>
      <c r="T701">
        <v>401.18305899095373</v>
      </c>
      <c r="U701">
        <v>4</v>
      </c>
      <c r="V701">
        <v>0.57110934686613024</v>
      </c>
      <c r="W701">
        <v>1</v>
      </c>
      <c r="X701">
        <v>0.57110934686613024</v>
      </c>
      <c r="Y701">
        <v>2</v>
      </c>
      <c r="Z701">
        <v>484.51228510119228</v>
      </c>
      <c r="AA701">
        <v>2</v>
      </c>
      <c r="AB701">
        <v>3</v>
      </c>
      <c r="AC701">
        <v>7</v>
      </c>
      <c r="AD701">
        <v>26.01</v>
      </c>
      <c r="AE701">
        <v>253</v>
      </c>
      <c r="AF701">
        <v>17</v>
      </c>
      <c r="AG701">
        <v>60</v>
      </c>
      <c r="AH701">
        <v>32</v>
      </c>
      <c r="AI701">
        <v>6.72</v>
      </c>
      <c r="AJ701">
        <v>23.72</v>
      </c>
      <c r="AK701">
        <v>12.65</v>
      </c>
      <c r="AL701">
        <v>-19.596464449999932</v>
      </c>
      <c r="AM701">
        <v>-43.902090320142641</v>
      </c>
      <c r="AN701">
        <v>-19.596464449999932</v>
      </c>
      <c r="AO701">
        <v>-43.902090320142641</v>
      </c>
      <c r="AP701">
        <v>-19.596541999999999</v>
      </c>
      <c r="AQ701">
        <v>-43.900803000000003</v>
      </c>
      <c r="AR701">
        <v>135.27975170069479</v>
      </c>
      <c r="AS701" t="s">
        <v>65</v>
      </c>
      <c r="AT701">
        <v>1</v>
      </c>
      <c r="AU701" t="s">
        <v>374</v>
      </c>
      <c r="AV701" t="s">
        <v>375</v>
      </c>
      <c r="AW701" t="s">
        <v>60</v>
      </c>
      <c r="AX701" t="s">
        <v>68</v>
      </c>
      <c r="AY701" t="s">
        <v>69</v>
      </c>
      <c r="AZ701" t="b">
        <v>1</v>
      </c>
    </row>
    <row r="702" spans="1:52" x14ac:dyDescent="0.3">
      <c r="A702" t="s">
        <v>52</v>
      </c>
      <c r="B702" t="s">
        <v>53</v>
      </c>
      <c r="C702" t="s">
        <v>54</v>
      </c>
      <c r="D702" t="s">
        <v>55</v>
      </c>
      <c r="E702" t="s">
        <v>795</v>
      </c>
      <c r="F702" t="s">
        <v>176</v>
      </c>
      <c r="G702" t="s">
        <v>376</v>
      </c>
      <c r="H702" t="s">
        <v>377</v>
      </c>
      <c r="I702" t="s">
        <v>377</v>
      </c>
      <c r="J702" t="s">
        <v>60</v>
      </c>
      <c r="K702" t="s">
        <v>352</v>
      </c>
      <c r="L702" t="s">
        <v>62</v>
      </c>
      <c r="M702" t="s">
        <v>352</v>
      </c>
      <c r="N702" t="s">
        <v>378</v>
      </c>
      <c r="O702" t="s">
        <v>379</v>
      </c>
      <c r="P702">
        <v>-19.596966999999999</v>
      </c>
      <c r="Q702">
        <v>-43.90155</v>
      </c>
      <c r="R702" s="2" t="str">
        <f>HYPERLINK("https://www.google.com/maps?q=-19.5969670,-43.9015500","Abrir no Google Maps")</f>
        <v>Abrir no Google Maps</v>
      </c>
      <c r="S702">
        <v>3</v>
      </c>
      <c r="T702">
        <v>366.5160120865408</v>
      </c>
      <c r="U702">
        <v>4</v>
      </c>
      <c r="V702">
        <v>0.5255893945923541</v>
      </c>
      <c r="W702">
        <v>1</v>
      </c>
      <c r="X702">
        <v>0.5255893945923541</v>
      </c>
      <c r="Y702">
        <v>2</v>
      </c>
      <c r="Z702">
        <v>437.88042928493138</v>
      </c>
      <c r="AA702">
        <v>2</v>
      </c>
      <c r="AB702">
        <v>3</v>
      </c>
      <c r="AC702">
        <v>7</v>
      </c>
      <c r="AD702">
        <v>26.01</v>
      </c>
      <c r="AE702">
        <v>253</v>
      </c>
      <c r="AF702">
        <v>17</v>
      </c>
      <c r="AG702">
        <v>60</v>
      </c>
      <c r="AH702">
        <v>32</v>
      </c>
      <c r="AI702">
        <v>6.72</v>
      </c>
      <c r="AJ702">
        <v>23.72</v>
      </c>
      <c r="AK702">
        <v>12.65</v>
      </c>
      <c r="AL702">
        <v>-19.597188549999942</v>
      </c>
      <c r="AM702">
        <v>-43.901724335633787</v>
      </c>
      <c r="AN702">
        <v>-19.597188549999942</v>
      </c>
      <c r="AO702">
        <v>-43.901724335633787</v>
      </c>
      <c r="AP702">
        <v>-19.596966999999999</v>
      </c>
      <c r="AQ702">
        <v>-43.90155</v>
      </c>
      <c r="AR702">
        <v>30.700556875456439</v>
      </c>
      <c r="AS702" t="s">
        <v>65</v>
      </c>
      <c r="AT702">
        <v>1</v>
      </c>
      <c r="AU702" t="s">
        <v>380</v>
      </c>
      <c r="AV702" t="s">
        <v>381</v>
      </c>
      <c r="AW702" t="s">
        <v>60</v>
      </c>
      <c r="AX702" t="s">
        <v>68</v>
      </c>
      <c r="AY702" t="s">
        <v>69</v>
      </c>
      <c r="AZ702" t="b">
        <v>1</v>
      </c>
    </row>
    <row r="703" spans="1:52" x14ac:dyDescent="0.3">
      <c r="A703" t="s">
        <v>52</v>
      </c>
      <c r="B703" t="s">
        <v>53</v>
      </c>
      <c r="C703" t="s">
        <v>54</v>
      </c>
      <c r="D703" t="s">
        <v>55</v>
      </c>
      <c r="E703" t="s">
        <v>795</v>
      </c>
      <c r="F703" t="s">
        <v>176</v>
      </c>
      <c r="G703" t="s">
        <v>382</v>
      </c>
      <c r="H703" t="s">
        <v>383</v>
      </c>
      <c r="I703" t="s">
        <v>383</v>
      </c>
      <c r="J703" t="s">
        <v>60</v>
      </c>
      <c r="K703" t="s">
        <v>185</v>
      </c>
      <c r="L703" t="s">
        <v>62</v>
      </c>
      <c r="M703" t="s">
        <v>185</v>
      </c>
      <c r="N703" t="s">
        <v>384</v>
      </c>
      <c r="O703" t="s">
        <v>385</v>
      </c>
      <c r="P703">
        <v>-19.623774000000001</v>
      </c>
      <c r="Q703">
        <v>-43.886352000000002</v>
      </c>
      <c r="R703" s="2" t="str">
        <f>HYPERLINK("https://www.google.com/maps?q=-19.6237740,-43.8863520","Abrir no Google Maps")</f>
        <v>Abrir no Google Maps</v>
      </c>
      <c r="S703">
        <v>3</v>
      </c>
      <c r="T703">
        <v>818.17252856383368</v>
      </c>
      <c r="U703">
        <v>4</v>
      </c>
      <c r="V703">
        <v>0.44825447802181029</v>
      </c>
      <c r="W703">
        <v>1</v>
      </c>
      <c r="X703">
        <v>0.44825447802181029</v>
      </c>
      <c r="Y703">
        <v>0</v>
      </c>
      <c r="Z703">
        <v>327.32213182525902</v>
      </c>
      <c r="AA703">
        <v>2</v>
      </c>
      <c r="AB703">
        <v>3</v>
      </c>
      <c r="AC703">
        <v>7</v>
      </c>
      <c r="AD703">
        <v>26.01</v>
      </c>
      <c r="AE703">
        <v>253</v>
      </c>
      <c r="AF703">
        <v>17</v>
      </c>
      <c r="AG703">
        <v>60</v>
      </c>
      <c r="AH703">
        <v>32</v>
      </c>
      <c r="AI703">
        <v>6.72</v>
      </c>
      <c r="AJ703">
        <v>23.72</v>
      </c>
      <c r="AK703">
        <v>12.65</v>
      </c>
      <c r="AL703">
        <v>-19.623056299999941</v>
      </c>
      <c r="AM703">
        <v>-43.886837120297002</v>
      </c>
      <c r="AN703">
        <v>-19.623056299999941</v>
      </c>
      <c r="AO703">
        <v>-43.886837120297002</v>
      </c>
      <c r="AP703">
        <v>-19.623774000000001</v>
      </c>
      <c r="AQ703">
        <v>-43.886352000000002</v>
      </c>
      <c r="AR703">
        <v>94.713149059175393</v>
      </c>
      <c r="AS703" t="s">
        <v>65</v>
      </c>
      <c r="AT703">
        <v>1</v>
      </c>
      <c r="AU703" t="s">
        <v>386</v>
      </c>
      <c r="AV703" t="s">
        <v>387</v>
      </c>
      <c r="AW703" t="s">
        <v>60</v>
      </c>
      <c r="AX703" t="s">
        <v>68</v>
      </c>
      <c r="AY703" t="s">
        <v>69</v>
      </c>
      <c r="AZ703" t="b">
        <v>1</v>
      </c>
    </row>
    <row r="704" spans="1:52" x14ac:dyDescent="0.3">
      <c r="A704" t="s">
        <v>52</v>
      </c>
      <c r="B704" t="s">
        <v>53</v>
      </c>
      <c r="C704" t="s">
        <v>54</v>
      </c>
      <c r="D704" t="s">
        <v>55</v>
      </c>
      <c r="E704" t="s">
        <v>795</v>
      </c>
      <c r="F704" t="s">
        <v>176</v>
      </c>
      <c r="G704" t="s">
        <v>530</v>
      </c>
      <c r="H704" t="s">
        <v>531</v>
      </c>
      <c r="I704" t="s">
        <v>531</v>
      </c>
      <c r="J704" t="s">
        <v>60</v>
      </c>
      <c r="K704" t="s">
        <v>185</v>
      </c>
      <c r="L704" t="s">
        <v>62</v>
      </c>
      <c r="M704" t="s">
        <v>185</v>
      </c>
      <c r="N704" t="s">
        <v>532</v>
      </c>
      <c r="O704" t="s">
        <v>533</v>
      </c>
      <c r="P704">
        <v>-19.625264000000001</v>
      </c>
      <c r="Q704">
        <v>-43.889451000000001</v>
      </c>
      <c r="R704" s="2" t="str">
        <f>HYPERLINK("https://www.google.com/maps?q=-19.6252640,-43.8894510","Abrir no Google Maps")</f>
        <v>Abrir no Google Maps</v>
      </c>
      <c r="S704">
        <v>3</v>
      </c>
      <c r="T704">
        <v>466.11340370665903</v>
      </c>
      <c r="U704">
        <v>3</v>
      </c>
      <c r="V704">
        <v>0.46270005895979921</v>
      </c>
      <c r="W704">
        <v>0.85</v>
      </c>
      <c r="X704">
        <v>0.39329505011582933</v>
      </c>
      <c r="Y704">
        <v>18</v>
      </c>
      <c r="Z704">
        <v>320.77337440837812</v>
      </c>
      <c r="AA704">
        <v>2</v>
      </c>
      <c r="AB704">
        <v>3</v>
      </c>
      <c r="AC704">
        <v>7</v>
      </c>
      <c r="AD704">
        <v>26.01</v>
      </c>
      <c r="AE704">
        <v>253</v>
      </c>
      <c r="AF704">
        <v>17</v>
      </c>
      <c r="AG704">
        <v>60</v>
      </c>
      <c r="AH704">
        <v>32</v>
      </c>
      <c r="AI704">
        <v>6.72</v>
      </c>
      <c r="AJ704">
        <v>23.72</v>
      </c>
      <c r="AK704">
        <v>12.65</v>
      </c>
      <c r="AL704">
        <v>-19.62516189999997</v>
      </c>
      <c r="AM704">
        <v>-43.88954614566876</v>
      </c>
      <c r="AN704">
        <v>-19.62516189999997</v>
      </c>
      <c r="AO704">
        <v>-43.88954614566876</v>
      </c>
      <c r="AP704">
        <v>-19.625264000000001</v>
      </c>
      <c r="AQ704">
        <v>-43.889451000000001</v>
      </c>
      <c r="AR704">
        <v>15.12310549834147</v>
      </c>
      <c r="AS704" t="s">
        <v>65</v>
      </c>
      <c r="AT704">
        <v>1</v>
      </c>
      <c r="AU704" t="s">
        <v>534</v>
      </c>
      <c r="AV704" t="s">
        <v>535</v>
      </c>
      <c r="AW704" t="s">
        <v>60</v>
      </c>
      <c r="AX704" t="s">
        <v>68</v>
      </c>
      <c r="AY704" t="s">
        <v>69</v>
      </c>
      <c r="AZ704" t="b">
        <v>1</v>
      </c>
    </row>
    <row r="705" spans="1:52" x14ac:dyDescent="0.3">
      <c r="A705" t="s">
        <v>52</v>
      </c>
      <c r="B705" t="s">
        <v>53</v>
      </c>
      <c r="C705" t="s">
        <v>54</v>
      </c>
      <c r="D705" t="s">
        <v>55</v>
      </c>
      <c r="E705" t="s">
        <v>795</v>
      </c>
      <c r="F705" t="s">
        <v>176</v>
      </c>
      <c r="G705" t="s">
        <v>394</v>
      </c>
      <c r="H705" t="s">
        <v>395</v>
      </c>
      <c r="I705" t="s">
        <v>395</v>
      </c>
      <c r="J705" t="s">
        <v>60</v>
      </c>
      <c r="K705" t="s">
        <v>286</v>
      </c>
      <c r="L705" t="s">
        <v>62</v>
      </c>
      <c r="M705" t="s">
        <v>286</v>
      </c>
      <c r="N705" t="s">
        <v>396</v>
      </c>
      <c r="O705" t="s">
        <v>88</v>
      </c>
      <c r="P705">
        <v>-19.636932999999999</v>
      </c>
      <c r="Q705">
        <v>-43.882691999999999</v>
      </c>
      <c r="R705" s="2" t="str">
        <f>HYPERLINK("https://www.google.com/maps?q=-19.6369330,-43.8826920","Abrir no Google Maps")</f>
        <v>Abrir no Google Maps</v>
      </c>
      <c r="S705">
        <v>3</v>
      </c>
      <c r="T705">
        <v>523.52675813688109</v>
      </c>
      <c r="U705">
        <v>3</v>
      </c>
      <c r="V705">
        <v>0.4090908420549853</v>
      </c>
      <c r="W705">
        <v>1</v>
      </c>
      <c r="X705">
        <v>0.4090908420549853</v>
      </c>
      <c r="Y705">
        <v>10</v>
      </c>
      <c r="Z705">
        <v>372.58135532659509</v>
      </c>
      <c r="AA705">
        <v>2</v>
      </c>
      <c r="AB705">
        <v>3</v>
      </c>
      <c r="AC705">
        <v>7</v>
      </c>
      <c r="AD705">
        <v>26.01</v>
      </c>
      <c r="AE705">
        <v>253</v>
      </c>
      <c r="AF705">
        <v>17</v>
      </c>
      <c r="AG705">
        <v>60</v>
      </c>
      <c r="AH705">
        <v>32</v>
      </c>
      <c r="AI705">
        <v>6.72</v>
      </c>
      <c r="AJ705">
        <v>23.72</v>
      </c>
      <c r="AK705">
        <v>12.65</v>
      </c>
      <c r="AL705">
        <v>-19.637159949999951</v>
      </c>
      <c r="AM705">
        <v>-43.882643289441461</v>
      </c>
      <c r="AN705">
        <v>-19.637159949999951</v>
      </c>
      <c r="AO705">
        <v>-43.882643289441461</v>
      </c>
      <c r="AP705">
        <v>-19.636932999999999</v>
      </c>
      <c r="AQ705">
        <v>-43.882691999999999</v>
      </c>
      <c r="AR705">
        <v>25.775099947452478</v>
      </c>
      <c r="AS705" t="s">
        <v>65</v>
      </c>
      <c r="AT705">
        <v>1</v>
      </c>
      <c r="AU705" t="s">
        <v>397</v>
      </c>
      <c r="AV705" t="s">
        <v>398</v>
      </c>
      <c r="AW705" t="s">
        <v>60</v>
      </c>
      <c r="AX705" t="s">
        <v>68</v>
      </c>
      <c r="AY705" t="s">
        <v>69</v>
      </c>
      <c r="AZ705" t="b">
        <v>1</v>
      </c>
    </row>
    <row r="706" spans="1:52" x14ac:dyDescent="0.3">
      <c r="A706" t="s">
        <v>52</v>
      </c>
      <c r="B706" t="s">
        <v>53</v>
      </c>
      <c r="C706" t="s">
        <v>54</v>
      </c>
      <c r="D706" t="s">
        <v>55</v>
      </c>
      <c r="E706" t="s">
        <v>795</v>
      </c>
      <c r="F706" t="s">
        <v>176</v>
      </c>
      <c r="G706" t="s">
        <v>399</v>
      </c>
      <c r="H706" t="s">
        <v>400</v>
      </c>
      <c r="I706" t="s">
        <v>400</v>
      </c>
      <c r="J706" t="s">
        <v>60</v>
      </c>
      <c r="K706" t="s">
        <v>286</v>
      </c>
      <c r="L706" t="s">
        <v>62</v>
      </c>
      <c r="M706" t="s">
        <v>286</v>
      </c>
      <c r="N706" t="s">
        <v>401</v>
      </c>
      <c r="O706" t="s">
        <v>402</v>
      </c>
      <c r="P706">
        <v>-19.639906</v>
      </c>
      <c r="Q706">
        <v>-43.886059000000003</v>
      </c>
      <c r="R706" s="2" t="str">
        <f>HYPERLINK("https://www.google.com/maps?q=-19.6399060,-43.8860590","Abrir no Google Maps")</f>
        <v>Abrir no Google Maps</v>
      </c>
      <c r="S706">
        <v>3</v>
      </c>
      <c r="T706">
        <v>256.0748811302048</v>
      </c>
      <c r="U706">
        <v>3</v>
      </c>
      <c r="V706">
        <v>0.40370753693201711</v>
      </c>
      <c r="W706">
        <v>1</v>
      </c>
      <c r="X706">
        <v>0.40370753693201711</v>
      </c>
      <c r="Y706">
        <v>10</v>
      </c>
      <c r="Z706">
        <v>205.06236700857289</v>
      </c>
      <c r="AA706">
        <v>2</v>
      </c>
      <c r="AB706">
        <v>3</v>
      </c>
      <c r="AC706">
        <v>7</v>
      </c>
      <c r="AD706">
        <v>26.01</v>
      </c>
      <c r="AE706">
        <v>253</v>
      </c>
      <c r="AF706">
        <v>17</v>
      </c>
      <c r="AG706">
        <v>60</v>
      </c>
      <c r="AH706">
        <v>32</v>
      </c>
      <c r="AI706">
        <v>6.72</v>
      </c>
      <c r="AJ706">
        <v>23.72</v>
      </c>
      <c r="AK706">
        <v>12.65</v>
      </c>
      <c r="AL706">
        <v>-19.639789499999949</v>
      </c>
      <c r="AM706">
        <v>-43.885737855031408</v>
      </c>
      <c r="AN706">
        <v>-19.639789499999949</v>
      </c>
      <c r="AO706">
        <v>-43.885737855031408</v>
      </c>
      <c r="AP706">
        <v>-19.639906</v>
      </c>
      <c r="AQ706">
        <v>-43.886059000000003</v>
      </c>
      <c r="AR706">
        <v>36.081349702130403</v>
      </c>
      <c r="AS706" t="s">
        <v>65</v>
      </c>
      <c r="AT706">
        <v>1</v>
      </c>
      <c r="AU706" t="s">
        <v>403</v>
      </c>
      <c r="AV706" t="s">
        <v>404</v>
      </c>
      <c r="AW706" t="s">
        <v>60</v>
      </c>
      <c r="AX706" t="s">
        <v>68</v>
      </c>
      <c r="AY706" t="s">
        <v>69</v>
      </c>
      <c r="AZ706" t="b">
        <v>1</v>
      </c>
    </row>
    <row r="707" spans="1:52" x14ac:dyDescent="0.3">
      <c r="A707" t="s">
        <v>52</v>
      </c>
      <c r="B707" t="s">
        <v>53</v>
      </c>
      <c r="C707" t="s">
        <v>54</v>
      </c>
      <c r="D707" t="s">
        <v>55</v>
      </c>
      <c r="E707" t="s">
        <v>795</v>
      </c>
      <c r="F707" t="s">
        <v>176</v>
      </c>
      <c r="G707" t="s">
        <v>411</v>
      </c>
      <c r="H707" t="s">
        <v>412</v>
      </c>
      <c r="I707" t="s">
        <v>412</v>
      </c>
      <c r="J707" t="s">
        <v>60</v>
      </c>
      <c r="K707" t="s">
        <v>179</v>
      </c>
      <c r="L707" t="s">
        <v>62</v>
      </c>
      <c r="M707" t="s">
        <v>179</v>
      </c>
      <c r="N707" t="s">
        <v>413</v>
      </c>
      <c r="O707" t="s">
        <v>414</v>
      </c>
      <c r="P707">
        <v>-19.650079000000002</v>
      </c>
      <c r="Q707">
        <v>-43.884253999999999</v>
      </c>
      <c r="R707" s="2" t="str">
        <f>HYPERLINK("https://www.google.com/maps?q=-19.6500790,-43.8842540","Abrir no Google Maps")</f>
        <v>Abrir no Google Maps</v>
      </c>
      <c r="S707">
        <v>3</v>
      </c>
      <c r="T707">
        <v>797.21430129715498</v>
      </c>
      <c r="U707">
        <v>3</v>
      </c>
      <c r="V707">
        <v>0.40679456659741459</v>
      </c>
      <c r="W707">
        <v>1</v>
      </c>
      <c r="X707">
        <v>0.40679456659741459</v>
      </c>
      <c r="Y707">
        <v>10</v>
      </c>
      <c r="Z707">
        <v>774.04145012702554</v>
      </c>
      <c r="AA707">
        <v>2</v>
      </c>
      <c r="AB707">
        <v>3</v>
      </c>
      <c r="AC707">
        <v>7</v>
      </c>
      <c r="AD707">
        <v>26.01</v>
      </c>
      <c r="AE707">
        <v>253</v>
      </c>
      <c r="AF707">
        <v>17</v>
      </c>
      <c r="AG707">
        <v>60</v>
      </c>
      <c r="AH707">
        <v>32</v>
      </c>
      <c r="AI707">
        <v>6.72</v>
      </c>
      <c r="AJ707">
        <v>23.72</v>
      </c>
      <c r="AK707">
        <v>12.65</v>
      </c>
      <c r="AL707">
        <v>-19.649199399999961</v>
      </c>
      <c r="AM707">
        <v>-43.883888390043637</v>
      </c>
      <c r="AN707">
        <v>-19.649199399999961</v>
      </c>
      <c r="AO707">
        <v>-43.883888390043637</v>
      </c>
      <c r="AP707">
        <v>-19.650079000000002</v>
      </c>
      <c r="AQ707">
        <v>-43.884253999999999</v>
      </c>
      <c r="AR707">
        <v>105.1518915696123</v>
      </c>
      <c r="AS707" t="s">
        <v>65</v>
      </c>
      <c r="AT707">
        <v>1</v>
      </c>
      <c r="AU707" t="s">
        <v>415</v>
      </c>
      <c r="AV707" t="s">
        <v>416</v>
      </c>
      <c r="AW707" t="s">
        <v>60</v>
      </c>
      <c r="AX707" t="s">
        <v>68</v>
      </c>
      <c r="AY707" t="s">
        <v>69</v>
      </c>
      <c r="AZ707" t="b">
        <v>1</v>
      </c>
    </row>
    <row r="708" spans="1:52" x14ac:dyDescent="0.3">
      <c r="A708" t="s">
        <v>52</v>
      </c>
      <c r="B708" t="s">
        <v>53</v>
      </c>
      <c r="C708" t="s">
        <v>54</v>
      </c>
      <c r="D708" t="s">
        <v>55</v>
      </c>
      <c r="E708" t="s">
        <v>795</v>
      </c>
      <c r="F708" t="s">
        <v>176</v>
      </c>
      <c r="G708" t="s">
        <v>417</v>
      </c>
      <c r="H708" t="s">
        <v>418</v>
      </c>
      <c r="I708" t="s">
        <v>418</v>
      </c>
      <c r="J708" t="s">
        <v>60</v>
      </c>
      <c r="K708" t="s">
        <v>179</v>
      </c>
      <c r="L708" t="s">
        <v>62</v>
      </c>
      <c r="M708" t="s">
        <v>179</v>
      </c>
      <c r="N708" t="s">
        <v>419</v>
      </c>
      <c r="O708" t="s">
        <v>420</v>
      </c>
      <c r="P708">
        <v>-19.646516999999999</v>
      </c>
      <c r="Q708">
        <v>-43.889716</v>
      </c>
      <c r="R708" s="2" t="str">
        <f>HYPERLINK("https://www.google.com/maps?q=-19.6465170,-43.8897160","Abrir no Google Maps")</f>
        <v>Abrir no Google Maps</v>
      </c>
      <c r="S708">
        <v>3</v>
      </c>
      <c r="T708">
        <v>796.8355517653099</v>
      </c>
      <c r="U708">
        <v>3</v>
      </c>
      <c r="V708">
        <v>0.39056634000090762</v>
      </c>
      <c r="W708">
        <v>1</v>
      </c>
      <c r="X708">
        <v>0.39056634000090762</v>
      </c>
      <c r="Y708">
        <v>7</v>
      </c>
      <c r="Z708">
        <v>749.72812632947034</v>
      </c>
      <c r="AA708">
        <v>2</v>
      </c>
      <c r="AB708">
        <v>3</v>
      </c>
      <c r="AC708">
        <v>7</v>
      </c>
      <c r="AD708">
        <v>26.01</v>
      </c>
      <c r="AE708">
        <v>253</v>
      </c>
      <c r="AF708">
        <v>17</v>
      </c>
      <c r="AG708">
        <v>60</v>
      </c>
      <c r="AH708">
        <v>32</v>
      </c>
      <c r="AI708">
        <v>6.72</v>
      </c>
      <c r="AJ708">
        <v>23.72</v>
      </c>
      <c r="AK708">
        <v>12.65</v>
      </c>
      <c r="AL708">
        <v>-19.646452649999961</v>
      </c>
      <c r="AM708">
        <v>-43.88991036523079</v>
      </c>
      <c r="AN708">
        <v>-19.646452649999961</v>
      </c>
      <c r="AO708">
        <v>-43.88991036523079</v>
      </c>
      <c r="AP708">
        <v>-19.646516999999999</v>
      </c>
      <c r="AQ708">
        <v>-43.889716</v>
      </c>
      <c r="AR708">
        <v>21.599617922669939</v>
      </c>
      <c r="AS708" t="s">
        <v>65</v>
      </c>
      <c r="AT708">
        <v>1</v>
      </c>
      <c r="AU708" t="s">
        <v>421</v>
      </c>
      <c r="AV708" t="s">
        <v>422</v>
      </c>
      <c r="AW708" t="s">
        <v>60</v>
      </c>
      <c r="AX708" t="s">
        <v>68</v>
      </c>
      <c r="AY708" t="s">
        <v>69</v>
      </c>
      <c r="AZ708" t="b">
        <v>1</v>
      </c>
    </row>
    <row r="709" spans="1:52" x14ac:dyDescent="0.3">
      <c r="A709" t="s">
        <v>52</v>
      </c>
      <c r="B709" t="s">
        <v>53</v>
      </c>
      <c r="C709" t="s">
        <v>54</v>
      </c>
      <c r="D709" t="s">
        <v>55</v>
      </c>
      <c r="E709" t="s">
        <v>795</v>
      </c>
      <c r="F709" t="s">
        <v>176</v>
      </c>
      <c r="G709" t="s">
        <v>228</v>
      </c>
      <c r="H709" t="s">
        <v>423</v>
      </c>
      <c r="I709" t="s">
        <v>423</v>
      </c>
      <c r="J709" t="s">
        <v>60</v>
      </c>
      <c r="K709" t="s">
        <v>286</v>
      </c>
      <c r="L709" t="s">
        <v>62</v>
      </c>
      <c r="M709" t="s">
        <v>286</v>
      </c>
      <c r="N709" t="s">
        <v>230</v>
      </c>
      <c r="O709" t="s">
        <v>424</v>
      </c>
      <c r="P709">
        <v>-19.641656999999999</v>
      </c>
      <c r="Q709">
        <v>-43.884228999999998</v>
      </c>
      <c r="R709" s="2" t="str">
        <f>HYPERLINK("https://www.google.com/maps?q=-19.6416570,-43.8842290","Abrir no Google Maps")</f>
        <v>Abrir no Google Maps</v>
      </c>
      <c r="S709">
        <v>3</v>
      </c>
      <c r="T709">
        <v>0</v>
      </c>
      <c r="U709">
        <v>3</v>
      </c>
      <c r="V709">
        <v>0.40234435071585561</v>
      </c>
      <c r="W709">
        <v>1</v>
      </c>
      <c r="X709">
        <v>0.40234435071585561</v>
      </c>
      <c r="Y709">
        <v>7</v>
      </c>
      <c r="Z709">
        <v>67.727401070752876</v>
      </c>
      <c r="AA709">
        <v>2</v>
      </c>
      <c r="AB709">
        <v>3</v>
      </c>
      <c r="AC709">
        <v>7</v>
      </c>
      <c r="AD709">
        <v>26.01</v>
      </c>
      <c r="AE709">
        <v>253</v>
      </c>
      <c r="AF709">
        <v>17</v>
      </c>
      <c r="AG709">
        <v>60</v>
      </c>
      <c r="AH709">
        <v>32</v>
      </c>
      <c r="AI709">
        <v>6.72</v>
      </c>
      <c r="AJ709">
        <v>23.72</v>
      </c>
      <c r="AK709">
        <v>12.65</v>
      </c>
      <c r="AL709">
        <v>-19.641634199999942</v>
      </c>
      <c r="AM709">
        <v>-43.884263743972831</v>
      </c>
      <c r="AN709">
        <v>-19.641634199999942</v>
      </c>
      <c r="AO709">
        <v>-43.884263743972831</v>
      </c>
      <c r="AP709">
        <v>-19.641656999999999</v>
      </c>
      <c r="AQ709">
        <v>-43.884228999999998</v>
      </c>
      <c r="AR709">
        <v>4.4396888961435659</v>
      </c>
      <c r="AS709" t="s">
        <v>65</v>
      </c>
      <c r="AT709">
        <v>1</v>
      </c>
      <c r="AU709" t="s">
        <v>425</v>
      </c>
      <c r="AV709" t="s">
        <v>426</v>
      </c>
      <c r="AW709" t="s">
        <v>60</v>
      </c>
      <c r="AX709" t="s">
        <v>68</v>
      </c>
      <c r="AY709" t="s">
        <v>69</v>
      </c>
      <c r="AZ709" t="b">
        <v>1</v>
      </c>
    </row>
    <row r="710" spans="1:52" x14ac:dyDescent="0.3">
      <c r="A710" t="s">
        <v>52</v>
      </c>
      <c r="B710" t="s">
        <v>53</v>
      </c>
      <c r="C710" t="s">
        <v>54</v>
      </c>
      <c r="D710" t="s">
        <v>55</v>
      </c>
      <c r="E710" t="s">
        <v>795</v>
      </c>
      <c r="F710" t="s">
        <v>176</v>
      </c>
      <c r="G710" t="s">
        <v>777</v>
      </c>
      <c r="H710" t="s">
        <v>778</v>
      </c>
      <c r="I710" t="s">
        <v>778</v>
      </c>
      <c r="J710" t="s">
        <v>60</v>
      </c>
      <c r="K710" t="s">
        <v>352</v>
      </c>
      <c r="L710" t="s">
        <v>62</v>
      </c>
      <c r="M710" t="s">
        <v>352</v>
      </c>
      <c r="N710" t="s">
        <v>779</v>
      </c>
      <c r="O710" t="s">
        <v>780</v>
      </c>
      <c r="P710">
        <v>-19.579518</v>
      </c>
      <c r="Q710">
        <v>-43.909238000000002</v>
      </c>
      <c r="R710" s="2" t="str">
        <f>HYPERLINK("https://www.google.com/maps?q=-19.5795180,-43.9092380","Abrir no Google Maps")</f>
        <v>Abrir no Google Maps</v>
      </c>
      <c r="S710">
        <v>3</v>
      </c>
      <c r="T710">
        <v>1293.9709096326289</v>
      </c>
      <c r="U710">
        <v>3</v>
      </c>
      <c r="V710">
        <v>0.46687684760308951</v>
      </c>
      <c r="W710">
        <v>0.85</v>
      </c>
      <c r="X710">
        <v>0.39684532046262599</v>
      </c>
      <c r="Y710">
        <v>7</v>
      </c>
      <c r="Z710">
        <v>1024.030940986815</v>
      </c>
      <c r="AA710">
        <v>2</v>
      </c>
      <c r="AB710">
        <v>3</v>
      </c>
      <c r="AC710">
        <v>7</v>
      </c>
      <c r="AD710">
        <v>26.01</v>
      </c>
      <c r="AE710">
        <v>253</v>
      </c>
      <c r="AF710">
        <v>17</v>
      </c>
      <c r="AG710">
        <v>60</v>
      </c>
      <c r="AH710">
        <v>32</v>
      </c>
      <c r="AI710">
        <v>6.72</v>
      </c>
      <c r="AJ710">
        <v>23.72</v>
      </c>
      <c r="AK710">
        <v>12.65</v>
      </c>
      <c r="AL710">
        <v>-19.579767999999941</v>
      </c>
      <c r="AM710">
        <v>-43.909514457818823</v>
      </c>
      <c r="AN710">
        <v>-19.579767999999941</v>
      </c>
      <c r="AO710">
        <v>-43.909514457818823</v>
      </c>
      <c r="AP710">
        <v>-19.579518</v>
      </c>
      <c r="AQ710">
        <v>-43.909238000000002</v>
      </c>
      <c r="AR710">
        <v>40.190312724728379</v>
      </c>
      <c r="AS710" t="s">
        <v>65</v>
      </c>
      <c r="AT710">
        <v>1</v>
      </c>
      <c r="AU710" t="s">
        <v>781</v>
      </c>
      <c r="AV710" t="s">
        <v>782</v>
      </c>
      <c r="AW710" t="s">
        <v>60</v>
      </c>
      <c r="AX710" t="s">
        <v>68</v>
      </c>
      <c r="AY710" t="s">
        <v>69</v>
      </c>
      <c r="AZ710" t="b">
        <v>1</v>
      </c>
    </row>
    <row r="711" spans="1:52" x14ac:dyDescent="0.3">
      <c r="A711" t="s">
        <v>52</v>
      </c>
      <c r="B711" t="s">
        <v>53</v>
      </c>
      <c r="C711" t="s">
        <v>54</v>
      </c>
      <c r="D711" t="s">
        <v>55</v>
      </c>
      <c r="E711" t="s">
        <v>795</v>
      </c>
      <c r="F711" t="s">
        <v>176</v>
      </c>
      <c r="G711" t="s">
        <v>304</v>
      </c>
      <c r="H711" t="s">
        <v>305</v>
      </c>
      <c r="I711" t="s">
        <v>305</v>
      </c>
      <c r="J711" t="s">
        <v>60</v>
      </c>
      <c r="K711" t="s">
        <v>299</v>
      </c>
      <c r="L711" t="s">
        <v>62</v>
      </c>
      <c r="M711" t="s">
        <v>299</v>
      </c>
      <c r="N711" t="s">
        <v>306</v>
      </c>
      <c r="O711" t="s">
        <v>307</v>
      </c>
      <c r="P711">
        <v>-19.681051</v>
      </c>
      <c r="Q711">
        <v>-43.914375</v>
      </c>
      <c r="R711" s="2" t="str">
        <f>HYPERLINK("https://www.google.com/maps?q=-19.6810510,-43.9143750","Abrir no Google Maps")</f>
        <v>Abrir no Google Maps</v>
      </c>
      <c r="S711">
        <v>3</v>
      </c>
      <c r="T711">
        <v>1793.507056919605</v>
      </c>
      <c r="U711">
        <v>3</v>
      </c>
      <c r="V711">
        <v>0.4057511521808046</v>
      </c>
      <c r="W711">
        <v>1</v>
      </c>
      <c r="X711">
        <v>0.4057511521808046</v>
      </c>
      <c r="Y711">
        <v>5</v>
      </c>
      <c r="Z711">
        <v>2183.7125920783069</v>
      </c>
      <c r="AA711">
        <v>2</v>
      </c>
      <c r="AB711">
        <v>3</v>
      </c>
      <c r="AC711">
        <v>7</v>
      </c>
      <c r="AD711">
        <v>26.01</v>
      </c>
      <c r="AE711">
        <v>253</v>
      </c>
      <c r="AF711">
        <v>17</v>
      </c>
      <c r="AG711">
        <v>60</v>
      </c>
      <c r="AH711">
        <v>32</v>
      </c>
      <c r="AI711">
        <v>6.72</v>
      </c>
      <c r="AJ711">
        <v>23.72</v>
      </c>
      <c r="AK711">
        <v>12.65</v>
      </c>
      <c r="AL711">
        <v>-19.680967149999962</v>
      </c>
      <c r="AM711">
        <v>-43.914383884426663</v>
      </c>
      <c r="AN711">
        <v>-19.680967149999962</v>
      </c>
      <c r="AO711">
        <v>-43.914383884426663</v>
      </c>
      <c r="AP711">
        <v>-19.681051</v>
      </c>
      <c r="AQ711">
        <v>-43.914375</v>
      </c>
      <c r="AR711">
        <v>9.3805201894968722</v>
      </c>
      <c r="AS711" t="s">
        <v>65</v>
      </c>
      <c r="AT711">
        <v>1</v>
      </c>
      <c r="AU711" t="s">
        <v>308</v>
      </c>
      <c r="AV711" t="s">
        <v>303</v>
      </c>
      <c r="AW711" t="s">
        <v>60</v>
      </c>
      <c r="AX711" t="s">
        <v>68</v>
      </c>
      <c r="AY711" t="s">
        <v>69</v>
      </c>
      <c r="AZ711" t="b">
        <v>1</v>
      </c>
    </row>
    <row r="712" spans="1:52" x14ac:dyDescent="0.3">
      <c r="A712" t="s">
        <v>52</v>
      </c>
      <c r="B712" t="s">
        <v>53</v>
      </c>
      <c r="C712" t="s">
        <v>54</v>
      </c>
      <c r="D712" t="s">
        <v>55</v>
      </c>
      <c r="E712" t="s">
        <v>795</v>
      </c>
      <c r="F712" t="s">
        <v>176</v>
      </c>
      <c r="G712" t="s">
        <v>705</v>
      </c>
      <c r="H712" t="s">
        <v>706</v>
      </c>
      <c r="I712" t="s">
        <v>706</v>
      </c>
      <c r="J712" t="s">
        <v>60</v>
      </c>
      <c r="K712" t="s">
        <v>707</v>
      </c>
      <c r="L712" t="s">
        <v>62</v>
      </c>
      <c r="M712" t="s">
        <v>707</v>
      </c>
      <c r="N712" t="s">
        <v>708</v>
      </c>
      <c r="O712" t="s">
        <v>709</v>
      </c>
      <c r="P712">
        <v>-19.649132000000002</v>
      </c>
      <c r="Q712">
        <v>-43.913184999999999</v>
      </c>
      <c r="R712" s="2" t="str">
        <f>HYPERLINK("https://www.google.com/maps?q=-19.6491320,-43.9131850","Abrir no Google Maps")</f>
        <v>Abrir no Google Maps</v>
      </c>
      <c r="S712">
        <v>3</v>
      </c>
      <c r="T712">
        <v>708.05095277627129</v>
      </c>
      <c r="U712">
        <v>3</v>
      </c>
      <c r="V712">
        <v>0.40453008532369078</v>
      </c>
      <c r="W712">
        <v>1</v>
      </c>
      <c r="X712">
        <v>0.40453008532369078</v>
      </c>
      <c r="Y712">
        <v>4</v>
      </c>
      <c r="Z712">
        <v>786.89435979618963</v>
      </c>
      <c r="AA712">
        <v>2</v>
      </c>
      <c r="AB712">
        <v>3</v>
      </c>
      <c r="AC712">
        <v>7</v>
      </c>
      <c r="AD712">
        <v>26.01</v>
      </c>
      <c r="AE712">
        <v>253</v>
      </c>
      <c r="AF712">
        <v>17</v>
      </c>
      <c r="AG712">
        <v>60</v>
      </c>
      <c r="AH712">
        <v>32</v>
      </c>
      <c r="AI712">
        <v>6.72</v>
      </c>
      <c r="AJ712">
        <v>23.72</v>
      </c>
      <c r="AK712">
        <v>12.65</v>
      </c>
      <c r="AL712">
        <v>-19.649055099999941</v>
      </c>
      <c r="AM712">
        <v>-43.912942827576757</v>
      </c>
      <c r="AN712">
        <v>-19.649055099999941</v>
      </c>
      <c r="AO712">
        <v>-43.912942827576771</v>
      </c>
      <c r="AP712">
        <v>-19.649132000000002</v>
      </c>
      <c r="AQ712">
        <v>-43.913184999999999</v>
      </c>
      <c r="AR712">
        <v>26.793189431239711</v>
      </c>
      <c r="AS712" t="s">
        <v>65</v>
      </c>
      <c r="AT712">
        <v>1</v>
      </c>
      <c r="AU712" t="s">
        <v>710</v>
      </c>
      <c r="AV712" t="s">
        <v>711</v>
      </c>
      <c r="AW712" t="s">
        <v>60</v>
      </c>
      <c r="AX712" t="s">
        <v>68</v>
      </c>
      <c r="AY712" t="s">
        <v>69</v>
      </c>
      <c r="AZ712" t="b">
        <v>1</v>
      </c>
    </row>
    <row r="713" spans="1:52" x14ac:dyDescent="0.3">
      <c r="A713" t="s">
        <v>52</v>
      </c>
      <c r="B713" t="s">
        <v>53</v>
      </c>
      <c r="C713" t="s">
        <v>54</v>
      </c>
      <c r="D713" t="s">
        <v>55</v>
      </c>
      <c r="E713" t="s">
        <v>795</v>
      </c>
      <c r="F713" t="s">
        <v>176</v>
      </c>
      <c r="G713" t="s">
        <v>712</v>
      </c>
      <c r="H713" t="s">
        <v>713</v>
      </c>
      <c r="I713" t="s">
        <v>713</v>
      </c>
      <c r="J713" t="s">
        <v>60</v>
      </c>
      <c r="K713" t="s">
        <v>192</v>
      </c>
      <c r="L713" t="s">
        <v>62</v>
      </c>
      <c r="M713" t="s">
        <v>192</v>
      </c>
      <c r="N713" t="s">
        <v>714</v>
      </c>
      <c r="O713" t="s">
        <v>715</v>
      </c>
      <c r="P713">
        <v>-19.653379999999999</v>
      </c>
      <c r="Q713">
        <v>-43.914634999999997</v>
      </c>
      <c r="R713" s="2" t="str">
        <f>HYPERLINK("https://www.google.com/maps?q=-19.6533800,-43.9146350","Abrir no Google Maps")</f>
        <v>Abrir no Google Maps</v>
      </c>
      <c r="S713">
        <v>3</v>
      </c>
      <c r="T713">
        <v>1209.6845317210091</v>
      </c>
      <c r="U713">
        <v>3</v>
      </c>
      <c r="V713">
        <v>0.40702953720364837</v>
      </c>
      <c r="W713">
        <v>1</v>
      </c>
      <c r="X713">
        <v>0.40702953720364837</v>
      </c>
      <c r="Y713">
        <v>4</v>
      </c>
      <c r="Z713">
        <v>948.79528152345983</v>
      </c>
      <c r="AA713">
        <v>2</v>
      </c>
      <c r="AB713">
        <v>3</v>
      </c>
      <c r="AC713">
        <v>7</v>
      </c>
      <c r="AD713">
        <v>26.01</v>
      </c>
      <c r="AE713">
        <v>253</v>
      </c>
      <c r="AF713">
        <v>17</v>
      </c>
      <c r="AG713">
        <v>60</v>
      </c>
      <c r="AH713">
        <v>32</v>
      </c>
      <c r="AI713">
        <v>6.72</v>
      </c>
      <c r="AJ713">
        <v>23.72</v>
      </c>
      <c r="AK713">
        <v>12.65</v>
      </c>
      <c r="AL713">
        <v>-19.653402249999939</v>
      </c>
      <c r="AM713">
        <v>-43.91489200796137</v>
      </c>
      <c r="AN713">
        <v>-19.653402249999939</v>
      </c>
      <c r="AO713">
        <v>-43.91489200796137</v>
      </c>
      <c r="AP713">
        <v>-19.653379999999999</v>
      </c>
      <c r="AQ713">
        <v>-43.914634999999997</v>
      </c>
      <c r="AR713">
        <v>27.0570338493382</v>
      </c>
      <c r="AS713" t="s">
        <v>65</v>
      </c>
      <c r="AT713">
        <v>1</v>
      </c>
      <c r="AU713" t="s">
        <v>716</v>
      </c>
      <c r="AV713" t="s">
        <v>717</v>
      </c>
      <c r="AW713" t="s">
        <v>60</v>
      </c>
      <c r="AX713" t="s">
        <v>68</v>
      </c>
      <c r="AY713" t="s">
        <v>69</v>
      </c>
      <c r="AZ713" t="b">
        <v>1</v>
      </c>
    </row>
    <row r="714" spans="1:52" x14ac:dyDescent="0.3">
      <c r="A714" t="s">
        <v>52</v>
      </c>
      <c r="B714" t="s">
        <v>53</v>
      </c>
      <c r="C714" t="s">
        <v>54</v>
      </c>
      <c r="D714" t="s">
        <v>55</v>
      </c>
      <c r="E714" t="s">
        <v>795</v>
      </c>
      <c r="F714" t="s">
        <v>176</v>
      </c>
      <c r="G714" t="s">
        <v>438</v>
      </c>
      <c r="H714" t="s">
        <v>439</v>
      </c>
      <c r="I714" t="s">
        <v>439</v>
      </c>
      <c r="J714" t="s">
        <v>60</v>
      </c>
      <c r="K714" t="s">
        <v>199</v>
      </c>
      <c r="L714" t="s">
        <v>62</v>
      </c>
      <c r="M714" t="s">
        <v>199</v>
      </c>
      <c r="N714" t="s">
        <v>440</v>
      </c>
      <c r="O714" t="s">
        <v>120</v>
      </c>
      <c r="P714">
        <v>-19.642907000000001</v>
      </c>
      <c r="Q714">
        <v>-43.912584000000003</v>
      </c>
      <c r="R714" s="2" t="str">
        <f>HYPERLINK("https://www.google.com/maps?q=-19.6429070,-43.9125840","Abrir no Google Maps")</f>
        <v>Abrir no Google Maps</v>
      </c>
      <c r="S714">
        <v>3</v>
      </c>
      <c r="T714">
        <v>0</v>
      </c>
      <c r="U714">
        <v>3</v>
      </c>
      <c r="V714">
        <v>0.41122862645531311</v>
      </c>
      <c r="W714">
        <v>1</v>
      </c>
      <c r="X714">
        <v>0.41122862645531311</v>
      </c>
      <c r="Y714">
        <v>4</v>
      </c>
      <c r="Z714">
        <v>617.66392653629225</v>
      </c>
      <c r="AA714">
        <v>2</v>
      </c>
      <c r="AB714">
        <v>3</v>
      </c>
      <c r="AC714">
        <v>7</v>
      </c>
      <c r="AD714">
        <v>26.01</v>
      </c>
      <c r="AE714">
        <v>253</v>
      </c>
      <c r="AF714">
        <v>17</v>
      </c>
      <c r="AG714">
        <v>60</v>
      </c>
      <c r="AH714">
        <v>32</v>
      </c>
      <c r="AI714">
        <v>6.72</v>
      </c>
      <c r="AJ714">
        <v>23.72</v>
      </c>
      <c r="AK714">
        <v>12.65</v>
      </c>
      <c r="AL714">
        <v>-19.64265969999996</v>
      </c>
      <c r="AM714">
        <v>-43.912763285666202</v>
      </c>
      <c r="AN714">
        <v>-19.64265969999996</v>
      </c>
      <c r="AO714">
        <v>-43.912763285666202</v>
      </c>
      <c r="AP714">
        <v>-19.642907000000001</v>
      </c>
      <c r="AQ714">
        <v>-43.912584000000003</v>
      </c>
      <c r="AR714">
        <v>33.334435483196202</v>
      </c>
      <c r="AS714" t="s">
        <v>65</v>
      </c>
      <c r="AT714">
        <v>1</v>
      </c>
      <c r="AU714" t="s">
        <v>441</v>
      </c>
      <c r="AV714" t="s">
        <v>442</v>
      </c>
      <c r="AW714" t="s">
        <v>60</v>
      </c>
      <c r="AX714" t="s">
        <v>68</v>
      </c>
      <c r="AY714" t="s">
        <v>69</v>
      </c>
      <c r="AZ714" t="b">
        <v>1</v>
      </c>
    </row>
    <row r="715" spans="1:52" x14ac:dyDescent="0.3">
      <c r="A715" t="s">
        <v>52</v>
      </c>
      <c r="B715" t="s">
        <v>53</v>
      </c>
      <c r="C715" t="s">
        <v>54</v>
      </c>
      <c r="D715" t="s">
        <v>55</v>
      </c>
      <c r="E715" t="s">
        <v>795</v>
      </c>
      <c r="F715" t="s">
        <v>176</v>
      </c>
      <c r="G715" t="s">
        <v>443</v>
      </c>
      <c r="H715" t="s">
        <v>444</v>
      </c>
      <c r="I715" t="s">
        <v>444</v>
      </c>
      <c r="J715" t="s">
        <v>60</v>
      </c>
      <c r="K715" t="s">
        <v>445</v>
      </c>
      <c r="L715" t="s">
        <v>62</v>
      </c>
      <c r="M715" t="s">
        <v>445</v>
      </c>
      <c r="N715" t="s">
        <v>446</v>
      </c>
      <c r="O715" t="s">
        <v>447</v>
      </c>
      <c r="P715">
        <v>-19.650062999999999</v>
      </c>
      <c r="Q715">
        <v>-43.878337000000002</v>
      </c>
      <c r="R715" s="2" t="str">
        <f>HYPERLINK("https://www.google.com/maps?q=-19.6500630,-43.8783370","Abrir no Google Maps")</f>
        <v>Abrir no Google Maps</v>
      </c>
      <c r="S715">
        <v>3</v>
      </c>
      <c r="T715">
        <v>839.11860749856135</v>
      </c>
      <c r="U715">
        <v>3</v>
      </c>
      <c r="V715">
        <v>0.40483322949159561</v>
      </c>
      <c r="W715">
        <v>1</v>
      </c>
      <c r="X715">
        <v>0.40483322949159561</v>
      </c>
      <c r="Y715">
        <v>3</v>
      </c>
      <c r="Z715">
        <v>698.86168887476526</v>
      </c>
      <c r="AA715">
        <v>2</v>
      </c>
      <c r="AB715">
        <v>3</v>
      </c>
      <c r="AC715">
        <v>7</v>
      </c>
      <c r="AD715">
        <v>26.01</v>
      </c>
      <c r="AE715">
        <v>253</v>
      </c>
      <c r="AF715">
        <v>17</v>
      </c>
      <c r="AG715">
        <v>60</v>
      </c>
      <c r="AH715">
        <v>32</v>
      </c>
      <c r="AI715">
        <v>6.72</v>
      </c>
      <c r="AJ715">
        <v>23.72</v>
      </c>
      <c r="AK715">
        <v>12.65</v>
      </c>
      <c r="AL715">
        <v>-19.650555399999941</v>
      </c>
      <c r="AM715">
        <v>-43.878603008553611</v>
      </c>
      <c r="AN715">
        <v>-19.650555399999941</v>
      </c>
      <c r="AO715">
        <v>-43.878603008553611</v>
      </c>
      <c r="AP715">
        <v>-19.650062999999999</v>
      </c>
      <c r="AQ715">
        <v>-43.878337000000002</v>
      </c>
      <c r="AR715">
        <v>61.500273251918507</v>
      </c>
      <c r="AS715" t="s">
        <v>65</v>
      </c>
      <c r="AT715">
        <v>1</v>
      </c>
      <c r="AU715" t="s">
        <v>448</v>
      </c>
      <c r="AV715" t="s">
        <v>449</v>
      </c>
      <c r="AW715" t="s">
        <v>60</v>
      </c>
      <c r="AX715" t="s">
        <v>68</v>
      </c>
      <c r="AY715" t="s">
        <v>69</v>
      </c>
      <c r="AZ715" t="b">
        <v>1</v>
      </c>
    </row>
    <row r="716" spans="1:52" x14ac:dyDescent="0.3">
      <c r="A716" t="s">
        <v>52</v>
      </c>
      <c r="B716" t="s">
        <v>53</v>
      </c>
      <c r="C716" t="s">
        <v>54</v>
      </c>
      <c r="D716" t="s">
        <v>55</v>
      </c>
      <c r="E716" t="s">
        <v>795</v>
      </c>
      <c r="F716" t="s">
        <v>176</v>
      </c>
      <c r="G716" t="s">
        <v>324</v>
      </c>
      <c r="H716" t="s">
        <v>325</v>
      </c>
      <c r="I716" t="s">
        <v>325</v>
      </c>
      <c r="J716" t="s">
        <v>60</v>
      </c>
      <c r="K716" t="s">
        <v>326</v>
      </c>
      <c r="L716" t="s">
        <v>62</v>
      </c>
      <c r="M716" t="s">
        <v>326</v>
      </c>
      <c r="N716" t="s">
        <v>327</v>
      </c>
      <c r="O716" t="s">
        <v>328</v>
      </c>
      <c r="P716">
        <v>-19.654454000000001</v>
      </c>
      <c r="Q716">
        <v>-43.874654</v>
      </c>
      <c r="R716" s="2" t="str">
        <f>HYPERLINK("https://www.google.com/maps?q=-19.6544540,-43.8746540","Abrir no Google Maps")</f>
        <v>Abrir no Google Maps</v>
      </c>
      <c r="S716">
        <v>3</v>
      </c>
      <c r="T716">
        <v>461.71515786258828</v>
      </c>
      <c r="U716">
        <v>3</v>
      </c>
      <c r="V716">
        <v>0.40917908086920718</v>
      </c>
      <c r="W716">
        <v>1</v>
      </c>
      <c r="X716">
        <v>0.40917908086920718</v>
      </c>
      <c r="Y716">
        <v>3</v>
      </c>
      <c r="Z716">
        <v>321.42492762576637</v>
      </c>
      <c r="AA716">
        <v>2</v>
      </c>
      <c r="AB716">
        <v>3</v>
      </c>
      <c r="AC716">
        <v>7</v>
      </c>
      <c r="AD716">
        <v>26.01</v>
      </c>
      <c r="AE716">
        <v>253</v>
      </c>
      <c r="AF716">
        <v>17</v>
      </c>
      <c r="AG716">
        <v>60</v>
      </c>
      <c r="AH716">
        <v>32</v>
      </c>
      <c r="AI716">
        <v>6.72</v>
      </c>
      <c r="AJ716">
        <v>23.72</v>
      </c>
      <c r="AK716">
        <v>12.65</v>
      </c>
      <c r="AL716">
        <v>-19.654399599999941</v>
      </c>
      <c r="AM716">
        <v>-43.87457008070222</v>
      </c>
      <c r="AN716">
        <v>-19.654399599999941</v>
      </c>
      <c r="AO716">
        <v>-43.87457008070222</v>
      </c>
      <c r="AP716">
        <v>-19.654454000000001</v>
      </c>
      <c r="AQ716">
        <v>-43.874654</v>
      </c>
      <c r="AR716">
        <v>10.68040226290562</v>
      </c>
      <c r="AS716" t="s">
        <v>65</v>
      </c>
      <c r="AT716">
        <v>1</v>
      </c>
      <c r="AU716" t="s">
        <v>329</v>
      </c>
      <c r="AV716" t="s">
        <v>330</v>
      </c>
      <c r="AW716" t="s">
        <v>60</v>
      </c>
      <c r="AX716" t="s">
        <v>68</v>
      </c>
      <c r="AY716" t="s">
        <v>69</v>
      </c>
      <c r="AZ716" t="b">
        <v>1</v>
      </c>
    </row>
    <row r="717" spans="1:52" x14ac:dyDescent="0.3">
      <c r="A717" t="s">
        <v>52</v>
      </c>
      <c r="B717" t="s">
        <v>53</v>
      </c>
      <c r="C717" t="s">
        <v>54</v>
      </c>
      <c r="D717" t="s">
        <v>55</v>
      </c>
      <c r="E717" t="s">
        <v>795</v>
      </c>
      <c r="F717" t="s">
        <v>176</v>
      </c>
      <c r="G717" t="s">
        <v>796</v>
      </c>
      <c r="H717" t="s">
        <v>797</v>
      </c>
      <c r="I717" t="s">
        <v>797</v>
      </c>
      <c r="J717" t="s">
        <v>60</v>
      </c>
      <c r="K717" t="s">
        <v>445</v>
      </c>
      <c r="L717" t="s">
        <v>62</v>
      </c>
      <c r="M717" t="s">
        <v>445</v>
      </c>
      <c r="N717" t="s">
        <v>798</v>
      </c>
      <c r="O717" t="s">
        <v>799</v>
      </c>
      <c r="P717">
        <v>-19.646691000000001</v>
      </c>
      <c r="Q717">
        <v>-43.869399000000001</v>
      </c>
      <c r="R717" s="2" t="str">
        <f>HYPERLINK("https://www.google.com/maps?q=-19.6466910,-43.8693990","Abrir no Google Maps")</f>
        <v>Abrir no Google Maps</v>
      </c>
      <c r="S717">
        <v>3</v>
      </c>
      <c r="T717">
        <v>691.85004669252203</v>
      </c>
      <c r="U717">
        <v>3</v>
      </c>
      <c r="V717">
        <v>0.4642105700976043</v>
      </c>
      <c r="W717">
        <v>0.85</v>
      </c>
      <c r="X717">
        <v>0.39457898458296359</v>
      </c>
      <c r="Y717">
        <v>3</v>
      </c>
      <c r="Z717">
        <v>773.49707673382704</v>
      </c>
      <c r="AA717">
        <v>2</v>
      </c>
      <c r="AB717">
        <v>3</v>
      </c>
      <c r="AC717">
        <v>7</v>
      </c>
      <c r="AD717">
        <v>26.01</v>
      </c>
      <c r="AE717">
        <v>253</v>
      </c>
      <c r="AF717">
        <v>17</v>
      </c>
      <c r="AG717">
        <v>60</v>
      </c>
      <c r="AH717">
        <v>32</v>
      </c>
      <c r="AI717">
        <v>6.72</v>
      </c>
      <c r="AJ717">
        <v>23.72</v>
      </c>
      <c r="AK717">
        <v>12.65</v>
      </c>
      <c r="AL717">
        <v>-19.64655974999997</v>
      </c>
      <c r="AM717">
        <v>-43.868051939786007</v>
      </c>
      <c r="AN717">
        <v>-19.64655974999997</v>
      </c>
      <c r="AO717">
        <v>-43.868051939786007</v>
      </c>
      <c r="AP717">
        <v>-19.646691000000001</v>
      </c>
      <c r="AQ717">
        <v>-43.869399000000001</v>
      </c>
      <c r="AR717">
        <v>141.9788417417804</v>
      </c>
      <c r="AS717" t="s">
        <v>65</v>
      </c>
      <c r="AT717">
        <v>1</v>
      </c>
      <c r="AU717" t="s">
        <v>800</v>
      </c>
      <c r="AV717" t="s">
        <v>801</v>
      </c>
      <c r="AW717" t="s">
        <v>60</v>
      </c>
      <c r="AX717" t="s">
        <v>68</v>
      </c>
      <c r="AY717" t="s">
        <v>69</v>
      </c>
      <c r="AZ717" t="b">
        <v>1</v>
      </c>
    </row>
    <row r="718" spans="1:52" x14ac:dyDescent="0.3">
      <c r="A718" t="s">
        <v>52</v>
      </c>
      <c r="B718" t="s">
        <v>53</v>
      </c>
      <c r="C718" t="s">
        <v>54</v>
      </c>
      <c r="D718" t="s">
        <v>55</v>
      </c>
      <c r="E718" t="s">
        <v>795</v>
      </c>
      <c r="F718" t="s">
        <v>176</v>
      </c>
      <c r="G718" t="s">
        <v>457</v>
      </c>
      <c r="H718" t="s">
        <v>458</v>
      </c>
      <c r="I718" t="s">
        <v>458</v>
      </c>
      <c r="J718" t="s">
        <v>60</v>
      </c>
      <c r="K718" t="s">
        <v>286</v>
      </c>
      <c r="L718" t="s">
        <v>62</v>
      </c>
      <c r="M718" t="s">
        <v>286</v>
      </c>
      <c r="N718" t="s">
        <v>459</v>
      </c>
      <c r="O718" t="s">
        <v>408</v>
      </c>
      <c r="P718">
        <v>-19.648675000000001</v>
      </c>
      <c r="Q718">
        <v>-43.876176999999998</v>
      </c>
      <c r="R718" s="2" t="str">
        <f>HYPERLINK("https://www.google.com/maps?q=-19.6486750,-43.8761770","Abrir no Google Maps")</f>
        <v>Abrir no Google Maps</v>
      </c>
      <c r="S718">
        <v>3</v>
      </c>
      <c r="T718">
        <v>696.15049931004592</v>
      </c>
      <c r="U718">
        <v>3</v>
      </c>
      <c r="V718">
        <v>0.39017583929810712</v>
      </c>
      <c r="W718">
        <v>1</v>
      </c>
      <c r="X718">
        <v>0.39017583929810712</v>
      </c>
      <c r="Y718">
        <v>3</v>
      </c>
      <c r="Z718">
        <v>617.40976221624703</v>
      </c>
      <c r="AA718">
        <v>2</v>
      </c>
      <c r="AB718">
        <v>3</v>
      </c>
      <c r="AC718">
        <v>7</v>
      </c>
      <c r="AD718">
        <v>26.01</v>
      </c>
      <c r="AE718">
        <v>253</v>
      </c>
      <c r="AF718">
        <v>17</v>
      </c>
      <c r="AG718">
        <v>60</v>
      </c>
      <c r="AH718">
        <v>32</v>
      </c>
      <c r="AI718">
        <v>6.72</v>
      </c>
      <c r="AJ718">
        <v>23.72</v>
      </c>
      <c r="AK718">
        <v>12.65</v>
      </c>
      <c r="AL718">
        <v>-19.648626649999951</v>
      </c>
      <c r="AM718">
        <v>-43.876233357879343</v>
      </c>
      <c r="AN718">
        <v>-19.648626649999951</v>
      </c>
      <c r="AO718">
        <v>-43.876233357879343</v>
      </c>
      <c r="AP718">
        <v>-19.648675000000001</v>
      </c>
      <c r="AQ718">
        <v>-43.876176999999998</v>
      </c>
      <c r="AR718">
        <v>7.9924470956447653</v>
      </c>
      <c r="AS718" t="s">
        <v>65</v>
      </c>
      <c r="AT718">
        <v>1</v>
      </c>
      <c r="AU718" t="s">
        <v>460</v>
      </c>
      <c r="AV718" t="s">
        <v>461</v>
      </c>
      <c r="AW718" t="s">
        <v>60</v>
      </c>
      <c r="AX718" t="s">
        <v>68</v>
      </c>
      <c r="AY718" t="s">
        <v>69</v>
      </c>
      <c r="AZ718" t="b">
        <v>1</v>
      </c>
    </row>
    <row r="719" spans="1:52" x14ac:dyDescent="0.3">
      <c r="A719" t="s">
        <v>52</v>
      </c>
      <c r="B719" t="s">
        <v>53</v>
      </c>
      <c r="C719" t="s">
        <v>54</v>
      </c>
      <c r="D719" t="s">
        <v>55</v>
      </c>
      <c r="E719" t="s">
        <v>795</v>
      </c>
      <c r="F719" t="s">
        <v>176</v>
      </c>
      <c r="G719" t="s">
        <v>462</v>
      </c>
      <c r="H719" t="s">
        <v>463</v>
      </c>
      <c r="I719" t="s">
        <v>463</v>
      </c>
      <c r="J719" t="s">
        <v>60</v>
      </c>
      <c r="K719" t="s">
        <v>464</v>
      </c>
      <c r="L719" t="s">
        <v>62</v>
      </c>
      <c r="M719" t="s">
        <v>464</v>
      </c>
      <c r="N719" t="s">
        <v>465</v>
      </c>
      <c r="O719" t="s">
        <v>414</v>
      </c>
      <c r="P719">
        <v>-19.655408000000001</v>
      </c>
      <c r="Q719">
        <v>-43.862772999999997</v>
      </c>
      <c r="R719" s="2" t="str">
        <f>HYPERLINK("https://www.google.com/maps?q=-19.6554080,-43.8627730","Abrir no Google Maps")</f>
        <v>Abrir no Google Maps</v>
      </c>
      <c r="S719">
        <v>3</v>
      </c>
      <c r="T719">
        <v>877.50781603676592</v>
      </c>
      <c r="U719">
        <v>3</v>
      </c>
      <c r="V719">
        <v>0.41037825067052253</v>
      </c>
      <c r="W719">
        <v>1</v>
      </c>
      <c r="X719">
        <v>0.41037825067052253</v>
      </c>
      <c r="Y719">
        <v>3</v>
      </c>
      <c r="Z719">
        <v>1005.9680098732809</v>
      </c>
      <c r="AA719">
        <v>2</v>
      </c>
      <c r="AB719">
        <v>3</v>
      </c>
      <c r="AC719">
        <v>7</v>
      </c>
      <c r="AD719">
        <v>26.01</v>
      </c>
      <c r="AE719">
        <v>253</v>
      </c>
      <c r="AF719">
        <v>17</v>
      </c>
      <c r="AG719">
        <v>60</v>
      </c>
      <c r="AH719">
        <v>32</v>
      </c>
      <c r="AI719">
        <v>6.72</v>
      </c>
      <c r="AJ719">
        <v>23.72</v>
      </c>
      <c r="AK719">
        <v>12.65</v>
      </c>
      <c r="AL719">
        <v>-19.655455099999951</v>
      </c>
      <c r="AM719">
        <v>-43.863149342001513</v>
      </c>
      <c r="AN719">
        <v>-19.655455099999951</v>
      </c>
      <c r="AO719">
        <v>-43.863149342001513</v>
      </c>
      <c r="AP719">
        <v>-19.655408000000001</v>
      </c>
      <c r="AQ719">
        <v>-43.862772999999997</v>
      </c>
      <c r="AR719">
        <v>39.800175805630573</v>
      </c>
      <c r="AS719" t="s">
        <v>65</v>
      </c>
      <c r="AT719">
        <v>1</v>
      </c>
      <c r="AU719" t="s">
        <v>466</v>
      </c>
      <c r="AV719" t="s">
        <v>467</v>
      </c>
      <c r="AW719" t="s">
        <v>60</v>
      </c>
      <c r="AX719" t="s">
        <v>68</v>
      </c>
      <c r="AY719" t="s">
        <v>69</v>
      </c>
      <c r="AZ719" t="b">
        <v>1</v>
      </c>
    </row>
    <row r="720" spans="1:52" x14ac:dyDescent="0.3">
      <c r="A720" t="s">
        <v>52</v>
      </c>
      <c r="B720" t="s">
        <v>53</v>
      </c>
      <c r="C720" t="s">
        <v>54</v>
      </c>
      <c r="D720" t="s">
        <v>55</v>
      </c>
      <c r="E720" t="s">
        <v>795</v>
      </c>
      <c r="F720" t="s">
        <v>176</v>
      </c>
      <c r="G720" t="s">
        <v>468</v>
      </c>
      <c r="H720" t="s">
        <v>469</v>
      </c>
      <c r="I720" t="s">
        <v>469</v>
      </c>
      <c r="J720" t="s">
        <v>60</v>
      </c>
      <c r="K720" t="s">
        <v>326</v>
      </c>
      <c r="L720" t="s">
        <v>62</v>
      </c>
      <c r="M720" t="s">
        <v>326</v>
      </c>
      <c r="N720" t="s">
        <v>470</v>
      </c>
      <c r="O720" t="s">
        <v>471</v>
      </c>
      <c r="P720">
        <v>-19.655975999999999</v>
      </c>
      <c r="Q720">
        <v>-43.870057000000003</v>
      </c>
      <c r="R720" s="2" t="str">
        <f>HYPERLINK("https://www.google.com/maps?q=-19.6559760,-43.8700570","Abrir no Google Maps")</f>
        <v>Abrir no Google Maps</v>
      </c>
      <c r="S720">
        <v>3</v>
      </c>
      <c r="T720">
        <v>409.25016374145417</v>
      </c>
      <c r="U720">
        <v>3</v>
      </c>
      <c r="V720">
        <v>0.39830422338527038</v>
      </c>
      <c r="W720">
        <v>1</v>
      </c>
      <c r="X720">
        <v>0.39830422338527038</v>
      </c>
      <c r="Y720">
        <v>3</v>
      </c>
      <c r="Z720">
        <v>484.59511175905197</v>
      </c>
      <c r="AA720">
        <v>2</v>
      </c>
      <c r="AB720">
        <v>3</v>
      </c>
      <c r="AC720">
        <v>7</v>
      </c>
      <c r="AD720">
        <v>26.01</v>
      </c>
      <c r="AE720">
        <v>253</v>
      </c>
      <c r="AF720">
        <v>17</v>
      </c>
      <c r="AG720">
        <v>60</v>
      </c>
      <c r="AH720">
        <v>32</v>
      </c>
      <c r="AI720">
        <v>6.72</v>
      </c>
      <c r="AJ720">
        <v>23.72</v>
      </c>
      <c r="AK720">
        <v>12.65</v>
      </c>
      <c r="AL720">
        <v>-19.655869499999969</v>
      </c>
      <c r="AM720">
        <v>-43.870040006843681</v>
      </c>
      <c r="AN720">
        <v>-19.655869499999969</v>
      </c>
      <c r="AO720">
        <v>-43.870040006843681</v>
      </c>
      <c r="AP720">
        <v>-19.655975999999999</v>
      </c>
      <c r="AQ720">
        <v>-43.870057000000003</v>
      </c>
      <c r="AR720">
        <v>11.98867552929476</v>
      </c>
      <c r="AS720" t="s">
        <v>65</v>
      </c>
      <c r="AT720">
        <v>1</v>
      </c>
      <c r="AU720" t="s">
        <v>472</v>
      </c>
      <c r="AV720" t="s">
        <v>473</v>
      </c>
      <c r="AW720" t="s">
        <v>60</v>
      </c>
      <c r="AX720" t="s">
        <v>68</v>
      </c>
      <c r="AY720" t="s">
        <v>69</v>
      </c>
      <c r="AZ720" t="b">
        <v>1</v>
      </c>
    </row>
    <row r="721" spans="1:52" x14ac:dyDescent="0.3">
      <c r="A721" t="s">
        <v>52</v>
      </c>
      <c r="B721" t="s">
        <v>53</v>
      </c>
      <c r="C721" t="s">
        <v>54</v>
      </c>
      <c r="D721" t="s">
        <v>55</v>
      </c>
      <c r="E721" t="s">
        <v>795</v>
      </c>
      <c r="F721" t="s">
        <v>176</v>
      </c>
      <c r="G721" t="s">
        <v>438</v>
      </c>
      <c r="H721" t="s">
        <v>718</v>
      </c>
      <c r="I721" t="s">
        <v>718</v>
      </c>
      <c r="J721" t="s">
        <v>60</v>
      </c>
      <c r="K721" t="s">
        <v>719</v>
      </c>
      <c r="L721" t="s">
        <v>62</v>
      </c>
      <c r="M721" t="s">
        <v>719</v>
      </c>
      <c r="N721" t="s">
        <v>720</v>
      </c>
      <c r="O721" t="s">
        <v>721</v>
      </c>
      <c r="P721">
        <v>-19.659696</v>
      </c>
      <c r="Q721">
        <v>-43.878183</v>
      </c>
      <c r="R721" s="2" t="str">
        <f>HYPERLINK("https://www.google.com/maps?q=-19.6596960,-43.8781830","Abrir no Google Maps")</f>
        <v>Abrir no Google Maps</v>
      </c>
      <c r="S721">
        <v>3</v>
      </c>
      <c r="T721">
        <v>1123.545826977394</v>
      </c>
      <c r="U721">
        <v>3</v>
      </c>
      <c r="V721">
        <v>0.39289135951947463</v>
      </c>
      <c r="W721">
        <v>1</v>
      </c>
      <c r="X721">
        <v>0.39289135951947463</v>
      </c>
      <c r="Y721">
        <v>3</v>
      </c>
      <c r="Z721">
        <v>1050.5223173666111</v>
      </c>
      <c r="AA721">
        <v>2</v>
      </c>
      <c r="AB721">
        <v>3</v>
      </c>
      <c r="AC721">
        <v>7</v>
      </c>
      <c r="AD721">
        <v>26.01</v>
      </c>
      <c r="AE721">
        <v>253</v>
      </c>
      <c r="AF721">
        <v>17</v>
      </c>
      <c r="AG721">
        <v>60</v>
      </c>
      <c r="AH721">
        <v>32</v>
      </c>
      <c r="AI721">
        <v>6.72</v>
      </c>
      <c r="AJ721">
        <v>23.72</v>
      </c>
      <c r="AK721">
        <v>12.65</v>
      </c>
      <c r="AL721">
        <v>-19.65964904999996</v>
      </c>
      <c r="AM721">
        <v>-43.878129467040978</v>
      </c>
      <c r="AN721">
        <v>-19.65964904999996</v>
      </c>
      <c r="AO721">
        <v>-43.878129467040978</v>
      </c>
      <c r="AP721">
        <v>-19.659696</v>
      </c>
      <c r="AQ721">
        <v>-43.878183</v>
      </c>
      <c r="AR721">
        <v>7.6687382643842978</v>
      </c>
      <c r="AS721" t="s">
        <v>65</v>
      </c>
      <c r="AT721">
        <v>1</v>
      </c>
      <c r="AU721" t="s">
        <v>722</v>
      </c>
      <c r="AV721" t="s">
        <v>723</v>
      </c>
      <c r="AW721" t="s">
        <v>60</v>
      </c>
      <c r="AX721" t="s">
        <v>68</v>
      </c>
      <c r="AY721" t="s">
        <v>69</v>
      </c>
      <c r="AZ721" t="b">
        <v>1</v>
      </c>
    </row>
    <row r="722" spans="1:52" x14ac:dyDescent="0.3">
      <c r="A722" t="s">
        <v>52</v>
      </c>
      <c r="B722" t="s">
        <v>53</v>
      </c>
      <c r="C722" t="s">
        <v>54</v>
      </c>
      <c r="D722" t="s">
        <v>55</v>
      </c>
      <c r="E722" t="s">
        <v>795</v>
      </c>
      <c r="F722" t="s">
        <v>176</v>
      </c>
      <c r="G722" t="s">
        <v>338</v>
      </c>
      <c r="H722" t="s">
        <v>339</v>
      </c>
      <c r="I722" t="s">
        <v>339</v>
      </c>
      <c r="J722" t="s">
        <v>60</v>
      </c>
      <c r="K722" t="s">
        <v>219</v>
      </c>
      <c r="L722" t="s">
        <v>62</v>
      </c>
      <c r="M722" t="s">
        <v>219</v>
      </c>
      <c r="N722" t="s">
        <v>340</v>
      </c>
      <c r="O722" t="s">
        <v>341</v>
      </c>
      <c r="P722">
        <v>-19.666964</v>
      </c>
      <c r="Q722">
        <v>-43.884436999999998</v>
      </c>
      <c r="R722" s="2" t="str">
        <f>HYPERLINK("https://www.google.com/maps?q=-19.6669640,-43.8844370","Abrir no Google Maps")</f>
        <v>Abrir no Google Maps</v>
      </c>
      <c r="S722">
        <v>3</v>
      </c>
      <c r="T722">
        <v>957.0047152726122</v>
      </c>
      <c r="U722">
        <v>3</v>
      </c>
      <c r="V722">
        <v>0.41166844447721512</v>
      </c>
      <c r="W722">
        <v>1</v>
      </c>
      <c r="X722">
        <v>0.41166844447721512</v>
      </c>
      <c r="Y722">
        <v>3</v>
      </c>
      <c r="Z722">
        <v>558.02655966087093</v>
      </c>
      <c r="AA722">
        <v>2</v>
      </c>
      <c r="AB722">
        <v>3</v>
      </c>
      <c r="AC722">
        <v>7</v>
      </c>
      <c r="AD722">
        <v>26.01</v>
      </c>
      <c r="AE722">
        <v>253</v>
      </c>
      <c r="AF722">
        <v>17</v>
      </c>
      <c r="AG722">
        <v>60</v>
      </c>
      <c r="AH722">
        <v>32</v>
      </c>
      <c r="AI722">
        <v>6.72</v>
      </c>
      <c r="AJ722">
        <v>23.72</v>
      </c>
      <c r="AK722">
        <v>12.65</v>
      </c>
      <c r="AL722">
        <v>-19.66693374999997</v>
      </c>
      <c r="AM722">
        <v>-43.884551162820181</v>
      </c>
      <c r="AN722">
        <v>-19.66693374999997</v>
      </c>
      <c r="AO722">
        <v>-43.884551162820181</v>
      </c>
      <c r="AP722">
        <v>-19.666964</v>
      </c>
      <c r="AQ722">
        <v>-43.884436999999998</v>
      </c>
      <c r="AR722">
        <v>12.43199920714442</v>
      </c>
      <c r="AS722" t="s">
        <v>65</v>
      </c>
      <c r="AT722">
        <v>1</v>
      </c>
      <c r="AU722" t="s">
        <v>342</v>
      </c>
      <c r="AV722" t="s">
        <v>343</v>
      </c>
      <c r="AW722" t="s">
        <v>60</v>
      </c>
      <c r="AX722" t="s">
        <v>68</v>
      </c>
      <c r="AY722" t="s">
        <v>69</v>
      </c>
      <c r="AZ722" t="b">
        <v>1</v>
      </c>
    </row>
    <row r="723" spans="1:52" x14ac:dyDescent="0.3">
      <c r="A723" t="s">
        <v>52</v>
      </c>
      <c r="B723" t="s">
        <v>53</v>
      </c>
      <c r="C723" t="s">
        <v>54</v>
      </c>
      <c r="D723" t="s">
        <v>55</v>
      </c>
      <c r="E723" t="s">
        <v>795</v>
      </c>
      <c r="F723" t="s">
        <v>176</v>
      </c>
      <c r="G723" t="s">
        <v>474</v>
      </c>
      <c r="H723" t="s">
        <v>475</v>
      </c>
      <c r="I723" t="s">
        <v>475</v>
      </c>
      <c r="J723" t="s">
        <v>60</v>
      </c>
      <c r="K723" t="s">
        <v>326</v>
      </c>
      <c r="L723" t="s">
        <v>62</v>
      </c>
      <c r="M723" t="s">
        <v>326</v>
      </c>
      <c r="N723" t="s">
        <v>476</v>
      </c>
      <c r="O723" t="s">
        <v>477</v>
      </c>
      <c r="P723">
        <v>-19.658083000000001</v>
      </c>
      <c r="Q723">
        <v>-43.866957999999997</v>
      </c>
      <c r="R723" s="2" t="str">
        <f>HYPERLINK("https://www.google.com/maps?q=-19.6580830,-43.8669580","Abrir no Google Maps")</f>
        <v>Abrir no Google Maps</v>
      </c>
      <c r="S723">
        <v>3</v>
      </c>
      <c r="T723">
        <v>753.45055811539748</v>
      </c>
      <c r="U723">
        <v>3</v>
      </c>
      <c r="V723">
        <v>0.4040756314908972</v>
      </c>
      <c r="W723">
        <v>1</v>
      </c>
      <c r="X723">
        <v>0.4040756314908972</v>
      </c>
      <c r="Y723">
        <v>3</v>
      </c>
      <c r="Z723">
        <v>808.47816984050394</v>
      </c>
      <c r="AA723">
        <v>2</v>
      </c>
      <c r="AB723">
        <v>3</v>
      </c>
      <c r="AC723">
        <v>7</v>
      </c>
      <c r="AD723">
        <v>26.01</v>
      </c>
      <c r="AE723">
        <v>253</v>
      </c>
      <c r="AF723">
        <v>17</v>
      </c>
      <c r="AG723">
        <v>60</v>
      </c>
      <c r="AH723">
        <v>32</v>
      </c>
      <c r="AI723">
        <v>6.72</v>
      </c>
      <c r="AJ723">
        <v>23.72</v>
      </c>
      <c r="AK723">
        <v>12.65</v>
      </c>
      <c r="AL723">
        <v>-19.658034899999929</v>
      </c>
      <c r="AM723">
        <v>-43.867024921196148</v>
      </c>
      <c r="AN723">
        <v>-19.658034899999929</v>
      </c>
      <c r="AO723">
        <v>-43.867024921196148</v>
      </c>
      <c r="AP723">
        <v>-19.658083000000001</v>
      </c>
      <c r="AQ723">
        <v>-43.866957999999997</v>
      </c>
      <c r="AR723">
        <v>8.8253920204286462</v>
      </c>
      <c r="AS723" t="s">
        <v>65</v>
      </c>
      <c r="AT723">
        <v>1</v>
      </c>
      <c r="AU723" t="s">
        <v>478</v>
      </c>
      <c r="AV723" t="s">
        <v>349</v>
      </c>
      <c r="AW723" t="s">
        <v>60</v>
      </c>
      <c r="AX723" t="s">
        <v>68</v>
      </c>
      <c r="AY723" t="s">
        <v>69</v>
      </c>
      <c r="AZ723" t="b">
        <v>1</v>
      </c>
    </row>
    <row r="724" spans="1:52" x14ac:dyDescent="0.3">
      <c r="A724" t="s">
        <v>52</v>
      </c>
      <c r="B724" t="s">
        <v>53</v>
      </c>
      <c r="C724" t="s">
        <v>54</v>
      </c>
      <c r="D724" t="s">
        <v>55</v>
      </c>
      <c r="E724" t="s">
        <v>795</v>
      </c>
      <c r="F724" t="s">
        <v>176</v>
      </c>
      <c r="G724" t="s">
        <v>484</v>
      </c>
      <c r="H724" t="s">
        <v>485</v>
      </c>
      <c r="I724" t="s">
        <v>485</v>
      </c>
      <c r="J724" t="s">
        <v>60</v>
      </c>
      <c r="K724" t="s">
        <v>486</v>
      </c>
      <c r="L724" t="s">
        <v>62</v>
      </c>
      <c r="M724" t="s">
        <v>486</v>
      </c>
      <c r="N724" t="s">
        <v>487</v>
      </c>
      <c r="O724" t="s">
        <v>488</v>
      </c>
      <c r="P724">
        <v>-19.599471999999999</v>
      </c>
      <c r="Q724">
        <v>-43.904423999999999</v>
      </c>
      <c r="R724" s="2" t="str">
        <f>HYPERLINK("https://www.google.com/maps?q=-19.5994720,-43.9044240","Abrir no Google Maps")</f>
        <v>Abrir no Google Maps</v>
      </c>
      <c r="S724">
        <v>3</v>
      </c>
      <c r="T724">
        <v>0</v>
      </c>
      <c r="U724">
        <v>3</v>
      </c>
      <c r="V724">
        <v>0.3933135194109556</v>
      </c>
      <c r="W724">
        <v>1</v>
      </c>
      <c r="X724">
        <v>0.3933135194109556</v>
      </c>
      <c r="Y724">
        <v>2</v>
      </c>
      <c r="Z724">
        <v>112.207711482489</v>
      </c>
      <c r="AA724">
        <v>2</v>
      </c>
      <c r="AB724">
        <v>3</v>
      </c>
      <c r="AC724">
        <v>7</v>
      </c>
      <c r="AD724">
        <v>26.01</v>
      </c>
      <c r="AE724">
        <v>253</v>
      </c>
      <c r="AF724">
        <v>17</v>
      </c>
      <c r="AG724">
        <v>60</v>
      </c>
      <c r="AH724">
        <v>32</v>
      </c>
      <c r="AI724">
        <v>6.72</v>
      </c>
      <c r="AJ724">
        <v>23.72</v>
      </c>
      <c r="AK724">
        <v>12.65</v>
      </c>
      <c r="AL724">
        <v>-19.599417149999969</v>
      </c>
      <c r="AM724">
        <v>-43.904309145074677</v>
      </c>
      <c r="AN724">
        <v>-19.599417149999969</v>
      </c>
      <c r="AO724">
        <v>-43.904309145074677</v>
      </c>
      <c r="AP724">
        <v>-19.599471999999999</v>
      </c>
      <c r="AQ724">
        <v>-43.904423999999999</v>
      </c>
      <c r="AR724">
        <v>13.50409975769734</v>
      </c>
      <c r="AS724" t="s">
        <v>65</v>
      </c>
      <c r="AT724">
        <v>1</v>
      </c>
      <c r="AU724" t="s">
        <v>489</v>
      </c>
      <c r="AV724" t="s">
        <v>490</v>
      </c>
      <c r="AW724" t="s">
        <v>60</v>
      </c>
      <c r="AX724" t="s">
        <v>68</v>
      </c>
      <c r="AY724" t="s">
        <v>69</v>
      </c>
      <c r="AZ724" t="b">
        <v>1</v>
      </c>
    </row>
    <row r="725" spans="1:52" x14ac:dyDescent="0.3">
      <c r="A725" t="s">
        <v>52</v>
      </c>
      <c r="B725" t="s">
        <v>53</v>
      </c>
      <c r="C725" t="s">
        <v>54</v>
      </c>
      <c r="D725" t="s">
        <v>55</v>
      </c>
      <c r="E725" t="s">
        <v>795</v>
      </c>
      <c r="F725" t="s">
        <v>176</v>
      </c>
      <c r="G725" t="s">
        <v>506</v>
      </c>
      <c r="H725" t="s">
        <v>507</v>
      </c>
      <c r="I725" t="s">
        <v>507</v>
      </c>
      <c r="J725" t="s">
        <v>60</v>
      </c>
      <c r="K725" t="s">
        <v>219</v>
      </c>
      <c r="L725" t="s">
        <v>62</v>
      </c>
      <c r="M725" t="s">
        <v>219</v>
      </c>
      <c r="N725" t="s">
        <v>508</v>
      </c>
      <c r="O725" t="s">
        <v>509</v>
      </c>
      <c r="P725">
        <v>-19.663573</v>
      </c>
      <c r="Q725">
        <v>-43.884306000000002</v>
      </c>
      <c r="R725" s="2" t="str">
        <f>HYPERLINK("https://www.google.com/maps?q=-19.6635730,-43.8843060","Abrir no Google Maps")</f>
        <v>Abrir no Google Maps</v>
      </c>
      <c r="S725">
        <v>3</v>
      </c>
      <c r="T725">
        <v>1293.040666597964</v>
      </c>
      <c r="U725">
        <v>3</v>
      </c>
      <c r="V725">
        <v>0.40162315219646988</v>
      </c>
      <c r="W725">
        <v>1</v>
      </c>
      <c r="X725">
        <v>0.40162315219646988</v>
      </c>
      <c r="Y725">
        <v>1</v>
      </c>
      <c r="Z725">
        <v>649.69199246551727</v>
      </c>
      <c r="AA725">
        <v>2</v>
      </c>
      <c r="AB725">
        <v>3</v>
      </c>
      <c r="AC725">
        <v>7</v>
      </c>
      <c r="AD725">
        <v>26.01</v>
      </c>
      <c r="AE725">
        <v>253</v>
      </c>
      <c r="AF725">
        <v>17</v>
      </c>
      <c r="AG725">
        <v>60</v>
      </c>
      <c r="AH725">
        <v>32</v>
      </c>
      <c r="AI725">
        <v>6.72</v>
      </c>
      <c r="AJ725">
        <v>23.72</v>
      </c>
      <c r="AK725">
        <v>12.65</v>
      </c>
      <c r="AL725">
        <v>-19.663616899999969</v>
      </c>
      <c r="AM725">
        <v>-43.884279937960187</v>
      </c>
      <c r="AN725">
        <v>-19.663616899999969</v>
      </c>
      <c r="AO725">
        <v>-43.884279937960187</v>
      </c>
      <c r="AP725">
        <v>-19.663573</v>
      </c>
      <c r="AQ725">
        <v>-43.884306000000002</v>
      </c>
      <c r="AR725">
        <v>5.5987767285658263</v>
      </c>
      <c r="AS725" t="s">
        <v>65</v>
      </c>
      <c r="AT725">
        <v>1</v>
      </c>
      <c r="AU725" t="s">
        <v>510</v>
      </c>
      <c r="AV725" t="s">
        <v>511</v>
      </c>
      <c r="AW725" t="s">
        <v>60</v>
      </c>
      <c r="AX725" t="s">
        <v>68</v>
      </c>
      <c r="AY725" t="s">
        <v>69</v>
      </c>
      <c r="AZ725" t="b">
        <v>1</v>
      </c>
    </row>
    <row r="726" spans="1:52" x14ac:dyDescent="0.3">
      <c r="A726" t="s">
        <v>52</v>
      </c>
      <c r="B726" t="s">
        <v>53</v>
      </c>
      <c r="C726" t="s">
        <v>54</v>
      </c>
      <c r="D726" t="s">
        <v>55</v>
      </c>
      <c r="E726" t="s">
        <v>795</v>
      </c>
      <c r="F726" t="s">
        <v>512</v>
      </c>
      <c r="G726" t="s">
        <v>58</v>
      </c>
      <c r="H726" t="s">
        <v>59</v>
      </c>
      <c r="I726" t="s">
        <v>59</v>
      </c>
      <c r="J726" t="s">
        <v>60</v>
      </c>
      <c r="K726" t="s">
        <v>61</v>
      </c>
      <c r="L726" t="s">
        <v>62</v>
      </c>
      <c r="M726" t="s">
        <v>61</v>
      </c>
      <c r="N726" t="s">
        <v>63</v>
      </c>
      <c r="O726" t="s">
        <v>64</v>
      </c>
      <c r="P726">
        <v>-19.631502000000001</v>
      </c>
      <c r="Q726">
        <v>-43.910241999999997</v>
      </c>
      <c r="R726" s="2" t="str">
        <f>HYPERLINK("https://www.google.com/maps?q=-19.6315020,-43.9102420","Abrir no Google Maps")</f>
        <v>Abrir no Google Maps</v>
      </c>
      <c r="S726">
        <v>4</v>
      </c>
      <c r="T726">
        <v>789.20099406682743</v>
      </c>
      <c r="U726">
        <v>4</v>
      </c>
      <c r="V726">
        <v>0.42094747486426121</v>
      </c>
      <c r="W726">
        <v>1</v>
      </c>
      <c r="X726">
        <v>0.42094747486426121</v>
      </c>
      <c r="Y726">
        <v>10</v>
      </c>
      <c r="Z726">
        <v>691.44930074509864</v>
      </c>
      <c r="AA726">
        <v>2</v>
      </c>
      <c r="AB726">
        <v>3</v>
      </c>
      <c r="AC726">
        <v>7</v>
      </c>
      <c r="AD726">
        <v>26.01</v>
      </c>
      <c r="AE726">
        <v>253</v>
      </c>
      <c r="AF726">
        <v>17</v>
      </c>
      <c r="AG726">
        <v>60</v>
      </c>
      <c r="AH726">
        <v>32</v>
      </c>
      <c r="AI726">
        <v>6.72</v>
      </c>
      <c r="AJ726">
        <v>23.72</v>
      </c>
      <c r="AK726">
        <v>12.65</v>
      </c>
      <c r="AL726">
        <v>-19.631719749999949</v>
      </c>
      <c r="AM726">
        <v>-43.910102324517517</v>
      </c>
      <c r="AN726">
        <v>-19.631719749999949</v>
      </c>
      <c r="AO726">
        <v>-43.910102324517517</v>
      </c>
      <c r="AP726">
        <v>-19.631502000000001</v>
      </c>
      <c r="AQ726">
        <v>-43.910241999999997</v>
      </c>
      <c r="AR726">
        <v>28.320416429206599</v>
      </c>
      <c r="AS726" t="s">
        <v>65</v>
      </c>
      <c r="AT726">
        <v>1</v>
      </c>
      <c r="AU726" t="s">
        <v>66</v>
      </c>
      <c r="AV726" t="s">
        <v>67</v>
      </c>
      <c r="AW726" t="s">
        <v>60</v>
      </c>
      <c r="AX726" t="s">
        <v>68</v>
      </c>
      <c r="AY726" t="s">
        <v>69</v>
      </c>
      <c r="AZ726" t="b">
        <v>1</v>
      </c>
    </row>
    <row r="727" spans="1:52" x14ac:dyDescent="0.3">
      <c r="A727" t="s">
        <v>52</v>
      </c>
      <c r="B727" t="s">
        <v>53</v>
      </c>
      <c r="C727" t="s">
        <v>54</v>
      </c>
      <c r="D727" t="s">
        <v>55</v>
      </c>
      <c r="E727" t="s">
        <v>795</v>
      </c>
      <c r="F727" t="s">
        <v>512</v>
      </c>
      <c r="G727" t="s">
        <v>70</v>
      </c>
      <c r="H727" t="s">
        <v>71</v>
      </c>
      <c r="I727" t="s">
        <v>71</v>
      </c>
      <c r="J727" t="s">
        <v>60</v>
      </c>
      <c r="K727" t="s">
        <v>72</v>
      </c>
      <c r="L727" t="s">
        <v>62</v>
      </c>
      <c r="M727" t="s">
        <v>72</v>
      </c>
      <c r="N727" t="s">
        <v>73</v>
      </c>
      <c r="O727" t="s">
        <v>74</v>
      </c>
      <c r="P727">
        <v>-19.632581999999999</v>
      </c>
      <c r="Q727">
        <v>-43.902416000000002</v>
      </c>
      <c r="R727" s="2" t="str">
        <f>HYPERLINK("https://www.google.com/maps?q=-19.6325820,-43.9024160","Abrir no Google Maps")</f>
        <v>Abrir no Google Maps</v>
      </c>
      <c r="S727">
        <v>4</v>
      </c>
      <c r="T727">
        <v>0</v>
      </c>
      <c r="U727">
        <v>4</v>
      </c>
      <c r="V727">
        <v>0.48623282478969931</v>
      </c>
      <c r="W727">
        <v>1</v>
      </c>
      <c r="X727">
        <v>0.48623282478969931</v>
      </c>
      <c r="Y727">
        <v>10</v>
      </c>
      <c r="Z727">
        <v>146.6968158874696</v>
      </c>
      <c r="AA727">
        <v>2</v>
      </c>
      <c r="AB727">
        <v>3</v>
      </c>
      <c r="AC727">
        <v>7</v>
      </c>
      <c r="AD727">
        <v>26.01</v>
      </c>
      <c r="AE727">
        <v>253</v>
      </c>
      <c r="AF727">
        <v>17</v>
      </c>
      <c r="AG727">
        <v>60</v>
      </c>
      <c r="AH727">
        <v>32</v>
      </c>
      <c r="AI727">
        <v>6.72</v>
      </c>
      <c r="AJ727">
        <v>23.72</v>
      </c>
      <c r="AK727">
        <v>12.65</v>
      </c>
      <c r="AL727">
        <v>-19.63271449999996</v>
      </c>
      <c r="AM727">
        <v>-43.902649897389402</v>
      </c>
      <c r="AN727">
        <v>-19.63271449999996</v>
      </c>
      <c r="AO727">
        <v>-43.902649897389402</v>
      </c>
      <c r="AP727">
        <v>-19.632581999999999</v>
      </c>
      <c r="AQ727">
        <v>-43.902416000000002</v>
      </c>
      <c r="AR727">
        <v>28.617753432996459</v>
      </c>
      <c r="AS727" t="s">
        <v>65</v>
      </c>
      <c r="AT727">
        <v>1</v>
      </c>
      <c r="AU727" t="s">
        <v>75</v>
      </c>
      <c r="AV727" t="s">
        <v>76</v>
      </c>
      <c r="AW727" t="s">
        <v>60</v>
      </c>
      <c r="AX727" t="s">
        <v>68</v>
      </c>
      <c r="AY727" t="s">
        <v>69</v>
      </c>
      <c r="AZ727" t="b">
        <v>1</v>
      </c>
    </row>
    <row r="728" spans="1:52" x14ac:dyDescent="0.3">
      <c r="A728" t="s">
        <v>52</v>
      </c>
      <c r="B728" t="s">
        <v>53</v>
      </c>
      <c r="C728" t="s">
        <v>54</v>
      </c>
      <c r="D728" t="s">
        <v>55</v>
      </c>
      <c r="E728" t="s">
        <v>795</v>
      </c>
      <c r="F728" t="s">
        <v>512</v>
      </c>
      <c r="G728" t="s">
        <v>77</v>
      </c>
      <c r="H728" t="s">
        <v>78</v>
      </c>
      <c r="I728" t="s">
        <v>78</v>
      </c>
      <c r="J728" t="s">
        <v>60</v>
      </c>
      <c r="K728" t="s">
        <v>79</v>
      </c>
      <c r="L728" t="s">
        <v>62</v>
      </c>
      <c r="M728" t="s">
        <v>79</v>
      </c>
      <c r="N728" t="s">
        <v>80</v>
      </c>
      <c r="O728" t="s">
        <v>81</v>
      </c>
      <c r="P728">
        <v>-19.632463999999999</v>
      </c>
      <c r="Q728">
        <v>-43.904927999999998</v>
      </c>
      <c r="R728" s="2" t="str">
        <f>HYPERLINK("https://www.google.com/maps?q=-19.6324640,-43.9049280","Abrir no Google Maps")</f>
        <v>Abrir no Google Maps</v>
      </c>
      <c r="S728">
        <v>4</v>
      </c>
      <c r="T728">
        <v>244.1735197453369</v>
      </c>
      <c r="U728">
        <v>4</v>
      </c>
      <c r="V728">
        <v>0.47595691209789098</v>
      </c>
      <c r="W728">
        <v>1</v>
      </c>
      <c r="X728">
        <v>0.47595691209789098</v>
      </c>
      <c r="Y728">
        <v>10</v>
      </c>
      <c r="Z728">
        <v>287.26068152447448</v>
      </c>
      <c r="AA728">
        <v>2</v>
      </c>
      <c r="AB728">
        <v>3</v>
      </c>
      <c r="AC728">
        <v>7</v>
      </c>
      <c r="AD728">
        <v>26.01</v>
      </c>
      <c r="AE728">
        <v>253</v>
      </c>
      <c r="AF728">
        <v>17</v>
      </c>
      <c r="AG728">
        <v>60</v>
      </c>
      <c r="AH728">
        <v>32</v>
      </c>
      <c r="AI728">
        <v>6.72</v>
      </c>
      <c r="AJ728">
        <v>23.72</v>
      </c>
      <c r="AK728">
        <v>12.65</v>
      </c>
      <c r="AL728">
        <v>-19.63247099999996</v>
      </c>
      <c r="AM728">
        <v>-43.904964174285787</v>
      </c>
      <c r="AN728">
        <v>-19.63247099999996</v>
      </c>
      <c r="AO728">
        <v>-43.904964174285787</v>
      </c>
      <c r="AP728">
        <v>-19.632463999999999</v>
      </c>
      <c r="AQ728">
        <v>-43.904927999999998</v>
      </c>
      <c r="AR728">
        <v>3.8720457500200469</v>
      </c>
      <c r="AS728" t="s">
        <v>65</v>
      </c>
      <c r="AT728">
        <v>1</v>
      </c>
      <c r="AU728" t="s">
        <v>82</v>
      </c>
      <c r="AV728" t="s">
        <v>83</v>
      </c>
      <c r="AW728" t="s">
        <v>60</v>
      </c>
      <c r="AX728" t="s">
        <v>68</v>
      </c>
      <c r="AY728" t="s">
        <v>69</v>
      </c>
      <c r="AZ728" t="b">
        <v>1</v>
      </c>
    </row>
    <row r="729" spans="1:52" x14ac:dyDescent="0.3">
      <c r="A729" t="s">
        <v>52</v>
      </c>
      <c r="B729" t="s">
        <v>53</v>
      </c>
      <c r="C729" t="s">
        <v>54</v>
      </c>
      <c r="D729" t="s">
        <v>55</v>
      </c>
      <c r="E729" t="s">
        <v>795</v>
      </c>
      <c r="F729" t="s">
        <v>512</v>
      </c>
      <c r="G729" t="s">
        <v>97</v>
      </c>
      <c r="H729" t="s">
        <v>98</v>
      </c>
      <c r="I729" t="s">
        <v>98</v>
      </c>
      <c r="J729" t="s">
        <v>60</v>
      </c>
      <c r="K729" t="s">
        <v>99</v>
      </c>
      <c r="L729" t="s">
        <v>62</v>
      </c>
      <c r="M729" t="s">
        <v>99</v>
      </c>
      <c r="N729" t="s">
        <v>100</v>
      </c>
      <c r="O729" t="s">
        <v>101</v>
      </c>
      <c r="P729">
        <v>-19.629822000000001</v>
      </c>
      <c r="Q729">
        <v>-43.905341</v>
      </c>
      <c r="R729" s="2" t="str">
        <f>HYPERLINK("https://www.google.com/maps?q=-19.6298220,-43.9053410","Abrir no Google Maps")</f>
        <v>Abrir no Google Maps</v>
      </c>
      <c r="S729">
        <v>4</v>
      </c>
      <c r="T729">
        <v>441.30597341744129</v>
      </c>
      <c r="U729">
        <v>4</v>
      </c>
      <c r="V729">
        <v>0.42467805457168439</v>
      </c>
      <c r="W729">
        <v>1</v>
      </c>
      <c r="X729">
        <v>0.42467805457168439</v>
      </c>
      <c r="Y729">
        <v>10</v>
      </c>
      <c r="Z729">
        <v>513.56493751010987</v>
      </c>
      <c r="AA729">
        <v>2</v>
      </c>
      <c r="AB729">
        <v>3</v>
      </c>
      <c r="AC729">
        <v>7</v>
      </c>
      <c r="AD729">
        <v>26.01</v>
      </c>
      <c r="AE729">
        <v>253</v>
      </c>
      <c r="AF729">
        <v>17</v>
      </c>
      <c r="AG729">
        <v>60</v>
      </c>
      <c r="AH729">
        <v>32</v>
      </c>
      <c r="AI729">
        <v>6.72</v>
      </c>
      <c r="AJ729">
        <v>23.72</v>
      </c>
      <c r="AK729">
        <v>12.65</v>
      </c>
      <c r="AL729">
        <v>-19.629671599999941</v>
      </c>
      <c r="AM729">
        <v>-43.905369597920988</v>
      </c>
      <c r="AN729">
        <v>-19.629671599999931</v>
      </c>
      <c r="AO729">
        <v>-43.905369597920988</v>
      </c>
      <c r="AP729">
        <v>-19.629822000000001</v>
      </c>
      <c r="AQ729">
        <v>-43.905341</v>
      </c>
      <c r="AR729">
        <v>17.008917699186132</v>
      </c>
      <c r="AS729" t="s">
        <v>65</v>
      </c>
      <c r="AT729">
        <v>1</v>
      </c>
      <c r="AU729" t="s">
        <v>102</v>
      </c>
      <c r="AV729" t="s">
        <v>103</v>
      </c>
      <c r="AW729" t="s">
        <v>60</v>
      </c>
      <c r="AX729" t="s">
        <v>68</v>
      </c>
      <c r="AY729" t="s">
        <v>69</v>
      </c>
      <c r="AZ729" t="b">
        <v>1</v>
      </c>
    </row>
    <row r="730" spans="1:52" x14ac:dyDescent="0.3">
      <c r="A730" t="s">
        <v>52</v>
      </c>
      <c r="B730" t="s">
        <v>53</v>
      </c>
      <c r="C730" t="s">
        <v>54</v>
      </c>
      <c r="D730" t="s">
        <v>55</v>
      </c>
      <c r="E730" t="s">
        <v>795</v>
      </c>
      <c r="F730" t="s">
        <v>512</v>
      </c>
      <c r="G730" t="s">
        <v>84</v>
      </c>
      <c r="H730" t="s">
        <v>85</v>
      </c>
      <c r="I730" t="s">
        <v>85</v>
      </c>
      <c r="J730" t="s">
        <v>60</v>
      </c>
      <c r="K730" t="s">
        <v>86</v>
      </c>
      <c r="L730" t="s">
        <v>62</v>
      </c>
      <c r="M730" t="s">
        <v>86</v>
      </c>
      <c r="N730" t="s">
        <v>87</v>
      </c>
      <c r="O730" t="s">
        <v>88</v>
      </c>
      <c r="P730">
        <v>-19.629436999999999</v>
      </c>
      <c r="Q730">
        <v>-43.910398999999998</v>
      </c>
      <c r="R730" s="2" t="str">
        <f>HYPERLINK("https://www.google.com/maps?q=-19.6294370,-43.9103990","Abrir no Google Maps")</f>
        <v>Abrir no Google Maps</v>
      </c>
      <c r="S730">
        <v>4</v>
      </c>
      <c r="T730">
        <v>888.82060643108082</v>
      </c>
      <c r="U730">
        <v>3</v>
      </c>
      <c r="V730">
        <v>0.40243493543840758</v>
      </c>
      <c r="W730">
        <v>1</v>
      </c>
      <c r="X730">
        <v>0.40243493543840758</v>
      </c>
      <c r="Y730">
        <v>10</v>
      </c>
      <c r="Z730">
        <v>867.42797341651737</v>
      </c>
      <c r="AA730">
        <v>2</v>
      </c>
      <c r="AB730">
        <v>3</v>
      </c>
      <c r="AC730">
        <v>7</v>
      </c>
      <c r="AD730">
        <v>26.01</v>
      </c>
      <c r="AE730">
        <v>253</v>
      </c>
      <c r="AF730">
        <v>17</v>
      </c>
      <c r="AG730">
        <v>60</v>
      </c>
      <c r="AH730">
        <v>32</v>
      </c>
      <c r="AI730">
        <v>6.72</v>
      </c>
      <c r="AJ730">
        <v>23.72</v>
      </c>
      <c r="AK730">
        <v>12.65</v>
      </c>
      <c r="AL730">
        <v>-19.62934694999996</v>
      </c>
      <c r="AM730">
        <v>-43.910344699357317</v>
      </c>
      <c r="AN730">
        <v>-19.62934694999996</v>
      </c>
      <c r="AO730">
        <v>-43.910344699357331</v>
      </c>
      <c r="AP730">
        <v>-19.629436999999999</v>
      </c>
      <c r="AQ730">
        <v>-43.910398999999998</v>
      </c>
      <c r="AR730">
        <v>11.52837377953678</v>
      </c>
      <c r="AS730" t="s">
        <v>65</v>
      </c>
      <c r="AT730">
        <v>1</v>
      </c>
      <c r="AU730" t="s">
        <v>89</v>
      </c>
      <c r="AV730" t="s">
        <v>90</v>
      </c>
      <c r="AW730" t="s">
        <v>60</v>
      </c>
      <c r="AX730" t="s">
        <v>68</v>
      </c>
      <c r="AY730" t="s">
        <v>69</v>
      </c>
      <c r="AZ730" t="b">
        <v>1</v>
      </c>
    </row>
    <row r="731" spans="1:52" x14ac:dyDescent="0.3">
      <c r="A731" t="s">
        <v>52</v>
      </c>
      <c r="B731" t="s">
        <v>53</v>
      </c>
      <c r="C731" t="s">
        <v>54</v>
      </c>
      <c r="D731" t="s">
        <v>55</v>
      </c>
      <c r="E731" t="s">
        <v>795</v>
      </c>
      <c r="F731" t="s">
        <v>512</v>
      </c>
      <c r="G731" t="s">
        <v>91</v>
      </c>
      <c r="H731" t="s">
        <v>92</v>
      </c>
      <c r="I731" t="s">
        <v>92</v>
      </c>
      <c r="J731" t="s">
        <v>60</v>
      </c>
      <c r="K731" t="s">
        <v>86</v>
      </c>
      <c r="L731" t="s">
        <v>62</v>
      </c>
      <c r="M731" t="s">
        <v>86</v>
      </c>
      <c r="N731" t="s">
        <v>93</v>
      </c>
      <c r="O731" t="s">
        <v>94</v>
      </c>
      <c r="P731">
        <v>-19.630676999999999</v>
      </c>
      <c r="Q731">
        <v>-43.907255999999997</v>
      </c>
      <c r="R731" s="2" t="str">
        <f>HYPERLINK("https://www.google.com/maps?q=-19.6306770,-43.9072560","Abrir no Google Maps")</f>
        <v>Abrir no Google Maps</v>
      </c>
      <c r="S731">
        <v>4</v>
      </c>
      <c r="T731">
        <v>545.39374622597825</v>
      </c>
      <c r="U731">
        <v>3</v>
      </c>
      <c r="V731">
        <v>0.409065715635891</v>
      </c>
      <c r="W731">
        <v>1</v>
      </c>
      <c r="X731">
        <v>0.409065715635891</v>
      </c>
      <c r="Y731">
        <v>10</v>
      </c>
      <c r="Z731">
        <v>559.94033759457182</v>
      </c>
      <c r="AA731">
        <v>2</v>
      </c>
      <c r="AB731">
        <v>3</v>
      </c>
      <c r="AC731">
        <v>7</v>
      </c>
      <c r="AD731">
        <v>26.01</v>
      </c>
      <c r="AE731">
        <v>253</v>
      </c>
      <c r="AF731">
        <v>17</v>
      </c>
      <c r="AG731">
        <v>60</v>
      </c>
      <c r="AH731">
        <v>32</v>
      </c>
      <c r="AI731">
        <v>6.72</v>
      </c>
      <c r="AJ731">
        <v>23.72</v>
      </c>
      <c r="AK731">
        <v>12.65</v>
      </c>
      <c r="AL731">
        <v>-19.630448649999941</v>
      </c>
      <c r="AM731">
        <v>-43.907268502495313</v>
      </c>
      <c r="AN731">
        <v>-19.630448649999941</v>
      </c>
      <c r="AO731">
        <v>-43.907268502495313</v>
      </c>
      <c r="AP731">
        <v>-19.630676999999999</v>
      </c>
      <c r="AQ731">
        <v>-43.907255999999997</v>
      </c>
      <c r="AR731">
        <v>25.453700276562468</v>
      </c>
      <c r="AS731" t="s">
        <v>65</v>
      </c>
      <c r="AT731">
        <v>1</v>
      </c>
      <c r="AU731" t="s">
        <v>95</v>
      </c>
      <c r="AV731" t="s">
        <v>96</v>
      </c>
      <c r="AW731" t="s">
        <v>60</v>
      </c>
      <c r="AX731" t="s">
        <v>68</v>
      </c>
      <c r="AY731" t="s">
        <v>69</v>
      </c>
      <c r="AZ731" t="b">
        <v>1</v>
      </c>
    </row>
    <row r="732" spans="1:52" x14ac:dyDescent="0.3">
      <c r="A732" t="s">
        <v>52</v>
      </c>
      <c r="B732" t="s">
        <v>53</v>
      </c>
      <c r="C732" t="s">
        <v>54</v>
      </c>
      <c r="D732" t="s">
        <v>55</v>
      </c>
      <c r="E732" t="s">
        <v>795</v>
      </c>
      <c r="F732" t="s">
        <v>512</v>
      </c>
      <c r="G732" t="s">
        <v>513</v>
      </c>
      <c r="H732" t="s">
        <v>514</v>
      </c>
      <c r="I732" t="s">
        <v>514</v>
      </c>
      <c r="J732" t="s">
        <v>60</v>
      </c>
      <c r="K732" t="s">
        <v>185</v>
      </c>
      <c r="L732" t="s">
        <v>62</v>
      </c>
      <c r="M732" t="s">
        <v>185</v>
      </c>
      <c r="N732" t="s">
        <v>515</v>
      </c>
      <c r="O732" t="s">
        <v>516</v>
      </c>
      <c r="P732">
        <v>-19.63184</v>
      </c>
      <c r="Q732">
        <v>-43.899625999999998</v>
      </c>
      <c r="R732" s="2" t="str">
        <f>HYPERLINK("https://www.google.com/maps?q=-19.6318400,-43.8996260","Abrir no Google Maps")</f>
        <v>Abrir no Google Maps</v>
      </c>
      <c r="S732">
        <v>4</v>
      </c>
      <c r="T732">
        <v>317.05369638212568</v>
      </c>
      <c r="U732">
        <v>2</v>
      </c>
      <c r="V732">
        <v>0.4139597367147258</v>
      </c>
      <c r="W732">
        <v>0.85</v>
      </c>
      <c r="X732">
        <v>0.35186577620751691</v>
      </c>
      <c r="Y732">
        <v>10</v>
      </c>
      <c r="Z732">
        <v>467.39112963581732</v>
      </c>
      <c r="AA732">
        <v>2</v>
      </c>
      <c r="AB732">
        <v>3</v>
      </c>
      <c r="AC732">
        <v>7</v>
      </c>
      <c r="AD732">
        <v>26.01</v>
      </c>
      <c r="AE732">
        <v>253</v>
      </c>
      <c r="AF732">
        <v>17</v>
      </c>
      <c r="AG732">
        <v>60</v>
      </c>
      <c r="AH732">
        <v>32</v>
      </c>
      <c r="AI732">
        <v>6.72</v>
      </c>
      <c r="AJ732">
        <v>23.72</v>
      </c>
      <c r="AK732">
        <v>12.65</v>
      </c>
      <c r="AL732">
        <v>-19.631819699999941</v>
      </c>
      <c r="AM732">
        <v>-43.89977767057065</v>
      </c>
      <c r="AN732">
        <v>-19.631819699999941</v>
      </c>
      <c r="AO732">
        <v>-43.89977767057065</v>
      </c>
      <c r="AP732">
        <v>-19.63184</v>
      </c>
      <c r="AQ732">
        <v>-43.899625999999998</v>
      </c>
      <c r="AR732">
        <v>16.062279375806241</v>
      </c>
      <c r="AS732" t="s">
        <v>65</v>
      </c>
      <c r="AT732">
        <v>1</v>
      </c>
      <c r="AU732" t="s">
        <v>517</v>
      </c>
      <c r="AV732" t="s">
        <v>518</v>
      </c>
      <c r="AW732" t="s">
        <v>60</v>
      </c>
      <c r="AX732" t="s">
        <v>68</v>
      </c>
      <c r="AY732" t="s">
        <v>69</v>
      </c>
      <c r="AZ732" t="b">
        <v>1</v>
      </c>
    </row>
    <row r="733" spans="1:52" x14ac:dyDescent="0.3">
      <c r="A733" t="s">
        <v>52</v>
      </c>
      <c r="B733" t="s">
        <v>53</v>
      </c>
      <c r="C733" t="s">
        <v>54</v>
      </c>
      <c r="D733" t="s">
        <v>55</v>
      </c>
      <c r="E733" t="s">
        <v>795</v>
      </c>
      <c r="F733" t="s">
        <v>512</v>
      </c>
      <c r="G733" t="s">
        <v>519</v>
      </c>
      <c r="H733" t="s">
        <v>520</v>
      </c>
      <c r="I733" t="s">
        <v>520</v>
      </c>
      <c r="J733" t="s">
        <v>60</v>
      </c>
      <c r="K733" t="s">
        <v>72</v>
      </c>
      <c r="L733" t="s">
        <v>62</v>
      </c>
      <c r="M733" t="s">
        <v>72</v>
      </c>
      <c r="N733" t="s">
        <v>521</v>
      </c>
      <c r="O733" t="s">
        <v>522</v>
      </c>
      <c r="P733">
        <v>-19.634713000000001</v>
      </c>
      <c r="Q733">
        <v>-43.908909999999999</v>
      </c>
      <c r="R733" s="2" t="str">
        <f>HYPERLINK("https://www.google.com/maps?q=-19.6347130,-43.9089100","Abrir no Google Maps")</f>
        <v>Abrir no Google Maps</v>
      </c>
      <c r="S733">
        <v>4</v>
      </c>
      <c r="T733">
        <v>700.74700083720154</v>
      </c>
      <c r="U733">
        <v>2</v>
      </c>
      <c r="V733">
        <v>0.42296236095757372</v>
      </c>
      <c r="W733">
        <v>0.85</v>
      </c>
      <c r="X733">
        <v>0.35951800681393759</v>
      </c>
      <c r="Y733">
        <v>10</v>
      </c>
      <c r="Z733">
        <v>557.86159429038207</v>
      </c>
      <c r="AA733">
        <v>2</v>
      </c>
      <c r="AB733">
        <v>3</v>
      </c>
      <c r="AC733">
        <v>7</v>
      </c>
      <c r="AD733">
        <v>26.01</v>
      </c>
      <c r="AE733">
        <v>253</v>
      </c>
      <c r="AF733">
        <v>17</v>
      </c>
      <c r="AG733">
        <v>60</v>
      </c>
      <c r="AH733">
        <v>32</v>
      </c>
      <c r="AI733">
        <v>6.72</v>
      </c>
      <c r="AJ733">
        <v>23.72</v>
      </c>
      <c r="AK733">
        <v>12.65</v>
      </c>
      <c r="AL733">
        <v>-19.634626949999959</v>
      </c>
      <c r="AM733">
        <v>-43.909020333181857</v>
      </c>
      <c r="AN733">
        <v>-19.634626949999959</v>
      </c>
      <c r="AO733">
        <v>-43.909020333181857</v>
      </c>
      <c r="AP733">
        <v>-19.634713000000001</v>
      </c>
      <c r="AQ733">
        <v>-43.908909999999999</v>
      </c>
      <c r="AR733">
        <v>15.01933861967664</v>
      </c>
      <c r="AS733" t="s">
        <v>65</v>
      </c>
      <c r="AT733">
        <v>1</v>
      </c>
      <c r="AU733" t="s">
        <v>523</v>
      </c>
      <c r="AV733" t="s">
        <v>524</v>
      </c>
      <c r="AW733" t="s">
        <v>60</v>
      </c>
      <c r="AX733" t="s">
        <v>68</v>
      </c>
      <c r="AY733" t="s">
        <v>69</v>
      </c>
      <c r="AZ733" t="b">
        <v>1</v>
      </c>
    </row>
    <row r="734" spans="1:52" x14ac:dyDescent="0.3">
      <c r="A734" t="s">
        <v>52</v>
      </c>
      <c r="B734" t="s">
        <v>53</v>
      </c>
      <c r="C734" t="s">
        <v>54</v>
      </c>
      <c r="D734" t="s">
        <v>55</v>
      </c>
      <c r="E734" t="s">
        <v>795</v>
      </c>
      <c r="F734" t="s">
        <v>512</v>
      </c>
      <c r="G734" t="s">
        <v>388</v>
      </c>
      <c r="H734" t="s">
        <v>389</v>
      </c>
      <c r="I734" t="s">
        <v>389</v>
      </c>
      <c r="J734" t="s">
        <v>60</v>
      </c>
      <c r="K734" t="s">
        <v>185</v>
      </c>
      <c r="L734" t="s">
        <v>62</v>
      </c>
      <c r="M734" t="s">
        <v>185</v>
      </c>
      <c r="N734" t="s">
        <v>390</v>
      </c>
      <c r="O734" t="s">
        <v>391</v>
      </c>
      <c r="P734">
        <v>-19.628802</v>
      </c>
      <c r="Q734">
        <v>-43.891649000000001</v>
      </c>
      <c r="R734" s="2" t="str">
        <f>HYPERLINK("https://www.google.com/maps?q=-19.6288020,-43.8916490","Abrir no Google Maps")</f>
        <v>Abrir no Google Maps</v>
      </c>
      <c r="S734">
        <v>3</v>
      </c>
      <c r="T734">
        <v>0</v>
      </c>
      <c r="U734">
        <v>4</v>
      </c>
      <c r="V734">
        <v>0.50162256494549251</v>
      </c>
      <c r="W734">
        <v>0.85</v>
      </c>
      <c r="X734">
        <v>0.42637918020366861</v>
      </c>
      <c r="Y734">
        <v>18</v>
      </c>
      <c r="Z734">
        <v>117.5064585283839</v>
      </c>
      <c r="AA734">
        <v>2</v>
      </c>
      <c r="AB734">
        <v>3</v>
      </c>
      <c r="AC734">
        <v>7</v>
      </c>
      <c r="AD734">
        <v>26.01</v>
      </c>
      <c r="AE734">
        <v>253</v>
      </c>
      <c r="AF734">
        <v>17</v>
      </c>
      <c r="AG734">
        <v>60</v>
      </c>
      <c r="AH734">
        <v>32</v>
      </c>
      <c r="AI734">
        <v>6.72</v>
      </c>
      <c r="AJ734">
        <v>23.72</v>
      </c>
      <c r="AK734">
        <v>12.65</v>
      </c>
      <c r="AL734">
        <v>-19.628865499999961</v>
      </c>
      <c r="AM734">
        <v>-43.891662391334172</v>
      </c>
      <c r="AN734">
        <v>-19.628865499999961</v>
      </c>
      <c r="AO734">
        <v>-43.891662391334172</v>
      </c>
      <c r="AP734">
        <v>-19.628802</v>
      </c>
      <c r="AQ734">
        <v>-43.891649000000001</v>
      </c>
      <c r="AR734">
        <v>7.2069201904448459</v>
      </c>
      <c r="AS734" t="s">
        <v>65</v>
      </c>
      <c r="AT734">
        <v>1</v>
      </c>
      <c r="AU734" t="s">
        <v>392</v>
      </c>
      <c r="AV734" t="s">
        <v>393</v>
      </c>
      <c r="AW734" t="s">
        <v>60</v>
      </c>
      <c r="AX734" t="s">
        <v>68</v>
      </c>
      <c r="AY734" t="s">
        <v>69</v>
      </c>
      <c r="AZ734" t="b">
        <v>1</v>
      </c>
    </row>
    <row r="735" spans="1:52" x14ac:dyDescent="0.3">
      <c r="A735" t="s">
        <v>52</v>
      </c>
      <c r="B735" t="s">
        <v>53</v>
      </c>
      <c r="C735" t="s">
        <v>54</v>
      </c>
      <c r="D735" t="s">
        <v>55</v>
      </c>
      <c r="E735" t="s">
        <v>795</v>
      </c>
      <c r="F735" t="s">
        <v>512</v>
      </c>
      <c r="G735" t="s">
        <v>284</v>
      </c>
      <c r="H735" t="s">
        <v>285</v>
      </c>
      <c r="I735" t="s">
        <v>285</v>
      </c>
      <c r="J735" t="s">
        <v>60</v>
      </c>
      <c r="K735" t="s">
        <v>286</v>
      </c>
      <c r="L735" t="s">
        <v>62</v>
      </c>
      <c r="M735" t="s">
        <v>286</v>
      </c>
      <c r="N735" t="s">
        <v>287</v>
      </c>
      <c r="O735" t="s">
        <v>288</v>
      </c>
      <c r="P735">
        <v>-19.639790000000001</v>
      </c>
      <c r="Q735">
        <v>-43.882798999999999</v>
      </c>
      <c r="R735" s="2" t="str">
        <f>HYPERLINK("https://www.google.com/maps?q=-19.6397900,-43.8827990","Abrir no Google Maps")</f>
        <v>Abrir no Google Maps</v>
      </c>
      <c r="S735">
        <v>3</v>
      </c>
      <c r="T735">
        <v>242.7052058134478</v>
      </c>
      <c r="U735">
        <v>4</v>
      </c>
      <c r="V735">
        <v>0.41674096770041191</v>
      </c>
      <c r="W735">
        <v>1</v>
      </c>
      <c r="X735">
        <v>0.41674096770041191</v>
      </c>
      <c r="Y735">
        <v>10</v>
      </c>
      <c r="Z735">
        <v>187.2088809462339</v>
      </c>
      <c r="AA735">
        <v>2</v>
      </c>
      <c r="AB735">
        <v>3</v>
      </c>
      <c r="AC735">
        <v>7</v>
      </c>
      <c r="AD735">
        <v>26.01</v>
      </c>
      <c r="AE735">
        <v>253</v>
      </c>
      <c r="AF735">
        <v>17</v>
      </c>
      <c r="AG735">
        <v>60</v>
      </c>
      <c r="AH735">
        <v>32</v>
      </c>
      <c r="AI735">
        <v>6.72</v>
      </c>
      <c r="AJ735">
        <v>23.72</v>
      </c>
      <c r="AK735">
        <v>12.65</v>
      </c>
      <c r="AL735">
        <v>-19.639855599999951</v>
      </c>
      <c r="AM735">
        <v>-43.882909745178452</v>
      </c>
      <c r="AN735">
        <v>-19.639855599999951</v>
      </c>
      <c r="AO735">
        <v>-43.882909745178452</v>
      </c>
      <c r="AP735">
        <v>-19.639790000000001</v>
      </c>
      <c r="AQ735">
        <v>-43.882798999999999</v>
      </c>
      <c r="AR735">
        <v>13.716486068571211</v>
      </c>
      <c r="AS735" t="s">
        <v>65</v>
      </c>
      <c r="AT735">
        <v>1</v>
      </c>
      <c r="AU735" t="s">
        <v>289</v>
      </c>
      <c r="AV735" t="s">
        <v>290</v>
      </c>
      <c r="AW735" t="s">
        <v>60</v>
      </c>
      <c r="AX735" t="s">
        <v>68</v>
      </c>
      <c r="AY735" t="s">
        <v>69</v>
      </c>
      <c r="AZ735" t="b">
        <v>1</v>
      </c>
    </row>
    <row r="736" spans="1:52" x14ac:dyDescent="0.3">
      <c r="A736" t="s">
        <v>52</v>
      </c>
      <c r="B736" t="s">
        <v>53</v>
      </c>
      <c r="C736" t="s">
        <v>54</v>
      </c>
      <c r="D736" t="s">
        <v>55</v>
      </c>
      <c r="E736" t="s">
        <v>795</v>
      </c>
      <c r="F736" t="s">
        <v>512</v>
      </c>
      <c r="G736" t="s">
        <v>291</v>
      </c>
      <c r="H736" t="s">
        <v>292</v>
      </c>
      <c r="I736" t="s">
        <v>292</v>
      </c>
      <c r="J736" t="s">
        <v>60</v>
      </c>
      <c r="K736" t="s">
        <v>286</v>
      </c>
      <c r="L736" t="s">
        <v>62</v>
      </c>
      <c r="M736" t="s">
        <v>286</v>
      </c>
      <c r="N736" t="s">
        <v>293</v>
      </c>
      <c r="O736" t="s">
        <v>294</v>
      </c>
      <c r="P736">
        <v>-19.640333999999999</v>
      </c>
      <c r="Q736">
        <v>-43.880004999999997</v>
      </c>
      <c r="R736" s="2" t="str">
        <f>HYPERLINK("https://www.google.com/maps?q=-19.6403340,-43.8800050","Abrir no Google Maps")</f>
        <v>Abrir no Google Maps</v>
      </c>
      <c r="S736">
        <v>3</v>
      </c>
      <c r="T736">
        <v>276.80943817309782</v>
      </c>
      <c r="U736">
        <v>4</v>
      </c>
      <c r="V736">
        <v>0.42861001531924309</v>
      </c>
      <c r="W736">
        <v>1</v>
      </c>
      <c r="X736">
        <v>0.42861001531924309</v>
      </c>
      <c r="Y736">
        <v>10</v>
      </c>
      <c r="Z736">
        <v>361.98332038983392</v>
      </c>
      <c r="AA736">
        <v>2</v>
      </c>
      <c r="AB736">
        <v>3</v>
      </c>
      <c r="AC736">
        <v>7</v>
      </c>
      <c r="AD736">
        <v>26.01</v>
      </c>
      <c r="AE736">
        <v>253</v>
      </c>
      <c r="AF736">
        <v>17</v>
      </c>
      <c r="AG736">
        <v>60</v>
      </c>
      <c r="AH736">
        <v>32</v>
      </c>
      <c r="AI736">
        <v>6.72</v>
      </c>
      <c r="AJ736">
        <v>23.72</v>
      </c>
      <c r="AK736">
        <v>12.65</v>
      </c>
      <c r="AL736">
        <v>-19.640260249999951</v>
      </c>
      <c r="AM736">
        <v>-43.880090474326408</v>
      </c>
      <c r="AN736">
        <v>-19.640260249999951</v>
      </c>
      <c r="AO736">
        <v>-43.880090474326408</v>
      </c>
      <c r="AP736">
        <v>-19.640333999999999</v>
      </c>
      <c r="AQ736">
        <v>-43.880004999999997</v>
      </c>
      <c r="AR736">
        <v>12.153556195359609</v>
      </c>
      <c r="AS736" t="s">
        <v>65</v>
      </c>
      <c r="AT736">
        <v>1</v>
      </c>
      <c r="AU736" t="s">
        <v>295</v>
      </c>
      <c r="AV736" t="s">
        <v>296</v>
      </c>
      <c r="AW736" t="s">
        <v>60</v>
      </c>
      <c r="AX736" t="s">
        <v>68</v>
      </c>
      <c r="AY736" t="s">
        <v>69</v>
      </c>
      <c r="AZ736" t="b">
        <v>1</v>
      </c>
    </row>
    <row r="737" spans="1:52" x14ac:dyDescent="0.3">
      <c r="A737" t="s">
        <v>52</v>
      </c>
      <c r="B737" t="s">
        <v>53</v>
      </c>
      <c r="C737" t="s">
        <v>54</v>
      </c>
      <c r="D737" t="s">
        <v>55</v>
      </c>
      <c r="E737" t="s">
        <v>795</v>
      </c>
      <c r="F737" t="s">
        <v>512</v>
      </c>
      <c r="G737" t="s">
        <v>405</v>
      </c>
      <c r="H737" t="s">
        <v>406</v>
      </c>
      <c r="I737" t="s">
        <v>406</v>
      </c>
      <c r="J737" t="s">
        <v>60</v>
      </c>
      <c r="K737" t="s">
        <v>286</v>
      </c>
      <c r="L737" t="s">
        <v>62</v>
      </c>
      <c r="M737" t="s">
        <v>286</v>
      </c>
      <c r="N737" t="s">
        <v>407</v>
      </c>
      <c r="O737" t="s">
        <v>408</v>
      </c>
      <c r="P737">
        <v>-19.646345</v>
      </c>
      <c r="Q737">
        <v>-43.882294999999999</v>
      </c>
      <c r="R737" s="2" t="str">
        <f>HYPERLINK("https://www.google.com/maps?q=-19.6463450,-43.8822950","Abrir no Google Maps")</f>
        <v>Abrir no Google Maps</v>
      </c>
      <c r="S737">
        <v>3</v>
      </c>
      <c r="T737">
        <v>450.3180538635894</v>
      </c>
      <c r="U737">
        <v>4</v>
      </c>
      <c r="V737">
        <v>0.42207939260800859</v>
      </c>
      <c r="W737">
        <v>1</v>
      </c>
      <c r="X737">
        <v>0.42207939260800859</v>
      </c>
      <c r="Y737">
        <v>10</v>
      </c>
      <c r="Z737">
        <v>349.23341775902583</v>
      </c>
      <c r="AA737">
        <v>2</v>
      </c>
      <c r="AB737">
        <v>3</v>
      </c>
      <c r="AC737">
        <v>7</v>
      </c>
      <c r="AD737">
        <v>26.01</v>
      </c>
      <c r="AE737">
        <v>253</v>
      </c>
      <c r="AF737">
        <v>17</v>
      </c>
      <c r="AG737">
        <v>60</v>
      </c>
      <c r="AH737">
        <v>32</v>
      </c>
      <c r="AI737">
        <v>6.72</v>
      </c>
      <c r="AJ737">
        <v>23.72</v>
      </c>
      <c r="AK737">
        <v>12.65</v>
      </c>
      <c r="AL737">
        <v>-19.646391649999941</v>
      </c>
      <c r="AM737">
        <v>-43.882007396993302</v>
      </c>
      <c r="AN737">
        <v>-19.646391649999941</v>
      </c>
      <c r="AO737">
        <v>-43.882007396993302</v>
      </c>
      <c r="AP737">
        <v>-19.646345</v>
      </c>
      <c r="AQ737">
        <v>-43.882294999999999</v>
      </c>
      <c r="AR737">
        <v>30.596105513395301</v>
      </c>
      <c r="AS737" t="s">
        <v>65</v>
      </c>
      <c r="AT737">
        <v>1</v>
      </c>
      <c r="AU737" t="s">
        <v>409</v>
      </c>
      <c r="AV737" t="s">
        <v>410</v>
      </c>
      <c r="AW737" t="s">
        <v>60</v>
      </c>
      <c r="AX737" t="s">
        <v>68</v>
      </c>
      <c r="AY737" t="s">
        <v>69</v>
      </c>
      <c r="AZ737" t="b">
        <v>1</v>
      </c>
    </row>
    <row r="738" spans="1:52" x14ac:dyDescent="0.3">
      <c r="A738" t="s">
        <v>52</v>
      </c>
      <c r="B738" t="s">
        <v>53</v>
      </c>
      <c r="C738" t="s">
        <v>54</v>
      </c>
      <c r="D738" t="s">
        <v>55</v>
      </c>
      <c r="E738" t="s">
        <v>795</v>
      </c>
      <c r="F738" t="s">
        <v>512</v>
      </c>
      <c r="G738" t="s">
        <v>530</v>
      </c>
      <c r="H738" t="s">
        <v>531</v>
      </c>
      <c r="I738" t="s">
        <v>531</v>
      </c>
      <c r="J738" t="s">
        <v>60</v>
      </c>
      <c r="K738" t="s">
        <v>185</v>
      </c>
      <c r="L738" t="s">
        <v>62</v>
      </c>
      <c r="M738" t="s">
        <v>185</v>
      </c>
      <c r="N738" t="s">
        <v>532</v>
      </c>
      <c r="O738" t="s">
        <v>533</v>
      </c>
      <c r="P738">
        <v>-19.625264000000001</v>
      </c>
      <c r="Q738">
        <v>-43.889451000000001</v>
      </c>
      <c r="R738" s="2" t="str">
        <f>HYPERLINK("https://www.google.com/maps?q=-19.6252640,-43.8894510","Abrir no Google Maps")</f>
        <v>Abrir no Google Maps</v>
      </c>
      <c r="S738">
        <v>3</v>
      </c>
      <c r="T738">
        <v>466.11340370665903</v>
      </c>
      <c r="U738">
        <v>3</v>
      </c>
      <c r="V738">
        <v>0.46270005895979921</v>
      </c>
      <c r="W738">
        <v>0.85</v>
      </c>
      <c r="X738">
        <v>0.39329505011582933</v>
      </c>
      <c r="Y738">
        <v>18</v>
      </c>
      <c r="Z738">
        <v>320.77337440837812</v>
      </c>
      <c r="AA738">
        <v>2</v>
      </c>
      <c r="AB738">
        <v>3</v>
      </c>
      <c r="AC738">
        <v>7</v>
      </c>
      <c r="AD738">
        <v>26.01</v>
      </c>
      <c r="AE738">
        <v>253</v>
      </c>
      <c r="AF738">
        <v>17</v>
      </c>
      <c r="AG738">
        <v>60</v>
      </c>
      <c r="AH738">
        <v>32</v>
      </c>
      <c r="AI738">
        <v>6.72</v>
      </c>
      <c r="AJ738">
        <v>23.72</v>
      </c>
      <c r="AK738">
        <v>12.65</v>
      </c>
      <c r="AL738">
        <v>-19.62516189999997</v>
      </c>
      <c r="AM738">
        <v>-43.88954614566876</v>
      </c>
      <c r="AN738">
        <v>-19.62516189999997</v>
      </c>
      <c r="AO738">
        <v>-43.88954614566876</v>
      </c>
      <c r="AP738">
        <v>-19.625264000000001</v>
      </c>
      <c r="AQ738">
        <v>-43.889451000000001</v>
      </c>
      <c r="AR738">
        <v>15.12310549834147</v>
      </c>
      <c r="AS738" t="s">
        <v>65</v>
      </c>
      <c r="AT738">
        <v>1</v>
      </c>
      <c r="AU738" t="s">
        <v>534</v>
      </c>
      <c r="AV738" t="s">
        <v>535</v>
      </c>
      <c r="AW738" t="s">
        <v>60</v>
      </c>
      <c r="AX738" t="s">
        <v>68</v>
      </c>
      <c r="AY738" t="s">
        <v>69</v>
      </c>
      <c r="AZ738" t="b">
        <v>1</v>
      </c>
    </row>
    <row r="739" spans="1:52" x14ac:dyDescent="0.3">
      <c r="A739" t="s">
        <v>52</v>
      </c>
      <c r="B739" t="s">
        <v>53</v>
      </c>
      <c r="C739" t="s">
        <v>54</v>
      </c>
      <c r="D739" t="s">
        <v>55</v>
      </c>
      <c r="E739" t="s">
        <v>795</v>
      </c>
      <c r="F739" t="s">
        <v>512</v>
      </c>
      <c r="G739" t="s">
        <v>394</v>
      </c>
      <c r="H739" t="s">
        <v>395</v>
      </c>
      <c r="I739" t="s">
        <v>395</v>
      </c>
      <c r="J739" t="s">
        <v>60</v>
      </c>
      <c r="K739" t="s">
        <v>286</v>
      </c>
      <c r="L739" t="s">
        <v>62</v>
      </c>
      <c r="M739" t="s">
        <v>286</v>
      </c>
      <c r="N739" t="s">
        <v>396</v>
      </c>
      <c r="O739" t="s">
        <v>88</v>
      </c>
      <c r="P739">
        <v>-19.636932999999999</v>
      </c>
      <c r="Q739">
        <v>-43.882691999999999</v>
      </c>
      <c r="R739" s="2" t="str">
        <f>HYPERLINK("https://www.google.com/maps?q=-19.6369330,-43.8826920","Abrir no Google Maps")</f>
        <v>Abrir no Google Maps</v>
      </c>
      <c r="S739">
        <v>3</v>
      </c>
      <c r="T739">
        <v>523.52675813688109</v>
      </c>
      <c r="U739">
        <v>3</v>
      </c>
      <c r="V739">
        <v>0.4090908420549853</v>
      </c>
      <c r="W739">
        <v>1</v>
      </c>
      <c r="X739">
        <v>0.4090908420549853</v>
      </c>
      <c r="Y739">
        <v>10</v>
      </c>
      <c r="Z739">
        <v>372.58135532659509</v>
      </c>
      <c r="AA739">
        <v>2</v>
      </c>
      <c r="AB739">
        <v>3</v>
      </c>
      <c r="AC739">
        <v>7</v>
      </c>
      <c r="AD739">
        <v>26.01</v>
      </c>
      <c r="AE739">
        <v>253</v>
      </c>
      <c r="AF739">
        <v>17</v>
      </c>
      <c r="AG739">
        <v>60</v>
      </c>
      <c r="AH739">
        <v>32</v>
      </c>
      <c r="AI739">
        <v>6.72</v>
      </c>
      <c r="AJ739">
        <v>23.72</v>
      </c>
      <c r="AK739">
        <v>12.65</v>
      </c>
      <c r="AL739">
        <v>-19.637159949999951</v>
      </c>
      <c r="AM739">
        <v>-43.882643289441461</v>
      </c>
      <c r="AN739">
        <v>-19.637159949999951</v>
      </c>
      <c r="AO739">
        <v>-43.882643289441461</v>
      </c>
      <c r="AP739">
        <v>-19.636932999999999</v>
      </c>
      <c r="AQ739">
        <v>-43.882691999999999</v>
      </c>
      <c r="AR739">
        <v>25.775099947452478</v>
      </c>
      <c r="AS739" t="s">
        <v>65</v>
      </c>
      <c r="AT739">
        <v>1</v>
      </c>
      <c r="AU739" t="s">
        <v>397</v>
      </c>
      <c r="AV739" t="s">
        <v>398</v>
      </c>
      <c r="AW739" t="s">
        <v>60</v>
      </c>
      <c r="AX739" t="s">
        <v>68</v>
      </c>
      <c r="AY739" t="s">
        <v>69</v>
      </c>
      <c r="AZ739" t="b">
        <v>1</v>
      </c>
    </row>
    <row r="740" spans="1:52" x14ac:dyDescent="0.3">
      <c r="A740" t="s">
        <v>52</v>
      </c>
      <c r="B740" t="s">
        <v>53</v>
      </c>
      <c r="C740" t="s">
        <v>54</v>
      </c>
      <c r="D740" t="s">
        <v>55</v>
      </c>
      <c r="E740" t="s">
        <v>795</v>
      </c>
      <c r="F740" t="s">
        <v>512</v>
      </c>
      <c r="G740" t="s">
        <v>399</v>
      </c>
      <c r="H740" t="s">
        <v>400</v>
      </c>
      <c r="I740" t="s">
        <v>400</v>
      </c>
      <c r="J740" t="s">
        <v>60</v>
      </c>
      <c r="K740" t="s">
        <v>286</v>
      </c>
      <c r="L740" t="s">
        <v>62</v>
      </c>
      <c r="M740" t="s">
        <v>286</v>
      </c>
      <c r="N740" t="s">
        <v>401</v>
      </c>
      <c r="O740" t="s">
        <v>402</v>
      </c>
      <c r="P740">
        <v>-19.639906</v>
      </c>
      <c r="Q740">
        <v>-43.886059000000003</v>
      </c>
      <c r="R740" s="2" t="str">
        <f>HYPERLINK("https://www.google.com/maps?q=-19.6399060,-43.8860590","Abrir no Google Maps")</f>
        <v>Abrir no Google Maps</v>
      </c>
      <c r="S740">
        <v>3</v>
      </c>
      <c r="T740">
        <v>256.0748811302048</v>
      </c>
      <c r="U740">
        <v>3</v>
      </c>
      <c r="V740">
        <v>0.40370753693201711</v>
      </c>
      <c r="W740">
        <v>1</v>
      </c>
      <c r="X740">
        <v>0.40370753693201711</v>
      </c>
      <c r="Y740">
        <v>10</v>
      </c>
      <c r="Z740">
        <v>205.06236700857289</v>
      </c>
      <c r="AA740">
        <v>2</v>
      </c>
      <c r="AB740">
        <v>3</v>
      </c>
      <c r="AC740">
        <v>7</v>
      </c>
      <c r="AD740">
        <v>26.01</v>
      </c>
      <c r="AE740">
        <v>253</v>
      </c>
      <c r="AF740">
        <v>17</v>
      </c>
      <c r="AG740">
        <v>60</v>
      </c>
      <c r="AH740">
        <v>32</v>
      </c>
      <c r="AI740">
        <v>6.72</v>
      </c>
      <c r="AJ740">
        <v>23.72</v>
      </c>
      <c r="AK740">
        <v>12.65</v>
      </c>
      <c r="AL740">
        <v>-19.639789499999949</v>
      </c>
      <c r="AM740">
        <v>-43.885737855031408</v>
      </c>
      <c r="AN740">
        <v>-19.639789499999949</v>
      </c>
      <c r="AO740">
        <v>-43.885737855031408</v>
      </c>
      <c r="AP740">
        <v>-19.639906</v>
      </c>
      <c r="AQ740">
        <v>-43.886059000000003</v>
      </c>
      <c r="AR740">
        <v>36.081349702130403</v>
      </c>
      <c r="AS740" t="s">
        <v>65</v>
      </c>
      <c r="AT740">
        <v>1</v>
      </c>
      <c r="AU740" t="s">
        <v>403</v>
      </c>
      <c r="AV740" t="s">
        <v>404</v>
      </c>
      <c r="AW740" t="s">
        <v>60</v>
      </c>
      <c r="AX740" t="s">
        <v>68</v>
      </c>
      <c r="AY740" t="s">
        <v>69</v>
      </c>
      <c r="AZ740" t="b">
        <v>1</v>
      </c>
    </row>
    <row r="741" spans="1:52" x14ac:dyDescent="0.3">
      <c r="A741" t="s">
        <v>52</v>
      </c>
      <c r="B741" t="s">
        <v>53</v>
      </c>
      <c r="C741" t="s">
        <v>54</v>
      </c>
      <c r="D741" t="s">
        <v>55</v>
      </c>
      <c r="E741" t="s">
        <v>795</v>
      </c>
      <c r="F741" t="s">
        <v>512</v>
      </c>
      <c r="G741" t="s">
        <v>411</v>
      </c>
      <c r="H741" t="s">
        <v>412</v>
      </c>
      <c r="I741" t="s">
        <v>412</v>
      </c>
      <c r="J741" t="s">
        <v>60</v>
      </c>
      <c r="K741" t="s">
        <v>179</v>
      </c>
      <c r="L741" t="s">
        <v>62</v>
      </c>
      <c r="M741" t="s">
        <v>179</v>
      </c>
      <c r="N741" t="s">
        <v>413</v>
      </c>
      <c r="O741" t="s">
        <v>414</v>
      </c>
      <c r="P741">
        <v>-19.650079000000002</v>
      </c>
      <c r="Q741">
        <v>-43.884253999999999</v>
      </c>
      <c r="R741" s="2" t="str">
        <f>HYPERLINK("https://www.google.com/maps?q=-19.6500790,-43.8842540","Abrir no Google Maps")</f>
        <v>Abrir no Google Maps</v>
      </c>
      <c r="S741">
        <v>3</v>
      </c>
      <c r="T741">
        <v>797.21430129715498</v>
      </c>
      <c r="U741">
        <v>3</v>
      </c>
      <c r="V741">
        <v>0.40679456659741459</v>
      </c>
      <c r="W741">
        <v>1</v>
      </c>
      <c r="X741">
        <v>0.40679456659741459</v>
      </c>
      <c r="Y741">
        <v>10</v>
      </c>
      <c r="Z741">
        <v>774.04145012702554</v>
      </c>
      <c r="AA741">
        <v>2</v>
      </c>
      <c r="AB741">
        <v>3</v>
      </c>
      <c r="AC741">
        <v>7</v>
      </c>
      <c r="AD741">
        <v>26.01</v>
      </c>
      <c r="AE741">
        <v>253</v>
      </c>
      <c r="AF741">
        <v>17</v>
      </c>
      <c r="AG741">
        <v>60</v>
      </c>
      <c r="AH741">
        <v>32</v>
      </c>
      <c r="AI741">
        <v>6.72</v>
      </c>
      <c r="AJ741">
        <v>23.72</v>
      </c>
      <c r="AK741">
        <v>12.65</v>
      </c>
      <c r="AL741">
        <v>-19.649199399999961</v>
      </c>
      <c r="AM741">
        <v>-43.883888390043637</v>
      </c>
      <c r="AN741">
        <v>-19.649199399999961</v>
      </c>
      <c r="AO741">
        <v>-43.883888390043637</v>
      </c>
      <c r="AP741">
        <v>-19.650079000000002</v>
      </c>
      <c r="AQ741">
        <v>-43.884253999999999</v>
      </c>
      <c r="AR741">
        <v>105.1518915696123</v>
      </c>
      <c r="AS741" t="s">
        <v>65</v>
      </c>
      <c r="AT741">
        <v>1</v>
      </c>
      <c r="AU741" t="s">
        <v>415</v>
      </c>
      <c r="AV741" t="s">
        <v>416</v>
      </c>
      <c r="AW741" t="s">
        <v>60</v>
      </c>
      <c r="AX741" t="s">
        <v>68</v>
      </c>
      <c r="AY741" t="s">
        <v>69</v>
      </c>
      <c r="AZ741" t="b">
        <v>1</v>
      </c>
    </row>
    <row r="742" spans="1:52" x14ac:dyDescent="0.3">
      <c r="A742" t="s">
        <v>52</v>
      </c>
      <c r="B742" t="s">
        <v>53</v>
      </c>
      <c r="C742" t="s">
        <v>54</v>
      </c>
      <c r="D742" t="s">
        <v>55</v>
      </c>
      <c r="E742" t="s">
        <v>795</v>
      </c>
      <c r="F742" t="s">
        <v>512</v>
      </c>
      <c r="G742" t="s">
        <v>525</v>
      </c>
      <c r="H742" t="s">
        <v>526</v>
      </c>
      <c r="I742" t="s">
        <v>526</v>
      </c>
      <c r="J742" t="s">
        <v>60</v>
      </c>
      <c r="K742" t="s">
        <v>286</v>
      </c>
      <c r="L742" t="s">
        <v>62</v>
      </c>
      <c r="M742" t="s">
        <v>286</v>
      </c>
      <c r="N742" t="s">
        <v>527</v>
      </c>
      <c r="O742" t="s">
        <v>113</v>
      </c>
      <c r="P742">
        <v>-19.629049999999999</v>
      </c>
      <c r="Q742">
        <v>-43.887543000000001</v>
      </c>
      <c r="R742" s="2" t="str">
        <f>HYPERLINK("https://www.google.com/maps?q=-19.6290500,-43.8875430","Abrir no Google Maps")</f>
        <v>Abrir no Google Maps</v>
      </c>
      <c r="S742">
        <v>3</v>
      </c>
      <c r="T742">
        <v>420.9244758141914</v>
      </c>
      <c r="U742">
        <v>2</v>
      </c>
      <c r="V742">
        <v>0.42706902436462929</v>
      </c>
      <c r="W742">
        <v>0.85</v>
      </c>
      <c r="X742">
        <v>0.36300867070993492</v>
      </c>
      <c r="Y742">
        <v>18</v>
      </c>
      <c r="Z742">
        <v>298.16529694300579</v>
      </c>
      <c r="AA742">
        <v>2</v>
      </c>
      <c r="AB742">
        <v>3</v>
      </c>
      <c r="AC742">
        <v>7</v>
      </c>
      <c r="AD742">
        <v>26.01</v>
      </c>
      <c r="AE742">
        <v>253</v>
      </c>
      <c r="AF742">
        <v>17</v>
      </c>
      <c r="AG742">
        <v>60</v>
      </c>
      <c r="AH742">
        <v>32</v>
      </c>
      <c r="AI742">
        <v>6.72</v>
      </c>
      <c r="AJ742">
        <v>23.72</v>
      </c>
      <c r="AK742">
        <v>12.65</v>
      </c>
      <c r="AL742">
        <v>-19.62914789999996</v>
      </c>
      <c r="AM742">
        <v>-43.887659532387332</v>
      </c>
      <c r="AN742">
        <v>-19.62914789999996</v>
      </c>
      <c r="AO742">
        <v>-43.887659532387332</v>
      </c>
      <c r="AP742">
        <v>-19.629049999999999</v>
      </c>
      <c r="AQ742">
        <v>-43.887543000000001</v>
      </c>
      <c r="AR742">
        <v>16.372645779361299</v>
      </c>
      <c r="AS742" t="s">
        <v>65</v>
      </c>
      <c r="AT742">
        <v>1</v>
      </c>
      <c r="AU742" t="s">
        <v>528</v>
      </c>
      <c r="AV742" t="s">
        <v>529</v>
      </c>
      <c r="AW742" t="s">
        <v>60</v>
      </c>
      <c r="AX742" t="s">
        <v>68</v>
      </c>
      <c r="AY742" t="s">
        <v>69</v>
      </c>
      <c r="AZ742" t="b">
        <v>1</v>
      </c>
    </row>
    <row r="743" spans="1:52" x14ac:dyDescent="0.3">
      <c r="A743" t="s">
        <v>52</v>
      </c>
      <c r="B743" t="s">
        <v>53</v>
      </c>
      <c r="C743" t="s">
        <v>54</v>
      </c>
      <c r="D743" t="s">
        <v>55</v>
      </c>
      <c r="E743" t="s">
        <v>795</v>
      </c>
      <c r="F743" t="s">
        <v>512</v>
      </c>
      <c r="G743" t="s">
        <v>536</v>
      </c>
      <c r="H743" t="s">
        <v>537</v>
      </c>
      <c r="I743" t="s">
        <v>537</v>
      </c>
      <c r="J743" t="s">
        <v>60</v>
      </c>
      <c r="K743" t="s">
        <v>185</v>
      </c>
      <c r="L743" t="s">
        <v>62</v>
      </c>
      <c r="M743" t="s">
        <v>185</v>
      </c>
      <c r="N743" t="s">
        <v>538</v>
      </c>
      <c r="O743" t="s">
        <v>408</v>
      </c>
      <c r="P743">
        <v>-19.630147999999998</v>
      </c>
      <c r="Q743">
        <v>-43.893844000000001</v>
      </c>
      <c r="R743" s="2" t="str">
        <f>HYPERLINK("https://www.google.com/maps?q=-19.6301480,-43.8938440","Abrir no Google Maps")</f>
        <v>Abrir no Google Maps</v>
      </c>
      <c r="S743">
        <v>3</v>
      </c>
      <c r="T743">
        <v>262.94285160220159</v>
      </c>
      <c r="U743">
        <v>2</v>
      </c>
      <c r="V743">
        <v>0.45639990827791788</v>
      </c>
      <c r="W743">
        <v>0.85</v>
      </c>
      <c r="X743">
        <v>0.38793992203623018</v>
      </c>
      <c r="Y743">
        <v>18</v>
      </c>
      <c r="Z743">
        <v>351.25774094845309</v>
      </c>
      <c r="AA743">
        <v>2</v>
      </c>
      <c r="AB743">
        <v>3</v>
      </c>
      <c r="AC743">
        <v>7</v>
      </c>
      <c r="AD743">
        <v>26.01</v>
      </c>
      <c r="AE743">
        <v>253</v>
      </c>
      <c r="AF743">
        <v>17</v>
      </c>
      <c r="AG743">
        <v>60</v>
      </c>
      <c r="AH743">
        <v>32</v>
      </c>
      <c r="AI743">
        <v>6.72</v>
      </c>
      <c r="AJ743">
        <v>23.72</v>
      </c>
      <c r="AK743">
        <v>12.65</v>
      </c>
      <c r="AL743">
        <v>-19.630177599999939</v>
      </c>
      <c r="AM743">
        <v>-43.893752755034278</v>
      </c>
      <c r="AN743">
        <v>-19.630177599999939</v>
      </c>
      <c r="AO743">
        <v>-43.893752755034278</v>
      </c>
      <c r="AP743">
        <v>-19.630147999999998</v>
      </c>
      <c r="AQ743">
        <v>-43.893844000000001</v>
      </c>
      <c r="AR743">
        <v>10.1185927114604</v>
      </c>
      <c r="AS743" t="s">
        <v>65</v>
      </c>
      <c r="AT743">
        <v>1</v>
      </c>
      <c r="AU743" t="s">
        <v>539</v>
      </c>
      <c r="AV743" t="s">
        <v>540</v>
      </c>
      <c r="AW743" t="s">
        <v>60</v>
      </c>
      <c r="AX743" t="s">
        <v>68</v>
      </c>
      <c r="AY743" t="s">
        <v>69</v>
      </c>
      <c r="AZ743" t="b">
        <v>1</v>
      </c>
    </row>
    <row r="744" spans="1:52" x14ac:dyDescent="0.3">
      <c r="A744" t="s">
        <v>52</v>
      </c>
      <c r="B744" t="s">
        <v>53</v>
      </c>
      <c r="C744" t="s">
        <v>54</v>
      </c>
      <c r="D744" t="s">
        <v>55</v>
      </c>
      <c r="E744" t="s">
        <v>795</v>
      </c>
      <c r="F744" t="s">
        <v>512</v>
      </c>
      <c r="G744" t="s">
        <v>541</v>
      </c>
      <c r="H744" t="s">
        <v>542</v>
      </c>
      <c r="I744" t="s">
        <v>542</v>
      </c>
      <c r="J744" t="s">
        <v>60</v>
      </c>
      <c r="K744" t="s">
        <v>445</v>
      </c>
      <c r="L744" t="s">
        <v>62</v>
      </c>
      <c r="M744" t="s">
        <v>445</v>
      </c>
      <c r="N744" t="s">
        <v>543</v>
      </c>
      <c r="O744" t="s">
        <v>328</v>
      </c>
      <c r="P744">
        <v>-19.642263</v>
      </c>
      <c r="Q744">
        <v>-43.881428999999997</v>
      </c>
      <c r="R744" s="2" t="str">
        <f>HYPERLINK("https://www.google.com/maps?q=-19.6422630,-43.8814290","Abrir no Google Maps")</f>
        <v>Abrir no Google Maps</v>
      </c>
      <c r="S744">
        <v>3</v>
      </c>
      <c r="T744">
        <v>0</v>
      </c>
      <c r="U744">
        <v>2</v>
      </c>
      <c r="V744">
        <v>0.41138706987944418</v>
      </c>
      <c r="W744">
        <v>0.85</v>
      </c>
      <c r="X744">
        <v>0.34967900939752761</v>
      </c>
      <c r="Y744">
        <v>10</v>
      </c>
      <c r="Z744">
        <v>162.4764384685345</v>
      </c>
      <c r="AA744">
        <v>2</v>
      </c>
      <c r="AB744">
        <v>3</v>
      </c>
      <c r="AC744">
        <v>7</v>
      </c>
      <c r="AD744">
        <v>26.01</v>
      </c>
      <c r="AE744">
        <v>253</v>
      </c>
      <c r="AF744">
        <v>17</v>
      </c>
      <c r="AG744">
        <v>60</v>
      </c>
      <c r="AH744">
        <v>32</v>
      </c>
      <c r="AI744">
        <v>6.72</v>
      </c>
      <c r="AJ744">
        <v>23.72</v>
      </c>
      <c r="AK744">
        <v>12.65</v>
      </c>
      <c r="AL744">
        <v>-19.642346249999949</v>
      </c>
      <c r="AM744">
        <v>-43.881546938715289</v>
      </c>
      <c r="AN744">
        <v>-19.642346249999939</v>
      </c>
      <c r="AO744">
        <v>-43.881546938715289</v>
      </c>
      <c r="AP744">
        <v>-19.642263</v>
      </c>
      <c r="AQ744">
        <v>-43.881428999999997</v>
      </c>
      <c r="AR744">
        <v>15.45239906956777</v>
      </c>
      <c r="AS744" t="s">
        <v>65</v>
      </c>
      <c r="AT744">
        <v>1</v>
      </c>
      <c r="AU744" t="s">
        <v>544</v>
      </c>
      <c r="AV744" t="s">
        <v>545</v>
      </c>
      <c r="AW744" t="s">
        <v>60</v>
      </c>
      <c r="AX744" t="s">
        <v>68</v>
      </c>
      <c r="AY744" t="s">
        <v>69</v>
      </c>
      <c r="AZ744" t="b">
        <v>1</v>
      </c>
    </row>
    <row r="745" spans="1:52" x14ac:dyDescent="0.3">
      <c r="A745" t="s">
        <v>52</v>
      </c>
      <c r="B745" t="s">
        <v>53</v>
      </c>
      <c r="C745" t="s">
        <v>54</v>
      </c>
      <c r="D745" t="s">
        <v>55</v>
      </c>
      <c r="E745" t="s">
        <v>795</v>
      </c>
      <c r="F745" t="s">
        <v>512</v>
      </c>
      <c r="G745" t="s">
        <v>552</v>
      </c>
      <c r="H745" t="s">
        <v>553</v>
      </c>
      <c r="I745" t="s">
        <v>553</v>
      </c>
      <c r="J745" t="s">
        <v>60</v>
      </c>
      <c r="K745" t="s">
        <v>445</v>
      </c>
      <c r="L745" t="s">
        <v>62</v>
      </c>
      <c r="M745" t="s">
        <v>445</v>
      </c>
      <c r="N745" t="s">
        <v>554</v>
      </c>
      <c r="O745" t="s">
        <v>207</v>
      </c>
      <c r="P745">
        <v>-19.641549999999999</v>
      </c>
      <c r="Q745">
        <v>-43.873263999999999</v>
      </c>
      <c r="R745" s="2" t="str">
        <f>HYPERLINK("https://www.google.com/maps?q=-19.6415500,-43.8732640","Abrir no Google Maps")</f>
        <v>Abrir no Google Maps</v>
      </c>
      <c r="S745">
        <v>3</v>
      </c>
      <c r="T745">
        <v>879.45465995735231</v>
      </c>
      <c r="U745">
        <v>2</v>
      </c>
      <c r="V745">
        <v>0.42502486122383071</v>
      </c>
      <c r="W745">
        <v>0.85</v>
      </c>
      <c r="X745">
        <v>0.36127113204025613</v>
      </c>
      <c r="Y745">
        <v>10</v>
      </c>
      <c r="Z745">
        <v>830.70905214077095</v>
      </c>
      <c r="AA745">
        <v>2</v>
      </c>
      <c r="AB745">
        <v>3</v>
      </c>
      <c r="AC745">
        <v>7</v>
      </c>
      <c r="AD745">
        <v>26.01</v>
      </c>
      <c r="AE745">
        <v>253</v>
      </c>
      <c r="AF745">
        <v>17</v>
      </c>
      <c r="AG745">
        <v>60</v>
      </c>
      <c r="AH745">
        <v>32</v>
      </c>
      <c r="AI745">
        <v>6.72</v>
      </c>
      <c r="AJ745">
        <v>23.72</v>
      </c>
      <c r="AK745">
        <v>12.65</v>
      </c>
      <c r="AL745">
        <v>-19.641459949999959</v>
      </c>
      <c r="AM745">
        <v>-43.873212145688711</v>
      </c>
      <c r="AN745">
        <v>-19.641459949999959</v>
      </c>
      <c r="AO745">
        <v>-43.873212145688711</v>
      </c>
      <c r="AP745">
        <v>-19.641549999999999</v>
      </c>
      <c r="AQ745">
        <v>-43.873263999999999</v>
      </c>
      <c r="AR745">
        <v>11.40368340137019</v>
      </c>
      <c r="AS745" t="s">
        <v>65</v>
      </c>
      <c r="AT745">
        <v>1</v>
      </c>
      <c r="AU745" t="s">
        <v>555</v>
      </c>
      <c r="AV745" t="s">
        <v>556</v>
      </c>
      <c r="AW745" t="s">
        <v>60</v>
      </c>
      <c r="AX745" t="s">
        <v>68</v>
      </c>
      <c r="AY745" t="s">
        <v>69</v>
      </c>
      <c r="AZ745" t="b">
        <v>1</v>
      </c>
    </row>
    <row r="746" spans="1:52" x14ac:dyDescent="0.3">
      <c r="A746" t="s">
        <v>52</v>
      </c>
      <c r="B746" t="s">
        <v>53</v>
      </c>
      <c r="C746" t="s">
        <v>54</v>
      </c>
      <c r="D746" t="s">
        <v>55</v>
      </c>
      <c r="E746" t="s">
        <v>795</v>
      </c>
      <c r="F746" t="s">
        <v>512</v>
      </c>
      <c r="G746" t="s">
        <v>557</v>
      </c>
      <c r="H746" t="s">
        <v>558</v>
      </c>
      <c r="I746" t="s">
        <v>558</v>
      </c>
      <c r="J746" t="s">
        <v>60</v>
      </c>
      <c r="K746" t="s">
        <v>445</v>
      </c>
      <c r="L746" t="s">
        <v>62</v>
      </c>
      <c r="M746" t="s">
        <v>445</v>
      </c>
      <c r="N746" t="s">
        <v>559</v>
      </c>
      <c r="O746" t="s">
        <v>560</v>
      </c>
      <c r="P746">
        <v>-19.641839000000001</v>
      </c>
      <c r="Q746">
        <v>-43.876227</v>
      </c>
      <c r="R746" s="2" t="str">
        <f>HYPERLINK("https://www.google.com/maps?q=-19.6418390,-43.8762270","Abrir no Google Maps")</f>
        <v>Abrir no Google Maps</v>
      </c>
      <c r="S746">
        <v>3</v>
      </c>
      <c r="T746">
        <v>564.50471877254449</v>
      </c>
      <c r="U746">
        <v>2</v>
      </c>
      <c r="V746">
        <v>0.4283182110090461</v>
      </c>
      <c r="W746">
        <v>0.85</v>
      </c>
      <c r="X746">
        <v>0.36407047935768921</v>
      </c>
      <c r="Y746">
        <v>10</v>
      </c>
      <c r="Z746">
        <v>490.40238336341412</v>
      </c>
      <c r="AA746">
        <v>2</v>
      </c>
      <c r="AB746">
        <v>3</v>
      </c>
      <c r="AC746">
        <v>7</v>
      </c>
      <c r="AD746">
        <v>26.01</v>
      </c>
      <c r="AE746">
        <v>253</v>
      </c>
      <c r="AF746">
        <v>17</v>
      </c>
      <c r="AG746">
        <v>60</v>
      </c>
      <c r="AH746">
        <v>32</v>
      </c>
      <c r="AI746">
        <v>6.72</v>
      </c>
      <c r="AJ746">
        <v>23.72</v>
      </c>
      <c r="AK746">
        <v>12.65</v>
      </c>
      <c r="AL746">
        <v>-19.641880699999941</v>
      </c>
      <c r="AM746">
        <v>-43.876185869580858</v>
      </c>
      <c r="AN746">
        <v>-19.641880699999941</v>
      </c>
      <c r="AO746">
        <v>-43.876185869580858</v>
      </c>
      <c r="AP746">
        <v>-19.641839000000001</v>
      </c>
      <c r="AQ746">
        <v>-43.876227</v>
      </c>
      <c r="AR746">
        <v>6.3359121862683301</v>
      </c>
      <c r="AS746" t="s">
        <v>65</v>
      </c>
      <c r="AT746">
        <v>1</v>
      </c>
      <c r="AU746" t="s">
        <v>561</v>
      </c>
      <c r="AV746" t="s">
        <v>562</v>
      </c>
      <c r="AW746" t="s">
        <v>60</v>
      </c>
      <c r="AX746" t="s">
        <v>68</v>
      </c>
      <c r="AY746" t="s">
        <v>69</v>
      </c>
      <c r="AZ746" t="b">
        <v>1</v>
      </c>
    </row>
    <row r="747" spans="1:52" x14ac:dyDescent="0.3">
      <c r="A747" t="s">
        <v>52</v>
      </c>
      <c r="B747" t="s">
        <v>53</v>
      </c>
      <c r="C747" t="s">
        <v>54</v>
      </c>
      <c r="D747" t="s">
        <v>55</v>
      </c>
      <c r="E747" t="s">
        <v>795</v>
      </c>
      <c r="F747" t="s">
        <v>512</v>
      </c>
      <c r="G747" t="s">
        <v>563</v>
      </c>
      <c r="H747" t="s">
        <v>564</v>
      </c>
      <c r="I747" t="s">
        <v>564</v>
      </c>
      <c r="J747" t="s">
        <v>60</v>
      </c>
      <c r="K747" t="s">
        <v>445</v>
      </c>
      <c r="L747" t="s">
        <v>62</v>
      </c>
      <c r="M747" t="s">
        <v>445</v>
      </c>
      <c r="N747" t="s">
        <v>565</v>
      </c>
      <c r="O747" t="s">
        <v>566</v>
      </c>
      <c r="P747">
        <v>-19.645859000000002</v>
      </c>
      <c r="Q747">
        <v>-43.878008000000001</v>
      </c>
      <c r="R747" s="2" t="str">
        <f>HYPERLINK("https://www.google.com/maps?q=-19.6458590,-43.8780080","Abrir no Google Maps")</f>
        <v>Abrir no Google Maps</v>
      </c>
      <c r="S747">
        <v>3</v>
      </c>
      <c r="T747">
        <v>535.60651658514928</v>
      </c>
      <c r="U747">
        <v>2</v>
      </c>
      <c r="V747">
        <v>0.41103044934395599</v>
      </c>
      <c r="W747">
        <v>0.85</v>
      </c>
      <c r="X747">
        <v>0.34937588194236258</v>
      </c>
      <c r="Y747">
        <v>10</v>
      </c>
      <c r="Z747">
        <v>356.77070476702067</v>
      </c>
      <c r="AA747">
        <v>2</v>
      </c>
      <c r="AB747">
        <v>3</v>
      </c>
      <c r="AC747">
        <v>7</v>
      </c>
      <c r="AD747">
        <v>26.01</v>
      </c>
      <c r="AE747">
        <v>253</v>
      </c>
      <c r="AF747">
        <v>17</v>
      </c>
      <c r="AG747">
        <v>60</v>
      </c>
      <c r="AH747">
        <v>32</v>
      </c>
      <c r="AI747">
        <v>6.72</v>
      </c>
      <c r="AJ747">
        <v>23.72</v>
      </c>
      <c r="AK747">
        <v>12.65</v>
      </c>
      <c r="AL747">
        <v>-19.645894599999959</v>
      </c>
      <c r="AM747">
        <v>-43.878073476665591</v>
      </c>
      <c r="AN747">
        <v>-19.645894599999959</v>
      </c>
      <c r="AO747">
        <v>-43.878073476665591</v>
      </c>
      <c r="AP747">
        <v>-19.645859000000002</v>
      </c>
      <c r="AQ747">
        <v>-43.878008000000001</v>
      </c>
      <c r="AR747">
        <v>7.9263849189726594</v>
      </c>
      <c r="AS747" t="s">
        <v>65</v>
      </c>
      <c r="AT747">
        <v>1</v>
      </c>
      <c r="AU747" t="s">
        <v>567</v>
      </c>
      <c r="AV747" t="s">
        <v>568</v>
      </c>
      <c r="AW747" t="s">
        <v>60</v>
      </c>
      <c r="AX747" t="s">
        <v>68</v>
      </c>
      <c r="AY747" t="s">
        <v>69</v>
      </c>
      <c r="AZ747" t="b">
        <v>1</v>
      </c>
    </row>
    <row r="748" spans="1:52" x14ac:dyDescent="0.3">
      <c r="A748" t="s">
        <v>52</v>
      </c>
      <c r="B748" t="s">
        <v>53</v>
      </c>
      <c r="C748" t="s">
        <v>54</v>
      </c>
      <c r="D748" t="s">
        <v>55</v>
      </c>
      <c r="E748" t="s">
        <v>795</v>
      </c>
      <c r="F748" t="s">
        <v>512</v>
      </c>
      <c r="G748" t="s">
        <v>586</v>
      </c>
      <c r="H748" t="s">
        <v>587</v>
      </c>
      <c r="I748" t="s">
        <v>587</v>
      </c>
      <c r="J748" t="s">
        <v>60</v>
      </c>
      <c r="K748" t="s">
        <v>286</v>
      </c>
      <c r="L748" t="s">
        <v>62</v>
      </c>
      <c r="M748" t="s">
        <v>286</v>
      </c>
      <c r="N748" t="s">
        <v>588</v>
      </c>
      <c r="O748" t="s">
        <v>589</v>
      </c>
      <c r="P748">
        <v>-19.638362999999998</v>
      </c>
      <c r="Q748">
        <v>-43.887081000000002</v>
      </c>
      <c r="R748" s="2" t="str">
        <f>HYPERLINK("https://www.google.com/maps?q=-19.6383630,-43.8870810","Abrir no Google Maps")</f>
        <v>Abrir no Google Maps</v>
      </c>
      <c r="S748">
        <v>3</v>
      </c>
      <c r="T748">
        <v>521.16909902210193</v>
      </c>
      <c r="U748">
        <v>2</v>
      </c>
      <c r="V748">
        <v>0.39946033266229991</v>
      </c>
      <c r="W748">
        <v>0.85</v>
      </c>
      <c r="X748">
        <v>0.33954128276295492</v>
      </c>
      <c r="Y748">
        <v>10</v>
      </c>
      <c r="Z748">
        <v>416.66355243950221</v>
      </c>
      <c r="AA748">
        <v>2</v>
      </c>
      <c r="AB748">
        <v>3</v>
      </c>
      <c r="AC748">
        <v>7</v>
      </c>
      <c r="AD748">
        <v>26.01</v>
      </c>
      <c r="AE748">
        <v>253</v>
      </c>
      <c r="AF748">
        <v>17</v>
      </c>
      <c r="AG748">
        <v>60</v>
      </c>
      <c r="AH748">
        <v>32</v>
      </c>
      <c r="AI748">
        <v>6.72</v>
      </c>
      <c r="AJ748">
        <v>23.72</v>
      </c>
      <c r="AK748">
        <v>12.65</v>
      </c>
      <c r="AL748">
        <v>-19.638074649999961</v>
      </c>
      <c r="AM748">
        <v>-43.887517684870552</v>
      </c>
      <c r="AN748">
        <v>-19.638074649999961</v>
      </c>
      <c r="AO748">
        <v>-43.887517684870552</v>
      </c>
      <c r="AP748">
        <v>-19.638362999999998</v>
      </c>
      <c r="AQ748">
        <v>-43.887081000000002</v>
      </c>
      <c r="AR748">
        <v>55.915550702564907</v>
      </c>
      <c r="AS748" t="s">
        <v>65</v>
      </c>
      <c r="AT748">
        <v>1</v>
      </c>
      <c r="AU748" t="s">
        <v>590</v>
      </c>
      <c r="AV748" t="s">
        <v>591</v>
      </c>
      <c r="AW748" t="s">
        <v>60</v>
      </c>
      <c r="AX748" t="s">
        <v>68</v>
      </c>
      <c r="AY748" t="s">
        <v>69</v>
      </c>
      <c r="AZ748" t="b">
        <v>1</v>
      </c>
    </row>
    <row r="749" spans="1:52" x14ac:dyDescent="0.3">
      <c r="A749" t="s">
        <v>52</v>
      </c>
      <c r="B749" t="s">
        <v>53</v>
      </c>
      <c r="C749" t="s">
        <v>54</v>
      </c>
      <c r="D749" t="s">
        <v>55</v>
      </c>
      <c r="E749" t="s">
        <v>795</v>
      </c>
      <c r="F749" t="s">
        <v>512</v>
      </c>
      <c r="G749" t="s">
        <v>575</v>
      </c>
      <c r="H749" t="s">
        <v>576</v>
      </c>
      <c r="I749" t="s">
        <v>576</v>
      </c>
      <c r="J749" t="s">
        <v>60</v>
      </c>
      <c r="K749" t="s">
        <v>445</v>
      </c>
      <c r="L749" t="s">
        <v>62</v>
      </c>
      <c r="M749" t="s">
        <v>445</v>
      </c>
      <c r="N749" t="s">
        <v>577</v>
      </c>
      <c r="O749" t="s">
        <v>214</v>
      </c>
      <c r="P749">
        <v>-19.639865</v>
      </c>
      <c r="Q749">
        <v>-43.877858000000003</v>
      </c>
      <c r="R749" s="2" t="str">
        <f>HYPERLINK("https://www.google.com/maps?q=-19.6398650,-43.8778580","Abrir no Google Maps")</f>
        <v>Abrir no Google Maps</v>
      </c>
      <c r="S749">
        <v>3</v>
      </c>
      <c r="T749">
        <v>497.47318171010488</v>
      </c>
      <c r="U749">
        <v>2</v>
      </c>
      <c r="V749">
        <v>0.4228293231948137</v>
      </c>
      <c r="W749">
        <v>0.85</v>
      </c>
      <c r="X749">
        <v>0.35940492471559171</v>
      </c>
      <c r="Y749">
        <v>10</v>
      </c>
      <c r="Z749">
        <v>547.08184956634818</v>
      </c>
      <c r="AA749">
        <v>2</v>
      </c>
      <c r="AB749">
        <v>3</v>
      </c>
      <c r="AC749">
        <v>7</v>
      </c>
      <c r="AD749">
        <v>26.01</v>
      </c>
      <c r="AE749">
        <v>253</v>
      </c>
      <c r="AF749">
        <v>17</v>
      </c>
      <c r="AG749">
        <v>60</v>
      </c>
      <c r="AH749">
        <v>32</v>
      </c>
      <c r="AI749">
        <v>6.72</v>
      </c>
      <c r="AJ749">
        <v>23.72</v>
      </c>
      <c r="AK749">
        <v>12.65</v>
      </c>
      <c r="AL749">
        <v>-19.639907499999961</v>
      </c>
      <c r="AM749">
        <v>-43.877561677180587</v>
      </c>
      <c r="AN749">
        <v>-19.639907499999961</v>
      </c>
      <c r="AO749">
        <v>-43.877561677180587</v>
      </c>
      <c r="AP749">
        <v>-19.639865</v>
      </c>
      <c r="AQ749">
        <v>-43.877858000000003</v>
      </c>
      <c r="AR749">
        <v>31.4257813556037</v>
      </c>
      <c r="AS749" t="s">
        <v>65</v>
      </c>
      <c r="AT749">
        <v>1</v>
      </c>
      <c r="AU749" t="s">
        <v>578</v>
      </c>
      <c r="AV749" t="s">
        <v>579</v>
      </c>
      <c r="AW749" t="s">
        <v>60</v>
      </c>
      <c r="AX749" t="s">
        <v>68</v>
      </c>
      <c r="AY749" t="s">
        <v>69</v>
      </c>
      <c r="AZ749" t="b">
        <v>1</v>
      </c>
    </row>
    <row r="750" spans="1:52" x14ac:dyDescent="0.3">
      <c r="A750" t="s">
        <v>52</v>
      </c>
      <c r="B750" t="s">
        <v>53</v>
      </c>
      <c r="C750" t="s">
        <v>54</v>
      </c>
      <c r="D750" t="s">
        <v>55</v>
      </c>
      <c r="E750" t="s">
        <v>795</v>
      </c>
      <c r="F750" t="s">
        <v>512</v>
      </c>
      <c r="G750" t="s">
        <v>546</v>
      </c>
      <c r="H750" t="s">
        <v>547</v>
      </c>
      <c r="I750" t="s">
        <v>547</v>
      </c>
      <c r="J750" t="s">
        <v>60</v>
      </c>
      <c r="K750" t="s">
        <v>445</v>
      </c>
      <c r="L750" t="s">
        <v>62</v>
      </c>
      <c r="M750" t="s">
        <v>445</v>
      </c>
      <c r="N750" t="s">
        <v>548</v>
      </c>
      <c r="O750" t="s">
        <v>549</v>
      </c>
      <c r="P750">
        <v>-19.642752999999999</v>
      </c>
      <c r="Q750">
        <v>-43.879080999999999</v>
      </c>
      <c r="R750" s="2" t="str">
        <f>HYPERLINK("https://www.google.com/maps?q=-19.6427530,-43.8790810","Abrir no Google Maps")</f>
        <v>Abrir no Google Maps</v>
      </c>
      <c r="S750">
        <v>3</v>
      </c>
      <c r="T750">
        <v>256.19518367376457</v>
      </c>
      <c r="U750">
        <v>1</v>
      </c>
      <c r="V750">
        <v>0.38152871791805881</v>
      </c>
      <c r="W750">
        <v>0.85</v>
      </c>
      <c r="X750">
        <v>0.32429941023035003</v>
      </c>
      <c r="Y750">
        <v>10</v>
      </c>
      <c r="Z750">
        <v>192.73978446408199</v>
      </c>
      <c r="AA750">
        <v>2</v>
      </c>
      <c r="AB750">
        <v>3</v>
      </c>
      <c r="AC750">
        <v>7</v>
      </c>
      <c r="AD750">
        <v>26.01</v>
      </c>
      <c r="AE750">
        <v>253</v>
      </c>
      <c r="AF750">
        <v>17</v>
      </c>
      <c r="AG750">
        <v>60</v>
      </c>
      <c r="AH750">
        <v>32</v>
      </c>
      <c r="AI750">
        <v>6.72</v>
      </c>
      <c r="AJ750">
        <v>23.72</v>
      </c>
      <c r="AK750">
        <v>12.65</v>
      </c>
      <c r="AL750">
        <v>-19.642703749999949</v>
      </c>
      <c r="AM750">
        <v>-43.879132974738582</v>
      </c>
      <c r="AN750">
        <v>-19.642703749999949</v>
      </c>
      <c r="AO750">
        <v>-43.879132974738582</v>
      </c>
      <c r="AP750">
        <v>-19.642752999999999</v>
      </c>
      <c r="AQ750">
        <v>-43.879080999999999</v>
      </c>
      <c r="AR750">
        <v>7.7298757823687696</v>
      </c>
      <c r="AS750" t="s">
        <v>65</v>
      </c>
      <c r="AT750">
        <v>1</v>
      </c>
      <c r="AU750" t="s">
        <v>550</v>
      </c>
      <c r="AV750" t="s">
        <v>551</v>
      </c>
      <c r="AW750" t="s">
        <v>60</v>
      </c>
      <c r="AX750" t="s">
        <v>68</v>
      </c>
      <c r="AY750" t="s">
        <v>69</v>
      </c>
      <c r="AZ750" t="b">
        <v>1</v>
      </c>
    </row>
    <row r="751" spans="1:52" x14ac:dyDescent="0.3">
      <c r="A751" t="s">
        <v>52</v>
      </c>
      <c r="B751" t="s">
        <v>53</v>
      </c>
      <c r="C751" t="s">
        <v>54</v>
      </c>
      <c r="D751" t="s">
        <v>55</v>
      </c>
      <c r="E751" t="s">
        <v>795</v>
      </c>
      <c r="F751" t="s">
        <v>512</v>
      </c>
      <c r="G751" t="s">
        <v>569</v>
      </c>
      <c r="H751" t="s">
        <v>570</v>
      </c>
      <c r="I751" t="s">
        <v>570</v>
      </c>
      <c r="J751" t="s">
        <v>60</v>
      </c>
      <c r="K751" t="s">
        <v>445</v>
      </c>
      <c r="L751" t="s">
        <v>62</v>
      </c>
      <c r="M751" t="s">
        <v>445</v>
      </c>
      <c r="N751" t="s">
        <v>571</v>
      </c>
      <c r="O751" t="s">
        <v>572</v>
      </c>
      <c r="P751">
        <v>-19.646602999999999</v>
      </c>
      <c r="Q751">
        <v>-43.879826000000001</v>
      </c>
      <c r="R751" s="2" t="str">
        <f>HYPERLINK("https://www.google.com/maps?q=-19.6466030,-43.8798260","Abrir no Google Maps")</f>
        <v>Abrir no Google Maps</v>
      </c>
      <c r="S751">
        <v>3</v>
      </c>
      <c r="T751">
        <v>497.89126003830972</v>
      </c>
      <c r="U751">
        <v>1</v>
      </c>
      <c r="V751">
        <v>0.39942365603371421</v>
      </c>
      <c r="W751">
        <v>0.85</v>
      </c>
      <c r="X751">
        <v>0.33951010762865708</v>
      </c>
      <c r="Y751">
        <v>10</v>
      </c>
      <c r="Z751">
        <v>228.69190976735251</v>
      </c>
      <c r="AA751">
        <v>2</v>
      </c>
      <c r="AB751">
        <v>3</v>
      </c>
      <c r="AC751">
        <v>7</v>
      </c>
      <c r="AD751">
        <v>26.01</v>
      </c>
      <c r="AE751">
        <v>253</v>
      </c>
      <c r="AF751">
        <v>17</v>
      </c>
      <c r="AG751">
        <v>60</v>
      </c>
      <c r="AH751">
        <v>32</v>
      </c>
      <c r="AI751">
        <v>6.72</v>
      </c>
      <c r="AJ751">
        <v>23.72</v>
      </c>
      <c r="AK751">
        <v>12.65</v>
      </c>
      <c r="AL751">
        <v>-19.646577499999982</v>
      </c>
      <c r="AM751">
        <v>-43.879934131171261</v>
      </c>
      <c r="AN751">
        <v>-19.646577499999971</v>
      </c>
      <c r="AO751">
        <v>-43.879934131171261</v>
      </c>
      <c r="AP751">
        <v>-19.646602999999999</v>
      </c>
      <c r="AQ751">
        <v>-43.879826000000001</v>
      </c>
      <c r="AR751">
        <v>11.68641198848764</v>
      </c>
      <c r="AS751" t="s">
        <v>65</v>
      </c>
      <c r="AT751">
        <v>1</v>
      </c>
      <c r="AU751" t="s">
        <v>573</v>
      </c>
      <c r="AV751" t="s">
        <v>574</v>
      </c>
      <c r="AW751" t="s">
        <v>60</v>
      </c>
      <c r="AX751" t="s">
        <v>68</v>
      </c>
      <c r="AY751" t="s">
        <v>69</v>
      </c>
      <c r="AZ751" t="b">
        <v>1</v>
      </c>
    </row>
    <row r="752" spans="1:52" x14ac:dyDescent="0.3">
      <c r="A752" t="s">
        <v>52</v>
      </c>
      <c r="B752" t="s">
        <v>53</v>
      </c>
      <c r="C752" t="s">
        <v>54</v>
      </c>
      <c r="D752" t="s">
        <v>55</v>
      </c>
      <c r="E752" t="s">
        <v>795</v>
      </c>
      <c r="F752" t="s">
        <v>512</v>
      </c>
      <c r="G752" t="s">
        <v>580</v>
      </c>
      <c r="H752" t="s">
        <v>581</v>
      </c>
      <c r="I752" t="s">
        <v>581</v>
      </c>
      <c r="J752" t="s">
        <v>60</v>
      </c>
      <c r="K752" t="s">
        <v>179</v>
      </c>
      <c r="L752" t="s">
        <v>62</v>
      </c>
      <c r="M752" t="s">
        <v>179</v>
      </c>
      <c r="N752" t="s">
        <v>582</v>
      </c>
      <c r="O752" t="s">
        <v>583</v>
      </c>
      <c r="P752">
        <v>-19.651917999999998</v>
      </c>
      <c r="Q752">
        <v>-43.888081</v>
      </c>
      <c r="R752" s="2" t="str">
        <f>HYPERLINK("https://www.google.com/maps?q=-19.6519180,-43.8880810","Abrir no Google Maps")</f>
        <v>Abrir no Google Maps</v>
      </c>
      <c r="S752">
        <v>3</v>
      </c>
      <c r="T752">
        <v>1192.758363020145</v>
      </c>
      <c r="U752">
        <v>1</v>
      </c>
      <c r="V752">
        <v>0.39291976722793959</v>
      </c>
      <c r="W752">
        <v>0.85</v>
      </c>
      <c r="X752">
        <v>0.33398180214374862</v>
      </c>
      <c r="Y752">
        <v>10</v>
      </c>
      <c r="Z752">
        <v>1164.020417046748</v>
      </c>
      <c r="AA752">
        <v>2</v>
      </c>
      <c r="AB752">
        <v>3</v>
      </c>
      <c r="AC752">
        <v>7</v>
      </c>
      <c r="AD752">
        <v>26.01</v>
      </c>
      <c r="AE752">
        <v>253</v>
      </c>
      <c r="AF752">
        <v>17</v>
      </c>
      <c r="AG752">
        <v>60</v>
      </c>
      <c r="AH752">
        <v>32</v>
      </c>
      <c r="AI752">
        <v>6.72</v>
      </c>
      <c r="AJ752">
        <v>23.72</v>
      </c>
      <c r="AK752">
        <v>12.65</v>
      </c>
      <c r="AL752">
        <v>-19.65182809999996</v>
      </c>
      <c r="AM752">
        <v>-43.887955347266519</v>
      </c>
      <c r="AN752">
        <v>-19.65182809999996</v>
      </c>
      <c r="AO752">
        <v>-43.887955347266519</v>
      </c>
      <c r="AP752">
        <v>-19.651917999999998</v>
      </c>
      <c r="AQ752">
        <v>-43.888081</v>
      </c>
      <c r="AR752">
        <v>16.543262936495491</v>
      </c>
      <c r="AS752" t="s">
        <v>65</v>
      </c>
      <c r="AT752">
        <v>1</v>
      </c>
      <c r="AU752" t="s">
        <v>584</v>
      </c>
      <c r="AV752" t="s">
        <v>585</v>
      </c>
      <c r="AW752" t="s">
        <v>60</v>
      </c>
      <c r="AX752" t="s">
        <v>68</v>
      </c>
      <c r="AY752" t="s">
        <v>69</v>
      </c>
      <c r="AZ752" t="b">
        <v>1</v>
      </c>
    </row>
    <row r="753" spans="1:52" x14ac:dyDescent="0.3">
      <c r="A753" t="s">
        <v>52</v>
      </c>
      <c r="B753" t="s">
        <v>53</v>
      </c>
      <c r="C753" t="s">
        <v>54</v>
      </c>
      <c r="D753" t="s">
        <v>55</v>
      </c>
      <c r="E753" t="s">
        <v>795</v>
      </c>
      <c r="F753" t="s">
        <v>512</v>
      </c>
      <c r="G753" t="s">
        <v>602</v>
      </c>
      <c r="H753" t="s">
        <v>603</v>
      </c>
      <c r="I753" t="s">
        <v>603</v>
      </c>
      <c r="J753" t="s">
        <v>60</v>
      </c>
      <c r="K753" t="s">
        <v>185</v>
      </c>
      <c r="L753" t="s">
        <v>62</v>
      </c>
      <c r="M753" t="s">
        <v>185</v>
      </c>
      <c r="N753" t="s">
        <v>604</v>
      </c>
      <c r="O753" t="s">
        <v>341</v>
      </c>
      <c r="P753">
        <v>-19.624801999999999</v>
      </c>
      <c r="Q753">
        <v>-43.891128999999999</v>
      </c>
      <c r="R753" s="2" t="str">
        <f>HYPERLINK("https://www.google.com/maps?q=-19.6248020,-43.8911290","Abrir no Google Maps")</f>
        <v>Abrir no Google Maps</v>
      </c>
      <c r="S753">
        <v>1</v>
      </c>
      <c r="T753">
        <v>340.53720321500958</v>
      </c>
      <c r="U753">
        <v>3</v>
      </c>
      <c r="V753">
        <v>0.46388277188921367</v>
      </c>
      <c r="W753">
        <v>0.85</v>
      </c>
      <c r="X753">
        <v>0.39430035610583158</v>
      </c>
      <c r="Y753">
        <v>18</v>
      </c>
      <c r="Z753">
        <v>362.68114540183888</v>
      </c>
      <c r="AA753">
        <v>2</v>
      </c>
      <c r="AB753">
        <v>3</v>
      </c>
      <c r="AC753">
        <v>7</v>
      </c>
      <c r="AD753">
        <v>26.01</v>
      </c>
      <c r="AE753">
        <v>253</v>
      </c>
      <c r="AF753">
        <v>17</v>
      </c>
      <c r="AG753">
        <v>60</v>
      </c>
      <c r="AH753">
        <v>32</v>
      </c>
      <c r="AI753">
        <v>6.72</v>
      </c>
      <c r="AJ753">
        <v>23.72</v>
      </c>
      <c r="AK753">
        <v>12.65</v>
      </c>
      <c r="AL753">
        <v>-19.625033299999959</v>
      </c>
      <c r="AM753">
        <v>-43.891084256403538</v>
      </c>
      <c r="AN753">
        <v>-19.625033299999959</v>
      </c>
      <c r="AO753">
        <v>-43.891084256403538</v>
      </c>
      <c r="AP753">
        <v>-19.624801999999999</v>
      </c>
      <c r="AQ753">
        <v>-43.891128999999999</v>
      </c>
      <c r="AR753">
        <v>26.172240371022362</v>
      </c>
      <c r="AS753" t="s">
        <v>65</v>
      </c>
      <c r="AT753">
        <v>1</v>
      </c>
      <c r="AU753" t="s">
        <v>605</v>
      </c>
      <c r="AV753" t="s">
        <v>606</v>
      </c>
      <c r="AW753" t="s">
        <v>60</v>
      </c>
      <c r="AX753" t="s">
        <v>68</v>
      </c>
      <c r="AY753" t="s">
        <v>69</v>
      </c>
      <c r="AZ753" t="b">
        <v>1</v>
      </c>
    </row>
    <row r="754" spans="1:52" x14ac:dyDescent="0.3">
      <c r="A754" t="s">
        <v>52</v>
      </c>
      <c r="B754" t="s">
        <v>53</v>
      </c>
      <c r="C754" t="s">
        <v>54</v>
      </c>
      <c r="D754" t="s">
        <v>55</v>
      </c>
      <c r="E754" t="s">
        <v>795</v>
      </c>
      <c r="F754" t="s">
        <v>512</v>
      </c>
      <c r="G754" t="s">
        <v>592</v>
      </c>
      <c r="H754" t="s">
        <v>593</v>
      </c>
      <c r="I754" t="s">
        <v>593</v>
      </c>
      <c r="J754" t="s">
        <v>60</v>
      </c>
      <c r="K754" t="s">
        <v>445</v>
      </c>
      <c r="L754" t="s">
        <v>62</v>
      </c>
      <c r="M754" t="s">
        <v>445</v>
      </c>
      <c r="N754" t="s">
        <v>594</v>
      </c>
      <c r="O754" t="s">
        <v>477</v>
      </c>
      <c r="P754">
        <v>-19.640709000000001</v>
      </c>
      <c r="Q754">
        <v>-43.868687999999999</v>
      </c>
      <c r="R754" s="2" t="str">
        <f>HYPERLINK("https://www.google.com/maps?q=-19.6407090,-43.8686880","Abrir no Google Maps")</f>
        <v>Abrir no Google Maps</v>
      </c>
      <c r="S754">
        <v>1</v>
      </c>
      <c r="T754">
        <v>1174.9679995958841</v>
      </c>
      <c r="U754">
        <v>3</v>
      </c>
      <c r="V754">
        <v>0.40850194900164288</v>
      </c>
      <c r="W754">
        <v>1</v>
      </c>
      <c r="X754">
        <v>0.40850194900164288</v>
      </c>
      <c r="Y754">
        <v>10</v>
      </c>
      <c r="Z754">
        <v>1230.8029594060461</v>
      </c>
      <c r="AA754">
        <v>2</v>
      </c>
      <c r="AB754">
        <v>3</v>
      </c>
      <c r="AC754">
        <v>7</v>
      </c>
      <c r="AD754">
        <v>26.01</v>
      </c>
      <c r="AE754">
        <v>253</v>
      </c>
      <c r="AF754">
        <v>17</v>
      </c>
      <c r="AG754">
        <v>60</v>
      </c>
      <c r="AH754">
        <v>32</v>
      </c>
      <c r="AI754">
        <v>6.72</v>
      </c>
      <c r="AJ754">
        <v>23.72</v>
      </c>
      <c r="AK754">
        <v>12.65</v>
      </c>
      <c r="AL754">
        <v>-19.641057949999979</v>
      </c>
      <c r="AM754">
        <v>-43.868800137485707</v>
      </c>
      <c r="AN754">
        <v>-19.641057949999979</v>
      </c>
      <c r="AO754">
        <v>-43.868800137485707</v>
      </c>
      <c r="AP754">
        <v>-19.640709000000001</v>
      </c>
      <c r="AQ754">
        <v>-43.868687999999999</v>
      </c>
      <c r="AR754">
        <v>40.585293798071682</v>
      </c>
      <c r="AS754" t="s">
        <v>65</v>
      </c>
      <c r="AT754">
        <v>1</v>
      </c>
      <c r="AU754" t="s">
        <v>595</v>
      </c>
      <c r="AV754" t="s">
        <v>596</v>
      </c>
      <c r="AW754" t="s">
        <v>60</v>
      </c>
      <c r="AX754" t="s">
        <v>68</v>
      </c>
      <c r="AY754" t="s">
        <v>69</v>
      </c>
      <c r="AZ754" t="b">
        <v>1</v>
      </c>
    </row>
    <row r="755" spans="1:52" x14ac:dyDescent="0.3">
      <c r="A755" t="s">
        <v>52</v>
      </c>
      <c r="B755" t="s">
        <v>53</v>
      </c>
      <c r="C755" t="s">
        <v>54</v>
      </c>
      <c r="D755" t="s">
        <v>55</v>
      </c>
      <c r="E755" t="s">
        <v>795</v>
      </c>
      <c r="F755" t="s">
        <v>512</v>
      </c>
      <c r="G755" t="s">
        <v>597</v>
      </c>
      <c r="H755" t="s">
        <v>598</v>
      </c>
      <c r="I755" t="s">
        <v>598</v>
      </c>
      <c r="J755" t="s">
        <v>60</v>
      </c>
      <c r="K755" t="s">
        <v>445</v>
      </c>
      <c r="L755" t="s">
        <v>62</v>
      </c>
      <c r="M755" t="s">
        <v>445</v>
      </c>
      <c r="N755" t="s">
        <v>599</v>
      </c>
      <c r="O755" t="s">
        <v>391</v>
      </c>
      <c r="P755">
        <v>-19.637060999999999</v>
      </c>
      <c r="Q755">
        <v>-43.871026000000001</v>
      </c>
      <c r="R755" s="2" t="str">
        <f>HYPERLINK("https://www.google.com/maps?q=-19.6370610,-43.8710260","Abrir no Google Maps")</f>
        <v>Abrir no Google Maps</v>
      </c>
      <c r="S755">
        <v>1</v>
      </c>
      <c r="T755">
        <v>737.61884389282102</v>
      </c>
      <c r="U755">
        <v>3</v>
      </c>
      <c r="V755">
        <v>0.4068870505156128</v>
      </c>
      <c r="W755">
        <v>1</v>
      </c>
      <c r="X755">
        <v>0.4068870505156128</v>
      </c>
      <c r="Y755">
        <v>10</v>
      </c>
      <c r="Z755">
        <v>1331.4501394006061</v>
      </c>
      <c r="AA755">
        <v>2</v>
      </c>
      <c r="AB755">
        <v>3</v>
      </c>
      <c r="AC755">
        <v>7</v>
      </c>
      <c r="AD755">
        <v>26.01</v>
      </c>
      <c r="AE755">
        <v>253</v>
      </c>
      <c r="AF755">
        <v>17</v>
      </c>
      <c r="AG755">
        <v>60</v>
      </c>
      <c r="AH755">
        <v>32</v>
      </c>
      <c r="AI755">
        <v>6.72</v>
      </c>
      <c r="AJ755">
        <v>23.72</v>
      </c>
      <c r="AK755">
        <v>12.65</v>
      </c>
      <c r="AL755">
        <v>-19.637111899999951</v>
      </c>
      <c r="AM755">
        <v>-43.870888931681193</v>
      </c>
      <c r="AN755">
        <v>-19.637111899999951</v>
      </c>
      <c r="AO755">
        <v>-43.870888931681193</v>
      </c>
      <c r="AP755">
        <v>-19.637060999999999</v>
      </c>
      <c r="AQ755">
        <v>-43.871026000000001</v>
      </c>
      <c r="AR755">
        <v>15.44770924391884</v>
      </c>
      <c r="AS755" t="s">
        <v>65</v>
      </c>
      <c r="AT755">
        <v>1</v>
      </c>
      <c r="AU755" t="s">
        <v>600</v>
      </c>
      <c r="AV755" t="s">
        <v>601</v>
      </c>
      <c r="AW755" t="s">
        <v>60</v>
      </c>
      <c r="AX755" t="s">
        <v>68</v>
      </c>
      <c r="AY755" t="s">
        <v>69</v>
      </c>
      <c r="AZ755" t="b">
        <v>1</v>
      </c>
    </row>
    <row r="756" spans="1:52" x14ac:dyDescent="0.3">
      <c r="A756" t="s">
        <v>52</v>
      </c>
      <c r="B756" t="s">
        <v>53</v>
      </c>
      <c r="C756" t="s">
        <v>54</v>
      </c>
      <c r="D756" t="s">
        <v>55</v>
      </c>
      <c r="E756" t="s">
        <v>795</v>
      </c>
      <c r="F756" t="s">
        <v>512</v>
      </c>
      <c r="G756" t="s">
        <v>123</v>
      </c>
      <c r="H756" t="s">
        <v>607</v>
      </c>
      <c r="I756" t="s">
        <v>607</v>
      </c>
      <c r="J756" t="s">
        <v>60</v>
      </c>
      <c r="K756" t="s">
        <v>333</v>
      </c>
      <c r="L756" t="s">
        <v>62</v>
      </c>
      <c r="M756" t="s">
        <v>333</v>
      </c>
      <c r="N756" t="s">
        <v>125</v>
      </c>
      <c r="O756" t="s">
        <v>608</v>
      </c>
      <c r="P756">
        <v>-19.636002999999999</v>
      </c>
      <c r="Q756">
        <v>-43.908445</v>
      </c>
      <c r="R756" s="2" t="str">
        <f>HYPERLINK("https://www.google.com/maps?q=-19.6360030,-43.9084450","Abrir no Google Maps")</f>
        <v>Abrir no Google Maps</v>
      </c>
      <c r="S756">
        <v>1</v>
      </c>
      <c r="T756">
        <v>612.64850802557942</v>
      </c>
      <c r="U756">
        <v>3</v>
      </c>
      <c r="V756">
        <v>0.45664721387484092</v>
      </c>
      <c r="W756">
        <v>0.85</v>
      </c>
      <c r="X756">
        <v>0.38815013179361479</v>
      </c>
      <c r="Y756">
        <v>10</v>
      </c>
      <c r="Z756">
        <v>606.91793961222209</v>
      </c>
      <c r="AA756">
        <v>2</v>
      </c>
      <c r="AB756">
        <v>3</v>
      </c>
      <c r="AC756">
        <v>7</v>
      </c>
      <c r="AD756">
        <v>26.01</v>
      </c>
      <c r="AE756">
        <v>253</v>
      </c>
      <c r="AF756">
        <v>17</v>
      </c>
      <c r="AG756">
        <v>60</v>
      </c>
      <c r="AH756">
        <v>32</v>
      </c>
      <c r="AI756">
        <v>6.72</v>
      </c>
      <c r="AJ756">
        <v>23.72</v>
      </c>
      <c r="AK756">
        <v>12.65</v>
      </c>
      <c r="AL756">
        <v>-19.63618049999997</v>
      </c>
      <c r="AM756">
        <v>-43.908471095478113</v>
      </c>
      <c r="AN756">
        <v>-19.63618049999997</v>
      </c>
      <c r="AO756">
        <v>-43.908471095478113</v>
      </c>
      <c r="AP756">
        <v>-19.636002999999999</v>
      </c>
      <c r="AQ756">
        <v>-43.908445</v>
      </c>
      <c r="AR756">
        <v>19.947824476218141</v>
      </c>
      <c r="AS756" t="s">
        <v>65</v>
      </c>
      <c r="AT756">
        <v>1</v>
      </c>
      <c r="AU756" t="s">
        <v>609</v>
      </c>
      <c r="AV756" t="s">
        <v>610</v>
      </c>
      <c r="AW756" t="s">
        <v>60</v>
      </c>
      <c r="AX756" t="s">
        <v>68</v>
      </c>
      <c r="AY756" t="s">
        <v>69</v>
      </c>
      <c r="AZ756" t="b">
        <v>1</v>
      </c>
    </row>
    <row r="757" spans="1:52" x14ac:dyDescent="0.3">
      <c r="A757" t="s">
        <v>52</v>
      </c>
      <c r="B757" t="s">
        <v>53</v>
      </c>
      <c r="C757" t="s">
        <v>54</v>
      </c>
      <c r="D757" t="s">
        <v>55</v>
      </c>
      <c r="E757" t="s">
        <v>795</v>
      </c>
      <c r="F757" t="s">
        <v>512</v>
      </c>
      <c r="G757" t="s">
        <v>611</v>
      </c>
      <c r="H757" t="s">
        <v>612</v>
      </c>
      <c r="I757" t="s">
        <v>612</v>
      </c>
      <c r="J757" t="s">
        <v>60</v>
      </c>
      <c r="K757" t="s">
        <v>445</v>
      </c>
      <c r="L757" t="s">
        <v>62</v>
      </c>
      <c r="M757" t="s">
        <v>445</v>
      </c>
      <c r="N757" t="s">
        <v>613</v>
      </c>
      <c r="O757" t="s">
        <v>94</v>
      </c>
      <c r="P757">
        <v>-19.639271999999998</v>
      </c>
      <c r="Q757">
        <v>-43.875624000000002</v>
      </c>
      <c r="R757" s="2" t="str">
        <f>HYPERLINK("https://www.google.com/maps?q=-19.6392720,-43.8756240","Abrir no Google Maps")</f>
        <v>Abrir no Google Maps</v>
      </c>
      <c r="S757">
        <v>1</v>
      </c>
      <c r="T757">
        <v>618.4798639458262</v>
      </c>
      <c r="U757">
        <v>2</v>
      </c>
      <c r="V757">
        <v>0.4171846516927083</v>
      </c>
      <c r="W757">
        <v>0.85</v>
      </c>
      <c r="X757">
        <v>0.35460695393880198</v>
      </c>
      <c r="Y757">
        <v>10</v>
      </c>
      <c r="Z757">
        <v>724.62991660382431</v>
      </c>
      <c r="AA757">
        <v>2</v>
      </c>
      <c r="AB757">
        <v>3</v>
      </c>
      <c r="AC757">
        <v>7</v>
      </c>
      <c r="AD757">
        <v>26.01</v>
      </c>
      <c r="AE757">
        <v>253</v>
      </c>
      <c r="AF757">
        <v>17</v>
      </c>
      <c r="AG757">
        <v>60</v>
      </c>
      <c r="AH757">
        <v>32</v>
      </c>
      <c r="AI757">
        <v>6.72</v>
      </c>
      <c r="AJ757">
        <v>23.72</v>
      </c>
      <c r="AK757">
        <v>12.65</v>
      </c>
      <c r="AL757">
        <v>-19.639239899999978</v>
      </c>
      <c r="AM757">
        <v>-43.875497463228079</v>
      </c>
      <c r="AN757">
        <v>-19.639239899999978</v>
      </c>
      <c r="AO757">
        <v>-43.875497463228079</v>
      </c>
      <c r="AP757">
        <v>-19.639271999999998</v>
      </c>
      <c r="AQ757">
        <v>-43.875624000000002</v>
      </c>
      <c r="AR757">
        <v>13.73946951590594</v>
      </c>
      <c r="AS757" t="s">
        <v>65</v>
      </c>
      <c r="AT757">
        <v>1</v>
      </c>
      <c r="AU757" t="s">
        <v>614</v>
      </c>
      <c r="AV757" t="s">
        <v>615</v>
      </c>
      <c r="AW757" t="s">
        <v>60</v>
      </c>
      <c r="AX757" t="s">
        <v>68</v>
      </c>
      <c r="AY757" t="s">
        <v>69</v>
      </c>
      <c r="AZ757" t="b">
        <v>1</v>
      </c>
    </row>
    <row r="758" spans="1:52" x14ac:dyDescent="0.3">
      <c r="A758" t="s">
        <v>52</v>
      </c>
      <c r="B758" t="s">
        <v>53</v>
      </c>
      <c r="C758" t="s">
        <v>54</v>
      </c>
      <c r="D758" t="s">
        <v>55</v>
      </c>
      <c r="E758" t="s">
        <v>802</v>
      </c>
      <c r="F758" t="s">
        <v>57</v>
      </c>
      <c r="G758" t="s">
        <v>58</v>
      </c>
      <c r="H758" t="s">
        <v>59</v>
      </c>
      <c r="I758" t="s">
        <v>59</v>
      </c>
      <c r="J758" t="s">
        <v>60</v>
      </c>
      <c r="K758" t="s">
        <v>61</v>
      </c>
      <c r="L758" t="s">
        <v>62</v>
      </c>
      <c r="M758" t="s">
        <v>61</v>
      </c>
      <c r="N758" t="s">
        <v>63</v>
      </c>
      <c r="O758" t="s">
        <v>64</v>
      </c>
      <c r="P758">
        <v>-19.631502000000001</v>
      </c>
      <c r="Q758">
        <v>-43.910241999999997</v>
      </c>
      <c r="R758" s="2" t="str">
        <f>HYPERLINK("https://www.google.com/maps?q=-19.6315020,-43.9102420","Abrir no Google Maps")</f>
        <v>Abrir no Google Maps</v>
      </c>
      <c r="S758">
        <v>4</v>
      </c>
      <c r="T758">
        <v>789.20099406682743</v>
      </c>
      <c r="U758">
        <v>4</v>
      </c>
      <c r="V758">
        <v>0.4310287152010267</v>
      </c>
      <c r="W758">
        <v>1</v>
      </c>
      <c r="X758">
        <v>0.4310287152010267</v>
      </c>
      <c r="Y758">
        <v>10</v>
      </c>
      <c r="Z758">
        <v>691.44930074509864</v>
      </c>
      <c r="AA758">
        <v>2</v>
      </c>
      <c r="AB758">
        <v>3</v>
      </c>
      <c r="AC758">
        <v>7</v>
      </c>
      <c r="AD758">
        <v>28.5</v>
      </c>
      <c r="AE758">
        <v>253</v>
      </c>
      <c r="AF758">
        <v>22</v>
      </c>
      <c r="AG758">
        <v>59</v>
      </c>
      <c r="AH758">
        <v>32</v>
      </c>
      <c r="AI758">
        <v>8.6999999999999993</v>
      </c>
      <c r="AJ758">
        <v>23.32</v>
      </c>
      <c r="AK758">
        <v>12.65</v>
      </c>
      <c r="AL758">
        <v>-19.631719749999949</v>
      </c>
      <c r="AM758">
        <v>-43.910102324517517</v>
      </c>
      <c r="AN758">
        <v>-19.631719749999949</v>
      </c>
      <c r="AO758">
        <v>-43.910102324517517</v>
      </c>
      <c r="AP758">
        <v>-19.631502000000001</v>
      </c>
      <c r="AQ758">
        <v>-43.910241999999997</v>
      </c>
      <c r="AR758">
        <v>28.320416429206599</v>
      </c>
      <c r="AS758" t="s">
        <v>65</v>
      </c>
      <c r="AT758">
        <v>1</v>
      </c>
      <c r="AU758" t="s">
        <v>66</v>
      </c>
      <c r="AV758" t="s">
        <v>67</v>
      </c>
      <c r="AW758" t="s">
        <v>60</v>
      </c>
      <c r="AX758" t="s">
        <v>68</v>
      </c>
      <c r="AY758" t="s">
        <v>69</v>
      </c>
      <c r="AZ758" t="b">
        <v>1</v>
      </c>
    </row>
    <row r="759" spans="1:52" x14ac:dyDescent="0.3">
      <c r="A759" t="s">
        <v>52</v>
      </c>
      <c r="B759" t="s">
        <v>53</v>
      </c>
      <c r="C759" t="s">
        <v>54</v>
      </c>
      <c r="D759" t="s">
        <v>55</v>
      </c>
      <c r="E759" t="s">
        <v>802</v>
      </c>
      <c r="F759" t="s">
        <v>57</v>
      </c>
      <c r="G759" t="s">
        <v>70</v>
      </c>
      <c r="H759" t="s">
        <v>71</v>
      </c>
      <c r="I759" t="s">
        <v>71</v>
      </c>
      <c r="J759" t="s">
        <v>60</v>
      </c>
      <c r="K759" t="s">
        <v>72</v>
      </c>
      <c r="L759" t="s">
        <v>62</v>
      </c>
      <c r="M759" t="s">
        <v>72</v>
      </c>
      <c r="N759" t="s">
        <v>73</v>
      </c>
      <c r="O759" t="s">
        <v>74</v>
      </c>
      <c r="P759">
        <v>-19.632581999999999</v>
      </c>
      <c r="Q759">
        <v>-43.902416000000002</v>
      </c>
      <c r="R759" s="2" t="str">
        <f>HYPERLINK("https://www.google.com/maps?q=-19.6325820,-43.9024160","Abrir no Google Maps")</f>
        <v>Abrir no Google Maps</v>
      </c>
      <c r="S759">
        <v>4</v>
      </c>
      <c r="T759">
        <v>0</v>
      </c>
      <c r="U759">
        <v>4</v>
      </c>
      <c r="V759">
        <v>0.430001491886433</v>
      </c>
      <c r="W759">
        <v>1</v>
      </c>
      <c r="X759">
        <v>0.430001491886433</v>
      </c>
      <c r="Y759">
        <v>10</v>
      </c>
      <c r="Z759">
        <v>146.6968158874696</v>
      </c>
      <c r="AA759">
        <v>2</v>
      </c>
      <c r="AB759">
        <v>3</v>
      </c>
      <c r="AC759">
        <v>7</v>
      </c>
      <c r="AD759">
        <v>28.5</v>
      </c>
      <c r="AE759">
        <v>253</v>
      </c>
      <c r="AF759">
        <v>22</v>
      </c>
      <c r="AG759">
        <v>59</v>
      </c>
      <c r="AH759">
        <v>32</v>
      </c>
      <c r="AI759">
        <v>8.6999999999999993</v>
      </c>
      <c r="AJ759">
        <v>23.32</v>
      </c>
      <c r="AK759">
        <v>12.65</v>
      </c>
      <c r="AL759">
        <v>-19.63271449999996</v>
      </c>
      <c r="AM759">
        <v>-43.902649897389402</v>
      </c>
      <c r="AN759">
        <v>-19.63271449999996</v>
      </c>
      <c r="AO759">
        <v>-43.902649897389402</v>
      </c>
      <c r="AP759">
        <v>-19.632581999999999</v>
      </c>
      <c r="AQ759">
        <v>-43.902416000000002</v>
      </c>
      <c r="AR759">
        <v>28.617753432996459</v>
      </c>
      <c r="AS759" t="s">
        <v>65</v>
      </c>
      <c r="AT759">
        <v>1</v>
      </c>
      <c r="AU759" t="s">
        <v>75</v>
      </c>
      <c r="AV759" t="s">
        <v>76</v>
      </c>
      <c r="AW759" t="s">
        <v>60</v>
      </c>
      <c r="AX759" t="s">
        <v>68</v>
      </c>
      <c r="AY759" t="s">
        <v>69</v>
      </c>
      <c r="AZ759" t="b">
        <v>1</v>
      </c>
    </row>
    <row r="760" spans="1:52" x14ac:dyDescent="0.3">
      <c r="A760" t="s">
        <v>52</v>
      </c>
      <c r="B760" t="s">
        <v>53</v>
      </c>
      <c r="C760" t="s">
        <v>54</v>
      </c>
      <c r="D760" t="s">
        <v>55</v>
      </c>
      <c r="E760" t="s">
        <v>802</v>
      </c>
      <c r="F760" t="s">
        <v>57</v>
      </c>
      <c r="G760" t="s">
        <v>77</v>
      </c>
      <c r="H760" t="s">
        <v>78</v>
      </c>
      <c r="I760" t="s">
        <v>78</v>
      </c>
      <c r="J760" t="s">
        <v>60</v>
      </c>
      <c r="K760" t="s">
        <v>79</v>
      </c>
      <c r="L760" t="s">
        <v>62</v>
      </c>
      <c r="M760" t="s">
        <v>79</v>
      </c>
      <c r="N760" t="s">
        <v>80</v>
      </c>
      <c r="O760" t="s">
        <v>81</v>
      </c>
      <c r="P760">
        <v>-19.632463999999999</v>
      </c>
      <c r="Q760">
        <v>-43.904927999999998</v>
      </c>
      <c r="R760" s="2" t="str">
        <f>HYPERLINK("https://www.google.com/maps?q=-19.6324640,-43.9049280","Abrir no Google Maps")</f>
        <v>Abrir no Google Maps</v>
      </c>
      <c r="S760">
        <v>4</v>
      </c>
      <c r="T760">
        <v>244.1735197453369</v>
      </c>
      <c r="U760">
        <v>4</v>
      </c>
      <c r="V760">
        <v>0.43194194896749638</v>
      </c>
      <c r="W760">
        <v>1</v>
      </c>
      <c r="X760">
        <v>0.43194194896749638</v>
      </c>
      <c r="Y760">
        <v>10</v>
      </c>
      <c r="Z760">
        <v>287.26068152447448</v>
      </c>
      <c r="AA760">
        <v>2</v>
      </c>
      <c r="AB760">
        <v>3</v>
      </c>
      <c r="AC760">
        <v>7</v>
      </c>
      <c r="AD760">
        <v>28.5</v>
      </c>
      <c r="AE760">
        <v>253</v>
      </c>
      <c r="AF760">
        <v>22</v>
      </c>
      <c r="AG760">
        <v>59</v>
      </c>
      <c r="AH760">
        <v>32</v>
      </c>
      <c r="AI760">
        <v>8.6999999999999993</v>
      </c>
      <c r="AJ760">
        <v>23.32</v>
      </c>
      <c r="AK760">
        <v>12.65</v>
      </c>
      <c r="AL760">
        <v>-19.63247099999996</v>
      </c>
      <c r="AM760">
        <v>-43.904964174285787</v>
      </c>
      <c r="AN760">
        <v>-19.63247099999996</v>
      </c>
      <c r="AO760">
        <v>-43.904964174285787</v>
      </c>
      <c r="AP760">
        <v>-19.632463999999999</v>
      </c>
      <c r="AQ760">
        <v>-43.904927999999998</v>
      </c>
      <c r="AR760">
        <v>3.8720457500200469</v>
      </c>
      <c r="AS760" t="s">
        <v>65</v>
      </c>
      <c r="AT760">
        <v>1</v>
      </c>
      <c r="AU760" t="s">
        <v>82</v>
      </c>
      <c r="AV760" t="s">
        <v>83</v>
      </c>
      <c r="AW760" t="s">
        <v>60</v>
      </c>
      <c r="AX760" t="s">
        <v>68</v>
      </c>
      <c r="AY760" t="s">
        <v>69</v>
      </c>
      <c r="AZ760" t="b">
        <v>1</v>
      </c>
    </row>
    <row r="761" spans="1:52" x14ac:dyDescent="0.3">
      <c r="A761" t="s">
        <v>52</v>
      </c>
      <c r="B761" t="s">
        <v>53</v>
      </c>
      <c r="C761" t="s">
        <v>54</v>
      </c>
      <c r="D761" t="s">
        <v>55</v>
      </c>
      <c r="E761" t="s">
        <v>802</v>
      </c>
      <c r="F761" t="s">
        <v>57</v>
      </c>
      <c r="G761" t="s">
        <v>177</v>
      </c>
      <c r="H761" t="s">
        <v>178</v>
      </c>
      <c r="I761" t="s">
        <v>178</v>
      </c>
      <c r="J761" t="s">
        <v>60</v>
      </c>
      <c r="K761" t="s">
        <v>179</v>
      </c>
      <c r="L761" t="s">
        <v>62</v>
      </c>
      <c r="M761" t="s">
        <v>179</v>
      </c>
      <c r="N761" t="s">
        <v>180</v>
      </c>
      <c r="O761" t="s">
        <v>120</v>
      </c>
      <c r="P761">
        <v>-19.651526</v>
      </c>
      <c r="Q761">
        <v>-43.891382999999998</v>
      </c>
      <c r="R761" s="2" t="str">
        <f>HYPERLINK("https://www.google.com/maps?q=-19.6515260,-43.8913830","Abrir no Google Maps")</f>
        <v>Abrir no Google Maps</v>
      </c>
      <c r="S761">
        <v>4</v>
      </c>
      <c r="T761">
        <v>925.67779296789433</v>
      </c>
      <c r="U761">
        <v>4</v>
      </c>
      <c r="V761">
        <v>0.43389513442778971</v>
      </c>
      <c r="W761">
        <v>1</v>
      </c>
      <c r="X761">
        <v>0.43389513442778971</v>
      </c>
      <c r="Y761">
        <v>7</v>
      </c>
      <c r="Z761">
        <v>1193.102297436121</v>
      </c>
      <c r="AA761">
        <v>2</v>
      </c>
      <c r="AB761">
        <v>3</v>
      </c>
      <c r="AC761">
        <v>7</v>
      </c>
      <c r="AD761">
        <v>28.5</v>
      </c>
      <c r="AE761">
        <v>253</v>
      </c>
      <c r="AF761">
        <v>22</v>
      </c>
      <c r="AG761">
        <v>59</v>
      </c>
      <c r="AH761">
        <v>32</v>
      </c>
      <c r="AI761">
        <v>8.6999999999999993</v>
      </c>
      <c r="AJ761">
        <v>23.32</v>
      </c>
      <c r="AK761">
        <v>12.65</v>
      </c>
      <c r="AL761">
        <v>-19.651590199999958</v>
      </c>
      <c r="AM761">
        <v>-43.891399191449963</v>
      </c>
      <c r="AN761">
        <v>-19.651590199999958</v>
      </c>
      <c r="AO761">
        <v>-43.891399191449963</v>
      </c>
      <c r="AP761">
        <v>-19.651526</v>
      </c>
      <c r="AQ761">
        <v>-43.891382999999998</v>
      </c>
      <c r="AR761">
        <v>7.3455622550785931</v>
      </c>
      <c r="AS761" t="s">
        <v>65</v>
      </c>
      <c r="AT761">
        <v>1</v>
      </c>
      <c r="AU761" t="s">
        <v>181</v>
      </c>
      <c r="AV761" t="s">
        <v>182</v>
      </c>
      <c r="AW761" t="s">
        <v>60</v>
      </c>
      <c r="AX761" t="s">
        <v>68</v>
      </c>
      <c r="AY761" t="s">
        <v>69</v>
      </c>
      <c r="AZ761" t="b">
        <v>1</v>
      </c>
    </row>
    <row r="762" spans="1:52" x14ac:dyDescent="0.3">
      <c r="A762" t="s">
        <v>52</v>
      </c>
      <c r="B762" t="s">
        <v>53</v>
      </c>
      <c r="C762" t="s">
        <v>54</v>
      </c>
      <c r="D762" t="s">
        <v>55</v>
      </c>
      <c r="E762" t="s">
        <v>802</v>
      </c>
      <c r="F762" t="s">
        <v>57</v>
      </c>
      <c r="G762" t="s">
        <v>104</v>
      </c>
      <c r="H762" t="s">
        <v>105</v>
      </c>
      <c r="I762" t="s">
        <v>105</v>
      </c>
      <c r="J762" t="s">
        <v>60</v>
      </c>
      <c r="K762" t="s">
        <v>99</v>
      </c>
      <c r="L762" t="s">
        <v>62</v>
      </c>
      <c r="M762" t="s">
        <v>99</v>
      </c>
      <c r="N762" t="s">
        <v>106</v>
      </c>
      <c r="O762" t="s">
        <v>107</v>
      </c>
      <c r="P762">
        <v>-19.627993</v>
      </c>
      <c r="Q762">
        <v>-43.904820000000001</v>
      </c>
      <c r="R762" s="2" t="str">
        <f>HYPERLINK("https://www.google.com/maps?q=-19.6279930,-43.9048200","Abrir no Google Maps")</f>
        <v>Abrir no Google Maps</v>
      </c>
      <c r="S762">
        <v>4</v>
      </c>
      <c r="T762">
        <v>573.16526621674666</v>
      </c>
      <c r="U762">
        <v>4</v>
      </c>
      <c r="V762">
        <v>0.4328253100020496</v>
      </c>
      <c r="W762">
        <v>1</v>
      </c>
      <c r="X762">
        <v>0.4328253100020496</v>
      </c>
      <c r="Y762">
        <v>7</v>
      </c>
      <c r="Z762">
        <v>659.04372306144853</v>
      </c>
      <c r="AA762">
        <v>2</v>
      </c>
      <c r="AB762">
        <v>3</v>
      </c>
      <c r="AC762">
        <v>7</v>
      </c>
      <c r="AD762">
        <v>28.5</v>
      </c>
      <c r="AE762">
        <v>253</v>
      </c>
      <c r="AF762">
        <v>22</v>
      </c>
      <c r="AG762">
        <v>59</v>
      </c>
      <c r="AH762">
        <v>32</v>
      </c>
      <c r="AI762">
        <v>8.6999999999999993</v>
      </c>
      <c r="AJ762">
        <v>23.32</v>
      </c>
      <c r="AK762">
        <v>12.65</v>
      </c>
      <c r="AL762">
        <v>-19.627956249999951</v>
      </c>
      <c r="AM762">
        <v>-43.904807634206207</v>
      </c>
      <c r="AN762">
        <v>-19.627956249999951</v>
      </c>
      <c r="AO762">
        <v>-43.904807634206207</v>
      </c>
      <c r="AP762">
        <v>-19.627993</v>
      </c>
      <c r="AQ762">
        <v>-43.904820000000001</v>
      </c>
      <c r="AR762">
        <v>4.291557430205998</v>
      </c>
      <c r="AS762" t="s">
        <v>65</v>
      </c>
      <c r="AT762">
        <v>1</v>
      </c>
      <c r="AU762" t="s">
        <v>108</v>
      </c>
      <c r="AV762" t="s">
        <v>103</v>
      </c>
      <c r="AW762" t="s">
        <v>60</v>
      </c>
      <c r="AX762" t="s">
        <v>68</v>
      </c>
      <c r="AY762" t="s">
        <v>69</v>
      </c>
      <c r="AZ762" t="b">
        <v>1</v>
      </c>
    </row>
    <row r="763" spans="1:52" x14ac:dyDescent="0.3">
      <c r="A763" t="s">
        <v>52</v>
      </c>
      <c r="B763" t="s">
        <v>53</v>
      </c>
      <c r="C763" t="s">
        <v>54</v>
      </c>
      <c r="D763" t="s">
        <v>55</v>
      </c>
      <c r="E763" t="s">
        <v>802</v>
      </c>
      <c r="F763" t="s">
        <v>57</v>
      </c>
      <c r="G763" t="s">
        <v>617</v>
      </c>
      <c r="H763" t="s">
        <v>618</v>
      </c>
      <c r="I763" t="s">
        <v>618</v>
      </c>
      <c r="J763" t="s">
        <v>60</v>
      </c>
      <c r="K763" t="s">
        <v>164</v>
      </c>
      <c r="L763" t="s">
        <v>62</v>
      </c>
      <c r="M763" t="s">
        <v>164</v>
      </c>
      <c r="N763" t="s">
        <v>619</v>
      </c>
      <c r="O763" t="s">
        <v>533</v>
      </c>
      <c r="P763">
        <v>-19.647825000000001</v>
      </c>
      <c r="Q763">
        <v>-43.908369</v>
      </c>
      <c r="R763" s="2" t="str">
        <f>HYPERLINK("https://www.google.com/maps?q=-19.6478250,-43.9083690","Abrir no Google Maps")</f>
        <v>Abrir no Google Maps</v>
      </c>
      <c r="S763">
        <v>4</v>
      </c>
      <c r="T763">
        <v>492.67524679338959</v>
      </c>
      <c r="U763">
        <v>4</v>
      </c>
      <c r="V763">
        <v>0.41944036441387011</v>
      </c>
      <c r="W763">
        <v>1</v>
      </c>
      <c r="X763">
        <v>0.41944036441387011</v>
      </c>
      <c r="Y763">
        <v>4</v>
      </c>
      <c r="Z763">
        <v>410.3082448803296</v>
      </c>
      <c r="AA763">
        <v>2</v>
      </c>
      <c r="AB763">
        <v>3</v>
      </c>
      <c r="AC763">
        <v>7</v>
      </c>
      <c r="AD763">
        <v>28.5</v>
      </c>
      <c r="AE763">
        <v>253</v>
      </c>
      <c r="AF763">
        <v>22</v>
      </c>
      <c r="AG763">
        <v>59</v>
      </c>
      <c r="AH763">
        <v>32</v>
      </c>
      <c r="AI763">
        <v>8.6999999999999993</v>
      </c>
      <c r="AJ763">
        <v>23.32</v>
      </c>
      <c r="AK763">
        <v>12.65</v>
      </c>
      <c r="AL763">
        <v>-19.647879399999969</v>
      </c>
      <c r="AM763">
        <v>-43.908372097349897</v>
      </c>
      <c r="AN763">
        <v>-19.647879399999969</v>
      </c>
      <c r="AO763">
        <v>-43.908372097349897</v>
      </c>
      <c r="AP763">
        <v>-19.647825000000001</v>
      </c>
      <c r="AQ763">
        <v>-43.908369</v>
      </c>
      <c r="AR763">
        <v>6.06450779015137</v>
      </c>
      <c r="AS763" t="s">
        <v>65</v>
      </c>
      <c r="AT763">
        <v>1</v>
      </c>
      <c r="AU763" t="s">
        <v>620</v>
      </c>
      <c r="AV763" t="s">
        <v>621</v>
      </c>
      <c r="AW763" t="s">
        <v>60</v>
      </c>
      <c r="AX763" t="s">
        <v>68</v>
      </c>
      <c r="AY763" t="s">
        <v>69</v>
      </c>
      <c r="AZ763" t="b">
        <v>1</v>
      </c>
    </row>
    <row r="764" spans="1:52" x14ac:dyDescent="0.3">
      <c r="A764" t="s">
        <v>52</v>
      </c>
      <c r="B764" t="s">
        <v>53</v>
      </c>
      <c r="C764" t="s">
        <v>54</v>
      </c>
      <c r="D764" t="s">
        <v>55</v>
      </c>
      <c r="E764" t="s">
        <v>802</v>
      </c>
      <c r="F764" t="s">
        <v>57</v>
      </c>
      <c r="G764" t="s">
        <v>109</v>
      </c>
      <c r="H764" t="s">
        <v>110</v>
      </c>
      <c r="I764" t="s">
        <v>110</v>
      </c>
      <c r="J764" t="s">
        <v>60</v>
      </c>
      <c r="K764" t="s">
        <v>111</v>
      </c>
      <c r="L764" t="s">
        <v>62</v>
      </c>
      <c r="M764" t="s">
        <v>111</v>
      </c>
      <c r="N764" t="s">
        <v>112</v>
      </c>
      <c r="O764" t="s">
        <v>113</v>
      </c>
      <c r="P764">
        <v>-19.654686000000002</v>
      </c>
      <c r="Q764">
        <v>-43.907240000000002</v>
      </c>
      <c r="R764" s="2" t="str">
        <f>HYPERLINK("https://www.google.com/maps?q=-19.6546860,-43.9072400","Abrir no Google Maps")</f>
        <v>Abrir no Google Maps</v>
      </c>
      <c r="S764">
        <v>4</v>
      </c>
      <c r="T764">
        <v>824.24450564548704</v>
      </c>
      <c r="U764">
        <v>4</v>
      </c>
      <c r="V764">
        <v>0.4457648724150215</v>
      </c>
      <c r="W764">
        <v>1</v>
      </c>
      <c r="X764">
        <v>0.4457648724150215</v>
      </c>
      <c r="Y764">
        <v>4</v>
      </c>
      <c r="Z764">
        <v>524.70106879290392</v>
      </c>
      <c r="AA764">
        <v>2</v>
      </c>
      <c r="AB764">
        <v>3</v>
      </c>
      <c r="AC764">
        <v>7</v>
      </c>
      <c r="AD764">
        <v>28.5</v>
      </c>
      <c r="AE764">
        <v>253</v>
      </c>
      <c r="AF764">
        <v>22</v>
      </c>
      <c r="AG764">
        <v>59</v>
      </c>
      <c r="AH764">
        <v>32</v>
      </c>
      <c r="AI764">
        <v>8.6999999999999993</v>
      </c>
      <c r="AJ764">
        <v>23.32</v>
      </c>
      <c r="AK764">
        <v>12.65</v>
      </c>
      <c r="AL764">
        <v>-19.65511684999996</v>
      </c>
      <c r="AM764">
        <v>-43.905662999837993</v>
      </c>
      <c r="AN764">
        <v>-19.65511684999996</v>
      </c>
      <c r="AO764">
        <v>-43.905662999837993</v>
      </c>
      <c r="AP764">
        <v>-19.654686000000002</v>
      </c>
      <c r="AQ764">
        <v>-43.907240000000002</v>
      </c>
      <c r="AR764">
        <v>172.13969981835351</v>
      </c>
      <c r="AS764" t="s">
        <v>65</v>
      </c>
      <c r="AT764">
        <v>1</v>
      </c>
      <c r="AU764" t="s">
        <v>114</v>
      </c>
      <c r="AV764" t="s">
        <v>115</v>
      </c>
      <c r="AW764" t="s">
        <v>60</v>
      </c>
      <c r="AX764" t="s">
        <v>68</v>
      </c>
      <c r="AY764" t="s">
        <v>69</v>
      </c>
      <c r="AZ764" t="b">
        <v>1</v>
      </c>
    </row>
    <row r="765" spans="1:52" x14ac:dyDescent="0.3">
      <c r="A765" t="s">
        <v>52</v>
      </c>
      <c r="B765" t="s">
        <v>53</v>
      </c>
      <c r="C765" t="s">
        <v>54</v>
      </c>
      <c r="D765" t="s">
        <v>55</v>
      </c>
      <c r="E765" t="s">
        <v>802</v>
      </c>
      <c r="F765" t="s">
        <v>57</v>
      </c>
      <c r="G765" t="s">
        <v>190</v>
      </c>
      <c r="H765" t="s">
        <v>191</v>
      </c>
      <c r="I765" t="s">
        <v>191</v>
      </c>
      <c r="J765" t="s">
        <v>60</v>
      </c>
      <c r="K765" t="s">
        <v>192</v>
      </c>
      <c r="L765" t="s">
        <v>62</v>
      </c>
      <c r="M765" t="s">
        <v>192</v>
      </c>
      <c r="N765" t="s">
        <v>193</v>
      </c>
      <c r="O765" t="s">
        <v>194</v>
      </c>
      <c r="P765">
        <v>-19.654112000000001</v>
      </c>
      <c r="Q765">
        <v>-43.910761999999998</v>
      </c>
      <c r="R765" s="2" t="str">
        <f>HYPERLINK("https://www.google.com/maps?q=-19.6541120,-43.9107620","Abrir no Google Maps")</f>
        <v>Abrir no Google Maps</v>
      </c>
      <c r="S765">
        <v>4</v>
      </c>
      <c r="T765">
        <v>1080.0524626304521</v>
      </c>
      <c r="U765">
        <v>4</v>
      </c>
      <c r="V765">
        <v>0.43127522053303308</v>
      </c>
      <c r="W765">
        <v>1</v>
      </c>
      <c r="X765">
        <v>0.43127522053303308</v>
      </c>
      <c r="Y765">
        <v>4</v>
      </c>
      <c r="Z765">
        <v>666.99022879086885</v>
      </c>
      <c r="AA765">
        <v>2</v>
      </c>
      <c r="AB765">
        <v>3</v>
      </c>
      <c r="AC765">
        <v>7</v>
      </c>
      <c r="AD765">
        <v>28.5</v>
      </c>
      <c r="AE765">
        <v>253</v>
      </c>
      <c r="AF765">
        <v>22</v>
      </c>
      <c r="AG765">
        <v>59</v>
      </c>
      <c r="AH765">
        <v>32</v>
      </c>
      <c r="AI765">
        <v>8.6999999999999993</v>
      </c>
      <c r="AJ765">
        <v>23.32</v>
      </c>
      <c r="AK765">
        <v>12.65</v>
      </c>
      <c r="AL765">
        <v>-19.653869149999959</v>
      </c>
      <c r="AM765">
        <v>-43.911142816432779</v>
      </c>
      <c r="AN765">
        <v>-19.653869149999959</v>
      </c>
      <c r="AO765">
        <v>-43.911142816432779</v>
      </c>
      <c r="AP765">
        <v>-19.654112000000001</v>
      </c>
      <c r="AQ765">
        <v>-43.910761999999998</v>
      </c>
      <c r="AR765">
        <v>48.214810864237499</v>
      </c>
      <c r="AS765" t="s">
        <v>65</v>
      </c>
      <c r="AT765">
        <v>1</v>
      </c>
      <c r="AU765" t="s">
        <v>195</v>
      </c>
      <c r="AV765" t="s">
        <v>196</v>
      </c>
      <c r="AW765" t="s">
        <v>60</v>
      </c>
      <c r="AX765" t="s">
        <v>68</v>
      </c>
      <c r="AY765" t="s">
        <v>69</v>
      </c>
      <c r="AZ765" t="b">
        <v>1</v>
      </c>
    </row>
    <row r="766" spans="1:52" x14ac:dyDescent="0.3">
      <c r="A766" t="s">
        <v>52</v>
      </c>
      <c r="B766" t="s">
        <v>53</v>
      </c>
      <c r="C766" t="s">
        <v>54</v>
      </c>
      <c r="D766" t="s">
        <v>55</v>
      </c>
      <c r="E766" t="s">
        <v>802</v>
      </c>
      <c r="F766" t="s">
        <v>57</v>
      </c>
      <c r="G766" t="s">
        <v>116</v>
      </c>
      <c r="H766" t="s">
        <v>117</v>
      </c>
      <c r="I766" t="s">
        <v>117</v>
      </c>
      <c r="J766" t="s">
        <v>60</v>
      </c>
      <c r="K766" t="s">
        <v>118</v>
      </c>
      <c r="L766" t="s">
        <v>62</v>
      </c>
      <c r="M766" t="s">
        <v>118</v>
      </c>
      <c r="N766" t="s">
        <v>119</v>
      </c>
      <c r="O766" t="s">
        <v>120</v>
      </c>
      <c r="P766">
        <v>-19.663869999999999</v>
      </c>
      <c r="Q766">
        <v>-43.904916999999998</v>
      </c>
      <c r="R766" s="2" t="str">
        <f>HYPERLINK("https://www.google.com/maps?q=-19.6638700,-43.9049170","Abrir no Google Maps")</f>
        <v>Abrir no Google Maps</v>
      </c>
      <c r="S766">
        <v>4</v>
      </c>
      <c r="T766">
        <v>0</v>
      </c>
      <c r="U766">
        <v>4</v>
      </c>
      <c r="V766">
        <v>0.46066836466659172</v>
      </c>
      <c r="W766">
        <v>1</v>
      </c>
      <c r="X766">
        <v>0.46066836466659172</v>
      </c>
      <c r="Y766">
        <v>4</v>
      </c>
      <c r="Z766">
        <v>1169.476938179705</v>
      </c>
      <c r="AA766">
        <v>2</v>
      </c>
      <c r="AB766">
        <v>3</v>
      </c>
      <c r="AC766">
        <v>7</v>
      </c>
      <c r="AD766">
        <v>28.5</v>
      </c>
      <c r="AE766">
        <v>253</v>
      </c>
      <c r="AF766">
        <v>22</v>
      </c>
      <c r="AG766">
        <v>59</v>
      </c>
      <c r="AH766">
        <v>32</v>
      </c>
      <c r="AI766">
        <v>8.6999999999999993</v>
      </c>
      <c r="AJ766">
        <v>23.32</v>
      </c>
      <c r="AK766">
        <v>12.65</v>
      </c>
      <c r="AL766">
        <v>-19.657063599999962</v>
      </c>
      <c r="AM766">
        <v>-43.898074976464507</v>
      </c>
      <c r="AN766">
        <v>-19.657063599999962</v>
      </c>
      <c r="AO766">
        <v>-43.898074976464507</v>
      </c>
      <c r="AP766">
        <v>-19.663869999999999</v>
      </c>
      <c r="AQ766">
        <v>-43.904916999999998</v>
      </c>
      <c r="AR766">
        <v>1043.3426220355029</v>
      </c>
      <c r="AS766" t="s">
        <v>65</v>
      </c>
      <c r="AT766">
        <v>1</v>
      </c>
      <c r="AU766" t="s">
        <v>121</v>
      </c>
      <c r="AV766" t="s">
        <v>122</v>
      </c>
      <c r="AW766" t="s">
        <v>60</v>
      </c>
      <c r="AX766" t="s">
        <v>68</v>
      </c>
      <c r="AY766" t="s">
        <v>69</v>
      </c>
      <c r="AZ766" t="b">
        <v>1</v>
      </c>
    </row>
    <row r="767" spans="1:52" x14ac:dyDescent="0.3">
      <c r="A767" t="s">
        <v>52</v>
      </c>
      <c r="B767" t="s">
        <v>53</v>
      </c>
      <c r="C767" t="s">
        <v>54</v>
      </c>
      <c r="D767" t="s">
        <v>55</v>
      </c>
      <c r="E767" t="s">
        <v>802</v>
      </c>
      <c r="F767" t="s">
        <v>57</v>
      </c>
      <c r="G767" t="s">
        <v>204</v>
      </c>
      <c r="H767" t="s">
        <v>205</v>
      </c>
      <c r="I767" t="s">
        <v>205</v>
      </c>
      <c r="J767" t="s">
        <v>60</v>
      </c>
      <c r="K767" t="s">
        <v>171</v>
      </c>
      <c r="L767" t="s">
        <v>62</v>
      </c>
      <c r="M767" t="s">
        <v>171</v>
      </c>
      <c r="N767" t="s">
        <v>206</v>
      </c>
      <c r="O767" t="s">
        <v>207</v>
      </c>
      <c r="P767">
        <v>-19.674109000000001</v>
      </c>
      <c r="Q767">
        <v>-43.890711000000003</v>
      </c>
      <c r="R767" s="2" t="str">
        <f>HYPERLINK("https://www.google.com/maps?q=-19.6741090,-43.8907110","Abrir no Google Maps")</f>
        <v>Abrir no Google Maps</v>
      </c>
      <c r="S767">
        <v>4</v>
      </c>
      <c r="T767">
        <v>396.53059443764772</v>
      </c>
      <c r="U767">
        <v>4</v>
      </c>
      <c r="V767">
        <v>0.43405676453328901</v>
      </c>
      <c r="W767">
        <v>1</v>
      </c>
      <c r="X767">
        <v>0.43405676453328901</v>
      </c>
      <c r="Y767">
        <v>3</v>
      </c>
      <c r="Z767">
        <v>499.22520255557538</v>
      </c>
      <c r="AA767">
        <v>2</v>
      </c>
      <c r="AB767">
        <v>3</v>
      </c>
      <c r="AC767">
        <v>7</v>
      </c>
      <c r="AD767">
        <v>28.5</v>
      </c>
      <c r="AE767">
        <v>253</v>
      </c>
      <c r="AF767">
        <v>22</v>
      </c>
      <c r="AG767">
        <v>59</v>
      </c>
      <c r="AH767">
        <v>32</v>
      </c>
      <c r="AI767">
        <v>8.6999999999999993</v>
      </c>
      <c r="AJ767">
        <v>23.32</v>
      </c>
      <c r="AK767">
        <v>12.65</v>
      </c>
      <c r="AL767">
        <v>-19.67362479999997</v>
      </c>
      <c r="AM767">
        <v>-43.89068378253377</v>
      </c>
      <c r="AN767">
        <v>-19.67362479999997</v>
      </c>
      <c r="AO767">
        <v>-43.89068378253377</v>
      </c>
      <c r="AP767">
        <v>-19.674109000000001</v>
      </c>
      <c r="AQ767">
        <v>-43.890711000000003</v>
      </c>
      <c r="AR767">
        <v>53.976595260276227</v>
      </c>
      <c r="AS767" t="s">
        <v>65</v>
      </c>
      <c r="AT767">
        <v>1</v>
      </c>
      <c r="AU767" t="s">
        <v>208</v>
      </c>
      <c r="AV767" t="s">
        <v>209</v>
      </c>
      <c r="AW767" t="s">
        <v>60</v>
      </c>
      <c r="AX767" t="s">
        <v>68</v>
      </c>
      <c r="AY767" t="s">
        <v>69</v>
      </c>
      <c r="AZ767" t="b">
        <v>1</v>
      </c>
    </row>
    <row r="768" spans="1:52" x14ac:dyDescent="0.3">
      <c r="A768" t="s">
        <v>52</v>
      </c>
      <c r="B768" t="s">
        <v>53</v>
      </c>
      <c r="C768" t="s">
        <v>54</v>
      </c>
      <c r="D768" t="s">
        <v>55</v>
      </c>
      <c r="E768" t="s">
        <v>802</v>
      </c>
      <c r="F768" t="s">
        <v>57</v>
      </c>
      <c r="G768" t="s">
        <v>123</v>
      </c>
      <c r="H768" t="s">
        <v>124</v>
      </c>
      <c r="I768" t="s">
        <v>124</v>
      </c>
      <c r="J768" t="s">
        <v>60</v>
      </c>
      <c r="K768" t="s">
        <v>72</v>
      </c>
      <c r="L768" t="s">
        <v>62</v>
      </c>
      <c r="M768" t="s">
        <v>72</v>
      </c>
      <c r="N768" t="s">
        <v>125</v>
      </c>
      <c r="O768" t="s">
        <v>126</v>
      </c>
      <c r="P768">
        <v>-19.634015000000002</v>
      </c>
      <c r="Q768">
        <v>-43.918776000000001</v>
      </c>
      <c r="R768" s="2" t="str">
        <f>HYPERLINK("https://www.google.com/maps?q=-19.6340150,-43.9187760","Abrir no Google Maps")</f>
        <v>Abrir no Google Maps</v>
      </c>
      <c r="S768">
        <v>4</v>
      </c>
      <c r="T768">
        <v>525.62818365919122</v>
      </c>
      <c r="U768">
        <v>4</v>
      </c>
      <c r="V768">
        <v>0.46587210987895922</v>
      </c>
      <c r="W768">
        <v>1</v>
      </c>
      <c r="X768">
        <v>0.46587210987895922</v>
      </c>
      <c r="Y768">
        <v>3</v>
      </c>
      <c r="Z768">
        <v>474.91441433808131</v>
      </c>
      <c r="AA768">
        <v>2</v>
      </c>
      <c r="AB768">
        <v>3</v>
      </c>
      <c r="AC768">
        <v>7</v>
      </c>
      <c r="AD768">
        <v>28.5</v>
      </c>
      <c r="AE768">
        <v>253</v>
      </c>
      <c r="AF768">
        <v>22</v>
      </c>
      <c r="AG768">
        <v>59</v>
      </c>
      <c r="AH768">
        <v>32</v>
      </c>
      <c r="AI768">
        <v>8.6999999999999993</v>
      </c>
      <c r="AJ768">
        <v>23.32</v>
      </c>
      <c r="AK768">
        <v>12.65</v>
      </c>
      <c r="AL768">
        <v>-19.63405809999994</v>
      </c>
      <c r="AM768">
        <v>-43.919666391328043</v>
      </c>
      <c r="AN768">
        <v>-19.63405809999994</v>
      </c>
      <c r="AO768">
        <v>-43.919666391328029</v>
      </c>
      <c r="AP768">
        <v>-19.634015000000002</v>
      </c>
      <c r="AQ768">
        <v>-43.918776000000001</v>
      </c>
      <c r="AR768">
        <v>93.478621134470259</v>
      </c>
      <c r="AS768" t="s">
        <v>65</v>
      </c>
      <c r="AT768">
        <v>1</v>
      </c>
      <c r="AU768" t="s">
        <v>127</v>
      </c>
      <c r="AV768" t="s">
        <v>128</v>
      </c>
      <c r="AW768" t="s">
        <v>60</v>
      </c>
      <c r="AX768" t="s">
        <v>68</v>
      </c>
      <c r="AY768" t="s">
        <v>69</v>
      </c>
      <c r="AZ768" t="b">
        <v>1</v>
      </c>
    </row>
    <row r="769" spans="1:52" x14ac:dyDescent="0.3">
      <c r="A769" t="s">
        <v>52</v>
      </c>
      <c r="B769" t="s">
        <v>53</v>
      </c>
      <c r="C769" t="s">
        <v>54</v>
      </c>
      <c r="D769" t="s">
        <v>55</v>
      </c>
      <c r="E769" t="s">
        <v>802</v>
      </c>
      <c r="F769" t="s">
        <v>57</v>
      </c>
      <c r="G769" t="s">
        <v>210</v>
      </c>
      <c r="H769" t="s">
        <v>211</v>
      </c>
      <c r="I769" t="s">
        <v>211</v>
      </c>
      <c r="J769" t="s">
        <v>60</v>
      </c>
      <c r="K769" t="s">
        <v>212</v>
      </c>
      <c r="L769" t="s">
        <v>62</v>
      </c>
      <c r="M769" t="s">
        <v>212</v>
      </c>
      <c r="N769" t="s">
        <v>213</v>
      </c>
      <c r="O769" t="s">
        <v>214</v>
      </c>
      <c r="P769">
        <v>-19.632814</v>
      </c>
      <c r="Q769">
        <v>-43.930782000000001</v>
      </c>
      <c r="R769" s="2" t="str">
        <f>HYPERLINK("https://www.google.com/maps?q=-19.6328140,-43.9307820","Abrir no Google Maps")</f>
        <v>Abrir no Google Maps</v>
      </c>
      <c r="S769">
        <v>4</v>
      </c>
      <c r="T769">
        <v>1643.2659380538339</v>
      </c>
      <c r="U769">
        <v>4</v>
      </c>
      <c r="V769">
        <v>0.4643053079817786</v>
      </c>
      <c r="W769">
        <v>1</v>
      </c>
      <c r="X769">
        <v>0.4643053079817786</v>
      </c>
      <c r="Y769">
        <v>3</v>
      </c>
      <c r="Z769">
        <v>1661.7410651481421</v>
      </c>
      <c r="AA769">
        <v>2</v>
      </c>
      <c r="AB769">
        <v>3</v>
      </c>
      <c r="AC769">
        <v>7</v>
      </c>
      <c r="AD769">
        <v>28.5</v>
      </c>
      <c r="AE769">
        <v>253</v>
      </c>
      <c r="AF769">
        <v>22</v>
      </c>
      <c r="AG769">
        <v>59</v>
      </c>
      <c r="AH769">
        <v>32</v>
      </c>
      <c r="AI769">
        <v>8.6999999999999993</v>
      </c>
      <c r="AJ769">
        <v>23.32</v>
      </c>
      <c r="AK769">
        <v>12.65</v>
      </c>
      <c r="AL769">
        <v>-19.633145799999941</v>
      </c>
      <c r="AM769">
        <v>-43.930948481999309</v>
      </c>
      <c r="AN769">
        <v>-19.633145799999941</v>
      </c>
      <c r="AO769">
        <v>-43.930948481999309</v>
      </c>
      <c r="AP769">
        <v>-19.632814</v>
      </c>
      <c r="AQ769">
        <v>-43.930782000000001</v>
      </c>
      <c r="AR769">
        <v>40.852848555758172</v>
      </c>
      <c r="AS769" t="s">
        <v>65</v>
      </c>
      <c r="AT769">
        <v>1</v>
      </c>
      <c r="AU769" t="s">
        <v>215</v>
      </c>
      <c r="AV769" t="s">
        <v>216</v>
      </c>
      <c r="AW769" t="s">
        <v>60</v>
      </c>
      <c r="AX769" t="s">
        <v>68</v>
      </c>
      <c r="AY769" t="s">
        <v>69</v>
      </c>
      <c r="AZ769" t="b">
        <v>1</v>
      </c>
    </row>
    <row r="770" spans="1:52" x14ac:dyDescent="0.3">
      <c r="A770" t="s">
        <v>52</v>
      </c>
      <c r="B770" t="s">
        <v>53</v>
      </c>
      <c r="C770" t="s">
        <v>54</v>
      </c>
      <c r="D770" t="s">
        <v>55</v>
      </c>
      <c r="E770" t="s">
        <v>802</v>
      </c>
      <c r="F770" t="s">
        <v>57</v>
      </c>
      <c r="G770" t="s">
        <v>129</v>
      </c>
      <c r="H770" t="s">
        <v>130</v>
      </c>
      <c r="I770" t="s">
        <v>130</v>
      </c>
      <c r="J770" t="s">
        <v>60</v>
      </c>
      <c r="K770" t="s">
        <v>131</v>
      </c>
      <c r="L770" t="s">
        <v>62</v>
      </c>
      <c r="M770" t="s">
        <v>131</v>
      </c>
      <c r="N770" t="s">
        <v>132</v>
      </c>
      <c r="O770" t="s">
        <v>133</v>
      </c>
      <c r="P770">
        <v>-19.632088</v>
      </c>
      <c r="Q770">
        <v>-43.916114999999998</v>
      </c>
      <c r="R770" s="2" t="str">
        <f>HYPERLINK("https://www.google.com/maps?q=-19.6320880,-43.9161150","Abrir no Google Maps")</f>
        <v>Abrir no Google Maps</v>
      </c>
      <c r="S770">
        <v>4</v>
      </c>
      <c r="T770">
        <v>566.5346232632869</v>
      </c>
      <c r="U770">
        <v>4</v>
      </c>
      <c r="V770">
        <v>0.50682489451476798</v>
      </c>
      <c r="W770">
        <v>1</v>
      </c>
      <c r="X770">
        <v>0.50682489451476798</v>
      </c>
      <c r="Y770">
        <v>3</v>
      </c>
      <c r="Z770">
        <v>488.06597434012792</v>
      </c>
      <c r="AA770">
        <v>2</v>
      </c>
      <c r="AB770">
        <v>3</v>
      </c>
      <c r="AC770">
        <v>7</v>
      </c>
      <c r="AD770">
        <v>28.5</v>
      </c>
      <c r="AE770">
        <v>253</v>
      </c>
      <c r="AF770">
        <v>22</v>
      </c>
      <c r="AG770">
        <v>59</v>
      </c>
      <c r="AH770">
        <v>32</v>
      </c>
      <c r="AI770">
        <v>8.6999999999999993</v>
      </c>
      <c r="AJ770">
        <v>23.32</v>
      </c>
      <c r="AK770">
        <v>12.65</v>
      </c>
      <c r="AL770">
        <v>-19.632034449999939</v>
      </c>
      <c r="AM770">
        <v>-43.916174776913351</v>
      </c>
      <c r="AN770">
        <v>-19.632034449999939</v>
      </c>
      <c r="AO770">
        <v>-43.916174776913351</v>
      </c>
      <c r="AP770">
        <v>-19.632088</v>
      </c>
      <c r="AQ770">
        <v>-43.916114999999998</v>
      </c>
      <c r="AR770">
        <v>8.6497324882263911</v>
      </c>
      <c r="AS770" t="s">
        <v>65</v>
      </c>
      <c r="AT770">
        <v>1</v>
      </c>
      <c r="AU770" t="s">
        <v>134</v>
      </c>
      <c r="AV770" t="s">
        <v>135</v>
      </c>
      <c r="AW770" t="s">
        <v>60</v>
      </c>
      <c r="AX770" t="s">
        <v>68</v>
      </c>
      <c r="AY770" t="s">
        <v>69</v>
      </c>
      <c r="AZ770" t="b">
        <v>1</v>
      </c>
    </row>
    <row r="771" spans="1:52" x14ac:dyDescent="0.3">
      <c r="A771" t="s">
        <v>52</v>
      </c>
      <c r="B771" t="s">
        <v>53</v>
      </c>
      <c r="C771" t="s">
        <v>54</v>
      </c>
      <c r="D771" t="s">
        <v>55</v>
      </c>
      <c r="E771" t="s">
        <v>802</v>
      </c>
      <c r="F771" t="s">
        <v>57</v>
      </c>
      <c r="G771" t="s">
        <v>129</v>
      </c>
      <c r="H771" t="s">
        <v>136</v>
      </c>
      <c r="I771" t="s">
        <v>136</v>
      </c>
      <c r="J771" t="s">
        <v>60</v>
      </c>
      <c r="K771" t="s">
        <v>131</v>
      </c>
      <c r="L771" t="s">
        <v>62</v>
      </c>
      <c r="M771" t="s">
        <v>131</v>
      </c>
      <c r="N771" t="s">
        <v>132</v>
      </c>
      <c r="O771" t="s">
        <v>133</v>
      </c>
      <c r="P771">
        <v>-19.632290999999999</v>
      </c>
      <c r="Q771">
        <v>-43.916542999999997</v>
      </c>
      <c r="R771" s="2" t="str">
        <f>HYPERLINK("https://www.google.com/maps?q=-19.6322910,-43.9165430","Abrir no Google Maps")</f>
        <v>Abrir no Google Maps</v>
      </c>
      <c r="S771">
        <v>4</v>
      </c>
      <c r="T771">
        <v>556.95255545673058</v>
      </c>
      <c r="U771">
        <v>4</v>
      </c>
      <c r="V771">
        <v>0.50356161786044062</v>
      </c>
      <c r="W771">
        <v>1</v>
      </c>
      <c r="X771">
        <v>0.50356161786044062</v>
      </c>
      <c r="Y771">
        <v>3</v>
      </c>
      <c r="Z771">
        <v>479.66756878400719</v>
      </c>
      <c r="AA771">
        <v>2</v>
      </c>
      <c r="AB771">
        <v>3</v>
      </c>
      <c r="AC771">
        <v>7</v>
      </c>
      <c r="AD771">
        <v>28.5</v>
      </c>
      <c r="AE771">
        <v>253</v>
      </c>
      <c r="AF771">
        <v>22</v>
      </c>
      <c r="AG771">
        <v>59</v>
      </c>
      <c r="AH771">
        <v>32</v>
      </c>
      <c r="AI771">
        <v>8.6999999999999993</v>
      </c>
      <c r="AJ771">
        <v>23.32</v>
      </c>
      <c r="AK771">
        <v>12.65</v>
      </c>
      <c r="AL771">
        <v>-19.63215424999996</v>
      </c>
      <c r="AM771">
        <v>-43.916542189528307</v>
      </c>
      <c r="AN771">
        <v>-19.63215424999996</v>
      </c>
      <c r="AO771">
        <v>-43.916542189528307</v>
      </c>
      <c r="AP771">
        <v>-19.632290999999999</v>
      </c>
      <c r="AQ771">
        <v>-43.916542999999997</v>
      </c>
      <c r="AR771">
        <v>15.22324717984722</v>
      </c>
      <c r="AS771" t="s">
        <v>65</v>
      </c>
      <c r="AT771">
        <v>1</v>
      </c>
      <c r="AU771" t="s">
        <v>137</v>
      </c>
      <c r="AV771" t="s">
        <v>138</v>
      </c>
      <c r="AW771" t="s">
        <v>60</v>
      </c>
      <c r="AX771" t="s">
        <v>68</v>
      </c>
      <c r="AY771" t="s">
        <v>69</v>
      </c>
      <c r="AZ771" t="b">
        <v>1</v>
      </c>
    </row>
    <row r="772" spans="1:52" x14ac:dyDescent="0.3">
      <c r="A772" t="s">
        <v>52</v>
      </c>
      <c r="B772" t="s">
        <v>53</v>
      </c>
      <c r="C772" t="s">
        <v>54</v>
      </c>
      <c r="D772" t="s">
        <v>55</v>
      </c>
      <c r="E772" t="s">
        <v>802</v>
      </c>
      <c r="F772" t="s">
        <v>57</v>
      </c>
      <c r="G772" t="s">
        <v>139</v>
      </c>
      <c r="H772" t="s">
        <v>140</v>
      </c>
      <c r="I772" t="s">
        <v>140</v>
      </c>
      <c r="J772" t="s">
        <v>60</v>
      </c>
      <c r="K772" t="s">
        <v>79</v>
      </c>
      <c r="L772" t="s">
        <v>62</v>
      </c>
      <c r="M772" t="s">
        <v>79</v>
      </c>
      <c r="N772" t="s">
        <v>141</v>
      </c>
      <c r="O772" t="s">
        <v>142</v>
      </c>
      <c r="P772">
        <v>-19.628888</v>
      </c>
      <c r="Q772">
        <v>-43.912554</v>
      </c>
      <c r="R772" s="2" t="str">
        <f>HYPERLINK("https://www.google.com/maps?q=-19.6288880,-43.9125540","Abrir no Google Maps")</f>
        <v>Abrir no Google Maps</v>
      </c>
      <c r="S772">
        <v>4</v>
      </c>
      <c r="T772">
        <v>1013.629555558835</v>
      </c>
      <c r="U772">
        <v>4</v>
      </c>
      <c r="V772">
        <v>0.49883109945609949</v>
      </c>
      <c r="W772">
        <v>0.85</v>
      </c>
      <c r="X772">
        <v>0.42400643453768461</v>
      </c>
      <c r="Y772">
        <v>3</v>
      </c>
      <c r="Z772">
        <v>950.42126394515765</v>
      </c>
      <c r="AA772">
        <v>2</v>
      </c>
      <c r="AB772">
        <v>3</v>
      </c>
      <c r="AC772">
        <v>7</v>
      </c>
      <c r="AD772">
        <v>28.5</v>
      </c>
      <c r="AE772">
        <v>253</v>
      </c>
      <c r="AF772">
        <v>22</v>
      </c>
      <c r="AG772">
        <v>59</v>
      </c>
      <c r="AH772">
        <v>32</v>
      </c>
      <c r="AI772">
        <v>8.6999999999999993</v>
      </c>
      <c r="AJ772">
        <v>23.32</v>
      </c>
      <c r="AK772">
        <v>12.65</v>
      </c>
      <c r="AL772">
        <v>-19.628472899999959</v>
      </c>
      <c r="AM772">
        <v>-43.912746118821246</v>
      </c>
      <c r="AN772">
        <v>-19.628472899999959</v>
      </c>
      <c r="AO772">
        <v>-43.912746118821246</v>
      </c>
      <c r="AP772">
        <v>-19.628888</v>
      </c>
      <c r="AQ772">
        <v>-43.912554</v>
      </c>
      <c r="AR772">
        <v>50.408750888077009</v>
      </c>
      <c r="AS772" t="s">
        <v>65</v>
      </c>
      <c r="AT772">
        <v>1</v>
      </c>
      <c r="AU772" t="s">
        <v>143</v>
      </c>
      <c r="AV772" t="s">
        <v>144</v>
      </c>
      <c r="AW772" t="s">
        <v>60</v>
      </c>
      <c r="AX772" t="s">
        <v>68</v>
      </c>
      <c r="AY772" t="s">
        <v>69</v>
      </c>
      <c r="AZ772" t="b">
        <v>1</v>
      </c>
    </row>
    <row r="773" spans="1:52" x14ac:dyDescent="0.3">
      <c r="A773" t="s">
        <v>52</v>
      </c>
      <c r="B773" t="s">
        <v>53</v>
      </c>
      <c r="C773" t="s">
        <v>54</v>
      </c>
      <c r="D773" t="s">
        <v>55</v>
      </c>
      <c r="E773" t="s">
        <v>802</v>
      </c>
      <c r="F773" t="s">
        <v>57</v>
      </c>
      <c r="G773" t="s">
        <v>145</v>
      </c>
      <c r="H773" t="s">
        <v>146</v>
      </c>
      <c r="I773" t="s">
        <v>146</v>
      </c>
      <c r="J773" t="s">
        <v>60</v>
      </c>
      <c r="K773" t="s">
        <v>147</v>
      </c>
      <c r="L773" t="s">
        <v>62</v>
      </c>
      <c r="M773" t="s">
        <v>147</v>
      </c>
      <c r="N773" t="s">
        <v>148</v>
      </c>
      <c r="O773" t="s">
        <v>81</v>
      </c>
      <c r="P773">
        <v>-19.629356999999999</v>
      </c>
      <c r="Q773">
        <v>-43.916857</v>
      </c>
      <c r="R773" s="2" t="str">
        <f>HYPERLINK("https://www.google.com/maps?q=-19.6293570,-43.9168570","Abrir no Google Maps")</f>
        <v>Abrir no Google Maps</v>
      </c>
      <c r="S773">
        <v>4</v>
      </c>
      <c r="T773">
        <v>834.49898564045827</v>
      </c>
      <c r="U773">
        <v>4</v>
      </c>
      <c r="V773">
        <v>0.4177291586876038</v>
      </c>
      <c r="W773">
        <v>1</v>
      </c>
      <c r="X773">
        <v>0.4177291586876038</v>
      </c>
      <c r="Y773">
        <v>3</v>
      </c>
      <c r="Z773">
        <v>774.2841152512085</v>
      </c>
      <c r="AA773">
        <v>2</v>
      </c>
      <c r="AB773">
        <v>3</v>
      </c>
      <c r="AC773">
        <v>7</v>
      </c>
      <c r="AD773">
        <v>28.5</v>
      </c>
      <c r="AE773">
        <v>253</v>
      </c>
      <c r="AF773">
        <v>22</v>
      </c>
      <c r="AG773">
        <v>59</v>
      </c>
      <c r="AH773">
        <v>32</v>
      </c>
      <c r="AI773">
        <v>8.6999999999999993</v>
      </c>
      <c r="AJ773">
        <v>23.32</v>
      </c>
      <c r="AK773">
        <v>12.65</v>
      </c>
      <c r="AL773">
        <v>-19.62962324999998</v>
      </c>
      <c r="AM773">
        <v>-43.916419823634037</v>
      </c>
      <c r="AN773">
        <v>-19.62962324999998</v>
      </c>
      <c r="AO773">
        <v>-43.916419823634051</v>
      </c>
      <c r="AP773">
        <v>-19.629356999999999</v>
      </c>
      <c r="AQ773">
        <v>-43.916857</v>
      </c>
      <c r="AR773">
        <v>54.585757388798442</v>
      </c>
      <c r="AS773" t="s">
        <v>65</v>
      </c>
      <c r="AT773">
        <v>1</v>
      </c>
      <c r="AU773" t="s">
        <v>149</v>
      </c>
      <c r="AV773" t="s">
        <v>150</v>
      </c>
      <c r="AW773" t="s">
        <v>60</v>
      </c>
      <c r="AX773" t="s">
        <v>68</v>
      </c>
      <c r="AY773" t="s">
        <v>69</v>
      </c>
      <c r="AZ773" t="b">
        <v>1</v>
      </c>
    </row>
    <row r="774" spans="1:52" x14ac:dyDescent="0.3">
      <c r="A774" t="s">
        <v>52</v>
      </c>
      <c r="B774" t="s">
        <v>53</v>
      </c>
      <c r="C774" t="s">
        <v>54</v>
      </c>
      <c r="D774" t="s">
        <v>55</v>
      </c>
      <c r="E774" t="s">
        <v>802</v>
      </c>
      <c r="F774" t="s">
        <v>57</v>
      </c>
      <c r="G774" t="s">
        <v>151</v>
      </c>
      <c r="H774" t="s">
        <v>152</v>
      </c>
      <c r="I774" t="s">
        <v>152</v>
      </c>
      <c r="J774" t="s">
        <v>60</v>
      </c>
      <c r="K774" t="s">
        <v>72</v>
      </c>
      <c r="L774" t="s">
        <v>62</v>
      </c>
      <c r="M774" t="s">
        <v>72</v>
      </c>
      <c r="N774" t="s">
        <v>153</v>
      </c>
      <c r="O774" t="s">
        <v>81</v>
      </c>
      <c r="P774">
        <v>-19.635065999999998</v>
      </c>
      <c r="Q774">
        <v>-43.916640000000001</v>
      </c>
      <c r="R774" s="2" t="str">
        <f>HYPERLINK("https://www.google.com/maps?q=-19.6350660,-43.9166400","Abrir no Google Maps")</f>
        <v>Abrir no Google Maps</v>
      </c>
      <c r="S774">
        <v>4</v>
      </c>
      <c r="T774">
        <v>245.09875796292749</v>
      </c>
      <c r="U774">
        <v>4</v>
      </c>
      <c r="V774">
        <v>0.42170170647018967</v>
      </c>
      <c r="W774">
        <v>1</v>
      </c>
      <c r="X774">
        <v>0.42170170647018967</v>
      </c>
      <c r="Y774">
        <v>3</v>
      </c>
      <c r="Z774">
        <v>207.74356419317499</v>
      </c>
      <c r="AA774">
        <v>2</v>
      </c>
      <c r="AB774">
        <v>3</v>
      </c>
      <c r="AC774">
        <v>7</v>
      </c>
      <c r="AD774">
        <v>28.5</v>
      </c>
      <c r="AE774">
        <v>253</v>
      </c>
      <c r="AF774">
        <v>22</v>
      </c>
      <c r="AG774">
        <v>59</v>
      </c>
      <c r="AH774">
        <v>32</v>
      </c>
      <c r="AI774">
        <v>8.6999999999999993</v>
      </c>
      <c r="AJ774">
        <v>23.32</v>
      </c>
      <c r="AK774">
        <v>12.65</v>
      </c>
      <c r="AL774">
        <v>-19.63505579999995</v>
      </c>
      <c r="AM774">
        <v>-43.916633303072622</v>
      </c>
      <c r="AN774">
        <v>-19.63505579999995</v>
      </c>
      <c r="AO774">
        <v>-43.916633303072622</v>
      </c>
      <c r="AP774">
        <v>-19.635065999999998</v>
      </c>
      <c r="AQ774">
        <v>-43.916640000000001</v>
      </c>
      <c r="AR774">
        <v>1.335026849412978</v>
      </c>
      <c r="AS774" t="s">
        <v>65</v>
      </c>
      <c r="AT774">
        <v>1</v>
      </c>
      <c r="AU774" t="s">
        <v>154</v>
      </c>
      <c r="AV774" t="s">
        <v>155</v>
      </c>
      <c r="AW774" t="s">
        <v>60</v>
      </c>
      <c r="AX774" t="s">
        <v>68</v>
      </c>
      <c r="AY774" t="s">
        <v>69</v>
      </c>
      <c r="AZ774" t="b">
        <v>1</v>
      </c>
    </row>
    <row r="775" spans="1:52" x14ac:dyDescent="0.3">
      <c r="A775" t="s">
        <v>52</v>
      </c>
      <c r="B775" t="s">
        <v>53</v>
      </c>
      <c r="C775" t="s">
        <v>54</v>
      </c>
      <c r="D775" t="s">
        <v>55</v>
      </c>
      <c r="E775" t="s">
        <v>802</v>
      </c>
      <c r="F775" t="s">
        <v>57</v>
      </c>
      <c r="G775" t="s">
        <v>156</v>
      </c>
      <c r="H775" t="s">
        <v>157</v>
      </c>
      <c r="I775" t="s">
        <v>157</v>
      </c>
      <c r="J775" t="s">
        <v>60</v>
      </c>
      <c r="K775" t="s">
        <v>79</v>
      </c>
      <c r="L775" t="s">
        <v>62</v>
      </c>
      <c r="M775" t="s">
        <v>79</v>
      </c>
      <c r="N775" t="s">
        <v>158</v>
      </c>
      <c r="O775" t="s">
        <v>159</v>
      </c>
      <c r="P775">
        <v>-19.634687</v>
      </c>
      <c r="Q775">
        <v>-43.912925999999999</v>
      </c>
      <c r="R775" s="2" t="str">
        <f>HYPERLINK("https://www.google.com/maps?q=-19.6346870,-43.9129260","Abrir no Google Maps")</f>
        <v>Abrir no Google Maps</v>
      </c>
      <c r="S775">
        <v>4</v>
      </c>
      <c r="T775">
        <v>363.69725005634331</v>
      </c>
      <c r="U775">
        <v>4</v>
      </c>
      <c r="V775">
        <v>0.44215718471296572</v>
      </c>
      <c r="W775">
        <v>1</v>
      </c>
      <c r="X775">
        <v>0.44215718471296572</v>
      </c>
      <c r="Y775">
        <v>3</v>
      </c>
      <c r="Z775">
        <v>343.04088334900467</v>
      </c>
      <c r="AA775">
        <v>2</v>
      </c>
      <c r="AB775">
        <v>3</v>
      </c>
      <c r="AC775">
        <v>7</v>
      </c>
      <c r="AD775">
        <v>28.5</v>
      </c>
      <c r="AE775">
        <v>253</v>
      </c>
      <c r="AF775">
        <v>22</v>
      </c>
      <c r="AG775">
        <v>59</v>
      </c>
      <c r="AH775">
        <v>32</v>
      </c>
      <c r="AI775">
        <v>8.6999999999999993</v>
      </c>
      <c r="AJ775">
        <v>23.32</v>
      </c>
      <c r="AK775">
        <v>12.65</v>
      </c>
      <c r="AL775">
        <v>-19.635145849999962</v>
      </c>
      <c r="AM775">
        <v>-43.913103387269381</v>
      </c>
      <c r="AN775">
        <v>-19.635145849999962</v>
      </c>
      <c r="AO775">
        <v>-43.913103387269381</v>
      </c>
      <c r="AP775">
        <v>-19.634687</v>
      </c>
      <c r="AQ775">
        <v>-43.912925999999999</v>
      </c>
      <c r="AR775">
        <v>54.359794849827942</v>
      </c>
      <c r="AS775" t="s">
        <v>65</v>
      </c>
      <c r="AT775">
        <v>1</v>
      </c>
      <c r="AU775" t="s">
        <v>160</v>
      </c>
      <c r="AV775" t="s">
        <v>161</v>
      </c>
      <c r="AW775" t="s">
        <v>60</v>
      </c>
      <c r="AX775" t="s">
        <v>68</v>
      </c>
      <c r="AY775" t="s">
        <v>69</v>
      </c>
      <c r="AZ775" t="b">
        <v>1</v>
      </c>
    </row>
    <row r="776" spans="1:52" x14ac:dyDescent="0.3">
      <c r="A776" t="s">
        <v>52</v>
      </c>
      <c r="B776" t="s">
        <v>53</v>
      </c>
      <c r="C776" t="s">
        <v>54</v>
      </c>
      <c r="D776" t="s">
        <v>55</v>
      </c>
      <c r="E776" t="s">
        <v>802</v>
      </c>
      <c r="F776" t="s">
        <v>57</v>
      </c>
      <c r="G776" t="s">
        <v>233</v>
      </c>
      <c r="H776" t="s">
        <v>234</v>
      </c>
      <c r="I776" t="s">
        <v>234</v>
      </c>
      <c r="J776" t="s">
        <v>60</v>
      </c>
      <c r="K776" t="s">
        <v>235</v>
      </c>
      <c r="L776" t="s">
        <v>62</v>
      </c>
      <c r="M776" t="s">
        <v>235</v>
      </c>
      <c r="N776" t="s">
        <v>236</v>
      </c>
      <c r="O776" t="s">
        <v>120</v>
      </c>
      <c r="P776">
        <v>-19.621310000000001</v>
      </c>
      <c r="Q776">
        <v>-43.919790999999996</v>
      </c>
      <c r="R776" s="2" t="str">
        <f>HYPERLINK("https://www.google.com/maps?q=-19.6213100,-43.9197910","Abrir no Google Maps")</f>
        <v>Abrir no Google Maps</v>
      </c>
      <c r="S776">
        <v>4</v>
      </c>
      <c r="T776">
        <v>1927.7454867197271</v>
      </c>
      <c r="U776">
        <v>4</v>
      </c>
      <c r="V776">
        <v>0.47363676815875189</v>
      </c>
      <c r="W776">
        <v>1</v>
      </c>
      <c r="X776">
        <v>0.47363676815875189</v>
      </c>
      <c r="Y776">
        <v>3</v>
      </c>
      <c r="Z776">
        <v>1860.010741524231</v>
      </c>
      <c r="AA776">
        <v>2</v>
      </c>
      <c r="AB776">
        <v>3</v>
      </c>
      <c r="AC776">
        <v>7</v>
      </c>
      <c r="AD776">
        <v>28.5</v>
      </c>
      <c r="AE776">
        <v>253</v>
      </c>
      <c r="AF776">
        <v>22</v>
      </c>
      <c r="AG776">
        <v>59</v>
      </c>
      <c r="AH776">
        <v>32</v>
      </c>
      <c r="AI776">
        <v>8.6999999999999993</v>
      </c>
      <c r="AJ776">
        <v>23.32</v>
      </c>
      <c r="AK776">
        <v>12.65</v>
      </c>
      <c r="AL776">
        <v>-19.620273649999941</v>
      </c>
      <c r="AM776">
        <v>-43.920429283389112</v>
      </c>
      <c r="AN776">
        <v>-19.620273649999941</v>
      </c>
      <c r="AO776">
        <v>-43.920429283389112</v>
      </c>
      <c r="AP776">
        <v>-19.621310000000001</v>
      </c>
      <c r="AQ776">
        <v>-43.919790999999996</v>
      </c>
      <c r="AR776">
        <v>133.3747125733897</v>
      </c>
      <c r="AS776" t="s">
        <v>65</v>
      </c>
      <c r="AT776">
        <v>1</v>
      </c>
      <c r="AU776" t="s">
        <v>237</v>
      </c>
      <c r="AV776" t="s">
        <v>238</v>
      </c>
      <c r="AW776" t="s">
        <v>60</v>
      </c>
      <c r="AX776" t="s">
        <v>68</v>
      </c>
      <c r="AY776" t="s">
        <v>69</v>
      </c>
      <c r="AZ776" t="b">
        <v>1</v>
      </c>
    </row>
    <row r="777" spans="1:52" x14ac:dyDescent="0.3">
      <c r="A777" t="s">
        <v>52</v>
      </c>
      <c r="B777" t="s">
        <v>53</v>
      </c>
      <c r="C777" t="s">
        <v>54</v>
      </c>
      <c r="D777" t="s">
        <v>55</v>
      </c>
      <c r="E777" t="s">
        <v>802</v>
      </c>
      <c r="F777" t="s">
        <v>57</v>
      </c>
      <c r="G777" t="s">
        <v>273</v>
      </c>
      <c r="H777" t="s">
        <v>274</v>
      </c>
      <c r="I777" t="s">
        <v>274</v>
      </c>
      <c r="J777" t="s">
        <v>60</v>
      </c>
      <c r="K777" t="s">
        <v>171</v>
      </c>
      <c r="L777" t="s">
        <v>62</v>
      </c>
      <c r="M777" t="s">
        <v>171</v>
      </c>
      <c r="N777" t="s">
        <v>275</v>
      </c>
      <c r="O777" t="s">
        <v>276</v>
      </c>
      <c r="P777">
        <v>-19.679956000000001</v>
      </c>
      <c r="Q777">
        <v>-43.888520999999997</v>
      </c>
      <c r="R777" s="2" t="str">
        <f>HYPERLINK("https://www.google.com/maps?q=-19.6799560,-43.8885210","Abrir no Google Maps")</f>
        <v>Abrir no Google Maps</v>
      </c>
      <c r="S777">
        <v>4</v>
      </c>
      <c r="T777">
        <v>346.2974251077423</v>
      </c>
      <c r="U777">
        <v>4</v>
      </c>
      <c r="V777">
        <v>0.43747194351542179</v>
      </c>
      <c r="W777">
        <v>1</v>
      </c>
      <c r="X777">
        <v>0.43747194351542179</v>
      </c>
      <c r="Y777">
        <v>0</v>
      </c>
      <c r="Z777">
        <v>223.68420981797229</v>
      </c>
      <c r="AA777">
        <v>2</v>
      </c>
      <c r="AB777">
        <v>3</v>
      </c>
      <c r="AC777">
        <v>7</v>
      </c>
      <c r="AD777">
        <v>28.5</v>
      </c>
      <c r="AE777">
        <v>253</v>
      </c>
      <c r="AF777">
        <v>22</v>
      </c>
      <c r="AG777">
        <v>59</v>
      </c>
      <c r="AH777">
        <v>32</v>
      </c>
      <c r="AI777">
        <v>8.6999999999999993</v>
      </c>
      <c r="AJ777">
        <v>23.32</v>
      </c>
      <c r="AK777">
        <v>12.65</v>
      </c>
      <c r="AL777">
        <v>-19.67989189999998</v>
      </c>
      <c r="AM777">
        <v>-43.888485157753777</v>
      </c>
      <c r="AN777">
        <v>-19.67989189999998</v>
      </c>
      <c r="AO777">
        <v>-43.888485157753777</v>
      </c>
      <c r="AP777">
        <v>-19.679956000000001</v>
      </c>
      <c r="AQ777">
        <v>-43.888520999999997</v>
      </c>
      <c r="AR777">
        <v>8.0641961934087583</v>
      </c>
      <c r="AS777" t="s">
        <v>65</v>
      </c>
      <c r="AT777">
        <v>1</v>
      </c>
      <c r="AU777" t="s">
        <v>277</v>
      </c>
      <c r="AV777" t="s">
        <v>278</v>
      </c>
      <c r="AW777" t="s">
        <v>60</v>
      </c>
      <c r="AX777" t="s">
        <v>68</v>
      </c>
      <c r="AY777" t="s">
        <v>69</v>
      </c>
      <c r="AZ777" t="b">
        <v>1</v>
      </c>
    </row>
    <row r="778" spans="1:52" x14ac:dyDescent="0.3">
      <c r="A778" t="s">
        <v>52</v>
      </c>
      <c r="B778" t="s">
        <v>53</v>
      </c>
      <c r="C778" t="s">
        <v>54</v>
      </c>
      <c r="D778" t="s">
        <v>55</v>
      </c>
      <c r="E778" t="s">
        <v>802</v>
      </c>
      <c r="F778" t="s">
        <v>57</v>
      </c>
      <c r="G778" t="s">
        <v>169</v>
      </c>
      <c r="H778" t="s">
        <v>170</v>
      </c>
      <c r="I778" t="s">
        <v>170</v>
      </c>
      <c r="J778" t="s">
        <v>60</v>
      </c>
      <c r="K778" t="s">
        <v>171</v>
      </c>
      <c r="L778" t="s">
        <v>62</v>
      </c>
      <c r="M778" t="s">
        <v>171</v>
      </c>
      <c r="N778" t="s">
        <v>172</v>
      </c>
      <c r="O778" t="s">
        <v>173</v>
      </c>
      <c r="P778">
        <v>-19.676233</v>
      </c>
      <c r="Q778">
        <v>-43.88861</v>
      </c>
      <c r="R778" s="2" t="str">
        <f>HYPERLINK("https://www.google.com/maps?q=-19.6762330,-43.8886100","Abrir no Google Maps")</f>
        <v>Abrir no Google Maps</v>
      </c>
      <c r="S778">
        <v>4</v>
      </c>
      <c r="T778">
        <v>209.5772620412292</v>
      </c>
      <c r="U778">
        <v>4</v>
      </c>
      <c r="V778">
        <v>0.44003712922118998</v>
      </c>
      <c r="W778">
        <v>1</v>
      </c>
      <c r="X778">
        <v>0.44003712922118998</v>
      </c>
      <c r="Y778">
        <v>0</v>
      </c>
      <c r="Z778">
        <v>194.26571923644971</v>
      </c>
      <c r="AA778">
        <v>2</v>
      </c>
      <c r="AB778">
        <v>3</v>
      </c>
      <c r="AC778">
        <v>7</v>
      </c>
      <c r="AD778">
        <v>28.5</v>
      </c>
      <c r="AE778">
        <v>253</v>
      </c>
      <c r="AF778">
        <v>22</v>
      </c>
      <c r="AG778">
        <v>59</v>
      </c>
      <c r="AH778">
        <v>32</v>
      </c>
      <c r="AI778">
        <v>8.6999999999999993</v>
      </c>
      <c r="AJ778">
        <v>23.32</v>
      </c>
      <c r="AK778">
        <v>12.65</v>
      </c>
      <c r="AL778">
        <v>-19.676097449999961</v>
      </c>
      <c r="AM778">
        <v>-43.888455613153738</v>
      </c>
      <c r="AN778">
        <v>-19.676097449999961</v>
      </c>
      <c r="AO778">
        <v>-43.888455613153738</v>
      </c>
      <c r="AP778">
        <v>-19.676233</v>
      </c>
      <c r="AQ778">
        <v>-43.88861</v>
      </c>
      <c r="AR778">
        <v>22.126352434234079</v>
      </c>
      <c r="AS778" t="s">
        <v>65</v>
      </c>
      <c r="AT778">
        <v>1</v>
      </c>
      <c r="AU778" t="s">
        <v>174</v>
      </c>
      <c r="AV778" t="s">
        <v>175</v>
      </c>
      <c r="AW778" t="s">
        <v>60</v>
      </c>
      <c r="AX778" t="s">
        <v>68</v>
      </c>
      <c r="AY778" t="s">
        <v>69</v>
      </c>
      <c r="AZ778" t="b">
        <v>1</v>
      </c>
    </row>
    <row r="779" spans="1:52" x14ac:dyDescent="0.3">
      <c r="A779" t="s">
        <v>52</v>
      </c>
      <c r="B779" t="s">
        <v>53</v>
      </c>
      <c r="C779" t="s">
        <v>54</v>
      </c>
      <c r="D779" t="s">
        <v>55</v>
      </c>
      <c r="E779" t="s">
        <v>802</v>
      </c>
      <c r="F779" t="s">
        <v>57</v>
      </c>
      <c r="G779" t="s">
        <v>279</v>
      </c>
      <c r="H779" t="s">
        <v>280</v>
      </c>
      <c r="I779" t="s">
        <v>280</v>
      </c>
      <c r="J779" t="s">
        <v>60</v>
      </c>
      <c r="K779" t="s">
        <v>171</v>
      </c>
      <c r="L779" t="s">
        <v>62</v>
      </c>
      <c r="M779" t="s">
        <v>171</v>
      </c>
      <c r="N779" t="s">
        <v>281</v>
      </c>
      <c r="O779" t="s">
        <v>282</v>
      </c>
      <c r="P779">
        <v>-19.677088000000001</v>
      </c>
      <c r="Q779">
        <v>-43.890014000000001</v>
      </c>
      <c r="R779" s="2" t="str">
        <f>HYPERLINK("https://www.google.com/maps?q=-19.6770880,-43.8900140","Abrir no Google Maps")</f>
        <v>Abrir no Google Maps</v>
      </c>
      <c r="S779">
        <v>4</v>
      </c>
      <c r="T779">
        <v>0</v>
      </c>
      <c r="U779">
        <v>4</v>
      </c>
      <c r="V779">
        <v>0.43767946713569139</v>
      </c>
      <c r="W779">
        <v>1</v>
      </c>
      <c r="X779">
        <v>0.43767946713569139</v>
      </c>
      <c r="Y779">
        <v>0</v>
      </c>
      <c r="Z779">
        <v>151.75635194559609</v>
      </c>
      <c r="AA779">
        <v>2</v>
      </c>
      <c r="AB779">
        <v>3</v>
      </c>
      <c r="AC779">
        <v>7</v>
      </c>
      <c r="AD779">
        <v>28.5</v>
      </c>
      <c r="AE779">
        <v>253</v>
      </c>
      <c r="AF779">
        <v>22</v>
      </c>
      <c r="AG779">
        <v>59</v>
      </c>
      <c r="AH779">
        <v>32</v>
      </c>
      <c r="AI779">
        <v>8.6999999999999993</v>
      </c>
      <c r="AJ779">
        <v>23.32</v>
      </c>
      <c r="AK779">
        <v>12.65</v>
      </c>
      <c r="AL779">
        <v>-19.677165649999949</v>
      </c>
      <c r="AM779">
        <v>-43.890106299611283</v>
      </c>
      <c r="AN779">
        <v>-19.677165649999949</v>
      </c>
      <c r="AO779">
        <v>-43.890106299611283</v>
      </c>
      <c r="AP779">
        <v>-19.677088000000001</v>
      </c>
      <c r="AQ779">
        <v>-43.890014000000001</v>
      </c>
      <c r="AR779">
        <v>12.973833126778279</v>
      </c>
      <c r="AS779" t="s">
        <v>65</v>
      </c>
      <c r="AT779">
        <v>1</v>
      </c>
      <c r="AU779" t="s">
        <v>283</v>
      </c>
      <c r="AV779" t="s">
        <v>175</v>
      </c>
      <c r="AW779" t="s">
        <v>60</v>
      </c>
      <c r="AX779" t="s">
        <v>68</v>
      </c>
      <c r="AY779" t="s">
        <v>69</v>
      </c>
      <c r="AZ779" t="b">
        <v>1</v>
      </c>
    </row>
    <row r="780" spans="1:52" x14ac:dyDescent="0.3">
      <c r="A780" t="s">
        <v>52</v>
      </c>
      <c r="B780" t="s">
        <v>53</v>
      </c>
      <c r="C780" t="s">
        <v>54</v>
      </c>
      <c r="D780" t="s">
        <v>55</v>
      </c>
      <c r="E780" t="s">
        <v>802</v>
      </c>
      <c r="F780" t="s">
        <v>176</v>
      </c>
      <c r="G780" t="s">
        <v>84</v>
      </c>
      <c r="H780" t="s">
        <v>85</v>
      </c>
      <c r="I780" t="s">
        <v>85</v>
      </c>
      <c r="J780" t="s">
        <v>60</v>
      </c>
      <c r="K780" t="s">
        <v>86</v>
      </c>
      <c r="L780" t="s">
        <v>62</v>
      </c>
      <c r="M780" t="s">
        <v>86</v>
      </c>
      <c r="N780" t="s">
        <v>87</v>
      </c>
      <c r="O780" t="s">
        <v>88</v>
      </c>
      <c r="P780">
        <v>-19.629436999999999</v>
      </c>
      <c r="Q780">
        <v>-43.910398999999998</v>
      </c>
      <c r="R780" s="2" t="str">
        <f>HYPERLINK("https://www.google.com/maps?q=-19.6294370,-43.9103990","Abrir no Google Maps")</f>
        <v>Abrir no Google Maps</v>
      </c>
      <c r="S780">
        <v>4</v>
      </c>
      <c r="T780">
        <v>888.82060643108082</v>
      </c>
      <c r="U780">
        <v>3</v>
      </c>
      <c r="V780">
        <v>0.41083054356080889</v>
      </c>
      <c r="W780">
        <v>1</v>
      </c>
      <c r="X780">
        <v>0.41083054356080889</v>
      </c>
      <c r="Y780">
        <v>10</v>
      </c>
      <c r="Z780">
        <v>867.42797341651737</v>
      </c>
      <c r="AA780">
        <v>2</v>
      </c>
      <c r="AB780">
        <v>3</v>
      </c>
      <c r="AC780">
        <v>7</v>
      </c>
      <c r="AD780">
        <v>28.5</v>
      </c>
      <c r="AE780">
        <v>253</v>
      </c>
      <c r="AF780">
        <v>22</v>
      </c>
      <c r="AG780">
        <v>59</v>
      </c>
      <c r="AH780">
        <v>32</v>
      </c>
      <c r="AI780">
        <v>8.6999999999999993</v>
      </c>
      <c r="AJ780">
        <v>23.32</v>
      </c>
      <c r="AK780">
        <v>12.65</v>
      </c>
      <c r="AL780">
        <v>-19.62934694999996</v>
      </c>
      <c r="AM780">
        <v>-43.910344699357317</v>
      </c>
      <c r="AN780">
        <v>-19.62934694999996</v>
      </c>
      <c r="AO780">
        <v>-43.910344699357331</v>
      </c>
      <c r="AP780">
        <v>-19.629436999999999</v>
      </c>
      <c r="AQ780">
        <v>-43.910398999999998</v>
      </c>
      <c r="AR780">
        <v>11.52837377953678</v>
      </c>
      <c r="AS780" t="s">
        <v>65</v>
      </c>
      <c r="AT780">
        <v>1</v>
      </c>
      <c r="AU780" t="s">
        <v>89</v>
      </c>
      <c r="AV780" t="s">
        <v>90</v>
      </c>
      <c r="AW780" t="s">
        <v>60</v>
      </c>
      <c r="AX780" t="s">
        <v>68</v>
      </c>
      <c r="AY780" t="s">
        <v>69</v>
      </c>
      <c r="AZ780" t="b">
        <v>1</v>
      </c>
    </row>
    <row r="781" spans="1:52" x14ac:dyDescent="0.3">
      <c r="A781" t="s">
        <v>52</v>
      </c>
      <c r="B781" t="s">
        <v>53</v>
      </c>
      <c r="C781" t="s">
        <v>54</v>
      </c>
      <c r="D781" t="s">
        <v>55</v>
      </c>
      <c r="E781" t="s">
        <v>802</v>
      </c>
      <c r="F781" t="s">
        <v>176</v>
      </c>
      <c r="G781" t="s">
        <v>91</v>
      </c>
      <c r="H781" t="s">
        <v>92</v>
      </c>
      <c r="I781" t="s">
        <v>92</v>
      </c>
      <c r="J781" t="s">
        <v>60</v>
      </c>
      <c r="K781" t="s">
        <v>86</v>
      </c>
      <c r="L781" t="s">
        <v>62</v>
      </c>
      <c r="M781" t="s">
        <v>86</v>
      </c>
      <c r="N781" t="s">
        <v>93</v>
      </c>
      <c r="O781" t="s">
        <v>94</v>
      </c>
      <c r="P781">
        <v>-19.630676999999999</v>
      </c>
      <c r="Q781">
        <v>-43.907255999999997</v>
      </c>
      <c r="R781" s="2" t="str">
        <f>HYPERLINK("https://www.google.com/maps?q=-19.6306770,-43.9072560","Abrir no Google Maps")</f>
        <v>Abrir no Google Maps</v>
      </c>
      <c r="S781">
        <v>4</v>
      </c>
      <c r="T781">
        <v>545.39374622597825</v>
      </c>
      <c r="U781">
        <v>3</v>
      </c>
      <c r="V781">
        <v>0.40681073896863379</v>
      </c>
      <c r="W781">
        <v>1</v>
      </c>
      <c r="X781">
        <v>0.40681073896863379</v>
      </c>
      <c r="Y781">
        <v>10</v>
      </c>
      <c r="Z781">
        <v>559.94033759457182</v>
      </c>
      <c r="AA781">
        <v>2</v>
      </c>
      <c r="AB781">
        <v>3</v>
      </c>
      <c r="AC781">
        <v>7</v>
      </c>
      <c r="AD781">
        <v>28.5</v>
      </c>
      <c r="AE781">
        <v>253</v>
      </c>
      <c r="AF781">
        <v>22</v>
      </c>
      <c r="AG781">
        <v>59</v>
      </c>
      <c r="AH781">
        <v>32</v>
      </c>
      <c r="AI781">
        <v>8.6999999999999993</v>
      </c>
      <c r="AJ781">
        <v>23.32</v>
      </c>
      <c r="AK781">
        <v>12.65</v>
      </c>
      <c r="AL781">
        <v>-19.630448649999941</v>
      </c>
      <c r="AM781">
        <v>-43.907268502495313</v>
      </c>
      <c r="AN781">
        <v>-19.630448649999941</v>
      </c>
      <c r="AO781">
        <v>-43.907268502495313</v>
      </c>
      <c r="AP781">
        <v>-19.630676999999999</v>
      </c>
      <c r="AQ781">
        <v>-43.907255999999997</v>
      </c>
      <c r="AR781">
        <v>25.453700276562468</v>
      </c>
      <c r="AS781" t="s">
        <v>65</v>
      </c>
      <c r="AT781">
        <v>1</v>
      </c>
      <c r="AU781" t="s">
        <v>95</v>
      </c>
      <c r="AV781" t="s">
        <v>96</v>
      </c>
      <c r="AW781" t="s">
        <v>60</v>
      </c>
      <c r="AX781" t="s">
        <v>68</v>
      </c>
      <c r="AY781" t="s">
        <v>69</v>
      </c>
      <c r="AZ781" t="b">
        <v>1</v>
      </c>
    </row>
    <row r="782" spans="1:52" x14ac:dyDescent="0.3">
      <c r="A782" t="s">
        <v>52</v>
      </c>
      <c r="B782" t="s">
        <v>53</v>
      </c>
      <c r="C782" t="s">
        <v>54</v>
      </c>
      <c r="D782" t="s">
        <v>55</v>
      </c>
      <c r="E782" t="s">
        <v>802</v>
      </c>
      <c r="F782" t="s">
        <v>176</v>
      </c>
      <c r="G782" t="s">
        <v>97</v>
      </c>
      <c r="H782" t="s">
        <v>98</v>
      </c>
      <c r="I782" t="s">
        <v>98</v>
      </c>
      <c r="J782" t="s">
        <v>60</v>
      </c>
      <c r="K782" t="s">
        <v>99</v>
      </c>
      <c r="L782" t="s">
        <v>62</v>
      </c>
      <c r="M782" t="s">
        <v>99</v>
      </c>
      <c r="N782" t="s">
        <v>100</v>
      </c>
      <c r="O782" t="s">
        <v>101</v>
      </c>
      <c r="P782">
        <v>-19.629822000000001</v>
      </c>
      <c r="Q782">
        <v>-43.905341</v>
      </c>
      <c r="R782" s="2" t="str">
        <f>HYPERLINK("https://www.google.com/maps?q=-19.6298220,-43.9053410","Abrir no Google Maps")</f>
        <v>Abrir no Google Maps</v>
      </c>
      <c r="S782">
        <v>4</v>
      </c>
      <c r="T782">
        <v>441.30597341744129</v>
      </c>
      <c r="U782">
        <v>3</v>
      </c>
      <c r="V782">
        <v>0.41281563306227759</v>
      </c>
      <c r="W782">
        <v>1</v>
      </c>
      <c r="X782">
        <v>0.41281563306227759</v>
      </c>
      <c r="Y782">
        <v>10</v>
      </c>
      <c r="Z782">
        <v>513.56493751010987</v>
      </c>
      <c r="AA782">
        <v>2</v>
      </c>
      <c r="AB782">
        <v>3</v>
      </c>
      <c r="AC782">
        <v>7</v>
      </c>
      <c r="AD782">
        <v>28.5</v>
      </c>
      <c r="AE782">
        <v>253</v>
      </c>
      <c r="AF782">
        <v>22</v>
      </c>
      <c r="AG782">
        <v>59</v>
      </c>
      <c r="AH782">
        <v>32</v>
      </c>
      <c r="AI782">
        <v>8.6999999999999993</v>
      </c>
      <c r="AJ782">
        <v>23.32</v>
      </c>
      <c r="AK782">
        <v>12.65</v>
      </c>
      <c r="AL782">
        <v>-19.629671599999941</v>
      </c>
      <c r="AM782">
        <v>-43.905369597920988</v>
      </c>
      <c r="AN782">
        <v>-19.629671599999931</v>
      </c>
      <c r="AO782">
        <v>-43.905369597920988</v>
      </c>
      <c r="AP782">
        <v>-19.629822000000001</v>
      </c>
      <c r="AQ782">
        <v>-43.905341</v>
      </c>
      <c r="AR782">
        <v>17.008917699186132</v>
      </c>
      <c r="AS782" t="s">
        <v>65</v>
      </c>
      <c r="AT782">
        <v>1</v>
      </c>
      <c r="AU782" t="s">
        <v>102</v>
      </c>
      <c r="AV782" t="s">
        <v>103</v>
      </c>
      <c r="AW782" t="s">
        <v>60</v>
      </c>
      <c r="AX782" t="s">
        <v>68</v>
      </c>
      <c r="AY782" t="s">
        <v>69</v>
      </c>
      <c r="AZ782" t="b">
        <v>1</v>
      </c>
    </row>
    <row r="783" spans="1:52" x14ac:dyDescent="0.3">
      <c r="A783" t="s">
        <v>52</v>
      </c>
      <c r="B783" t="s">
        <v>53</v>
      </c>
      <c r="C783" t="s">
        <v>54</v>
      </c>
      <c r="D783" t="s">
        <v>55</v>
      </c>
      <c r="E783" t="s">
        <v>802</v>
      </c>
      <c r="F783" t="s">
        <v>176</v>
      </c>
      <c r="G783" t="s">
        <v>197</v>
      </c>
      <c r="H783" t="s">
        <v>198</v>
      </c>
      <c r="I783" t="s">
        <v>198</v>
      </c>
      <c r="J783" t="s">
        <v>60</v>
      </c>
      <c r="K783" t="s">
        <v>199</v>
      </c>
      <c r="L783" t="s">
        <v>62</v>
      </c>
      <c r="M783" t="s">
        <v>199</v>
      </c>
      <c r="N783" t="s">
        <v>200</v>
      </c>
      <c r="O783" t="s">
        <v>201</v>
      </c>
      <c r="P783">
        <v>-19.639250000000001</v>
      </c>
      <c r="Q783">
        <v>-43.916449999999998</v>
      </c>
      <c r="R783" s="2" t="str">
        <f>HYPERLINK("https://www.google.com/maps?q=-19.6392500,-43.9164500","Abrir no Google Maps")</f>
        <v>Abrir no Google Maps</v>
      </c>
      <c r="S783">
        <v>4</v>
      </c>
      <c r="T783">
        <v>249.46350881074861</v>
      </c>
      <c r="U783">
        <v>3</v>
      </c>
      <c r="V783">
        <v>0.41125699778766028</v>
      </c>
      <c r="W783">
        <v>1</v>
      </c>
      <c r="X783">
        <v>0.41125699778766028</v>
      </c>
      <c r="Y783">
        <v>3</v>
      </c>
      <c r="Z783">
        <v>267.54148787490578</v>
      </c>
      <c r="AA783">
        <v>2</v>
      </c>
      <c r="AB783">
        <v>3</v>
      </c>
      <c r="AC783">
        <v>7</v>
      </c>
      <c r="AD783">
        <v>28.5</v>
      </c>
      <c r="AE783">
        <v>253</v>
      </c>
      <c r="AF783">
        <v>22</v>
      </c>
      <c r="AG783">
        <v>59</v>
      </c>
      <c r="AH783">
        <v>32</v>
      </c>
      <c r="AI783">
        <v>8.6999999999999993</v>
      </c>
      <c r="AJ783">
        <v>23.32</v>
      </c>
      <c r="AK783">
        <v>12.65</v>
      </c>
      <c r="AL783">
        <v>-19.639331149999951</v>
      </c>
      <c r="AM783">
        <v>-43.916434187886892</v>
      </c>
      <c r="AN783">
        <v>-19.639331149999951</v>
      </c>
      <c r="AO783">
        <v>-43.916434187886892</v>
      </c>
      <c r="AP783">
        <v>-19.639250000000001</v>
      </c>
      <c r="AQ783">
        <v>-43.916449999999998</v>
      </c>
      <c r="AR783">
        <v>9.1844750188843953</v>
      </c>
      <c r="AS783" t="s">
        <v>65</v>
      </c>
      <c r="AT783">
        <v>1</v>
      </c>
      <c r="AU783" t="s">
        <v>202</v>
      </c>
      <c r="AV783" t="s">
        <v>203</v>
      </c>
      <c r="AW783" t="s">
        <v>60</v>
      </c>
      <c r="AX783" t="s">
        <v>68</v>
      </c>
      <c r="AY783" t="s">
        <v>69</v>
      </c>
      <c r="AZ783" t="b">
        <v>1</v>
      </c>
    </row>
    <row r="784" spans="1:52" x14ac:dyDescent="0.3">
      <c r="A784" t="s">
        <v>52</v>
      </c>
      <c r="B784" t="s">
        <v>53</v>
      </c>
      <c r="C784" t="s">
        <v>54</v>
      </c>
      <c r="D784" t="s">
        <v>55</v>
      </c>
      <c r="E784" t="s">
        <v>802</v>
      </c>
      <c r="F784" t="s">
        <v>176</v>
      </c>
      <c r="G784" t="s">
        <v>217</v>
      </c>
      <c r="H784" t="s">
        <v>218</v>
      </c>
      <c r="I784" t="s">
        <v>218</v>
      </c>
      <c r="J784" t="s">
        <v>60</v>
      </c>
      <c r="K784" t="s">
        <v>219</v>
      </c>
      <c r="L784" t="s">
        <v>62</v>
      </c>
      <c r="M784" t="s">
        <v>219</v>
      </c>
      <c r="N784" t="s">
        <v>220</v>
      </c>
      <c r="O784" t="s">
        <v>221</v>
      </c>
      <c r="P784">
        <v>-19.668924000000001</v>
      </c>
      <c r="Q784">
        <v>-43.888824</v>
      </c>
      <c r="R784" s="2" t="str">
        <f>HYPERLINK("https://www.google.com/maps?q=-19.6689240,-43.8888240","Abrir no Google Maps")</f>
        <v>Abrir no Google Maps</v>
      </c>
      <c r="S784">
        <v>4</v>
      </c>
      <c r="T784">
        <v>911.82770913869297</v>
      </c>
      <c r="U784">
        <v>3</v>
      </c>
      <c r="V784">
        <v>0.41566500256016381</v>
      </c>
      <c r="W784">
        <v>1</v>
      </c>
      <c r="X784">
        <v>0.41566500256016381</v>
      </c>
      <c r="Y784">
        <v>3</v>
      </c>
      <c r="Z784">
        <v>306.43809582423751</v>
      </c>
      <c r="AA784">
        <v>2</v>
      </c>
      <c r="AB784">
        <v>3</v>
      </c>
      <c r="AC784">
        <v>7</v>
      </c>
      <c r="AD784">
        <v>28.5</v>
      </c>
      <c r="AE784">
        <v>253</v>
      </c>
      <c r="AF784">
        <v>22</v>
      </c>
      <c r="AG784">
        <v>59</v>
      </c>
      <c r="AH784">
        <v>32</v>
      </c>
      <c r="AI784">
        <v>8.6999999999999993</v>
      </c>
      <c r="AJ784">
        <v>23.32</v>
      </c>
      <c r="AK784">
        <v>12.65</v>
      </c>
      <c r="AL784">
        <v>-19.669015399999981</v>
      </c>
      <c r="AM784">
        <v>-43.88883436988452</v>
      </c>
      <c r="AN784">
        <v>-19.669015399999971</v>
      </c>
      <c r="AO784">
        <v>-43.88883436988452</v>
      </c>
      <c r="AP784">
        <v>-19.668924000000001</v>
      </c>
      <c r="AQ784">
        <v>-43.888824</v>
      </c>
      <c r="AR784">
        <v>10.23254983885769</v>
      </c>
      <c r="AS784" t="s">
        <v>65</v>
      </c>
      <c r="AT784">
        <v>1</v>
      </c>
      <c r="AU784" t="s">
        <v>222</v>
      </c>
      <c r="AV784" t="s">
        <v>223</v>
      </c>
      <c r="AW784" t="s">
        <v>60</v>
      </c>
      <c r="AX784" t="s">
        <v>68</v>
      </c>
      <c r="AY784" t="s">
        <v>69</v>
      </c>
      <c r="AZ784" t="b">
        <v>1</v>
      </c>
    </row>
    <row r="785" spans="1:52" x14ac:dyDescent="0.3">
      <c r="A785" t="s">
        <v>52</v>
      </c>
      <c r="B785" t="s">
        <v>53</v>
      </c>
      <c r="C785" t="s">
        <v>54</v>
      </c>
      <c r="D785" t="s">
        <v>55</v>
      </c>
      <c r="E785" t="s">
        <v>802</v>
      </c>
      <c r="F785" t="s">
        <v>176</v>
      </c>
      <c r="G785" t="s">
        <v>197</v>
      </c>
      <c r="H785" t="s">
        <v>224</v>
      </c>
      <c r="I785" t="s">
        <v>224</v>
      </c>
      <c r="J785" t="s">
        <v>60</v>
      </c>
      <c r="K785" t="s">
        <v>199</v>
      </c>
      <c r="L785" t="s">
        <v>62</v>
      </c>
      <c r="M785" t="s">
        <v>199</v>
      </c>
      <c r="N785" t="s">
        <v>200</v>
      </c>
      <c r="O785" t="s">
        <v>225</v>
      </c>
      <c r="P785">
        <v>-19.637217</v>
      </c>
      <c r="Q785">
        <v>-43.916117</v>
      </c>
      <c r="R785" s="2" t="str">
        <f>HYPERLINK("https://www.google.com/maps?q=-19.6372170,-43.9161170","Abrir no Google Maps")</f>
        <v>Abrir no Google Maps</v>
      </c>
      <c r="S785">
        <v>4</v>
      </c>
      <c r="T785">
        <v>0</v>
      </c>
      <c r="U785">
        <v>3</v>
      </c>
      <c r="V785">
        <v>0.40293688126421939</v>
      </c>
      <c r="W785">
        <v>1</v>
      </c>
      <c r="X785">
        <v>0.40293688126421939</v>
      </c>
      <c r="Y785">
        <v>3</v>
      </c>
      <c r="Z785">
        <v>94.289538231800577</v>
      </c>
      <c r="AA785">
        <v>2</v>
      </c>
      <c r="AB785">
        <v>3</v>
      </c>
      <c r="AC785">
        <v>7</v>
      </c>
      <c r="AD785">
        <v>28.5</v>
      </c>
      <c r="AE785">
        <v>253</v>
      </c>
      <c r="AF785">
        <v>22</v>
      </c>
      <c r="AG785">
        <v>59</v>
      </c>
      <c r="AH785">
        <v>32</v>
      </c>
      <c r="AI785">
        <v>8.6999999999999993</v>
      </c>
      <c r="AJ785">
        <v>23.32</v>
      </c>
      <c r="AK785">
        <v>12.65</v>
      </c>
      <c r="AL785">
        <v>-19.63714454999996</v>
      </c>
      <c r="AM785">
        <v>-43.915856532303224</v>
      </c>
      <c r="AN785">
        <v>-19.63714454999996</v>
      </c>
      <c r="AO785">
        <v>-43.915856532303224</v>
      </c>
      <c r="AP785">
        <v>-19.637217</v>
      </c>
      <c r="AQ785">
        <v>-43.916117</v>
      </c>
      <c r="AR785">
        <v>28.47493692061667</v>
      </c>
      <c r="AS785" t="s">
        <v>65</v>
      </c>
      <c r="AT785">
        <v>1</v>
      </c>
      <c r="AU785" t="s">
        <v>226</v>
      </c>
      <c r="AV785" t="s">
        <v>227</v>
      </c>
      <c r="AW785" t="s">
        <v>60</v>
      </c>
      <c r="AX785" t="s">
        <v>68</v>
      </c>
      <c r="AY785" t="s">
        <v>69</v>
      </c>
      <c r="AZ785" t="b">
        <v>1</v>
      </c>
    </row>
    <row r="786" spans="1:52" x14ac:dyDescent="0.3">
      <c r="A786" t="s">
        <v>52</v>
      </c>
      <c r="B786" t="s">
        <v>53</v>
      </c>
      <c r="C786" t="s">
        <v>54</v>
      </c>
      <c r="D786" t="s">
        <v>55</v>
      </c>
      <c r="E786" t="s">
        <v>802</v>
      </c>
      <c r="F786" t="s">
        <v>176</v>
      </c>
      <c r="G786" t="s">
        <v>228</v>
      </c>
      <c r="H786" t="s">
        <v>229</v>
      </c>
      <c r="I786" t="s">
        <v>229</v>
      </c>
      <c r="J786" t="s">
        <v>60</v>
      </c>
      <c r="K786" t="s">
        <v>199</v>
      </c>
      <c r="L786" t="s">
        <v>62</v>
      </c>
      <c r="M786" t="s">
        <v>199</v>
      </c>
      <c r="N786" t="s">
        <v>230</v>
      </c>
      <c r="O786" t="s">
        <v>88</v>
      </c>
      <c r="P786">
        <v>-19.637703999999999</v>
      </c>
      <c r="Q786">
        <v>-43.913817999999999</v>
      </c>
      <c r="R786" s="2" t="str">
        <f>HYPERLINK("https://www.google.com/maps?q=-19.6377040,-43.9138180","Abrir no Google Maps")</f>
        <v>Abrir no Google Maps</v>
      </c>
      <c r="S786">
        <v>4</v>
      </c>
      <c r="T786">
        <v>216.67225021659709</v>
      </c>
      <c r="U786">
        <v>3</v>
      </c>
      <c r="V786">
        <v>0.40108312774241039</v>
      </c>
      <c r="W786">
        <v>1</v>
      </c>
      <c r="X786">
        <v>0.40108312774241039</v>
      </c>
      <c r="Y786">
        <v>3</v>
      </c>
      <c r="Z786">
        <v>250.25912407368671</v>
      </c>
      <c r="AA786">
        <v>2</v>
      </c>
      <c r="AB786">
        <v>3</v>
      </c>
      <c r="AC786">
        <v>7</v>
      </c>
      <c r="AD786">
        <v>28.5</v>
      </c>
      <c r="AE786">
        <v>253</v>
      </c>
      <c r="AF786">
        <v>22</v>
      </c>
      <c r="AG786">
        <v>59</v>
      </c>
      <c r="AH786">
        <v>32</v>
      </c>
      <c r="AI786">
        <v>8.6999999999999993</v>
      </c>
      <c r="AJ786">
        <v>23.32</v>
      </c>
      <c r="AK786">
        <v>12.65</v>
      </c>
      <c r="AL786">
        <v>-19.637548049999939</v>
      </c>
      <c r="AM786">
        <v>-43.91383458447649</v>
      </c>
      <c r="AN786">
        <v>-19.637548049999939</v>
      </c>
      <c r="AO786">
        <v>-43.91383458447649</v>
      </c>
      <c r="AP786">
        <v>-19.637703999999999</v>
      </c>
      <c r="AQ786">
        <v>-43.913817999999999</v>
      </c>
      <c r="AR786">
        <v>17.44721566371809</v>
      </c>
      <c r="AS786" t="s">
        <v>65</v>
      </c>
      <c r="AT786">
        <v>1</v>
      </c>
      <c r="AU786" t="s">
        <v>231</v>
      </c>
      <c r="AV786" t="s">
        <v>232</v>
      </c>
      <c r="AW786" t="s">
        <v>60</v>
      </c>
      <c r="AX786" t="s">
        <v>68</v>
      </c>
      <c r="AY786" t="s">
        <v>69</v>
      </c>
      <c r="AZ786" t="b">
        <v>1</v>
      </c>
    </row>
    <row r="787" spans="1:52" x14ac:dyDescent="0.3">
      <c r="A787" t="s">
        <v>52</v>
      </c>
      <c r="B787" t="s">
        <v>53</v>
      </c>
      <c r="C787" t="s">
        <v>54</v>
      </c>
      <c r="D787" t="s">
        <v>55</v>
      </c>
      <c r="E787" t="s">
        <v>802</v>
      </c>
      <c r="F787" t="s">
        <v>176</v>
      </c>
      <c r="G787" t="s">
        <v>239</v>
      </c>
      <c r="H787" t="s">
        <v>240</v>
      </c>
      <c r="I787" t="s">
        <v>240</v>
      </c>
      <c r="J787" t="s">
        <v>60</v>
      </c>
      <c r="K787" t="s">
        <v>241</v>
      </c>
      <c r="L787" t="s">
        <v>62</v>
      </c>
      <c r="M787" t="s">
        <v>241</v>
      </c>
      <c r="N787" t="s">
        <v>242</v>
      </c>
      <c r="O787" t="s">
        <v>243</v>
      </c>
      <c r="P787">
        <v>-19.64987</v>
      </c>
      <c r="Q787">
        <v>-43.901328999999997</v>
      </c>
      <c r="R787" s="2" t="str">
        <f>HYPERLINK("https://www.google.com/maps?q=-19.6498700,-43.9013290","Abrir no Google Maps")</f>
        <v>Abrir no Google Maps</v>
      </c>
      <c r="S787">
        <v>4</v>
      </c>
      <c r="T787">
        <v>379.88574886534309</v>
      </c>
      <c r="U787">
        <v>3</v>
      </c>
      <c r="V787">
        <v>0.40515457203615091</v>
      </c>
      <c r="W787">
        <v>1</v>
      </c>
      <c r="X787">
        <v>0.40515457203615091</v>
      </c>
      <c r="Y787">
        <v>1</v>
      </c>
      <c r="Z787">
        <v>442.33649591135162</v>
      </c>
      <c r="AA787">
        <v>2</v>
      </c>
      <c r="AB787">
        <v>3</v>
      </c>
      <c r="AC787">
        <v>7</v>
      </c>
      <c r="AD787">
        <v>28.5</v>
      </c>
      <c r="AE787">
        <v>253</v>
      </c>
      <c r="AF787">
        <v>22</v>
      </c>
      <c r="AG787">
        <v>59</v>
      </c>
      <c r="AH787">
        <v>32</v>
      </c>
      <c r="AI787">
        <v>8.6999999999999993</v>
      </c>
      <c r="AJ787">
        <v>23.32</v>
      </c>
      <c r="AK787">
        <v>12.65</v>
      </c>
      <c r="AL787">
        <v>-19.64971674999995</v>
      </c>
      <c r="AM787">
        <v>-43.901441574655102</v>
      </c>
      <c r="AN787">
        <v>-19.64971674999995</v>
      </c>
      <c r="AO787">
        <v>-43.901441574655102</v>
      </c>
      <c r="AP787">
        <v>-19.64987</v>
      </c>
      <c r="AQ787">
        <v>-43.901328999999997</v>
      </c>
      <c r="AR787">
        <v>20.744262514610401</v>
      </c>
      <c r="AS787" t="s">
        <v>65</v>
      </c>
      <c r="AT787">
        <v>1</v>
      </c>
      <c r="AU787" t="s">
        <v>244</v>
      </c>
      <c r="AV787" t="s">
        <v>245</v>
      </c>
      <c r="AW787" t="s">
        <v>60</v>
      </c>
      <c r="AX787" t="s">
        <v>68</v>
      </c>
      <c r="AY787" t="s">
        <v>69</v>
      </c>
      <c r="AZ787" t="b">
        <v>1</v>
      </c>
    </row>
    <row r="788" spans="1:52" x14ac:dyDescent="0.3">
      <c r="A788" t="s">
        <v>52</v>
      </c>
      <c r="B788" t="s">
        <v>53</v>
      </c>
      <c r="C788" t="s">
        <v>54</v>
      </c>
      <c r="D788" t="s">
        <v>55</v>
      </c>
      <c r="E788" t="s">
        <v>802</v>
      </c>
      <c r="F788" t="s">
        <v>176</v>
      </c>
      <c r="G788" t="s">
        <v>246</v>
      </c>
      <c r="H788" t="s">
        <v>247</v>
      </c>
      <c r="I788" t="s">
        <v>247</v>
      </c>
      <c r="J788" t="s">
        <v>60</v>
      </c>
      <c r="K788" t="s">
        <v>164</v>
      </c>
      <c r="L788" t="s">
        <v>62</v>
      </c>
      <c r="M788" t="s">
        <v>164</v>
      </c>
      <c r="N788" t="s">
        <v>248</v>
      </c>
      <c r="O788" t="s">
        <v>249</v>
      </c>
      <c r="P788">
        <v>-19.6448</v>
      </c>
      <c r="Q788">
        <v>-43.901600999999999</v>
      </c>
      <c r="R788" s="2" t="str">
        <f>HYPERLINK("https://www.google.com/maps?q=-19.6448000,-43.9016010","Abrir no Google Maps")</f>
        <v>Abrir no Google Maps</v>
      </c>
      <c r="S788">
        <v>4</v>
      </c>
      <c r="T788">
        <v>317.869447308274</v>
      </c>
      <c r="U788">
        <v>3</v>
      </c>
      <c r="V788">
        <v>0.40388154601713649</v>
      </c>
      <c r="W788">
        <v>1</v>
      </c>
      <c r="X788">
        <v>0.40388154601713649</v>
      </c>
      <c r="Y788">
        <v>1</v>
      </c>
      <c r="Z788">
        <v>349.42631749673592</v>
      </c>
      <c r="AA788">
        <v>2</v>
      </c>
      <c r="AB788">
        <v>3</v>
      </c>
      <c r="AC788">
        <v>7</v>
      </c>
      <c r="AD788">
        <v>28.5</v>
      </c>
      <c r="AE788">
        <v>253</v>
      </c>
      <c r="AF788">
        <v>22</v>
      </c>
      <c r="AG788">
        <v>59</v>
      </c>
      <c r="AH788">
        <v>32</v>
      </c>
      <c r="AI788">
        <v>8.6999999999999993</v>
      </c>
      <c r="AJ788">
        <v>23.32</v>
      </c>
      <c r="AK788">
        <v>12.65</v>
      </c>
      <c r="AL788">
        <v>-19.644877249999951</v>
      </c>
      <c r="AM788">
        <v>-43.901796079893373</v>
      </c>
      <c r="AN788">
        <v>-19.644877249999951</v>
      </c>
      <c r="AO788">
        <v>-43.901796079893373</v>
      </c>
      <c r="AP788">
        <v>-19.6448</v>
      </c>
      <c r="AQ788">
        <v>-43.901600999999999</v>
      </c>
      <c r="AR788">
        <v>22.186635956426102</v>
      </c>
      <c r="AS788" t="s">
        <v>65</v>
      </c>
      <c r="AT788">
        <v>1</v>
      </c>
      <c r="AU788" t="s">
        <v>250</v>
      </c>
      <c r="AV788" t="s">
        <v>251</v>
      </c>
      <c r="AW788" t="s">
        <v>60</v>
      </c>
      <c r="AX788" t="s">
        <v>68</v>
      </c>
      <c r="AY788" t="s">
        <v>69</v>
      </c>
      <c r="AZ788" t="b">
        <v>1</v>
      </c>
    </row>
    <row r="789" spans="1:52" x14ac:dyDescent="0.3">
      <c r="A789" t="s">
        <v>52</v>
      </c>
      <c r="B789" t="s">
        <v>53</v>
      </c>
      <c r="C789" t="s">
        <v>54</v>
      </c>
      <c r="D789" t="s">
        <v>55</v>
      </c>
      <c r="E789" t="s">
        <v>802</v>
      </c>
      <c r="F789" t="s">
        <v>176</v>
      </c>
      <c r="G789" t="s">
        <v>252</v>
      </c>
      <c r="H789" t="s">
        <v>253</v>
      </c>
      <c r="I789" t="s">
        <v>253</v>
      </c>
      <c r="J789" t="s">
        <v>60</v>
      </c>
      <c r="K789" t="s">
        <v>164</v>
      </c>
      <c r="L789" t="s">
        <v>62</v>
      </c>
      <c r="M789" t="s">
        <v>164</v>
      </c>
      <c r="N789" t="s">
        <v>254</v>
      </c>
      <c r="O789" t="s">
        <v>255</v>
      </c>
      <c r="P789">
        <v>-19.652244</v>
      </c>
      <c r="Q789">
        <v>-43.906869</v>
      </c>
      <c r="R789" s="2" t="str">
        <f>HYPERLINK("https://www.google.com/maps?q=-19.6522440,-43.9068690","Abrir no Google Maps")</f>
        <v>Abrir no Google Maps</v>
      </c>
      <c r="S789">
        <v>4</v>
      </c>
      <c r="T789">
        <v>659.98887289357856</v>
      </c>
      <c r="U789">
        <v>3</v>
      </c>
      <c r="V789">
        <v>0.40115242034950599</v>
      </c>
      <c r="W789">
        <v>1</v>
      </c>
      <c r="X789">
        <v>0.40115242034950599</v>
      </c>
      <c r="Y789">
        <v>1</v>
      </c>
      <c r="Z789">
        <v>607.69009953455907</v>
      </c>
      <c r="AA789">
        <v>2</v>
      </c>
      <c r="AB789">
        <v>3</v>
      </c>
      <c r="AC789">
        <v>7</v>
      </c>
      <c r="AD789">
        <v>28.5</v>
      </c>
      <c r="AE789">
        <v>253</v>
      </c>
      <c r="AF789">
        <v>22</v>
      </c>
      <c r="AG789">
        <v>59</v>
      </c>
      <c r="AH789">
        <v>32</v>
      </c>
      <c r="AI789">
        <v>8.6999999999999993</v>
      </c>
      <c r="AJ789">
        <v>23.32</v>
      </c>
      <c r="AK789">
        <v>12.65</v>
      </c>
      <c r="AL789">
        <v>-19.65225609999996</v>
      </c>
      <c r="AM789">
        <v>-43.906862663911163</v>
      </c>
      <c r="AN789">
        <v>-19.65225609999996</v>
      </c>
      <c r="AO789">
        <v>-43.906862663911149</v>
      </c>
      <c r="AP789">
        <v>-19.652244</v>
      </c>
      <c r="AQ789">
        <v>-43.906869</v>
      </c>
      <c r="AR789">
        <v>1.501852076897872</v>
      </c>
      <c r="AS789" t="s">
        <v>65</v>
      </c>
      <c r="AT789">
        <v>1</v>
      </c>
      <c r="AU789" t="s">
        <v>256</v>
      </c>
      <c r="AV789" t="s">
        <v>257</v>
      </c>
      <c r="AW789" t="s">
        <v>60</v>
      </c>
      <c r="AX789" t="s">
        <v>68</v>
      </c>
      <c r="AY789" t="s">
        <v>69</v>
      </c>
      <c r="AZ789" t="b">
        <v>1</v>
      </c>
    </row>
    <row r="790" spans="1:52" x14ac:dyDescent="0.3">
      <c r="A790" t="s">
        <v>52</v>
      </c>
      <c r="B790" t="s">
        <v>53</v>
      </c>
      <c r="C790" t="s">
        <v>54</v>
      </c>
      <c r="D790" t="s">
        <v>55</v>
      </c>
      <c r="E790" t="s">
        <v>802</v>
      </c>
      <c r="F790" t="s">
        <v>176</v>
      </c>
      <c r="G790" t="s">
        <v>258</v>
      </c>
      <c r="H790" t="s">
        <v>259</v>
      </c>
      <c r="I790" t="s">
        <v>259</v>
      </c>
      <c r="J790" t="s">
        <v>60</v>
      </c>
      <c r="K790" t="s">
        <v>192</v>
      </c>
      <c r="L790" t="s">
        <v>62</v>
      </c>
      <c r="M790" t="s">
        <v>192</v>
      </c>
      <c r="N790" t="s">
        <v>260</v>
      </c>
      <c r="O790" t="s">
        <v>261</v>
      </c>
      <c r="P790">
        <v>-19.651322</v>
      </c>
      <c r="Q790">
        <v>-43.909526999999997</v>
      </c>
      <c r="R790" s="2" t="str">
        <f>HYPERLINK("https://www.google.com/maps?q=-19.6513220,-43.9095270","Abrir no Google Maps")</f>
        <v>Abrir no Google Maps</v>
      </c>
      <c r="S790">
        <v>4</v>
      </c>
      <c r="T790">
        <v>818.75599819160288</v>
      </c>
      <c r="U790">
        <v>3</v>
      </c>
      <c r="V790">
        <v>0.4026577247888723</v>
      </c>
      <c r="W790">
        <v>1</v>
      </c>
      <c r="X790">
        <v>0.4026577247888723</v>
      </c>
      <c r="Y790">
        <v>1</v>
      </c>
      <c r="Z790">
        <v>730.53961508554767</v>
      </c>
      <c r="AA790">
        <v>2</v>
      </c>
      <c r="AB790">
        <v>3</v>
      </c>
      <c r="AC790">
        <v>7</v>
      </c>
      <c r="AD790">
        <v>28.5</v>
      </c>
      <c r="AE790">
        <v>253</v>
      </c>
      <c r="AF790">
        <v>22</v>
      </c>
      <c r="AG790">
        <v>59</v>
      </c>
      <c r="AH790">
        <v>32</v>
      </c>
      <c r="AI790">
        <v>8.6999999999999993</v>
      </c>
      <c r="AJ790">
        <v>23.32</v>
      </c>
      <c r="AK790">
        <v>12.65</v>
      </c>
      <c r="AL790">
        <v>-19.65143184999997</v>
      </c>
      <c r="AM790">
        <v>-43.910059983056307</v>
      </c>
      <c r="AN790">
        <v>-19.65143184999997</v>
      </c>
      <c r="AO790">
        <v>-43.910059983056307</v>
      </c>
      <c r="AP790">
        <v>-19.651322</v>
      </c>
      <c r="AQ790">
        <v>-43.909526999999997</v>
      </c>
      <c r="AR790">
        <v>57.198416395481701</v>
      </c>
      <c r="AS790" t="s">
        <v>65</v>
      </c>
      <c r="AT790">
        <v>1</v>
      </c>
      <c r="AU790" t="s">
        <v>262</v>
      </c>
      <c r="AV790" t="s">
        <v>263</v>
      </c>
      <c r="AW790" t="s">
        <v>60</v>
      </c>
      <c r="AX790" t="s">
        <v>68</v>
      </c>
      <c r="AY790" t="s">
        <v>69</v>
      </c>
      <c r="AZ790" t="b">
        <v>1</v>
      </c>
    </row>
    <row r="791" spans="1:52" x14ac:dyDescent="0.3">
      <c r="A791" t="s">
        <v>52</v>
      </c>
      <c r="B791" t="s">
        <v>53</v>
      </c>
      <c r="C791" t="s">
        <v>54</v>
      </c>
      <c r="D791" t="s">
        <v>55</v>
      </c>
      <c r="E791" t="s">
        <v>802</v>
      </c>
      <c r="F791" t="s">
        <v>176</v>
      </c>
      <c r="G791" t="s">
        <v>622</v>
      </c>
      <c r="H791" t="s">
        <v>623</v>
      </c>
      <c r="I791" t="s">
        <v>623</v>
      </c>
      <c r="J791" t="s">
        <v>60</v>
      </c>
      <c r="K791" t="s">
        <v>219</v>
      </c>
      <c r="L791" t="s">
        <v>62</v>
      </c>
      <c r="M791" t="s">
        <v>219</v>
      </c>
      <c r="N791" t="s">
        <v>624</v>
      </c>
      <c r="O791" t="s">
        <v>113</v>
      </c>
      <c r="P791">
        <v>-19.670276999999999</v>
      </c>
      <c r="Q791">
        <v>-43.893808</v>
      </c>
      <c r="R791" s="2" t="str">
        <f>HYPERLINK("https://www.google.com/maps?q=-19.6702770,-43.8938080","Abrir no Google Maps")</f>
        <v>Abrir no Google Maps</v>
      </c>
      <c r="S791">
        <v>4</v>
      </c>
      <c r="T791">
        <v>846.9753608437735</v>
      </c>
      <c r="U791">
        <v>3</v>
      </c>
      <c r="V791">
        <v>0.41428791660549108</v>
      </c>
      <c r="W791">
        <v>1</v>
      </c>
      <c r="X791">
        <v>0.41428791660549108</v>
      </c>
      <c r="Y791">
        <v>1</v>
      </c>
      <c r="Z791">
        <v>600.43160852236622</v>
      </c>
      <c r="AA791">
        <v>2</v>
      </c>
      <c r="AB791">
        <v>3</v>
      </c>
      <c r="AC791">
        <v>7</v>
      </c>
      <c r="AD791">
        <v>28.5</v>
      </c>
      <c r="AE791">
        <v>253</v>
      </c>
      <c r="AF791">
        <v>22</v>
      </c>
      <c r="AG791">
        <v>59</v>
      </c>
      <c r="AH791">
        <v>32</v>
      </c>
      <c r="AI791">
        <v>8.6999999999999993</v>
      </c>
      <c r="AJ791">
        <v>23.32</v>
      </c>
      <c r="AK791">
        <v>12.65</v>
      </c>
      <c r="AL791">
        <v>-19.670319349999971</v>
      </c>
      <c r="AM791">
        <v>-43.893716431206371</v>
      </c>
      <c r="AN791">
        <v>-19.670319349999971</v>
      </c>
      <c r="AO791">
        <v>-43.893716431206371</v>
      </c>
      <c r="AP791">
        <v>-19.670276999999999</v>
      </c>
      <c r="AQ791">
        <v>-43.893808</v>
      </c>
      <c r="AR791">
        <v>10.693863517034069</v>
      </c>
      <c r="AS791" t="s">
        <v>65</v>
      </c>
      <c r="AT791">
        <v>1</v>
      </c>
      <c r="AU791" t="s">
        <v>625</v>
      </c>
      <c r="AV791" t="s">
        <v>626</v>
      </c>
      <c r="AW791" t="s">
        <v>60</v>
      </c>
      <c r="AX791" t="s">
        <v>68</v>
      </c>
      <c r="AY791" t="s">
        <v>69</v>
      </c>
      <c r="AZ791" t="b">
        <v>1</v>
      </c>
    </row>
    <row r="792" spans="1:52" x14ac:dyDescent="0.3">
      <c r="A792" t="s">
        <v>52</v>
      </c>
      <c r="B792" t="s">
        <v>53</v>
      </c>
      <c r="C792" t="s">
        <v>54</v>
      </c>
      <c r="D792" t="s">
        <v>55</v>
      </c>
      <c r="E792" t="s">
        <v>802</v>
      </c>
      <c r="F792" t="s">
        <v>176</v>
      </c>
      <c r="G792" t="s">
        <v>217</v>
      </c>
      <c r="H792" t="s">
        <v>264</v>
      </c>
      <c r="I792" t="s">
        <v>264</v>
      </c>
      <c r="J792" t="s">
        <v>60</v>
      </c>
      <c r="K792" t="s">
        <v>219</v>
      </c>
      <c r="L792" t="s">
        <v>62</v>
      </c>
      <c r="M792" t="s">
        <v>219</v>
      </c>
      <c r="N792" t="s">
        <v>220</v>
      </c>
      <c r="O792" t="s">
        <v>265</v>
      </c>
      <c r="P792">
        <v>-19.668958</v>
      </c>
      <c r="Q792">
        <v>-43.890619999999998</v>
      </c>
      <c r="R792" s="2" t="str">
        <f>HYPERLINK("https://www.google.com/maps?q=-19.6689580,-43.8906200","Abrir no Google Maps")</f>
        <v>Abrir no Google Maps</v>
      </c>
      <c r="S792">
        <v>4</v>
      </c>
      <c r="T792">
        <v>893.53138484322108</v>
      </c>
      <c r="U792">
        <v>3</v>
      </c>
      <c r="V792">
        <v>0.41015032524194828</v>
      </c>
      <c r="W792">
        <v>1</v>
      </c>
      <c r="X792">
        <v>0.41015032524194828</v>
      </c>
      <c r="Y792">
        <v>1</v>
      </c>
      <c r="Z792">
        <v>336.68220024294959</v>
      </c>
      <c r="AA792">
        <v>2</v>
      </c>
      <c r="AB792">
        <v>3</v>
      </c>
      <c r="AC792">
        <v>7</v>
      </c>
      <c r="AD792">
        <v>28.5</v>
      </c>
      <c r="AE792">
        <v>253</v>
      </c>
      <c r="AF792">
        <v>22</v>
      </c>
      <c r="AG792">
        <v>59</v>
      </c>
      <c r="AH792">
        <v>32</v>
      </c>
      <c r="AI792">
        <v>8.6999999999999993</v>
      </c>
      <c r="AJ792">
        <v>23.32</v>
      </c>
      <c r="AK792">
        <v>12.65</v>
      </c>
      <c r="AL792">
        <v>-19.669114549999961</v>
      </c>
      <c r="AM792">
        <v>-43.890740893526242</v>
      </c>
      <c r="AN792">
        <v>-19.669114549999961</v>
      </c>
      <c r="AO792">
        <v>-43.890740893526242</v>
      </c>
      <c r="AP792">
        <v>-19.668958</v>
      </c>
      <c r="AQ792">
        <v>-43.890619999999998</v>
      </c>
      <c r="AR792">
        <v>21.54764375256557</v>
      </c>
      <c r="AS792" t="s">
        <v>65</v>
      </c>
      <c r="AT792">
        <v>1</v>
      </c>
      <c r="AU792" t="s">
        <v>266</v>
      </c>
      <c r="AV792" t="s">
        <v>267</v>
      </c>
      <c r="AW792" t="s">
        <v>60</v>
      </c>
      <c r="AX792" t="s">
        <v>68</v>
      </c>
      <c r="AY792" t="s">
        <v>69</v>
      </c>
      <c r="AZ792" t="b">
        <v>1</v>
      </c>
    </row>
    <row r="793" spans="1:52" x14ac:dyDescent="0.3">
      <c r="A793" t="s">
        <v>52</v>
      </c>
      <c r="B793" t="s">
        <v>53</v>
      </c>
      <c r="C793" t="s">
        <v>54</v>
      </c>
      <c r="D793" t="s">
        <v>55</v>
      </c>
      <c r="E793" t="s">
        <v>802</v>
      </c>
      <c r="F793" t="s">
        <v>176</v>
      </c>
      <c r="G793" t="s">
        <v>268</v>
      </c>
      <c r="H793" t="s">
        <v>269</v>
      </c>
      <c r="I793" t="s">
        <v>269</v>
      </c>
      <c r="J793" t="s">
        <v>60</v>
      </c>
      <c r="K793" t="s">
        <v>164</v>
      </c>
      <c r="L793" t="s">
        <v>62</v>
      </c>
      <c r="M793" t="s">
        <v>164</v>
      </c>
      <c r="N793" t="s">
        <v>270</v>
      </c>
      <c r="O793" t="s">
        <v>113</v>
      </c>
      <c r="P793">
        <v>-19.648771</v>
      </c>
      <c r="Q793">
        <v>-43.903640000000003</v>
      </c>
      <c r="R793" s="2" t="str">
        <f>HYPERLINK("https://www.google.com/maps?q=-19.6487710,-43.9036400","Abrir no Google Maps")</f>
        <v>Abrir no Google Maps</v>
      </c>
      <c r="S793">
        <v>4</v>
      </c>
      <c r="T793">
        <v>206.63717887005251</v>
      </c>
      <c r="U793">
        <v>3</v>
      </c>
      <c r="V793">
        <v>0.40902440704610399</v>
      </c>
      <c r="W793">
        <v>1</v>
      </c>
      <c r="X793">
        <v>0.40902440704610399</v>
      </c>
      <c r="Y793">
        <v>1</v>
      </c>
      <c r="Z793">
        <v>200.80459056276209</v>
      </c>
      <c r="AA793">
        <v>2</v>
      </c>
      <c r="AB793">
        <v>3</v>
      </c>
      <c r="AC793">
        <v>7</v>
      </c>
      <c r="AD793">
        <v>28.5</v>
      </c>
      <c r="AE793">
        <v>253</v>
      </c>
      <c r="AF793">
        <v>22</v>
      </c>
      <c r="AG793">
        <v>59</v>
      </c>
      <c r="AH793">
        <v>32</v>
      </c>
      <c r="AI793">
        <v>8.6999999999999993</v>
      </c>
      <c r="AJ793">
        <v>23.32</v>
      </c>
      <c r="AK793">
        <v>12.65</v>
      </c>
      <c r="AL793">
        <v>-19.648938299999969</v>
      </c>
      <c r="AM793">
        <v>-43.903687287450857</v>
      </c>
      <c r="AN793">
        <v>-19.648938299999969</v>
      </c>
      <c r="AO793">
        <v>-43.903687287450857</v>
      </c>
      <c r="AP793">
        <v>-19.648771</v>
      </c>
      <c r="AQ793">
        <v>-43.903640000000003</v>
      </c>
      <c r="AR793">
        <v>19.272369946853829</v>
      </c>
      <c r="AS793" t="s">
        <v>65</v>
      </c>
      <c r="AT793">
        <v>1</v>
      </c>
      <c r="AU793" t="s">
        <v>271</v>
      </c>
      <c r="AV793" t="s">
        <v>272</v>
      </c>
      <c r="AW793" t="s">
        <v>60</v>
      </c>
      <c r="AX793" t="s">
        <v>68</v>
      </c>
      <c r="AY793" t="s">
        <v>69</v>
      </c>
      <c r="AZ793" t="b">
        <v>1</v>
      </c>
    </row>
    <row r="794" spans="1:52" x14ac:dyDescent="0.3">
      <c r="A794" t="s">
        <v>52</v>
      </c>
      <c r="B794" t="s">
        <v>53</v>
      </c>
      <c r="C794" t="s">
        <v>54</v>
      </c>
      <c r="D794" t="s">
        <v>55</v>
      </c>
      <c r="E794" t="s">
        <v>802</v>
      </c>
      <c r="F794" t="s">
        <v>176</v>
      </c>
      <c r="G794" t="s">
        <v>162</v>
      </c>
      <c r="H794" t="s">
        <v>163</v>
      </c>
      <c r="I794" t="s">
        <v>163</v>
      </c>
      <c r="J794" t="s">
        <v>60</v>
      </c>
      <c r="K794" t="s">
        <v>164</v>
      </c>
      <c r="L794" t="s">
        <v>62</v>
      </c>
      <c r="M794" t="s">
        <v>164</v>
      </c>
      <c r="N794" t="s">
        <v>165</v>
      </c>
      <c r="O794" t="s">
        <v>166</v>
      </c>
      <c r="P794">
        <v>-19.650033000000001</v>
      </c>
      <c r="Q794">
        <v>-43.904634000000001</v>
      </c>
      <c r="R794" s="2" t="str">
        <f>HYPERLINK("https://www.google.com/maps?q=-19.6500330,-43.9046340","Abrir no Google Maps")</f>
        <v>Abrir no Google Maps</v>
      </c>
      <c r="S794">
        <v>4</v>
      </c>
      <c r="T794">
        <v>343.61469317865811</v>
      </c>
      <c r="U794">
        <v>3</v>
      </c>
      <c r="V794">
        <v>0.4139791225804087</v>
      </c>
      <c r="W794">
        <v>1</v>
      </c>
      <c r="X794">
        <v>0.4139791225804087</v>
      </c>
      <c r="Y794">
        <v>1</v>
      </c>
      <c r="Z794">
        <v>351.81960241626399</v>
      </c>
      <c r="AA794">
        <v>2</v>
      </c>
      <c r="AB794">
        <v>3</v>
      </c>
      <c r="AC794">
        <v>7</v>
      </c>
      <c r="AD794">
        <v>28.5</v>
      </c>
      <c r="AE794">
        <v>253</v>
      </c>
      <c r="AF794">
        <v>22</v>
      </c>
      <c r="AG794">
        <v>59</v>
      </c>
      <c r="AH794">
        <v>32</v>
      </c>
      <c r="AI794">
        <v>8.6999999999999993</v>
      </c>
      <c r="AJ794">
        <v>23.32</v>
      </c>
      <c r="AK794">
        <v>12.65</v>
      </c>
      <c r="AL794">
        <v>-19.650065899999959</v>
      </c>
      <c r="AM794">
        <v>-43.904619920569793</v>
      </c>
      <c r="AN794">
        <v>-19.650065899999959</v>
      </c>
      <c r="AO794">
        <v>-43.904619920569793</v>
      </c>
      <c r="AP794">
        <v>-19.650033000000001</v>
      </c>
      <c r="AQ794">
        <v>-43.904634000000001</v>
      </c>
      <c r="AR794">
        <v>3.9486827164921792</v>
      </c>
      <c r="AS794" t="s">
        <v>65</v>
      </c>
      <c r="AT794">
        <v>1</v>
      </c>
      <c r="AU794" t="s">
        <v>167</v>
      </c>
      <c r="AV794" t="s">
        <v>168</v>
      </c>
      <c r="AW794" t="s">
        <v>60</v>
      </c>
      <c r="AX794" t="s">
        <v>68</v>
      </c>
      <c r="AY794" t="s">
        <v>69</v>
      </c>
      <c r="AZ794" t="b">
        <v>1</v>
      </c>
    </row>
    <row r="795" spans="1:52" x14ac:dyDescent="0.3">
      <c r="A795" t="s">
        <v>52</v>
      </c>
      <c r="B795" t="s">
        <v>53</v>
      </c>
      <c r="C795" t="s">
        <v>54</v>
      </c>
      <c r="D795" t="s">
        <v>55</v>
      </c>
      <c r="E795" t="s">
        <v>802</v>
      </c>
      <c r="F795" t="s">
        <v>176</v>
      </c>
      <c r="G795" t="s">
        <v>411</v>
      </c>
      <c r="H795" t="s">
        <v>412</v>
      </c>
      <c r="I795" t="s">
        <v>412</v>
      </c>
      <c r="J795" t="s">
        <v>60</v>
      </c>
      <c r="K795" t="s">
        <v>179</v>
      </c>
      <c r="L795" t="s">
        <v>62</v>
      </c>
      <c r="M795" t="s">
        <v>179</v>
      </c>
      <c r="N795" t="s">
        <v>413</v>
      </c>
      <c r="O795" t="s">
        <v>414</v>
      </c>
      <c r="P795">
        <v>-19.650079000000002</v>
      </c>
      <c r="Q795">
        <v>-43.884253999999999</v>
      </c>
      <c r="R795" s="2" t="str">
        <f>HYPERLINK("https://www.google.com/maps?q=-19.6500790,-43.8842540","Abrir no Google Maps")</f>
        <v>Abrir no Google Maps</v>
      </c>
      <c r="S795">
        <v>3</v>
      </c>
      <c r="T795">
        <v>797.21430129715498</v>
      </c>
      <c r="U795">
        <v>4</v>
      </c>
      <c r="V795">
        <v>0.4205889071637427</v>
      </c>
      <c r="W795">
        <v>1</v>
      </c>
      <c r="X795">
        <v>0.4205889071637427</v>
      </c>
      <c r="Y795">
        <v>10</v>
      </c>
      <c r="Z795">
        <v>774.04145012702554</v>
      </c>
      <c r="AA795">
        <v>2</v>
      </c>
      <c r="AB795">
        <v>3</v>
      </c>
      <c r="AC795">
        <v>7</v>
      </c>
      <c r="AD795">
        <v>28.5</v>
      </c>
      <c r="AE795">
        <v>253</v>
      </c>
      <c r="AF795">
        <v>22</v>
      </c>
      <c r="AG795">
        <v>59</v>
      </c>
      <c r="AH795">
        <v>32</v>
      </c>
      <c r="AI795">
        <v>8.6999999999999993</v>
      </c>
      <c r="AJ795">
        <v>23.32</v>
      </c>
      <c r="AK795">
        <v>12.65</v>
      </c>
      <c r="AL795">
        <v>-19.649199399999961</v>
      </c>
      <c r="AM795">
        <v>-43.883888390043637</v>
      </c>
      <c r="AN795">
        <v>-19.649199399999961</v>
      </c>
      <c r="AO795">
        <v>-43.883888390043637</v>
      </c>
      <c r="AP795">
        <v>-19.650079000000002</v>
      </c>
      <c r="AQ795">
        <v>-43.884253999999999</v>
      </c>
      <c r="AR795">
        <v>105.1518915696123</v>
      </c>
      <c r="AS795" t="s">
        <v>65</v>
      </c>
      <c r="AT795">
        <v>1</v>
      </c>
      <c r="AU795" t="s">
        <v>415</v>
      </c>
      <c r="AV795" t="s">
        <v>416</v>
      </c>
      <c r="AW795" t="s">
        <v>60</v>
      </c>
      <c r="AX795" t="s">
        <v>68</v>
      </c>
      <c r="AY795" t="s">
        <v>69</v>
      </c>
      <c r="AZ795" t="b">
        <v>1</v>
      </c>
    </row>
    <row r="796" spans="1:52" x14ac:dyDescent="0.3">
      <c r="A796" t="s">
        <v>52</v>
      </c>
      <c r="B796" t="s">
        <v>53</v>
      </c>
      <c r="C796" t="s">
        <v>54</v>
      </c>
      <c r="D796" t="s">
        <v>55</v>
      </c>
      <c r="E796" t="s">
        <v>802</v>
      </c>
      <c r="F796" t="s">
        <v>176</v>
      </c>
      <c r="G796" t="s">
        <v>777</v>
      </c>
      <c r="H796" t="s">
        <v>778</v>
      </c>
      <c r="I796" t="s">
        <v>778</v>
      </c>
      <c r="J796" t="s">
        <v>60</v>
      </c>
      <c r="K796" t="s">
        <v>352</v>
      </c>
      <c r="L796" t="s">
        <v>62</v>
      </c>
      <c r="M796" t="s">
        <v>352</v>
      </c>
      <c r="N796" t="s">
        <v>779</v>
      </c>
      <c r="O796" t="s">
        <v>780</v>
      </c>
      <c r="P796">
        <v>-19.579518</v>
      </c>
      <c r="Q796">
        <v>-43.909238000000002</v>
      </c>
      <c r="R796" s="2" t="str">
        <f>HYPERLINK("https://www.google.com/maps?q=-19.5795180,-43.9092380","Abrir no Google Maps")</f>
        <v>Abrir no Google Maps</v>
      </c>
      <c r="S796">
        <v>3</v>
      </c>
      <c r="T796">
        <v>1293.9709096326289</v>
      </c>
      <c r="U796">
        <v>4</v>
      </c>
      <c r="V796">
        <v>0.5077011647550459</v>
      </c>
      <c r="W796">
        <v>0.85</v>
      </c>
      <c r="X796">
        <v>0.43154599004178901</v>
      </c>
      <c r="Y796">
        <v>7</v>
      </c>
      <c r="Z796">
        <v>1024.030940986815</v>
      </c>
      <c r="AA796">
        <v>2</v>
      </c>
      <c r="AB796">
        <v>3</v>
      </c>
      <c r="AC796">
        <v>7</v>
      </c>
      <c r="AD796">
        <v>28.5</v>
      </c>
      <c r="AE796">
        <v>253</v>
      </c>
      <c r="AF796">
        <v>22</v>
      </c>
      <c r="AG796">
        <v>59</v>
      </c>
      <c r="AH796">
        <v>32</v>
      </c>
      <c r="AI796">
        <v>8.6999999999999993</v>
      </c>
      <c r="AJ796">
        <v>23.32</v>
      </c>
      <c r="AK796">
        <v>12.65</v>
      </c>
      <c r="AL796">
        <v>-19.579767999999941</v>
      </c>
      <c r="AM796">
        <v>-43.909514457818823</v>
      </c>
      <c r="AN796">
        <v>-19.579767999999941</v>
      </c>
      <c r="AO796">
        <v>-43.909514457818823</v>
      </c>
      <c r="AP796">
        <v>-19.579518</v>
      </c>
      <c r="AQ796">
        <v>-43.909238000000002</v>
      </c>
      <c r="AR796">
        <v>40.190312724728379</v>
      </c>
      <c r="AS796" t="s">
        <v>65</v>
      </c>
      <c r="AT796">
        <v>1</v>
      </c>
      <c r="AU796" t="s">
        <v>781</v>
      </c>
      <c r="AV796" t="s">
        <v>782</v>
      </c>
      <c r="AW796" t="s">
        <v>60</v>
      </c>
      <c r="AX796" t="s">
        <v>68</v>
      </c>
      <c r="AY796" t="s">
        <v>69</v>
      </c>
      <c r="AZ796" t="b">
        <v>1</v>
      </c>
    </row>
    <row r="797" spans="1:52" x14ac:dyDescent="0.3">
      <c r="A797" t="s">
        <v>52</v>
      </c>
      <c r="B797" t="s">
        <v>53</v>
      </c>
      <c r="C797" t="s">
        <v>54</v>
      </c>
      <c r="D797" t="s">
        <v>55</v>
      </c>
      <c r="E797" t="s">
        <v>802</v>
      </c>
      <c r="F797" t="s">
        <v>176</v>
      </c>
      <c r="G797" t="s">
        <v>297</v>
      </c>
      <c r="H797" t="s">
        <v>298</v>
      </c>
      <c r="I797" t="s">
        <v>298</v>
      </c>
      <c r="J797" t="s">
        <v>60</v>
      </c>
      <c r="K797" t="s">
        <v>299</v>
      </c>
      <c r="L797" t="s">
        <v>62</v>
      </c>
      <c r="M797" t="s">
        <v>299</v>
      </c>
      <c r="N797" t="s">
        <v>300</v>
      </c>
      <c r="O797" t="s">
        <v>301</v>
      </c>
      <c r="P797">
        <v>-19.679597000000001</v>
      </c>
      <c r="Q797">
        <v>-43.912095000000001</v>
      </c>
      <c r="R797" s="2" t="str">
        <f>HYPERLINK("https://www.google.com/maps?q=-19.6795970,-43.9120950","Abrir no Google Maps")</f>
        <v>Abrir no Google Maps</v>
      </c>
      <c r="S797">
        <v>3</v>
      </c>
      <c r="T797">
        <v>1581.3368267219889</v>
      </c>
      <c r="U797">
        <v>4</v>
      </c>
      <c r="V797">
        <v>0.4222270215218864</v>
      </c>
      <c r="W797">
        <v>1</v>
      </c>
      <c r="X797">
        <v>0.4222270215218864</v>
      </c>
      <c r="Y797">
        <v>5</v>
      </c>
      <c r="Z797">
        <v>2051.2590436749392</v>
      </c>
      <c r="AA797">
        <v>2</v>
      </c>
      <c r="AB797">
        <v>3</v>
      </c>
      <c r="AC797">
        <v>7</v>
      </c>
      <c r="AD797">
        <v>28.5</v>
      </c>
      <c r="AE797">
        <v>253</v>
      </c>
      <c r="AF797">
        <v>22</v>
      </c>
      <c r="AG797">
        <v>59</v>
      </c>
      <c r="AH797">
        <v>32</v>
      </c>
      <c r="AI797">
        <v>8.6999999999999993</v>
      </c>
      <c r="AJ797">
        <v>23.32</v>
      </c>
      <c r="AK797">
        <v>12.65</v>
      </c>
      <c r="AL797">
        <v>-19.679572799999931</v>
      </c>
      <c r="AM797">
        <v>-43.912071775440793</v>
      </c>
      <c r="AN797">
        <v>-19.679572799999931</v>
      </c>
      <c r="AO797">
        <v>-43.912071775440793</v>
      </c>
      <c r="AP797">
        <v>-19.679597000000001</v>
      </c>
      <c r="AQ797">
        <v>-43.912095000000001</v>
      </c>
      <c r="AR797">
        <v>3.6308936744190978</v>
      </c>
      <c r="AS797" t="s">
        <v>65</v>
      </c>
      <c r="AT797">
        <v>1</v>
      </c>
      <c r="AU797" t="s">
        <v>302</v>
      </c>
      <c r="AV797" t="s">
        <v>303</v>
      </c>
      <c r="AW797" t="s">
        <v>60</v>
      </c>
      <c r="AX797" t="s">
        <v>68</v>
      </c>
      <c r="AY797" t="s">
        <v>69</v>
      </c>
      <c r="AZ797" t="b">
        <v>1</v>
      </c>
    </row>
    <row r="798" spans="1:52" x14ac:dyDescent="0.3">
      <c r="A798" t="s">
        <v>52</v>
      </c>
      <c r="B798" t="s">
        <v>53</v>
      </c>
      <c r="C798" t="s">
        <v>54</v>
      </c>
      <c r="D798" t="s">
        <v>55</v>
      </c>
      <c r="E798" t="s">
        <v>802</v>
      </c>
      <c r="F798" t="s">
        <v>176</v>
      </c>
      <c r="G798" t="s">
        <v>309</v>
      </c>
      <c r="H798" t="s">
        <v>316</v>
      </c>
      <c r="I798" t="s">
        <v>316</v>
      </c>
      <c r="J798" t="s">
        <v>60</v>
      </c>
      <c r="K798" t="s">
        <v>311</v>
      </c>
      <c r="L798" t="s">
        <v>62</v>
      </c>
      <c r="M798" t="s">
        <v>311</v>
      </c>
      <c r="N798" t="s">
        <v>317</v>
      </c>
      <c r="O798" t="s">
        <v>313</v>
      </c>
      <c r="P798">
        <v>-19.580131999999999</v>
      </c>
      <c r="Q798">
        <v>-43.918303000000002</v>
      </c>
      <c r="R798" s="2" t="str">
        <f>HYPERLINK("https://www.google.com/maps?q=-19.5801320,-43.9183030","Abrir no Google Maps")</f>
        <v>Abrir no Google Maps</v>
      </c>
      <c r="S798">
        <v>3</v>
      </c>
      <c r="T798">
        <v>665.05989403461285</v>
      </c>
      <c r="U798">
        <v>4</v>
      </c>
      <c r="V798">
        <v>0.46209141418655231</v>
      </c>
      <c r="W798">
        <v>1</v>
      </c>
      <c r="X798">
        <v>0.46209141418655231</v>
      </c>
      <c r="Y798">
        <v>5</v>
      </c>
      <c r="Z798">
        <v>743.64474333505098</v>
      </c>
      <c r="AA798">
        <v>2</v>
      </c>
      <c r="AB798">
        <v>3</v>
      </c>
      <c r="AC798">
        <v>7</v>
      </c>
      <c r="AD798">
        <v>28.5</v>
      </c>
      <c r="AE798">
        <v>253</v>
      </c>
      <c r="AF798">
        <v>22</v>
      </c>
      <c r="AG798">
        <v>59</v>
      </c>
      <c r="AH798">
        <v>32</v>
      </c>
      <c r="AI798">
        <v>8.6999999999999993</v>
      </c>
      <c r="AJ798">
        <v>23.32</v>
      </c>
      <c r="AK798">
        <v>12.65</v>
      </c>
      <c r="AL798">
        <v>-19.58010349999995</v>
      </c>
      <c r="AM798">
        <v>-43.918363319288602</v>
      </c>
      <c r="AN798">
        <v>-19.58010349999995</v>
      </c>
      <c r="AO798">
        <v>-43.918363319288602</v>
      </c>
      <c r="AP798">
        <v>-19.580131999999999</v>
      </c>
      <c r="AQ798">
        <v>-43.918303000000002</v>
      </c>
      <c r="AR798">
        <v>7.0773977790944862</v>
      </c>
      <c r="AS798" t="s">
        <v>65</v>
      </c>
      <c r="AT798">
        <v>1</v>
      </c>
      <c r="AU798" t="s">
        <v>318</v>
      </c>
      <c r="AV798" t="s">
        <v>319</v>
      </c>
      <c r="AW798" t="s">
        <v>60</v>
      </c>
      <c r="AX798" t="s">
        <v>68</v>
      </c>
      <c r="AY798" t="s">
        <v>69</v>
      </c>
      <c r="AZ798" t="b">
        <v>1</v>
      </c>
    </row>
    <row r="799" spans="1:52" x14ac:dyDescent="0.3">
      <c r="A799" t="s">
        <v>52</v>
      </c>
      <c r="B799" t="s">
        <v>53</v>
      </c>
      <c r="C799" t="s">
        <v>54</v>
      </c>
      <c r="D799" t="s">
        <v>55</v>
      </c>
      <c r="E799" t="s">
        <v>802</v>
      </c>
      <c r="F799" t="s">
        <v>176</v>
      </c>
      <c r="G799" t="s">
        <v>438</v>
      </c>
      <c r="H799" t="s">
        <v>439</v>
      </c>
      <c r="I799" t="s">
        <v>439</v>
      </c>
      <c r="J799" t="s">
        <v>60</v>
      </c>
      <c r="K799" t="s">
        <v>199</v>
      </c>
      <c r="L799" t="s">
        <v>62</v>
      </c>
      <c r="M799" t="s">
        <v>199</v>
      </c>
      <c r="N799" t="s">
        <v>440</v>
      </c>
      <c r="O799" t="s">
        <v>120</v>
      </c>
      <c r="P799">
        <v>-19.642907000000001</v>
      </c>
      <c r="Q799">
        <v>-43.912584000000003</v>
      </c>
      <c r="R799" s="2" t="str">
        <f>HYPERLINK("https://www.google.com/maps?q=-19.6429070,-43.9125840","Abrir no Google Maps")</f>
        <v>Abrir no Google Maps</v>
      </c>
      <c r="S799">
        <v>3</v>
      </c>
      <c r="T799">
        <v>0</v>
      </c>
      <c r="U799">
        <v>4</v>
      </c>
      <c r="V799">
        <v>0.42561774567230792</v>
      </c>
      <c r="W799">
        <v>1</v>
      </c>
      <c r="X799">
        <v>0.42561774567230792</v>
      </c>
      <c r="Y799">
        <v>4</v>
      </c>
      <c r="Z799">
        <v>617.66392653629225</v>
      </c>
      <c r="AA799">
        <v>2</v>
      </c>
      <c r="AB799">
        <v>3</v>
      </c>
      <c r="AC799">
        <v>7</v>
      </c>
      <c r="AD799">
        <v>28.5</v>
      </c>
      <c r="AE799">
        <v>253</v>
      </c>
      <c r="AF799">
        <v>22</v>
      </c>
      <c r="AG799">
        <v>59</v>
      </c>
      <c r="AH799">
        <v>32</v>
      </c>
      <c r="AI799">
        <v>8.6999999999999993</v>
      </c>
      <c r="AJ799">
        <v>23.32</v>
      </c>
      <c r="AK799">
        <v>12.65</v>
      </c>
      <c r="AL799">
        <v>-19.64265969999996</v>
      </c>
      <c r="AM799">
        <v>-43.912763285666202</v>
      </c>
      <c r="AN799">
        <v>-19.64265969999996</v>
      </c>
      <c r="AO799">
        <v>-43.912763285666202</v>
      </c>
      <c r="AP799">
        <v>-19.642907000000001</v>
      </c>
      <c r="AQ799">
        <v>-43.912584000000003</v>
      </c>
      <c r="AR799">
        <v>33.334435483196202</v>
      </c>
      <c r="AS799" t="s">
        <v>65</v>
      </c>
      <c r="AT799">
        <v>1</v>
      </c>
      <c r="AU799" t="s">
        <v>441</v>
      </c>
      <c r="AV799" t="s">
        <v>442</v>
      </c>
      <c r="AW799" t="s">
        <v>60</v>
      </c>
      <c r="AX799" t="s">
        <v>68</v>
      </c>
      <c r="AY799" t="s">
        <v>69</v>
      </c>
      <c r="AZ799" t="b">
        <v>1</v>
      </c>
    </row>
    <row r="800" spans="1:52" x14ac:dyDescent="0.3">
      <c r="A800" t="s">
        <v>52</v>
      </c>
      <c r="B800" t="s">
        <v>53</v>
      </c>
      <c r="C800" t="s">
        <v>54</v>
      </c>
      <c r="D800" t="s">
        <v>55</v>
      </c>
      <c r="E800" t="s">
        <v>802</v>
      </c>
      <c r="F800" t="s">
        <v>176</v>
      </c>
      <c r="G800" t="s">
        <v>462</v>
      </c>
      <c r="H800" t="s">
        <v>463</v>
      </c>
      <c r="I800" t="s">
        <v>463</v>
      </c>
      <c r="J800" t="s">
        <v>60</v>
      </c>
      <c r="K800" t="s">
        <v>464</v>
      </c>
      <c r="L800" t="s">
        <v>62</v>
      </c>
      <c r="M800" t="s">
        <v>464</v>
      </c>
      <c r="N800" t="s">
        <v>465</v>
      </c>
      <c r="O800" t="s">
        <v>414</v>
      </c>
      <c r="P800">
        <v>-19.655408000000001</v>
      </c>
      <c r="Q800">
        <v>-43.862772999999997</v>
      </c>
      <c r="R800" s="2" t="str">
        <f>HYPERLINK("https://www.google.com/maps?q=-19.6554080,-43.8627730","Abrir no Google Maps")</f>
        <v>Abrir no Google Maps</v>
      </c>
      <c r="S800">
        <v>3</v>
      </c>
      <c r="T800">
        <v>877.50781603676592</v>
      </c>
      <c r="U800">
        <v>4</v>
      </c>
      <c r="V800">
        <v>0.42527668254049539</v>
      </c>
      <c r="W800">
        <v>1</v>
      </c>
      <c r="X800">
        <v>0.42527668254049539</v>
      </c>
      <c r="Y800">
        <v>3</v>
      </c>
      <c r="Z800">
        <v>1005.9680098732809</v>
      </c>
      <c r="AA800">
        <v>2</v>
      </c>
      <c r="AB800">
        <v>3</v>
      </c>
      <c r="AC800">
        <v>7</v>
      </c>
      <c r="AD800">
        <v>28.5</v>
      </c>
      <c r="AE800">
        <v>253</v>
      </c>
      <c r="AF800">
        <v>22</v>
      </c>
      <c r="AG800">
        <v>59</v>
      </c>
      <c r="AH800">
        <v>32</v>
      </c>
      <c r="AI800">
        <v>8.6999999999999993</v>
      </c>
      <c r="AJ800">
        <v>23.32</v>
      </c>
      <c r="AK800">
        <v>12.65</v>
      </c>
      <c r="AL800">
        <v>-19.655455099999951</v>
      </c>
      <c r="AM800">
        <v>-43.863149342001513</v>
      </c>
      <c r="AN800">
        <v>-19.655455099999951</v>
      </c>
      <c r="AO800">
        <v>-43.863149342001513</v>
      </c>
      <c r="AP800">
        <v>-19.655408000000001</v>
      </c>
      <c r="AQ800">
        <v>-43.862772999999997</v>
      </c>
      <c r="AR800">
        <v>39.800175805630573</v>
      </c>
      <c r="AS800" t="s">
        <v>65</v>
      </c>
      <c r="AT800">
        <v>1</v>
      </c>
      <c r="AU800" t="s">
        <v>466</v>
      </c>
      <c r="AV800" t="s">
        <v>467</v>
      </c>
      <c r="AW800" t="s">
        <v>60</v>
      </c>
      <c r="AX800" t="s">
        <v>68</v>
      </c>
      <c r="AY800" t="s">
        <v>69</v>
      </c>
      <c r="AZ800" t="b">
        <v>1</v>
      </c>
    </row>
    <row r="801" spans="1:52" x14ac:dyDescent="0.3">
      <c r="A801" t="s">
        <v>52</v>
      </c>
      <c r="B801" t="s">
        <v>53</v>
      </c>
      <c r="C801" t="s">
        <v>54</v>
      </c>
      <c r="D801" t="s">
        <v>55</v>
      </c>
      <c r="E801" t="s">
        <v>802</v>
      </c>
      <c r="F801" t="s">
        <v>176</v>
      </c>
      <c r="G801" t="s">
        <v>783</v>
      </c>
      <c r="H801" t="s">
        <v>784</v>
      </c>
      <c r="I801" t="s">
        <v>784</v>
      </c>
      <c r="J801" t="s">
        <v>60</v>
      </c>
      <c r="K801" t="s">
        <v>326</v>
      </c>
      <c r="L801" t="s">
        <v>62</v>
      </c>
      <c r="M801" t="s">
        <v>326</v>
      </c>
      <c r="N801" t="s">
        <v>785</v>
      </c>
      <c r="O801" t="s">
        <v>282</v>
      </c>
      <c r="P801">
        <v>-19.660250999999999</v>
      </c>
      <c r="Q801">
        <v>-43.872767000000003</v>
      </c>
      <c r="R801" s="2" t="str">
        <f>HYPERLINK("https://www.google.com/maps?q=-19.6602510,-43.8727670","Abrir no Google Maps")</f>
        <v>Abrir no Google Maps</v>
      </c>
      <c r="S801">
        <v>3</v>
      </c>
      <c r="T801">
        <v>867.23644041593502</v>
      </c>
      <c r="U801">
        <v>4</v>
      </c>
      <c r="V801">
        <v>0.44126325440484732</v>
      </c>
      <c r="W801">
        <v>1</v>
      </c>
      <c r="X801">
        <v>0.44126325440484732</v>
      </c>
      <c r="Y801">
        <v>3</v>
      </c>
      <c r="Z801">
        <v>822.53921499947728</v>
      </c>
      <c r="AA801">
        <v>2</v>
      </c>
      <c r="AB801">
        <v>3</v>
      </c>
      <c r="AC801">
        <v>7</v>
      </c>
      <c r="AD801">
        <v>28.5</v>
      </c>
      <c r="AE801">
        <v>253</v>
      </c>
      <c r="AF801">
        <v>22</v>
      </c>
      <c r="AG801">
        <v>59</v>
      </c>
      <c r="AH801">
        <v>32</v>
      </c>
      <c r="AI801">
        <v>8.6999999999999993</v>
      </c>
      <c r="AJ801">
        <v>23.32</v>
      </c>
      <c r="AK801">
        <v>12.65</v>
      </c>
      <c r="AL801">
        <v>-19.65986969999997</v>
      </c>
      <c r="AM801">
        <v>-43.872697658306379</v>
      </c>
      <c r="AN801">
        <v>-19.65986969999997</v>
      </c>
      <c r="AO801">
        <v>-43.872697658306379</v>
      </c>
      <c r="AP801">
        <v>-19.660250999999999</v>
      </c>
      <c r="AQ801">
        <v>-43.872767000000003</v>
      </c>
      <c r="AR801">
        <v>43.064256320397227</v>
      </c>
      <c r="AS801" t="s">
        <v>65</v>
      </c>
      <c r="AT801">
        <v>1</v>
      </c>
      <c r="AU801" t="s">
        <v>786</v>
      </c>
      <c r="AV801" t="s">
        <v>787</v>
      </c>
      <c r="AW801" t="s">
        <v>60</v>
      </c>
      <c r="AX801" t="s">
        <v>68</v>
      </c>
      <c r="AY801" t="s">
        <v>69</v>
      </c>
      <c r="AZ801" t="b">
        <v>1</v>
      </c>
    </row>
    <row r="802" spans="1:52" x14ac:dyDescent="0.3">
      <c r="A802" t="s">
        <v>52</v>
      </c>
      <c r="B802" t="s">
        <v>53</v>
      </c>
      <c r="C802" t="s">
        <v>54</v>
      </c>
      <c r="D802" t="s">
        <v>55</v>
      </c>
      <c r="E802" t="s">
        <v>802</v>
      </c>
      <c r="F802" t="s">
        <v>176</v>
      </c>
      <c r="G802" t="s">
        <v>331</v>
      </c>
      <c r="H802" t="s">
        <v>332</v>
      </c>
      <c r="I802" t="s">
        <v>332</v>
      </c>
      <c r="J802" t="s">
        <v>60</v>
      </c>
      <c r="K802" t="s">
        <v>333</v>
      </c>
      <c r="L802" t="s">
        <v>62</v>
      </c>
      <c r="M802" t="s">
        <v>333</v>
      </c>
      <c r="N802" t="s">
        <v>334</v>
      </c>
      <c r="O802" t="s">
        <v>335</v>
      </c>
      <c r="P802">
        <v>-19.638455</v>
      </c>
      <c r="Q802">
        <v>-43.911239000000002</v>
      </c>
      <c r="R802" s="2" t="str">
        <f>HYPERLINK("https://www.google.com/maps?q=-19.6384550,-43.9112390","Abrir no Google Maps")</f>
        <v>Abrir no Google Maps</v>
      </c>
      <c r="S802">
        <v>3</v>
      </c>
      <c r="T802">
        <v>488.53051432983438</v>
      </c>
      <c r="U802">
        <v>4</v>
      </c>
      <c r="V802">
        <v>0.42491162487539291</v>
      </c>
      <c r="W802">
        <v>1</v>
      </c>
      <c r="X802">
        <v>0.42491162487539291</v>
      </c>
      <c r="Y802">
        <v>3</v>
      </c>
      <c r="Z802">
        <v>503.17412324010428</v>
      </c>
      <c r="AA802">
        <v>2</v>
      </c>
      <c r="AB802">
        <v>3</v>
      </c>
      <c r="AC802">
        <v>7</v>
      </c>
      <c r="AD802">
        <v>28.5</v>
      </c>
      <c r="AE802">
        <v>253</v>
      </c>
      <c r="AF802">
        <v>22</v>
      </c>
      <c r="AG802">
        <v>59</v>
      </c>
      <c r="AH802">
        <v>32</v>
      </c>
      <c r="AI802">
        <v>8.6999999999999993</v>
      </c>
      <c r="AJ802">
        <v>23.32</v>
      </c>
      <c r="AK802">
        <v>12.65</v>
      </c>
      <c r="AL802">
        <v>-19.63853704999994</v>
      </c>
      <c r="AM802">
        <v>-43.911098254478723</v>
      </c>
      <c r="AN802">
        <v>-19.63853704999994</v>
      </c>
      <c r="AO802">
        <v>-43.911098254478723</v>
      </c>
      <c r="AP802">
        <v>-19.638455</v>
      </c>
      <c r="AQ802">
        <v>-43.911239000000002</v>
      </c>
      <c r="AR802">
        <v>17.354491692685801</v>
      </c>
      <c r="AS802" t="s">
        <v>65</v>
      </c>
      <c r="AT802">
        <v>1</v>
      </c>
      <c r="AU802" t="s">
        <v>336</v>
      </c>
      <c r="AV802" t="s">
        <v>337</v>
      </c>
      <c r="AW802" t="s">
        <v>60</v>
      </c>
      <c r="AX802" t="s">
        <v>68</v>
      </c>
      <c r="AY802" t="s">
        <v>69</v>
      </c>
      <c r="AZ802" t="b">
        <v>1</v>
      </c>
    </row>
    <row r="803" spans="1:52" x14ac:dyDescent="0.3">
      <c r="A803" t="s">
        <v>52</v>
      </c>
      <c r="B803" t="s">
        <v>53</v>
      </c>
      <c r="C803" t="s">
        <v>54</v>
      </c>
      <c r="D803" t="s">
        <v>55</v>
      </c>
      <c r="E803" t="s">
        <v>802</v>
      </c>
      <c r="F803" t="s">
        <v>176</v>
      </c>
      <c r="G803" t="s">
        <v>338</v>
      </c>
      <c r="H803" t="s">
        <v>339</v>
      </c>
      <c r="I803" t="s">
        <v>339</v>
      </c>
      <c r="J803" t="s">
        <v>60</v>
      </c>
      <c r="K803" t="s">
        <v>219</v>
      </c>
      <c r="L803" t="s">
        <v>62</v>
      </c>
      <c r="M803" t="s">
        <v>219</v>
      </c>
      <c r="N803" t="s">
        <v>340</v>
      </c>
      <c r="O803" t="s">
        <v>341</v>
      </c>
      <c r="P803">
        <v>-19.666964</v>
      </c>
      <c r="Q803">
        <v>-43.884436999999998</v>
      </c>
      <c r="R803" s="2" t="str">
        <f>HYPERLINK("https://www.google.com/maps?q=-19.6669640,-43.8844370","Abrir no Google Maps")</f>
        <v>Abrir no Google Maps</v>
      </c>
      <c r="S803">
        <v>3</v>
      </c>
      <c r="T803">
        <v>957.0047152726122</v>
      </c>
      <c r="U803">
        <v>4</v>
      </c>
      <c r="V803">
        <v>0.44864450035945358</v>
      </c>
      <c r="W803">
        <v>1</v>
      </c>
      <c r="X803">
        <v>0.44864450035945358</v>
      </c>
      <c r="Y803">
        <v>3</v>
      </c>
      <c r="Z803">
        <v>558.02655966087093</v>
      </c>
      <c r="AA803">
        <v>2</v>
      </c>
      <c r="AB803">
        <v>3</v>
      </c>
      <c r="AC803">
        <v>7</v>
      </c>
      <c r="AD803">
        <v>28.5</v>
      </c>
      <c r="AE803">
        <v>253</v>
      </c>
      <c r="AF803">
        <v>22</v>
      </c>
      <c r="AG803">
        <v>59</v>
      </c>
      <c r="AH803">
        <v>32</v>
      </c>
      <c r="AI803">
        <v>8.6999999999999993</v>
      </c>
      <c r="AJ803">
        <v>23.32</v>
      </c>
      <c r="AK803">
        <v>12.65</v>
      </c>
      <c r="AL803">
        <v>-19.66693374999997</v>
      </c>
      <c r="AM803">
        <v>-43.884551162820181</v>
      </c>
      <c r="AN803">
        <v>-19.66693374999997</v>
      </c>
      <c r="AO803">
        <v>-43.884551162820181</v>
      </c>
      <c r="AP803">
        <v>-19.666964</v>
      </c>
      <c r="AQ803">
        <v>-43.884436999999998</v>
      </c>
      <c r="AR803">
        <v>12.43199920714442</v>
      </c>
      <c r="AS803" t="s">
        <v>65</v>
      </c>
      <c r="AT803">
        <v>1</v>
      </c>
      <c r="AU803" t="s">
        <v>342</v>
      </c>
      <c r="AV803" t="s">
        <v>343</v>
      </c>
      <c r="AW803" t="s">
        <v>60</v>
      </c>
      <c r="AX803" t="s">
        <v>68</v>
      </c>
      <c r="AY803" t="s">
        <v>69</v>
      </c>
      <c r="AZ803" t="b">
        <v>1</v>
      </c>
    </row>
    <row r="804" spans="1:52" x14ac:dyDescent="0.3">
      <c r="A804" t="s">
        <v>52</v>
      </c>
      <c r="B804" t="s">
        <v>53</v>
      </c>
      <c r="C804" t="s">
        <v>54</v>
      </c>
      <c r="D804" t="s">
        <v>55</v>
      </c>
      <c r="E804" t="s">
        <v>802</v>
      </c>
      <c r="F804" t="s">
        <v>176</v>
      </c>
      <c r="G804" t="s">
        <v>344</v>
      </c>
      <c r="H804" t="s">
        <v>345</v>
      </c>
      <c r="I804" t="s">
        <v>345</v>
      </c>
      <c r="J804" t="s">
        <v>60</v>
      </c>
      <c r="K804" t="s">
        <v>326</v>
      </c>
      <c r="L804" t="s">
        <v>62</v>
      </c>
      <c r="M804" t="s">
        <v>326</v>
      </c>
      <c r="N804" t="s">
        <v>346</v>
      </c>
      <c r="O804" t="s">
        <v>347</v>
      </c>
      <c r="P804">
        <v>-19.659784999999999</v>
      </c>
      <c r="Q804">
        <v>-43.868257999999997</v>
      </c>
      <c r="R804" s="2" t="str">
        <f>HYPERLINK("https://www.google.com/maps?q=-19.6597850,-43.8682580","Abrir no Google Maps")</f>
        <v>Abrir no Google Maps</v>
      </c>
      <c r="S804">
        <v>3</v>
      </c>
      <c r="T804">
        <v>887.40196140413514</v>
      </c>
      <c r="U804">
        <v>4</v>
      </c>
      <c r="V804">
        <v>0.45416345472813818</v>
      </c>
      <c r="W804">
        <v>1</v>
      </c>
      <c r="X804">
        <v>0.45416345472813818</v>
      </c>
      <c r="Y804">
        <v>3</v>
      </c>
      <c r="Z804">
        <v>951.67106090939239</v>
      </c>
      <c r="AA804">
        <v>2</v>
      </c>
      <c r="AB804">
        <v>3</v>
      </c>
      <c r="AC804">
        <v>7</v>
      </c>
      <c r="AD804">
        <v>28.5</v>
      </c>
      <c r="AE804">
        <v>253</v>
      </c>
      <c r="AF804">
        <v>22</v>
      </c>
      <c r="AG804">
        <v>59</v>
      </c>
      <c r="AH804">
        <v>32</v>
      </c>
      <c r="AI804">
        <v>8.6999999999999993</v>
      </c>
      <c r="AJ804">
        <v>23.32</v>
      </c>
      <c r="AK804">
        <v>12.65</v>
      </c>
      <c r="AL804">
        <v>-19.659938849999971</v>
      </c>
      <c r="AM804">
        <v>-43.868426732971933</v>
      </c>
      <c r="AN804">
        <v>-19.659938849999971</v>
      </c>
      <c r="AO804">
        <v>-43.868426732971933</v>
      </c>
      <c r="AP804">
        <v>-19.659784999999999</v>
      </c>
      <c r="AQ804">
        <v>-43.868257999999997</v>
      </c>
      <c r="AR804">
        <v>24.621113441172451</v>
      </c>
      <c r="AS804" t="s">
        <v>65</v>
      </c>
      <c r="AT804">
        <v>1</v>
      </c>
      <c r="AU804" t="s">
        <v>348</v>
      </c>
      <c r="AV804" t="s">
        <v>349</v>
      </c>
      <c r="AW804" t="s">
        <v>60</v>
      </c>
      <c r="AX804" t="s">
        <v>68</v>
      </c>
      <c r="AY804" t="s">
        <v>69</v>
      </c>
      <c r="AZ804" t="b">
        <v>1</v>
      </c>
    </row>
    <row r="805" spans="1:52" x14ac:dyDescent="0.3">
      <c r="A805" t="s">
        <v>52</v>
      </c>
      <c r="B805" t="s">
        <v>53</v>
      </c>
      <c r="C805" t="s">
        <v>54</v>
      </c>
      <c r="D805" t="s">
        <v>55</v>
      </c>
      <c r="E805" t="s">
        <v>802</v>
      </c>
      <c r="F805" t="s">
        <v>176</v>
      </c>
      <c r="G805" t="s">
        <v>350</v>
      </c>
      <c r="H805" t="s">
        <v>351</v>
      </c>
      <c r="I805" t="s">
        <v>351</v>
      </c>
      <c r="J805" t="s">
        <v>60</v>
      </c>
      <c r="K805" t="s">
        <v>352</v>
      </c>
      <c r="L805" t="s">
        <v>62</v>
      </c>
      <c r="M805" t="s">
        <v>352</v>
      </c>
      <c r="N805" t="s">
        <v>353</v>
      </c>
      <c r="O805" t="s">
        <v>354</v>
      </c>
      <c r="P805">
        <v>-19.595734</v>
      </c>
      <c r="Q805">
        <v>-43.900387000000002</v>
      </c>
      <c r="R805" s="2" t="str">
        <f>HYPERLINK("https://www.google.com/maps?q=-19.5957340,-43.9003870","Abrir no Google Maps")</f>
        <v>Abrir no Google Maps</v>
      </c>
      <c r="S805">
        <v>3</v>
      </c>
      <c r="T805">
        <v>600.67809066127609</v>
      </c>
      <c r="U805">
        <v>4</v>
      </c>
      <c r="V805">
        <v>0.49456312380315398</v>
      </c>
      <c r="W805">
        <v>1</v>
      </c>
      <c r="X805">
        <v>0.49456312380315398</v>
      </c>
      <c r="Y805">
        <v>2</v>
      </c>
      <c r="Z805">
        <v>676.06682548988681</v>
      </c>
      <c r="AA805">
        <v>2</v>
      </c>
      <c r="AB805">
        <v>3</v>
      </c>
      <c r="AC805">
        <v>7</v>
      </c>
      <c r="AD805">
        <v>28.5</v>
      </c>
      <c r="AE805">
        <v>253</v>
      </c>
      <c r="AF805">
        <v>22</v>
      </c>
      <c r="AG805">
        <v>59</v>
      </c>
      <c r="AH805">
        <v>32</v>
      </c>
      <c r="AI805">
        <v>8.6999999999999993</v>
      </c>
      <c r="AJ805">
        <v>23.32</v>
      </c>
      <c r="AK805">
        <v>12.65</v>
      </c>
      <c r="AL805">
        <v>-19.595574149999951</v>
      </c>
      <c r="AM805">
        <v>-43.900265035317688</v>
      </c>
      <c r="AN805">
        <v>-19.595574149999951</v>
      </c>
      <c r="AO805">
        <v>-43.900265035317688</v>
      </c>
      <c r="AP805">
        <v>-19.595734</v>
      </c>
      <c r="AQ805">
        <v>-43.900387000000002</v>
      </c>
      <c r="AR805">
        <v>21.91456243504582</v>
      </c>
      <c r="AS805" t="s">
        <v>65</v>
      </c>
      <c r="AT805">
        <v>1</v>
      </c>
      <c r="AU805" t="s">
        <v>355</v>
      </c>
      <c r="AV805" t="s">
        <v>356</v>
      </c>
      <c r="AW805" t="s">
        <v>60</v>
      </c>
      <c r="AX805" t="s">
        <v>68</v>
      </c>
      <c r="AY805" t="s">
        <v>69</v>
      </c>
      <c r="AZ805" t="b">
        <v>1</v>
      </c>
    </row>
    <row r="806" spans="1:52" x14ac:dyDescent="0.3">
      <c r="A806" t="s">
        <v>52</v>
      </c>
      <c r="B806" t="s">
        <v>53</v>
      </c>
      <c r="C806" t="s">
        <v>54</v>
      </c>
      <c r="D806" t="s">
        <v>55</v>
      </c>
      <c r="E806" t="s">
        <v>802</v>
      </c>
      <c r="F806" t="s">
        <v>176</v>
      </c>
      <c r="G806" t="s">
        <v>357</v>
      </c>
      <c r="H806" t="s">
        <v>358</v>
      </c>
      <c r="I806" t="s">
        <v>358</v>
      </c>
      <c r="J806" t="s">
        <v>60</v>
      </c>
      <c r="K806" t="s">
        <v>359</v>
      </c>
      <c r="L806" t="s">
        <v>62</v>
      </c>
      <c r="M806" t="s">
        <v>359</v>
      </c>
      <c r="N806" t="s">
        <v>360</v>
      </c>
      <c r="O806" t="s">
        <v>201</v>
      </c>
      <c r="P806">
        <v>-19.601168000000001</v>
      </c>
      <c r="Q806">
        <v>-43.896143000000002</v>
      </c>
      <c r="R806" s="2" t="str">
        <f>HYPERLINK("https://www.google.com/maps?q=-19.6011680,-43.8961430","Abrir no Google Maps")</f>
        <v>Abrir no Google Maps</v>
      </c>
      <c r="S806">
        <v>3</v>
      </c>
      <c r="T806">
        <v>886.80074895427902</v>
      </c>
      <c r="U806">
        <v>4</v>
      </c>
      <c r="V806">
        <v>0.43341657251135751</v>
      </c>
      <c r="W806">
        <v>1</v>
      </c>
      <c r="X806">
        <v>0.43341657251135751</v>
      </c>
      <c r="Y806">
        <v>2</v>
      </c>
      <c r="Z806">
        <v>807.27931110193254</v>
      </c>
      <c r="AA806">
        <v>2</v>
      </c>
      <c r="AB806">
        <v>3</v>
      </c>
      <c r="AC806">
        <v>7</v>
      </c>
      <c r="AD806">
        <v>28.5</v>
      </c>
      <c r="AE806">
        <v>253</v>
      </c>
      <c r="AF806">
        <v>22</v>
      </c>
      <c r="AG806">
        <v>59</v>
      </c>
      <c r="AH806">
        <v>32</v>
      </c>
      <c r="AI806">
        <v>8.6999999999999993</v>
      </c>
      <c r="AJ806">
        <v>23.32</v>
      </c>
      <c r="AK806">
        <v>12.65</v>
      </c>
      <c r="AL806">
        <v>-19.60112959999995</v>
      </c>
      <c r="AM806">
        <v>-43.896049426747439</v>
      </c>
      <c r="AN806">
        <v>-19.60112959999995</v>
      </c>
      <c r="AO806">
        <v>-43.896049426747439</v>
      </c>
      <c r="AP806">
        <v>-19.601168000000001</v>
      </c>
      <c r="AQ806">
        <v>-43.896143000000002</v>
      </c>
      <c r="AR806">
        <v>10.703588298793671</v>
      </c>
      <c r="AS806" t="s">
        <v>65</v>
      </c>
      <c r="AT806">
        <v>1</v>
      </c>
      <c r="AU806" t="s">
        <v>361</v>
      </c>
      <c r="AV806" t="s">
        <v>362</v>
      </c>
      <c r="AW806" t="s">
        <v>60</v>
      </c>
      <c r="AX806" t="s">
        <v>68</v>
      </c>
      <c r="AY806" t="s">
        <v>69</v>
      </c>
      <c r="AZ806" t="b">
        <v>1</v>
      </c>
    </row>
    <row r="807" spans="1:52" x14ac:dyDescent="0.3">
      <c r="A807" t="s">
        <v>52</v>
      </c>
      <c r="B807" t="s">
        <v>53</v>
      </c>
      <c r="C807" t="s">
        <v>54</v>
      </c>
      <c r="D807" t="s">
        <v>55</v>
      </c>
      <c r="E807" t="s">
        <v>802</v>
      </c>
      <c r="F807" t="s">
        <v>176</v>
      </c>
      <c r="G807" t="s">
        <v>350</v>
      </c>
      <c r="H807" t="s">
        <v>363</v>
      </c>
      <c r="I807" t="s">
        <v>363</v>
      </c>
      <c r="J807" t="s">
        <v>60</v>
      </c>
      <c r="K807" t="s">
        <v>364</v>
      </c>
      <c r="L807" t="s">
        <v>62</v>
      </c>
      <c r="M807" t="s">
        <v>364</v>
      </c>
      <c r="N807" t="s">
        <v>353</v>
      </c>
      <c r="O807" t="s">
        <v>365</v>
      </c>
      <c r="P807">
        <v>-19.594657000000002</v>
      </c>
      <c r="Q807">
        <v>-43.901567</v>
      </c>
      <c r="R807" s="2" t="str">
        <f>HYPERLINK("https://www.google.com/maps?q=-19.5946570,-43.9015670","Abrir no Google Maps")</f>
        <v>Abrir no Google Maps</v>
      </c>
      <c r="S807">
        <v>3</v>
      </c>
      <c r="T807">
        <v>592.43040989358553</v>
      </c>
      <c r="U807">
        <v>4</v>
      </c>
      <c r="V807">
        <v>0.49893711577868849</v>
      </c>
      <c r="W807">
        <v>1</v>
      </c>
      <c r="X807">
        <v>0.49893711577868849</v>
      </c>
      <c r="Y807">
        <v>2</v>
      </c>
      <c r="Z807">
        <v>597.4493869225131</v>
      </c>
      <c r="AA807">
        <v>2</v>
      </c>
      <c r="AB807">
        <v>3</v>
      </c>
      <c r="AC807">
        <v>7</v>
      </c>
      <c r="AD807">
        <v>28.5</v>
      </c>
      <c r="AE807">
        <v>253</v>
      </c>
      <c r="AF807">
        <v>22</v>
      </c>
      <c r="AG807">
        <v>59</v>
      </c>
      <c r="AH807">
        <v>32</v>
      </c>
      <c r="AI807">
        <v>8.6999999999999993</v>
      </c>
      <c r="AJ807">
        <v>23.32</v>
      </c>
      <c r="AK807">
        <v>12.65</v>
      </c>
      <c r="AL807">
        <v>-19.59470494999994</v>
      </c>
      <c r="AM807">
        <v>-43.901629434678291</v>
      </c>
      <c r="AN807">
        <v>-19.59470494999994</v>
      </c>
      <c r="AO807">
        <v>-43.901629434678291</v>
      </c>
      <c r="AP807">
        <v>-19.594657000000002</v>
      </c>
      <c r="AQ807">
        <v>-43.901567</v>
      </c>
      <c r="AR807">
        <v>8.4477696105165858</v>
      </c>
      <c r="AS807" t="s">
        <v>65</v>
      </c>
      <c r="AT807">
        <v>1</v>
      </c>
      <c r="AU807" t="s">
        <v>366</v>
      </c>
      <c r="AV807" t="s">
        <v>367</v>
      </c>
      <c r="AW807" t="s">
        <v>60</v>
      </c>
      <c r="AX807" t="s">
        <v>68</v>
      </c>
      <c r="AY807" t="s">
        <v>69</v>
      </c>
      <c r="AZ807" t="b">
        <v>1</v>
      </c>
    </row>
    <row r="808" spans="1:52" x14ac:dyDescent="0.3">
      <c r="A808" t="s">
        <v>52</v>
      </c>
      <c r="B808" t="s">
        <v>53</v>
      </c>
      <c r="C808" t="s">
        <v>54</v>
      </c>
      <c r="D808" t="s">
        <v>55</v>
      </c>
      <c r="E808" t="s">
        <v>802</v>
      </c>
      <c r="F808" t="s">
        <v>176</v>
      </c>
      <c r="G808" t="s">
        <v>371</v>
      </c>
      <c r="H808" t="s">
        <v>372</v>
      </c>
      <c r="I808" t="s">
        <v>372</v>
      </c>
      <c r="J808" t="s">
        <v>60</v>
      </c>
      <c r="K808" t="s">
        <v>352</v>
      </c>
      <c r="L808" t="s">
        <v>62</v>
      </c>
      <c r="M808" t="s">
        <v>352</v>
      </c>
      <c r="N808" t="s">
        <v>353</v>
      </c>
      <c r="O808" t="s">
        <v>373</v>
      </c>
      <c r="P808">
        <v>-19.596541999999999</v>
      </c>
      <c r="Q808">
        <v>-43.900803000000003</v>
      </c>
      <c r="R808" s="2" t="str">
        <f>HYPERLINK("https://www.google.com/maps?q=-19.5965420,-43.9008030","Abrir no Google Maps")</f>
        <v>Abrir no Google Maps</v>
      </c>
      <c r="S808">
        <v>3</v>
      </c>
      <c r="T808">
        <v>401.18305899095373</v>
      </c>
      <c r="U808">
        <v>4</v>
      </c>
      <c r="V808">
        <v>0.50110911336311803</v>
      </c>
      <c r="W808">
        <v>1</v>
      </c>
      <c r="X808">
        <v>0.50110911336311803</v>
      </c>
      <c r="Y808">
        <v>2</v>
      </c>
      <c r="Z808">
        <v>484.51228510119228</v>
      </c>
      <c r="AA808">
        <v>2</v>
      </c>
      <c r="AB808">
        <v>3</v>
      </c>
      <c r="AC808">
        <v>7</v>
      </c>
      <c r="AD808">
        <v>28.5</v>
      </c>
      <c r="AE808">
        <v>253</v>
      </c>
      <c r="AF808">
        <v>22</v>
      </c>
      <c r="AG808">
        <v>59</v>
      </c>
      <c r="AH808">
        <v>32</v>
      </c>
      <c r="AI808">
        <v>8.6999999999999993</v>
      </c>
      <c r="AJ808">
        <v>23.32</v>
      </c>
      <c r="AK808">
        <v>12.65</v>
      </c>
      <c r="AL808">
        <v>-19.596464449999932</v>
      </c>
      <c r="AM808">
        <v>-43.902090320142641</v>
      </c>
      <c r="AN808">
        <v>-19.596464449999932</v>
      </c>
      <c r="AO808">
        <v>-43.902090320142641</v>
      </c>
      <c r="AP808">
        <v>-19.596541999999999</v>
      </c>
      <c r="AQ808">
        <v>-43.900803000000003</v>
      </c>
      <c r="AR808">
        <v>135.27975170069479</v>
      </c>
      <c r="AS808" t="s">
        <v>65</v>
      </c>
      <c r="AT808">
        <v>1</v>
      </c>
      <c r="AU808" t="s">
        <v>374</v>
      </c>
      <c r="AV808" t="s">
        <v>375</v>
      </c>
      <c r="AW808" t="s">
        <v>60</v>
      </c>
      <c r="AX808" t="s">
        <v>68</v>
      </c>
      <c r="AY808" t="s">
        <v>69</v>
      </c>
      <c r="AZ808" t="b">
        <v>1</v>
      </c>
    </row>
    <row r="809" spans="1:52" x14ac:dyDescent="0.3">
      <c r="A809" t="s">
        <v>52</v>
      </c>
      <c r="B809" t="s">
        <v>53</v>
      </c>
      <c r="C809" t="s">
        <v>54</v>
      </c>
      <c r="D809" t="s">
        <v>55</v>
      </c>
      <c r="E809" t="s">
        <v>802</v>
      </c>
      <c r="F809" t="s">
        <v>176</v>
      </c>
      <c r="G809" t="s">
        <v>376</v>
      </c>
      <c r="H809" t="s">
        <v>377</v>
      </c>
      <c r="I809" t="s">
        <v>377</v>
      </c>
      <c r="J809" t="s">
        <v>60</v>
      </c>
      <c r="K809" t="s">
        <v>352</v>
      </c>
      <c r="L809" t="s">
        <v>62</v>
      </c>
      <c r="M809" t="s">
        <v>352</v>
      </c>
      <c r="N809" t="s">
        <v>378</v>
      </c>
      <c r="O809" t="s">
        <v>379</v>
      </c>
      <c r="P809">
        <v>-19.596966999999999</v>
      </c>
      <c r="Q809">
        <v>-43.90155</v>
      </c>
      <c r="R809" s="2" t="str">
        <f>HYPERLINK("https://www.google.com/maps?q=-19.5969670,-43.9015500","Abrir no Google Maps")</f>
        <v>Abrir no Google Maps</v>
      </c>
      <c r="S809">
        <v>3</v>
      </c>
      <c r="T809">
        <v>366.5160120865408</v>
      </c>
      <c r="U809">
        <v>4</v>
      </c>
      <c r="V809">
        <v>0.47301573739313818</v>
      </c>
      <c r="W809">
        <v>1</v>
      </c>
      <c r="X809">
        <v>0.47301573739313818</v>
      </c>
      <c r="Y809">
        <v>2</v>
      </c>
      <c r="Z809">
        <v>437.88042928493138</v>
      </c>
      <c r="AA809">
        <v>2</v>
      </c>
      <c r="AB809">
        <v>3</v>
      </c>
      <c r="AC809">
        <v>7</v>
      </c>
      <c r="AD809">
        <v>28.5</v>
      </c>
      <c r="AE809">
        <v>253</v>
      </c>
      <c r="AF809">
        <v>22</v>
      </c>
      <c r="AG809">
        <v>59</v>
      </c>
      <c r="AH809">
        <v>32</v>
      </c>
      <c r="AI809">
        <v>8.6999999999999993</v>
      </c>
      <c r="AJ809">
        <v>23.32</v>
      </c>
      <c r="AK809">
        <v>12.65</v>
      </c>
      <c r="AL809">
        <v>-19.597188549999942</v>
      </c>
      <c r="AM809">
        <v>-43.901724335633787</v>
      </c>
      <c r="AN809">
        <v>-19.597188549999942</v>
      </c>
      <c r="AO809">
        <v>-43.901724335633787</v>
      </c>
      <c r="AP809">
        <v>-19.596966999999999</v>
      </c>
      <c r="AQ809">
        <v>-43.90155</v>
      </c>
      <c r="AR809">
        <v>30.700556875456439</v>
      </c>
      <c r="AS809" t="s">
        <v>65</v>
      </c>
      <c r="AT809">
        <v>1</v>
      </c>
      <c r="AU809" t="s">
        <v>380</v>
      </c>
      <c r="AV809" t="s">
        <v>381</v>
      </c>
      <c r="AW809" t="s">
        <v>60</v>
      </c>
      <c r="AX809" t="s">
        <v>68</v>
      </c>
      <c r="AY809" t="s">
        <v>69</v>
      </c>
      <c r="AZ809" t="b">
        <v>1</v>
      </c>
    </row>
    <row r="810" spans="1:52" x14ac:dyDescent="0.3">
      <c r="A810" t="s">
        <v>52</v>
      </c>
      <c r="B810" t="s">
        <v>53</v>
      </c>
      <c r="C810" t="s">
        <v>54</v>
      </c>
      <c r="D810" t="s">
        <v>55</v>
      </c>
      <c r="E810" t="s">
        <v>802</v>
      </c>
      <c r="F810" t="s">
        <v>176</v>
      </c>
      <c r="G810" t="s">
        <v>506</v>
      </c>
      <c r="H810" t="s">
        <v>507</v>
      </c>
      <c r="I810" t="s">
        <v>507</v>
      </c>
      <c r="J810" t="s">
        <v>60</v>
      </c>
      <c r="K810" t="s">
        <v>219</v>
      </c>
      <c r="L810" t="s">
        <v>62</v>
      </c>
      <c r="M810" t="s">
        <v>219</v>
      </c>
      <c r="N810" t="s">
        <v>508</v>
      </c>
      <c r="O810" t="s">
        <v>509</v>
      </c>
      <c r="P810">
        <v>-19.663573</v>
      </c>
      <c r="Q810">
        <v>-43.884306000000002</v>
      </c>
      <c r="R810" s="2" t="str">
        <f>HYPERLINK("https://www.google.com/maps?q=-19.6635730,-43.8843060","Abrir no Google Maps")</f>
        <v>Abrir no Google Maps</v>
      </c>
      <c r="S810">
        <v>3</v>
      </c>
      <c r="T810">
        <v>1293.040666597964</v>
      </c>
      <c r="U810">
        <v>4</v>
      </c>
      <c r="V810">
        <v>0.43174067243580649</v>
      </c>
      <c r="W810">
        <v>1</v>
      </c>
      <c r="X810">
        <v>0.43174067243580649</v>
      </c>
      <c r="Y810">
        <v>1</v>
      </c>
      <c r="Z810">
        <v>649.69199246551727</v>
      </c>
      <c r="AA810">
        <v>2</v>
      </c>
      <c r="AB810">
        <v>3</v>
      </c>
      <c r="AC810">
        <v>7</v>
      </c>
      <c r="AD810">
        <v>28.5</v>
      </c>
      <c r="AE810">
        <v>253</v>
      </c>
      <c r="AF810">
        <v>22</v>
      </c>
      <c r="AG810">
        <v>59</v>
      </c>
      <c r="AH810">
        <v>32</v>
      </c>
      <c r="AI810">
        <v>8.6999999999999993</v>
      </c>
      <c r="AJ810">
        <v>23.32</v>
      </c>
      <c r="AK810">
        <v>12.65</v>
      </c>
      <c r="AL810">
        <v>-19.663616899999969</v>
      </c>
      <c r="AM810">
        <v>-43.884279937960187</v>
      </c>
      <c r="AN810">
        <v>-19.663616899999969</v>
      </c>
      <c r="AO810">
        <v>-43.884279937960187</v>
      </c>
      <c r="AP810">
        <v>-19.663573</v>
      </c>
      <c r="AQ810">
        <v>-43.884306000000002</v>
      </c>
      <c r="AR810">
        <v>5.5987767285658263</v>
      </c>
      <c r="AS810" t="s">
        <v>65</v>
      </c>
      <c r="AT810">
        <v>1</v>
      </c>
      <c r="AU810" t="s">
        <v>510</v>
      </c>
      <c r="AV810" t="s">
        <v>511</v>
      </c>
      <c r="AW810" t="s">
        <v>60</v>
      </c>
      <c r="AX810" t="s">
        <v>68</v>
      </c>
      <c r="AY810" t="s">
        <v>69</v>
      </c>
      <c r="AZ810" t="b">
        <v>1</v>
      </c>
    </row>
    <row r="811" spans="1:52" x14ac:dyDescent="0.3">
      <c r="A811" t="s">
        <v>52</v>
      </c>
      <c r="B811" t="s">
        <v>53</v>
      </c>
      <c r="C811" t="s">
        <v>54</v>
      </c>
      <c r="D811" t="s">
        <v>55</v>
      </c>
      <c r="E811" t="s">
        <v>802</v>
      </c>
      <c r="F811" t="s">
        <v>176</v>
      </c>
      <c r="G811" t="s">
        <v>681</v>
      </c>
      <c r="H811" t="s">
        <v>682</v>
      </c>
      <c r="I811" t="s">
        <v>682</v>
      </c>
      <c r="J811" t="s">
        <v>60</v>
      </c>
      <c r="K811" t="s">
        <v>683</v>
      </c>
      <c r="L811" t="s">
        <v>62</v>
      </c>
      <c r="M811" t="s">
        <v>683</v>
      </c>
      <c r="N811" t="s">
        <v>684</v>
      </c>
      <c r="O811" t="s">
        <v>589</v>
      </c>
      <c r="P811">
        <v>-19.569573999999999</v>
      </c>
      <c r="Q811">
        <v>-43.948939000000003</v>
      </c>
      <c r="R811" s="2" t="str">
        <f>HYPERLINK("https://www.google.com/maps?q=-19.5695740,-43.9489390","Abrir no Google Maps")</f>
        <v>Abrir no Google Maps</v>
      </c>
      <c r="S811">
        <v>3</v>
      </c>
      <c r="T811">
        <v>710.01170441209865</v>
      </c>
      <c r="U811">
        <v>4</v>
      </c>
      <c r="V811">
        <v>0.42726553672316381</v>
      </c>
      <c r="W811">
        <v>1</v>
      </c>
      <c r="X811">
        <v>0.42726553672316381</v>
      </c>
      <c r="Y811">
        <v>1</v>
      </c>
      <c r="Z811">
        <v>528.51196257580398</v>
      </c>
      <c r="AA811">
        <v>2</v>
      </c>
      <c r="AB811">
        <v>3</v>
      </c>
      <c r="AC811">
        <v>7</v>
      </c>
      <c r="AD811">
        <v>28.5</v>
      </c>
      <c r="AE811">
        <v>253</v>
      </c>
      <c r="AF811">
        <v>22</v>
      </c>
      <c r="AG811">
        <v>59</v>
      </c>
      <c r="AH811">
        <v>32</v>
      </c>
      <c r="AI811">
        <v>8.6999999999999993</v>
      </c>
      <c r="AJ811">
        <v>23.32</v>
      </c>
      <c r="AK811">
        <v>12.65</v>
      </c>
      <c r="AL811">
        <v>-19.570777549999971</v>
      </c>
      <c r="AM811">
        <v>-43.949205504203732</v>
      </c>
      <c r="AN811">
        <v>-19.570777549999981</v>
      </c>
      <c r="AO811">
        <v>-43.949205504203732</v>
      </c>
      <c r="AP811">
        <v>-19.569573999999999</v>
      </c>
      <c r="AQ811">
        <v>-43.948939000000003</v>
      </c>
      <c r="AR811">
        <v>136.86420500821191</v>
      </c>
      <c r="AS811" t="s">
        <v>65</v>
      </c>
      <c r="AT811">
        <v>1</v>
      </c>
      <c r="AU811" t="s">
        <v>685</v>
      </c>
      <c r="AV811" t="s">
        <v>686</v>
      </c>
      <c r="AW811" t="s">
        <v>60</v>
      </c>
      <c r="AX811" t="s">
        <v>68</v>
      </c>
      <c r="AY811" t="s">
        <v>69</v>
      </c>
      <c r="AZ811" t="b">
        <v>1</v>
      </c>
    </row>
    <row r="812" spans="1:52" x14ac:dyDescent="0.3">
      <c r="A812" t="s">
        <v>52</v>
      </c>
      <c r="B812" t="s">
        <v>53</v>
      </c>
      <c r="C812" t="s">
        <v>54</v>
      </c>
      <c r="D812" t="s">
        <v>55</v>
      </c>
      <c r="E812" t="s">
        <v>802</v>
      </c>
      <c r="F812" t="s">
        <v>176</v>
      </c>
      <c r="G812" t="s">
        <v>382</v>
      </c>
      <c r="H812" t="s">
        <v>383</v>
      </c>
      <c r="I812" t="s">
        <v>383</v>
      </c>
      <c r="J812" t="s">
        <v>60</v>
      </c>
      <c r="K812" t="s">
        <v>185</v>
      </c>
      <c r="L812" t="s">
        <v>62</v>
      </c>
      <c r="M812" t="s">
        <v>185</v>
      </c>
      <c r="N812" t="s">
        <v>384</v>
      </c>
      <c r="O812" t="s">
        <v>385</v>
      </c>
      <c r="P812">
        <v>-19.623774000000001</v>
      </c>
      <c r="Q812">
        <v>-43.886352000000002</v>
      </c>
      <c r="R812" s="2" t="str">
        <f>HYPERLINK("https://www.google.com/maps?q=-19.6237740,-43.8863520","Abrir no Google Maps")</f>
        <v>Abrir no Google Maps</v>
      </c>
      <c r="S812">
        <v>3</v>
      </c>
      <c r="T812">
        <v>818.17252856383368</v>
      </c>
      <c r="U812">
        <v>4</v>
      </c>
      <c r="V812">
        <v>0.42058183955333528</v>
      </c>
      <c r="W812">
        <v>1</v>
      </c>
      <c r="X812">
        <v>0.42058183955333528</v>
      </c>
      <c r="Y812">
        <v>0</v>
      </c>
      <c r="Z812">
        <v>327.32213182525902</v>
      </c>
      <c r="AA812">
        <v>2</v>
      </c>
      <c r="AB812">
        <v>3</v>
      </c>
      <c r="AC812">
        <v>7</v>
      </c>
      <c r="AD812">
        <v>28.5</v>
      </c>
      <c r="AE812">
        <v>253</v>
      </c>
      <c r="AF812">
        <v>22</v>
      </c>
      <c r="AG812">
        <v>59</v>
      </c>
      <c r="AH812">
        <v>32</v>
      </c>
      <c r="AI812">
        <v>8.6999999999999993</v>
      </c>
      <c r="AJ812">
        <v>23.32</v>
      </c>
      <c r="AK812">
        <v>12.65</v>
      </c>
      <c r="AL812">
        <v>-19.623056299999941</v>
      </c>
      <c r="AM812">
        <v>-43.886837120297002</v>
      </c>
      <c r="AN812">
        <v>-19.623056299999941</v>
      </c>
      <c r="AO812">
        <v>-43.886837120297002</v>
      </c>
      <c r="AP812">
        <v>-19.623774000000001</v>
      </c>
      <c r="AQ812">
        <v>-43.886352000000002</v>
      </c>
      <c r="AR812">
        <v>94.713149059175393</v>
      </c>
      <c r="AS812" t="s">
        <v>65</v>
      </c>
      <c r="AT812">
        <v>1</v>
      </c>
      <c r="AU812" t="s">
        <v>386</v>
      </c>
      <c r="AV812" t="s">
        <v>387</v>
      </c>
      <c r="AW812" t="s">
        <v>60</v>
      </c>
      <c r="AX812" t="s">
        <v>68</v>
      </c>
      <c r="AY812" t="s">
        <v>69</v>
      </c>
      <c r="AZ812" t="b">
        <v>1</v>
      </c>
    </row>
    <row r="813" spans="1:52" x14ac:dyDescent="0.3">
      <c r="A813" t="s">
        <v>52</v>
      </c>
      <c r="B813" t="s">
        <v>53</v>
      </c>
      <c r="C813" t="s">
        <v>54</v>
      </c>
      <c r="D813" t="s">
        <v>55</v>
      </c>
      <c r="E813" t="s">
        <v>802</v>
      </c>
      <c r="F813" t="s">
        <v>176</v>
      </c>
      <c r="G813" t="s">
        <v>394</v>
      </c>
      <c r="H813" t="s">
        <v>395</v>
      </c>
      <c r="I813" t="s">
        <v>395</v>
      </c>
      <c r="J813" t="s">
        <v>60</v>
      </c>
      <c r="K813" t="s">
        <v>286</v>
      </c>
      <c r="L813" t="s">
        <v>62</v>
      </c>
      <c r="M813" t="s">
        <v>286</v>
      </c>
      <c r="N813" t="s">
        <v>396</v>
      </c>
      <c r="O813" t="s">
        <v>88</v>
      </c>
      <c r="P813">
        <v>-19.636932999999999</v>
      </c>
      <c r="Q813">
        <v>-43.882691999999999</v>
      </c>
      <c r="R813" s="2" t="str">
        <f>HYPERLINK("https://www.google.com/maps?q=-19.6369330,-43.8826920","Abrir no Google Maps")</f>
        <v>Abrir no Google Maps</v>
      </c>
      <c r="S813">
        <v>3</v>
      </c>
      <c r="T813">
        <v>523.52675813688109</v>
      </c>
      <c r="U813">
        <v>3</v>
      </c>
      <c r="V813">
        <v>0.4036372429357713</v>
      </c>
      <c r="W813">
        <v>1</v>
      </c>
      <c r="X813">
        <v>0.4036372429357713</v>
      </c>
      <c r="Y813">
        <v>10</v>
      </c>
      <c r="Z813">
        <v>372.58135532659509</v>
      </c>
      <c r="AA813">
        <v>2</v>
      </c>
      <c r="AB813">
        <v>3</v>
      </c>
      <c r="AC813">
        <v>7</v>
      </c>
      <c r="AD813">
        <v>28.5</v>
      </c>
      <c r="AE813">
        <v>253</v>
      </c>
      <c r="AF813">
        <v>22</v>
      </c>
      <c r="AG813">
        <v>59</v>
      </c>
      <c r="AH813">
        <v>32</v>
      </c>
      <c r="AI813">
        <v>8.6999999999999993</v>
      </c>
      <c r="AJ813">
        <v>23.32</v>
      </c>
      <c r="AK813">
        <v>12.65</v>
      </c>
      <c r="AL813">
        <v>-19.637159949999951</v>
      </c>
      <c r="AM813">
        <v>-43.882643289441461</v>
      </c>
      <c r="AN813">
        <v>-19.637159949999951</v>
      </c>
      <c r="AO813">
        <v>-43.882643289441461</v>
      </c>
      <c r="AP813">
        <v>-19.636932999999999</v>
      </c>
      <c r="AQ813">
        <v>-43.882691999999999</v>
      </c>
      <c r="AR813">
        <v>25.775099947452478</v>
      </c>
      <c r="AS813" t="s">
        <v>65</v>
      </c>
      <c r="AT813">
        <v>1</v>
      </c>
      <c r="AU813" t="s">
        <v>397</v>
      </c>
      <c r="AV813" t="s">
        <v>398</v>
      </c>
      <c r="AW813" t="s">
        <v>60</v>
      </c>
      <c r="AX813" t="s">
        <v>68</v>
      </c>
      <c r="AY813" t="s">
        <v>69</v>
      </c>
      <c r="AZ813" t="b">
        <v>1</v>
      </c>
    </row>
    <row r="814" spans="1:52" x14ac:dyDescent="0.3">
      <c r="A814" t="s">
        <v>52</v>
      </c>
      <c r="B814" t="s">
        <v>53</v>
      </c>
      <c r="C814" t="s">
        <v>54</v>
      </c>
      <c r="D814" t="s">
        <v>55</v>
      </c>
      <c r="E814" t="s">
        <v>802</v>
      </c>
      <c r="F814" t="s">
        <v>176</v>
      </c>
      <c r="G814" t="s">
        <v>399</v>
      </c>
      <c r="H814" t="s">
        <v>400</v>
      </c>
      <c r="I814" t="s">
        <v>400</v>
      </c>
      <c r="J814" t="s">
        <v>60</v>
      </c>
      <c r="K814" t="s">
        <v>286</v>
      </c>
      <c r="L814" t="s">
        <v>62</v>
      </c>
      <c r="M814" t="s">
        <v>286</v>
      </c>
      <c r="N814" t="s">
        <v>401</v>
      </c>
      <c r="O814" t="s">
        <v>402</v>
      </c>
      <c r="P814">
        <v>-19.639906</v>
      </c>
      <c r="Q814">
        <v>-43.886059000000003</v>
      </c>
      <c r="R814" s="2" t="str">
        <f>HYPERLINK("https://www.google.com/maps?q=-19.6399060,-43.8860590","Abrir no Google Maps")</f>
        <v>Abrir no Google Maps</v>
      </c>
      <c r="S814">
        <v>3</v>
      </c>
      <c r="T814">
        <v>256.0748811302048</v>
      </c>
      <c r="U814">
        <v>3</v>
      </c>
      <c r="V814">
        <v>0.40126551467855809</v>
      </c>
      <c r="W814">
        <v>1</v>
      </c>
      <c r="X814">
        <v>0.40126551467855809</v>
      </c>
      <c r="Y814">
        <v>10</v>
      </c>
      <c r="Z814">
        <v>205.06236700857289</v>
      </c>
      <c r="AA814">
        <v>2</v>
      </c>
      <c r="AB814">
        <v>3</v>
      </c>
      <c r="AC814">
        <v>7</v>
      </c>
      <c r="AD814">
        <v>28.5</v>
      </c>
      <c r="AE814">
        <v>253</v>
      </c>
      <c r="AF814">
        <v>22</v>
      </c>
      <c r="AG814">
        <v>59</v>
      </c>
      <c r="AH814">
        <v>32</v>
      </c>
      <c r="AI814">
        <v>8.6999999999999993</v>
      </c>
      <c r="AJ814">
        <v>23.32</v>
      </c>
      <c r="AK814">
        <v>12.65</v>
      </c>
      <c r="AL814">
        <v>-19.639789499999949</v>
      </c>
      <c r="AM814">
        <v>-43.885737855031408</v>
      </c>
      <c r="AN814">
        <v>-19.639789499999949</v>
      </c>
      <c r="AO814">
        <v>-43.885737855031408</v>
      </c>
      <c r="AP814">
        <v>-19.639906</v>
      </c>
      <c r="AQ814">
        <v>-43.886059000000003</v>
      </c>
      <c r="AR814">
        <v>36.081349702130403</v>
      </c>
      <c r="AS814" t="s">
        <v>65</v>
      </c>
      <c r="AT814">
        <v>1</v>
      </c>
      <c r="AU814" t="s">
        <v>403</v>
      </c>
      <c r="AV814" t="s">
        <v>404</v>
      </c>
      <c r="AW814" t="s">
        <v>60</v>
      </c>
      <c r="AX814" t="s">
        <v>68</v>
      </c>
      <c r="AY814" t="s">
        <v>69</v>
      </c>
      <c r="AZ814" t="b">
        <v>1</v>
      </c>
    </row>
    <row r="815" spans="1:52" x14ac:dyDescent="0.3">
      <c r="A815" t="s">
        <v>52</v>
      </c>
      <c r="B815" t="s">
        <v>53</v>
      </c>
      <c r="C815" t="s">
        <v>54</v>
      </c>
      <c r="D815" t="s">
        <v>55</v>
      </c>
      <c r="E815" t="s">
        <v>802</v>
      </c>
      <c r="F815" t="s">
        <v>176</v>
      </c>
      <c r="G815" t="s">
        <v>284</v>
      </c>
      <c r="H815" t="s">
        <v>285</v>
      </c>
      <c r="I815" t="s">
        <v>285</v>
      </c>
      <c r="J815" t="s">
        <v>60</v>
      </c>
      <c r="K815" t="s">
        <v>286</v>
      </c>
      <c r="L815" t="s">
        <v>62</v>
      </c>
      <c r="M815" t="s">
        <v>286</v>
      </c>
      <c r="N815" t="s">
        <v>287</v>
      </c>
      <c r="O815" t="s">
        <v>288</v>
      </c>
      <c r="P815">
        <v>-19.639790000000001</v>
      </c>
      <c r="Q815">
        <v>-43.882798999999999</v>
      </c>
      <c r="R815" s="2" t="str">
        <f>HYPERLINK("https://www.google.com/maps?q=-19.6397900,-43.8827990","Abrir no Google Maps")</f>
        <v>Abrir no Google Maps</v>
      </c>
      <c r="S815">
        <v>3</v>
      </c>
      <c r="T815">
        <v>242.7052058134478</v>
      </c>
      <c r="U815">
        <v>3</v>
      </c>
      <c r="V815">
        <v>0.40695539429719368</v>
      </c>
      <c r="W815">
        <v>1</v>
      </c>
      <c r="X815">
        <v>0.40695539429719368</v>
      </c>
      <c r="Y815">
        <v>10</v>
      </c>
      <c r="Z815">
        <v>187.2088809462339</v>
      </c>
      <c r="AA815">
        <v>2</v>
      </c>
      <c r="AB815">
        <v>3</v>
      </c>
      <c r="AC815">
        <v>7</v>
      </c>
      <c r="AD815">
        <v>28.5</v>
      </c>
      <c r="AE815">
        <v>253</v>
      </c>
      <c r="AF815">
        <v>22</v>
      </c>
      <c r="AG815">
        <v>59</v>
      </c>
      <c r="AH815">
        <v>32</v>
      </c>
      <c r="AI815">
        <v>8.6999999999999993</v>
      </c>
      <c r="AJ815">
        <v>23.32</v>
      </c>
      <c r="AK815">
        <v>12.65</v>
      </c>
      <c r="AL815">
        <v>-19.639855599999951</v>
      </c>
      <c r="AM815">
        <v>-43.882909745178452</v>
      </c>
      <c r="AN815">
        <v>-19.639855599999951</v>
      </c>
      <c r="AO815">
        <v>-43.882909745178452</v>
      </c>
      <c r="AP815">
        <v>-19.639790000000001</v>
      </c>
      <c r="AQ815">
        <v>-43.882798999999999</v>
      </c>
      <c r="AR815">
        <v>13.716486068571211</v>
      </c>
      <c r="AS815" t="s">
        <v>65</v>
      </c>
      <c r="AT815">
        <v>1</v>
      </c>
      <c r="AU815" t="s">
        <v>289</v>
      </c>
      <c r="AV815" t="s">
        <v>290</v>
      </c>
      <c r="AW815" t="s">
        <v>60</v>
      </c>
      <c r="AX815" t="s">
        <v>68</v>
      </c>
      <c r="AY815" t="s">
        <v>69</v>
      </c>
      <c r="AZ815" t="b">
        <v>1</v>
      </c>
    </row>
    <row r="816" spans="1:52" x14ac:dyDescent="0.3">
      <c r="A816" t="s">
        <v>52</v>
      </c>
      <c r="B816" t="s">
        <v>53</v>
      </c>
      <c r="C816" t="s">
        <v>54</v>
      </c>
      <c r="D816" t="s">
        <v>55</v>
      </c>
      <c r="E816" t="s">
        <v>802</v>
      </c>
      <c r="F816" t="s">
        <v>176</v>
      </c>
      <c r="G816" t="s">
        <v>291</v>
      </c>
      <c r="H816" t="s">
        <v>292</v>
      </c>
      <c r="I816" t="s">
        <v>292</v>
      </c>
      <c r="J816" t="s">
        <v>60</v>
      </c>
      <c r="K816" t="s">
        <v>286</v>
      </c>
      <c r="L816" t="s">
        <v>62</v>
      </c>
      <c r="M816" t="s">
        <v>286</v>
      </c>
      <c r="N816" t="s">
        <v>293</v>
      </c>
      <c r="O816" t="s">
        <v>294</v>
      </c>
      <c r="P816">
        <v>-19.640333999999999</v>
      </c>
      <c r="Q816">
        <v>-43.880004999999997</v>
      </c>
      <c r="R816" s="2" t="str">
        <f>HYPERLINK("https://www.google.com/maps?q=-19.6403340,-43.8800050","Abrir no Google Maps")</f>
        <v>Abrir no Google Maps</v>
      </c>
      <c r="S816">
        <v>3</v>
      </c>
      <c r="T816">
        <v>276.80943817309782</v>
      </c>
      <c r="U816">
        <v>3</v>
      </c>
      <c r="V816">
        <v>0.41523600298812618</v>
      </c>
      <c r="W816">
        <v>1</v>
      </c>
      <c r="X816">
        <v>0.41523600298812618</v>
      </c>
      <c r="Y816">
        <v>10</v>
      </c>
      <c r="Z816">
        <v>361.98332038983392</v>
      </c>
      <c r="AA816">
        <v>2</v>
      </c>
      <c r="AB816">
        <v>3</v>
      </c>
      <c r="AC816">
        <v>7</v>
      </c>
      <c r="AD816">
        <v>28.5</v>
      </c>
      <c r="AE816">
        <v>253</v>
      </c>
      <c r="AF816">
        <v>22</v>
      </c>
      <c r="AG816">
        <v>59</v>
      </c>
      <c r="AH816">
        <v>32</v>
      </c>
      <c r="AI816">
        <v>8.6999999999999993</v>
      </c>
      <c r="AJ816">
        <v>23.32</v>
      </c>
      <c r="AK816">
        <v>12.65</v>
      </c>
      <c r="AL816">
        <v>-19.640260249999951</v>
      </c>
      <c r="AM816">
        <v>-43.880090474326408</v>
      </c>
      <c r="AN816">
        <v>-19.640260249999951</v>
      </c>
      <c r="AO816">
        <v>-43.880090474326408</v>
      </c>
      <c r="AP816">
        <v>-19.640333999999999</v>
      </c>
      <c r="AQ816">
        <v>-43.880004999999997</v>
      </c>
      <c r="AR816">
        <v>12.153556195359609</v>
      </c>
      <c r="AS816" t="s">
        <v>65</v>
      </c>
      <c r="AT816">
        <v>1</v>
      </c>
      <c r="AU816" t="s">
        <v>295</v>
      </c>
      <c r="AV816" t="s">
        <v>296</v>
      </c>
      <c r="AW816" t="s">
        <v>60</v>
      </c>
      <c r="AX816" t="s">
        <v>68</v>
      </c>
      <c r="AY816" t="s">
        <v>69</v>
      </c>
      <c r="AZ816" t="b">
        <v>1</v>
      </c>
    </row>
    <row r="817" spans="1:52" x14ac:dyDescent="0.3">
      <c r="A817" t="s">
        <v>52</v>
      </c>
      <c r="B817" t="s">
        <v>53</v>
      </c>
      <c r="C817" t="s">
        <v>54</v>
      </c>
      <c r="D817" t="s">
        <v>55</v>
      </c>
      <c r="E817" t="s">
        <v>802</v>
      </c>
      <c r="F817" t="s">
        <v>176</v>
      </c>
      <c r="G817" t="s">
        <v>405</v>
      </c>
      <c r="H817" t="s">
        <v>406</v>
      </c>
      <c r="I817" t="s">
        <v>406</v>
      </c>
      <c r="J817" t="s">
        <v>60</v>
      </c>
      <c r="K817" t="s">
        <v>286</v>
      </c>
      <c r="L817" t="s">
        <v>62</v>
      </c>
      <c r="M817" t="s">
        <v>286</v>
      </c>
      <c r="N817" t="s">
        <v>407</v>
      </c>
      <c r="O817" t="s">
        <v>408</v>
      </c>
      <c r="P817">
        <v>-19.646345</v>
      </c>
      <c r="Q817">
        <v>-43.882294999999999</v>
      </c>
      <c r="R817" s="2" t="str">
        <f>HYPERLINK("https://www.google.com/maps?q=-19.6463450,-43.8822950","Abrir no Google Maps")</f>
        <v>Abrir no Google Maps</v>
      </c>
      <c r="S817">
        <v>3</v>
      </c>
      <c r="T817">
        <v>450.3180538635894</v>
      </c>
      <c r="U817">
        <v>3</v>
      </c>
      <c r="V817">
        <v>0.41349999999999998</v>
      </c>
      <c r="W817">
        <v>1</v>
      </c>
      <c r="X817">
        <v>0.41349999999999998</v>
      </c>
      <c r="Y817">
        <v>10</v>
      </c>
      <c r="Z817">
        <v>349.23341775902583</v>
      </c>
      <c r="AA817">
        <v>2</v>
      </c>
      <c r="AB817">
        <v>3</v>
      </c>
      <c r="AC817">
        <v>7</v>
      </c>
      <c r="AD817">
        <v>28.5</v>
      </c>
      <c r="AE817">
        <v>253</v>
      </c>
      <c r="AF817">
        <v>22</v>
      </c>
      <c r="AG817">
        <v>59</v>
      </c>
      <c r="AH817">
        <v>32</v>
      </c>
      <c r="AI817">
        <v>8.6999999999999993</v>
      </c>
      <c r="AJ817">
        <v>23.32</v>
      </c>
      <c r="AK817">
        <v>12.65</v>
      </c>
      <c r="AL817">
        <v>-19.646391649999941</v>
      </c>
      <c r="AM817">
        <v>-43.882007396993302</v>
      </c>
      <c r="AN817">
        <v>-19.646391649999941</v>
      </c>
      <c r="AO817">
        <v>-43.882007396993302</v>
      </c>
      <c r="AP817">
        <v>-19.646345</v>
      </c>
      <c r="AQ817">
        <v>-43.882294999999999</v>
      </c>
      <c r="AR817">
        <v>30.596105513395301</v>
      </c>
      <c r="AS817" t="s">
        <v>65</v>
      </c>
      <c r="AT817">
        <v>1</v>
      </c>
      <c r="AU817" t="s">
        <v>409</v>
      </c>
      <c r="AV817" t="s">
        <v>410</v>
      </c>
      <c r="AW817" t="s">
        <v>60</v>
      </c>
      <c r="AX817" t="s">
        <v>68</v>
      </c>
      <c r="AY817" t="s">
        <v>69</v>
      </c>
      <c r="AZ817" t="b">
        <v>1</v>
      </c>
    </row>
    <row r="818" spans="1:52" x14ac:dyDescent="0.3">
      <c r="A818" t="s">
        <v>52</v>
      </c>
      <c r="B818" t="s">
        <v>53</v>
      </c>
      <c r="C818" t="s">
        <v>54</v>
      </c>
      <c r="D818" t="s">
        <v>55</v>
      </c>
      <c r="E818" t="s">
        <v>802</v>
      </c>
      <c r="F818" t="s">
        <v>176</v>
      </c>
      <c r="G818" t="s">
        <v>228</v>
      </c>
      <c r="H818" t="s">
        <v>423</v>
      </c>
      <c r="I818" t="s">
        <v>423</v>
      </c>
      <c r="J818" t="s">
        <v>60</v>
      </c>
      <c r="K818" t="s">
        <v>286</v>
      </c>
      <c r="L818" t="s">
        <v>62</v>
      </c>
      <c r="M818" t="s">
        <v>286</v>
      </c>
      <c r="N818" t="s">
        <v>230</v>
      </c>
      <c r="O818" t="s">
        <v>424</v>
      </c>
      <c r="P818">
        <v>-19.641656999999999</v>
      </c>
      <c r="Q818">
        <v>-43.884228999999998</v>
      </c>
      <c r="R818" s="2" t="str">
        <f>HYPERLINK("https://www.google.com/maps?q=-19.6416570,-43.8842290","Abrir no Google Maps")</f>
        <v>Abrir no Google Maps</v>
      </c>
      <c r="S818">
        <v>3</v>
      </c>
      <c r="T818">
        <v>0</v>
      </c>
      <c r="U818">
        <v>3</v>
      </c>
      <c r="V818">
        <v>0.40497335068071938</v>
      </c>
      <c r="W818">
        <v>1</v>
      </c>
      <c r="X818">
        <v>0.40497335068071938</v>
      </c>
      <c r="Y818">
        <v>7</v>
      </c>
      <c r="Z818">
        <v>67.727401070752876</v>
      </c>
      <c r="AA818">
        <v>2</v>
      </c>
      <c r="AB818">
        <v>3</v>
      </c>
      <c r="AC818">
        <v>7</v>
      </c>
      <c r="AD818">
        <v>28.5</v>
      </c>
      <c r="AE818">
        <v>253</v>
      </c>
      <c r="AF818">
        <v>22</v>
      </c>
      <c r="AG818">
        <v>59</v>
      </c>
      <c r="AH818">
        <v>32</v>
      </c>
      <c r="AI818">
        <v>8.6999999999999993</v>
      </c>
      <c r="AJ818">
        <v>23.32</v>
      </c>
      <c r="AK818">
        <v>12.65</v>
      </c>
      <c r="AL818">
        <v>-19.641634199999942</v>
      </c>
      <c r="AM818">
        <v>-43.884263743972831</v>
      </c>
      <c r="AN818">
        <v>-19.641634199999942</v>
      </c>
      <c r="AO818">
        <v>-43.884263743972831</v>
      </c>
      <c r="AP818">
        <v>-19.641656999999999</v>
      </c>
      <c r="AQ818">
        <v>-43.884228999999998</v>
      </c>
      <c r="AR818">
        <v>4.4396888961435659</v>
      </c>
      <c r="AS818" t="s">
        <v>65</v>
      </c>
      <c r="AT818">
        <v>1</v>
      </c>
      <c r="AU818" t="s">
        <v>425</v>
      </c>
      <c r="AV818" t="s">
        <v>426</v>
      </c>
      <c r="AW818" t="s">
        <v>60</v>
      </c>
      <c r="AX818" t="s">
        <v>68</v>
      </c>
      <c r="AY818" t="s">
        <v>69</v>
      </c>
      <c r="AZ818" t="b">
        <v>1</v>
      </c>
    </row>
    <row r="819" spans="1:52" x14ac:dyDescent="0.3">
      <c r="A819" t="s">
        <v>52</v>
      </c>
      <c r="B819" t="s">
        <v>53</v>
      </c>
      <c r="C819" t="s">
        <v>54</v>
      </c>
      <c r="D819" t="s">
        <v>55</v>
      </c>
      <c r="E819" t="s">
        <v>802</v>
      </c>
      <c r="F819" t="s">
        <v>176</v>
      </c>
      <c r="G819" t="s">
        <v>670</v>
      </c>
      <c r="H819" t="s">
        <v>671</v>
      </c>
      <c r="I819" t="s">
        <v>671</v>
      </c>
      <c r="J819" t="s">
        <v>60</v>
      </c>
      <c r="K819" t="s">
        <v>672</v>
      </c>
      <c r="L819" t="s">
        <v>62</v>
      </c>
      <c r="M819" t="s">
        <v>672</v>
      </c>
      <c r="N819" t="s">
        <v>673</v>
      </c>
      <c r="O819" t="s">
        <v>424</v>
      </c>
      <c r="P819">
        <v>-19.574909999999999</v>
      </c>
      <c r="Q819">
        <v>-43.906655999999998</v>
      </c>
      <c r="R819" s="2" t="str">
        <f>HYPERLINK("https://www.google.com/maps?q=-19.5749100,-43.9066560","Abrir no Google Maps")</f>
        <v>Abrir no Google Maps</v>
      </c>
      <c r="S819">
        <v>3</v>
      </c>
      <c r="T819">
        <v>1366.716412286687</v>
      </c>
      <c r="U819">
        <v>3</v>
      </c>
      <c r="V819">
        <v>0.40414069270200231</v>
      </c>
      <c r="W819">
        <v>1</v>
      </c>
      <c r="X819">
        <v>0.40414069270200231</v>
      </c>
      <c r="Y819">
        <v>7</v>
      </c>
      <c r="Z819">
        <v>1153.3004962806151</v>
      </c>
      <c r="AA819">
        <v>2</v>
      </c>
      <c r="AB819">
        <v>3</v>
      </c>
      <c r="AC819">
        <v>7</v>
      </c>
      <c r="AD819">
        <v>28.5</v>
      </c>
      <c r="AE819">
        <v>253</v>
      </c>
      <c r="AF819">
        <v>22</v>
      </c>
      <c r="AG819">
        <v>59</v>
      </c>
      <c r="AH819">
        <v>32</v>
      </c>
      <c r="AI819">
        <v>8.6999999999999993</v>
      </c>
      <c r="AJ819">
        <v>23.32</v>
      </c>
      <c r="AK819">
        <v>12.65</v>
      </c>
      <c r="AL819">
        <v>-19.574026899999978</v>
      </c>
      <c r="AM819">
        <v>-43.907476033591983</v>
      </c>
      <c r="AN819">
        <v>-19.574026899999978</v>
      </c>
      <c r="AO819">
        <v>-43.907476033591983</v>
      </c>
      <c r="AP819">
        <v>-19.574909999999999</v>
      </c>
      <c r="AQ819">
        <v>-43.906655999999998</v>
      </c>
      <c r="AR819">
        <v>130.62174183264671</v>
      </c>
      <c r="AS819" t="s">
        <v>65</v>
      </c>
      <c r="AT819">
        <v>1</v>
      </c>
      <c r="AU819" t="s">
        <v>674</v>
      </c>
      <c r="AV819" t="s">
        <v>675</v>
      </c>
      <c r="AW819" t="s">
        <v>60</v>
      </c>
      <c r="AX819" t="s">
        <v>68</v>
      </c>
      <c r="AY819" t="s">
        <v>69</v>
      </c>
      <c r="AZ819" t="b">
        <v>1</v>
      </c>
    </row>
    <row r="820" spans="1:52" x14ac:dyDescent="0.3">
      <c r="A820" t="s">
        <v>52</v>
      </c>
      <c r="B820" t="s">
        <v>53</v>
      </c>
      <c r="C820" t="s">
        <v>54</v>
      </c>
      <c r="D820" t="s">
        <v>55</v>
      </c>
      <c r="E820" t="s">
        <v>802</v>
      </c>
      <c r="F820" t="s">
        <v>176</v>
      </c>
      <c r="G820" t="s">
        <v>304</v>
      </c>
      <c r="H820" t="s">
        <v>305</v>
      </c>
      <c r="I820" t="s">
        <v>305</v>
      </c>
      <c r="J820" t="s">
        <v>60</v>
      </c>
      <c r="K820" t="s">
        <v>299</v>
      </c>
      <c r="L820" t="s">
        <v>62</v>
      </c>
      <c r="M820" t="s">
        <v>299</v>
      </c>
      <c r="N820" t="s">
        <v>306</v>
      </c>
      <c r="O820" t="s">
        <v>307</v>
      </c>
      <c r="P820">
        <v>-19.681051</v>
      </c>
      <c r="Q820">
        <v>-43.914375</v>
      </c>
      <c r="R820" s="2" t="str">
        <f>HYPERLINK("https://www.google.com/maps?q=-19.6810510,-43.9143750","Abrir no Google Maps")</f>
        <v>Abrir no Google Maps</v>
      </c>
      <c r="S820">
        <v>3</v>
      </c>
      <c r="T820">
        <v>1793.507056919605</v>
      </c>
      <c r="U820">
        <v>3</v>
      </c>
      <c r="V820">
        <v>0.41356730334342268</v>
      </c>
      <c r="W820">
        <v>1</v>
      </c>
      <c r="X820">
        <v>0.41356730334342268</v>
      </c>
      <c r="Y820">
        <v>5</v>
      </c>
      <c r="Z820">
        <v>2183.7125920783069</v>
      </c>
      <c r="AA820">
        <v>2</v>
      </c>
      <c r="AB820">
        <v>3</v>
      </c>
      <c r="AC820">
        <v>7</v>
      </c>
      <c r="AD820">
        <v>28.5</v>
      </c>
      <c r="AE820">
        <v>253</v>
      </c>
      <c r="AF820">
        <v>22</v>
      </c>
      <c r="AG820">
        <v>59</v>
      </c>
      <c r="AH820">
        <v>32</v>
      </c>
      <c r="AI820">
        <v>8.6999999999999993</v>
      </c>
      <c r="AJ820">
        <v>23.32</v>
      </c>
      <c r="AK820">
        <v>12.65</v>
      </c>
      <c r="AL820">
        <v>-19.680967149999962</v>
      </c>
      <c r="AM820">
        <v>-43.914383884426663</v>
      </c>
      <c r="AN820">
        <v>-19.680967149999962</v>
      </c>
      <c r="AO820">
        <v>-43.914383884426663</v>
      </c>
      <c r="AP820">
        <v>-19.681051</v>
      </c>
      <c r="AQ820">
        <v>-43.914375</v>
      </c>
      <c r="AR820">
        <v>9.3805201894968722</v>
      </c>
      <c r="AS820" t="s">
        <v>65</v>
      </c>
      <c r="AT820">
        <v>1</v>
      </c>
      <c r="AU820" t="s">
        <v>308</v>
      </c>
      <c r="AV820" t="s">
        <v>303</v>
      </c>
      <c r="AW820" t="s">
        <v>60</v>
      </c>
      <c r="AX820" t="s">
        <v>68</v>
      </c>
      <c r="AY820" t="s">
        <v>69</v>
      </c>
      <c r="AZ820" t="b">
        <v>1</v>
      </c>
    </row>
    <row r="821" spans="1:52" x14ac:dyDescent="0.3">
      <c r="A821" t="s">
        <v>52</v>
      </c>
      <c r="B821" t="s">
        <v>53</v>
      </c>
      <c r="C821" t="s">
        <v>54</v>
      </c>
      <c r="D821" t="s">
        <v>55</v>
      </c>
      <c r="E821" t="s">
        <v>802</v>
      </c>
      <c r="F821" t="s">
        <v>176</v>
      </c>
      <c r="G821" t="s">
        <v>309</v>
      </c>
      <c r="H821" t="s">
        <v>676</v>
      </c>
      <c r="I821" t="s">
        <v>676</v>
      </c>
      <c r="J821" t="s">
        <v>60</v>
      </c>
      <c r="K821" t="s">
        <v>311</v>
      </c>
      <c r="L821" t="s">
        <v>62</v>
      </c>
      <c r="M821" t="s">
        <v>311</v>
      </c>
      <c r="N821" t="s">
        <v>677</v>
      </c>
      <c r="O821" t="s">
        <v>678</v>
      </c>
      <c r="P821">
        <v>-19.567574</v>
      </c>
      <c r="Q821">
        <v>-43.916691</v>
      </c>
      <c r="R821" s="2" t="str">
        <f>HYPERLINK("https://www.google.com/maps?q=-19.5675740,-43.9166910","Abrir no Google Maps")</f>
        <v>Abrir no Google Maps</v>
      </c>
      <c r="S821">
        <v>3</v>
      </c>
      <c r="T821">
        <v>964.07840012317956</v>
      </c>
      <c r="U821">
        <v>3</v>
      </c>
      <c r="V821">
        <v>0.40933801231131328</v>
      </c>
      <c r="W821">
        <v>1</v>
      </c>
      <c r="X821">
        <v>0.40933801231131328</v>
      </c>
      <c r="Y821">
        <v>5</v>
      </c>
      <c r="Z821">
        <v>848.74171565955544</v>
      </c>
      <c r="AA821">
        <v>2</v>
      </c>
      <c r="AB821">
        <v>3</v>
      </c>
      <c r="AC821">
        <v>7</v>
      </c>
      <c r="AD821">
        <v>28.5</v>
      </c>
      <c r="AE821">
        <v>253</v>
      </c>
      <c r="AF821">
        <v>22</v>
      </c>
      <c r="AG821">
        <v>59</v>
      </c>
      <c r="AH821">
        <v>32</v>
      </c>
      <c r="AI821">
        <v>8.6999999999999993</v>
      </c>
      <c r="AJ821">
        <v>23.32</v>
      </c>
      <c r="AK821">
        <v>12.65</v>
      </c>
      <c r="AL821">
        <v>-19.568204099999971</v>
      </c>
      <c r="AM821">
        <v>-43.914085447159053</v>
      </c>
      <c r="AN821">
        <v>-19.568204099999971</v>
      </c>
      <c r="AO821">
        <v>-43.914085447159053</v>
      </c>
      <c r="AP821">
        <v>-19.567574</v>
      </c>
      <c r="AQ821">
        <v>-43.916691</v>
      </c>
      <c r="AR821">
        <v>282.15548573552991</v>
      </c>
      <c r="AS821" t="s">
        <v>65</v>
      </c>
      <c r="AT821">
        <v>1</v>
      </c>
      <c r="AU821" t="s">
        <v>679</v>
      </c>
      <c r="AV821" t="s">
        <v>680</v>
      </c>
      <c r="AW821" t="s">
        <v>60</v>
      </c>
      <c r="AX821" t="s">
        <v>68</v>
      </c>
      <c r="AY821" t="s">
        <v>69</v>
      </c>
      <c r="AZ821" t="b">
        <v>1</v>
      </c>
    </row>
    <row r="822" spans="1:52" x14ac:dyDescent="0.3">
      <c r="A822" t="s">
        <v>52</v>
      </c>
      <c r="B822" t="s">
        <v>53</v>
      </c>
      <c r="C822" t="s">
        <v>54</v>
      </c>
      <c r="D822" t="s">
        <v>55</v>
      </c>
      <c r="E822" t="s">
        <v>802</v>
      </c>
      <c r="F822" t="s">
        <v>176</v>
      </c>
      <c r="G822" t="s">
        <v>309</v>
      </c>
      <c r="H822" t="s">
        <v>310</v>
      </c>
      <c r="I822" t="s">
        <v>310</v>
      </c>
      <c r="J822" t="s">
        <v>60</v>
      </c>
      <c r="K822" t="s">
        <v>311</v>
      </c>
      <c r="L822" t="s">
        <v>62</v>
      </c>
      <c r="M822" t="s">
        <v>311</v>
      </c>
      <c r="N822" t="s">
        <v>312</v>
      </c>
      <c r="O822" t="s">
        <v>313</v>
      </c>
      <c r="P822">
        <v>-19.576996999999999</v>
      </c>
      <c r="Q822">
        <v>-43.919024999999998</v>
      </c>
      <c r="R822" s="2" t="str">
        <f>HYPERLINK("https://www.google.com/maps?q=-19.5769970,-43.9190250","Abrir no Google Maps")</f>
        <v>Abrir no Google Maps</v>
      </c>
      <c r="S822">
        <v>3</v>
      </c>
      <c r="T822">
        <v>316.64266747869789</v>
      </c>
      <c r="U822">
        <v>3</v>
      </c>
      <c r="V822">
        <v>0.48371986831036051</v>
      </c>
      <c r="W822">
        <v>0.85</v>
      </c>
      <c r="X822">
        <v>0.41116188806380638</v>
      </c>
      <c r="Y822">
        <v>5</v>
      </c>
      <c r="Z822">
        <v>411.74435151529269</v>
      </c>
      <c r="AA822">
        <v>2</v>
      </c>
      <c r="AB822">
        <v>3</v>
      </c>
      <c r="AC822">
        <v>7</v>
      </c>
      <c r="AD822">
        <v>28.5</v>
      </c>
      <c r="AE822">
        <v>253</v>
      </c>
      <c r="AF822">
        <v>22</v>
      </c>
      <c r="AG822">
        <v>59</v>
      </c>
      <c r="AH822">
        <v>32</v>
      </c>
      <c r="AI822">
        <v>8.6999999999999993</v>
      </c>
      <c r="AJ822">
        <v>23.32</v>
      </c>
      <c r="AK822">
        <v>12.65</v>
      </c>
      <c r="AL822">
        <v>-19.576964999999941</v>
      </c>
      <c r="AM822">
        <v>-43.919068241233632</v>
      </c>
      <c r="AN822">
        <v>-19.576964999999941</v>
      </c>
      <c r="AO822">
        <v>-43.919068241233632</v>
      </c>
      <c r="AP822">
        <v>-19.576996999999999</v>
      </c>
      <c r="AQ822">
        <v>-43.919024999999998</v>
      </c>
      <c r="AR822">
        <v>5.7670575161946216</v>
      </c>
      <c r="AS822" t="s">
        <v>65</v>
      </c>
      <c r="AT822">
        <v>1</v>
      </c>
      <c r="AU822" t="s">
        <v>314</v>
      </c>
      <c r="AV822" t="s">
        <v>315</v>
      </c>
      <c r="AW822" t="s">
        <v>60</v>
      </c>
      <c r="AX822" t="s">
        <v>68</v>
      </c>
      <c r="AY822" t="s">
        <v>69</v>
      </c>
      <c r="AZ822" t="b">
        <v>1</v>
      </c>
    </row>
    <row r="823" spans="1:52" x14ac:dyDescent="0.3">
      <c r="A823" t="s">
        <v>52</v>
      </c>
      <c r="B823" t="s">
        <v>53</v>
      </c>
      <c r="C823" t="s">
        <v>54</v>
      </c>
      <c r="D823" t="s">
        <v>55</v>
      </c>
      <c r="E823" t="s">
        <v>802</v>
      </c>
      <c r="F823" t="s">
        <v>176</v>
      </c>
      <c r="G823" t="s">
        <v>427</v>
      </c>
      <c r="H823" t="s">
        <v>428</v>
      </c>
      <c r="I823" t="s">
        <v>428</v>
      </c>
      <c r="J823" t="s">
        <v>60</v>
      </c>
      <c r="K823" t="s">
        <v>311</v>
      </c>
      <c r="L823" t="s">
        <v>62</v>
      </c>
      <c r="M823" t="s">
        <v>311</v>
      </c>
      <c r="N823" t="s">
        <v>429</v>
      </c>
      <c r="O823" t="s">
        <v>430</v>
      </c>
      <c r="P823">
        <v>-19.574636999999999</v>
      </c>
      <c r="Q823">
        <v>-43.919919999999998</v>
      </c>
      <c r="R823" s="2" t="str">
        <f>HYPERLINK("https://www.google.com/maps?q=-19.5746370,-43.9199200","Abrir no Google Maps")</f>
        <v>Abrir no Google Maps</v>
      </c>
      <c r="S823">
        <v>3</v>
      </c>
      <c r="T823">
        <v>0</v>
      </c>
      <c r="U823">
        <v>3</v>
      </c>
      <c r="V823">
        <v>0.4061973283449648</v>
      </c>
      <c r="W823">
        <v>1</v>
      </c>
      <c r="X823">
        <v>0.4061973283449648</v>
      </c>
      <c r="Y823">
        <v>5</v>
      </c>
      <c r="Z823">
        <v>161.2304444692663</v>
      </c>
      <c r="AA823">
        <v>2</v>
      </c>
      <c r="AB823">
        <v>3</v>
      </c>
      <c r="AC823">
        <v>7</v>
      </c>
      <c r="AD823">
        <v>28.5</v>
      </c>
      <c r="AE823">
        <v>253</v>
      </c>
      <c r="AF823">
        <v>22</v>
      </c>
      <c r="AG823">
        <v>59</v>
      </c>
      <c r="AH823">
        <v>32</v>
      </c>
      <c r="AI823">
        <v>8.6999999999999993</v>
      </c>
      <c r="AJ823">
        <v>23.32</v>
      </c>
      <c r="AK823">
        <v>12.65</v>
      </c>
      <c r="AL823">
        <v>-19.57444484999996</v>
      </c>
      <c r="AM823">
        <v>-43.920497272225433</v>
      </c>
      <c r="AN823">
        <v>-19.57444484999996</v>
      </c>
      <c r="AO823">
        <v>-43.920497272225433</v>
      </c>
      <c r="AP823">
        <v>-19.574636999999999</v>
      </c>
      <c r="AQ823">
        <v>-43.919919999999998</v>
      </c>
      <c r="AR823">
        <v>64.215298992893679</v>
      </c>
      <c r="AS823" t="s">
        <v>65</v>
      </c>
      <c r="AT823">
        <v>1</v>
      </c>
      <c r="AU823" t="s">
        <v>431</v>
      </c>
      <c r="AV823" t="s">
        <v>432</v>
      </c>
      <c r="AW823" t="s">
        <v>60</v>
      </c>
      <c r="AX823" t="s">
        <v>68</v>
      </c>
      <c r="AY823" t="s">
        <v>69</v>
      </c>
      <c r="AZ823" t="b">
        <v>1</v>
      </c>
    </row>
    <row r="824" spans="1:52" x14ac:dyDescent="0.3">
      <c r="A824" t="s">
        <v>52</v>
      </c>
      <c r="B824" t="s">
        <v>53</v>
      </c>
      <c r="C824" t="s">
        <v>54</v>
      </c>
      <c r="D824" t="s">
        <v>55</v>
      </c>
      <c r="E824" t="s">
        <v>802</v>
      </c>
      <c r="F824" t="s">
        <v>176</v>
      </c>
      <c r="G824" t="s">
        <v>433</v>
      </c>
      <c r="H824" t="s">
        <v>434</v>
      </c>
      <c r="I824" t="s">
        <v>434</v>
      </c>
      <c r="J824" t="s">
        <v>60</v>
      </c>
      <c r="K824" t="s">
        <v>311</v>
      </c>
      <c r="L824" t="s">
        <v>62</v>
      </c>
      <c r="M824" t="s">
        <v>311</v>
      </c>
      <c r="N824" t="s">
        <v>435</v>
      </c>
      <c r="O824" t="s">
        <v>120</v>
      </c>
      <c r="P824">
        <v>-19.563834</v>
      </c>
      <c r="Q824">
        <v>-43.917617</v>
      </c>
      <c r="R824" s="2" t="str">
        <f>HYPERLINK("https://www.google.com/maps?q=-19.5638340,-43.9176170","Abrir no Google Maps")</f>
        <v>Abrir no Google Maps</v>
      </c>
      <c r="S824">
        <v>3</v>
      </c>
      <c r="T824">
        <v>1208.4380275937069</v>
      </c>
      <c r="U824">
        <v>3</v>
      </c>
      <c r="V824">
        <v>0.41370064232589587</v>
      </c>
      <c r="W824">
        <v>1</v>
      </c>
      <c r="X824">
        <v>0.41370064232589587</v>
      </c>
      <c r="Y824">
        <v>5</v>
      </c>
      <c r="Z824">
        <v>1239.357315084522</v>
      </c>
      <c r="AA824">
        <v>2</v>
      </c>
      <c r="AB824">
        <v>3</v>
      </c>
      <c r="AC824">
        <v>7</v>
      </c>
      <c r="AD824">
        <v>28.5</v>
      </c>
      <c r="AE824">
        <v>253</v>
      </c>
      <c r="AF824">
        <v>22</v>
      </c>
      <c r="AG824">
        <v>59</v>
      </c>
      <c r="AH824">
        <v>32</v>
      </c>
      <c r="AI824">
        <v>8.6999999999999993</v>
      </c>
      <c r="AJ824">
        <v>23.32</v>
      </c>
      <c r="AK824">
        <v>12.65</v>
      </c>
      <c r="AL824">
        <v>-19.563932349999959</v>
      </c>
      <c r="AM824">
        <v>-43.917383104532327</v>
      </c>
      <c r="AN824">
        <v>-19.563932349999959</v>
      </c>
      <c r="AO824">
        <v>-43.917383104532327</v>
      </c>
      <c r="AP824">
        <v>-19.563834</v>
      </c>
      <c r="AQ824">
        <v>-43.917617</v>
      </c>
      <c r="AR824">
        <v>26.86608405010627</v>
      </c>
      <c r="AS824" t="s">
        <v>65</v>
      </c>
      <c r="AT824">
        <v>1</v>
      </c>
      <c r="AU824" t="s">
        <v>436</v>
      </c>
      <c r="AV824" t="s">
        <v>437</v>
      </c>
      <c r="AW824" t="s">
        <v>60</v>
      </c>
      <c r="AX824" t="s">
        <v>68</v>
      </c>
      <c r="AY824" t="s">
        <v>69</v>
      </c>
      <c r="AZ824" t="b">
        <v>1</v>
      </c>
    </row>
    <row r="825" spans="1:52" x14ac:dyDescent="0.3">
      <c r="A825" t="s">
        <v>52</v>
      </c>
      <c r="B825" t="s">
        <v>53</v>
      </c>
      <c r="C825" t="s">
        <v>54</v>
      </c>
      <c r="D825" t="s">
        <v>55</v>
      </c>
      <c r="E825" t="s">
        <v>802</v>
      </c>
      <c r="F825" t="s">
        <v>176</v>
      </c>
      <c r="G825" t="s">
        <v>705</v>
      </c>
      <c r="H825" t="s">
        <v>706</v>
      </c>
      <c r="I825" t="s">
        <v>706</v>
      </c>
      <c r="J825" t="s">
        <v>60</v>
      </c>
      <c r="K825" t="s">
        <v>707</v>
      </c>
      <c r="L825" t="s">
        <v>62</v>
      </c>
      <c r="M825" t="s">
        <v>707</v>
      </c>
      <c r="N825" t="s">
        <v>708</v>
      </c>
      <c r="O825" t="s">
        <v>709</v>
      </c>
      <c r="P825">
        <v>-19.649132000000002</v>
      </c>
      <c r="Q825">
        <v>-43.913184999999999</v>
      </c>
      <c r="R825" s="2" t="str">
        <f>HYPERLINK("https://www.google.com/maps?q=-19.6491320,-43.9131850","Abrir no Google Maps")</f>
        <v>Abrir no Google Maps</v>
      </c>
      <c r="S825">
        <v>3</v>
      </c>
      <c r="T825">
        <v>708.05095277627129</v>
      </c>
      <c r="U825">
        <v>3</v>
      </c>
      <c r="V825">
        <v>0.40353777714340089</v>
      </c>
      <c r="W825">
        <v>1</v>
      </c>
      <c r="X825">
        <v>0.40353777714340089</v>
      </c>
      <c r="Y825">
        <v>4</v>
      </c>
      <c r="Z825">
        <v>786.89435979618963</v>
      </c>
      <c r="AA825">
        <v>2</v>
      </c>
      <c r="AB825">
        <v>3</v>
      </c>
      <c r="AC825">
        <v>7</v>
      </c>
      <c r="AD825">
        <v>28.5</v>
      </c>
      <c r="AE825">
        <v>253</v>
      </c>
      <c r="AF825">
        <v>22</v>
      </c>
      <c r="AG825">
        <v>59</v>
      </c>
      <c r="AH825">
        <v>32</v>
      </c>
      <c r="AI825">
        <v>8.6999999999999993</v>
      </c>
      <c r="AJ825">
        <v>23.32</v>
      </c>
      <c r="AK825">
        <v>12.65</v>
      </c>
      <c r="AL825">
        <v>-19.649055099999941</v>
      </c>
      <c r="AM825">
        <v>-43.912942827576757</v>
      </c>
      <c r="AN825">
        <v>-19.649055099999941</v>
      </c>
      <c r="AO825">
        <v>-43.912942827576771</v>
      </c>
      <c r="AP825">
        <v>-19.649132000000002</v>
      </c>
      <c r="AQ825">
        <v>-43.913184999999999</v>
      </c>
      <c r="AR825">
        <v>26.793189431239711</v>
      </c>
      <c r="AS825" t="s">
        <v>65</v>
      </c>
      <c r="AT825">
        <v>1</v>
      </c>
      <c r="AU825" t="s">
        <v>710</v>
      </c>
      <c r="AV825" t="s">
        <v>711</v>
      </c>
      <c r="AW825" t="s">
        <v>60</v>
      </c>
      <c r="AX825" t="s">
        <v>68</v>
      </c>
      <c r="AY825" t="s">
        <v>69</v>
      </c>
      <c r="AZ825" t="b">
        <v>1</v>
      </c>
    </row>
    <row r="826" spans="1:52" x14ac:dyDescent="0.3">
      <c r="A826" t="s">
        <v>52</v>
      </c>
      <c r="B826" t="s">
        <v>53</v>
      </c>
      <c r="C826" t="s">
        <v>54</v>
      </c>
      <c r="D826" t="s">
        <v>55</v>
      </c>
      <c r="E826" t="s">
        <v>802</v>
      </c>
      <c r="F826" t="s">
        <v>176</v>
      </c>
      <c r="G826" t="s">
        <v>712</v>
      </c>
      <c r="H826" t="s">
        <v>713</v>
      </c>
      <c r="I826" t="s">
        <v>713</v>
      </c>
      <c r="J826" t="s">
        <v>60</v>
      </c>
      <c r="K826" t="s">
        <v>192</v>
      </c>
      <c r="L826" t="s">
        <v>62</v>
      </c>
      <c r="M826" t="s">
        <v>192</v>
      </c>
      <c r="N826" t="s">
        <v>714</v>
      </c>
      <c r="O826" t="s">
        <v>715</v>
      </c>
      <c r="P826">
        <v>-19.653379999999999</v>
      </c>
      <c r="Q826">
        <v>-43.914634999999997</v>
      </c>
      <c r="R826" s="2" t="str">
        <f>HYPERLINK("https://www.google.com/maps?q=-19.6533800,-43.9146350","Abrir no Google Maps")</f>
        <v>Abrir no Google Maps</v>
      </c>
      <c r="S826">
        <v>3</v>
      </c>
      <c r="T826">
        <v>1209.6845317210091</v>
      </c>
      <c r="U826">
        <v>3</v>
      </c>
      <c r="V826">
        <v>0.40045317512223988</v>
      </c>
      <c r="W826">
        <v>1</v>
      </c>
      <c r="X826">
        <v>0.40045317512223988</v>
      </c>
      <c r="Y826">
        <v>4</v>
      </c>
      <c r="Z826">
        <v>948.79528152345983</v>
      </c>
      <c r="AA826">
        <v>2</v>
      </c>
      <c r="AB826">
        <v>3</v>
      </c>
      <c r="AC826">
        <v>7</v>
      </c>
      <c r="AD826">
        <v>28.5</v>
      </c>
      <c r="AE826">
        <v>253</v>
      </c>
      <c r="AF826">
        <v>22</v>
      </c>
      <c r="AG826">
        <v>59</v>
      </c>
      <c r="AH826">
        <v>32</v>
      </c>
      <c r="AI826">
        <v>8.6999999999999993</v>
      </c>
      <c r="AJ826">
        <v>23.32</v>
      </c>
      <c r="AK826">
        <v>12.65</v>
      </c>
      <c r="AL826">
        <v>-19.653402249999939</v>
      </c>
      <c r="AM826">
        <v>-43.91489200796137</v>
      </c>
      <c r="AN826">
        <v>-19.653402249999939</v>
      </c>
      <c r="AO826">
        <v>-43.91489200796137</v>
      </c>
      <c r="AP826">
        <v>-19.653379999999999</v>
      </c>
      <c r="AQ826">
        <v>-43.914634999999997</v>
      </c>
      <c r="AR826">
        <v>27.0570338493382</v>
      </c>
      <c r="AS826" t="s">
        <v>65</v>
      </c>
      <c r="AT826">
        <v>1</v>
      </c>
      <c r="AU826" t="s">
        <v>716</v>
      </c>
      <c r="AV826" t="s">
        <v>717</v>
      </c>
      <c r="AW826" t="s">
        <v>60</v>
      </c>
      <c r="AX826" t="s">
        <v>68</v>
      </c>
      <c r="AY826" t="s">
        <v>69</v>
      </c>
      <c r="AZ826" t="b">
        <v>1</v>
      </c>
    </row>
    <row r="827" spans="1:52" x14ac:dyDescent="0.3">
      <c r="A827" t="s">
        <v>52</v>
      </c>
      <c r="B827" t="s">
        <v>53</v>
      </c>
      <c r="C827" t="s">
        <v>54</v>
      </c>
      <c r="D827" t="s">
        <v>55</v>
      </c>
      <c r="E827" t="s">
        <v>802</v>
      </c>
      <c r="F827" t="s">
        <v>176</v>
      </c>
      <c r="G827" t="s">
        <v>443</v>
      </c>
      <c r="H827" t="s">
        <v>444</v>
      </c>
      <c r="I827" t="s">
        <v>444</v>
      </c>
      <c r="J827" t="s">
        <v>60</v>
      </c>
      <c r="K827" t="s">
        <v>445</v>
      </c>
      <c r="L827" t="s">
        <v>62</v>
      </c>
      <c r="M827" t="s">
        <v>445</v>
      </c>
      <c r="N827" t="s">
        <v>446</v>
      </c>
      <c r="O827" t="s">
        <v>447</v>
      </c>
      <c r="P827">
        <v>-19.650062999999999</v>
      </c>
      <c r="Q827">
        <v>-43.878337000000002</v>
      </c>
      <c r="R827" s="2" t="str">
        <f>HYPERLINK("https://www.google.com/maps?q=-19.6500630,-43.8783370","Abrir no Google Maps")</f>
        <v>Abrir no Google Maps</v>
      </c>
      <c r="S827">
        <v>3</v>
      </c>
      <c r="T827">
        <v>839.11860749856135</v>
      </c>
      <c r="U827">
        <v>3</v>
      </c>
      <c r="V827">
        <v>0.41514835850436721</v>
      </c>
      <c r="W827">
        <v>1</v>
      </c>
      <c r="X827">
        <v>0.41514835850436721</v>
      </c>
      <c r="Y827">
        <v>3</v>
      </c>
      <c r="Z827">
        <v>698.86168887476526</v>
      </c>
      <c r="AA827">
        <v>2</v>
      </c>
      <c r="AB827">
        <v>3</v>
      </c>
      <c r="AC827">
        <v>7</v>
      </c>
      <c r="AD827">
        <v>28.5</v>
      </c>
      <c r="AE827">
        <v>253</v>
      </c>
      <c r="AF827">
        <v>22</v>
      </c>
      <c r="AG827">
        <v>59</v>
      </c>
      <c r="AH827">
        <v>32</v>
      </c>
      <c r="AI827">
        <v>8.6999999999999993</v>
      </c>
      <c r="AJ827">
        <v>23.32</v>
      </c>
      <c r="AK827">
        <v>12.65</v>
      </c>
      <c r="AL827">
        <v>-19.650555399999941</v>
      </c>
      <c r="AM827">
        <v>-43.878603008553611</v>
      </c>
      <c r="AN827">
        <v>-19.650555399999941</v>
      </c>
      <c r="AO827">
        <v>-43.878603008553611</v>
      </c>
      <c r="AP827">
        <v>-19.650062999999999</v>
      </c>
      <c r="AQ827">
        <v>-43.878337000000002</v>
      </c>
      <c r="AR827">
        <v>61.500273251918507</v>
      </c>
      <c r="AS827" t="s">
        <v>65</v>
      </c>
      <c r="AT827">
        <v>1</v>
      </c>
      <c r="AU827" t="s">
        <v>448</v>
      </c>
      <c r="AV827" t="s">
        <v>449</v>
      </c>
      <c r="AW827" t="s">
        <v>60</v>
      </c>
      <c r="AX827" t="s">
        <v>68</v>
      </c>
      <c r="AY827" t="s">
        <v>69</v>
      </c>
      <c r="AZ827" t="b">
        <v>1</v>
      </c>
    </row>
    <row r="828" spans="1:52" x14ac:dyDescent="0.3">
      <c r="A828" t="s">
        <v>52</v>
      </c>
      <c r="B828" t="s">
        <v>53</v>
      </c>
      <c r="C828" t="s">
        <v>54</v>
      </c>
      <c r="D828" t="s">
        <v>55</v>
      </c>
      <c r="E828" t="s">
        <v>802</v>
      </c>
      <c r="F828" t="s">
        <v>176</v>
      </c>
      <c r="G828" t="s">
        <v>450</v>
      </c>
      <c r="H828" t="s">
        <v>451</v>
      </c>
      <c r="I828" t="s">
        <v>451</v>
      </c>
      <c r="J828" t="s">
        <v>60</v>
      </c>
      <c r="K828" t="s">
        <v>452</v>
      </c>
      <c r="L828" t="s">
        <v>62</v>
      </c>
      <c r="M828" t="s">
        <v>452</v>
      </c>
      <c r="N828" t="s">
        <v>453</v>
      </c>
      <c r="O828" t="s">
        <v>454</v>
      </c>
      <c r="P828">
        <v>-19.649691000000001</v>
      </c>
      <c r="Q828">
        <v>-43.873970999999997</v>
      </c>
      <c r="R828" s="2" t="str">
        <f>HYPERLINK("https://www.google.com/maps?q=-19.6496910,-43.8739710","Abrir no Google Maps")</f>
        <v>Abrir no Google Maps</v>
      </c>
      <c r="S828">
        <v>3</v>
      </c>
      <c r="T828">
        <v>433.54329587849469</v>
      </c>
      <c r="U828">
        <v>3</v>
      </c>
      <c r="V828">
        <v>0.4059883364027011</v>
      </c>
      <c r="W828">
        <v>1</v>
      </c>
      <c r="X828">
        <v>0.4059883364027011</v>
      </c>
      <c r="Y828">
        <v>3</v>
      </c>
      <c r="Z828">
        <v>298.71042308886041</v>
      </c>
      <c r="AA828">
        <v>2</v>
      </c>
      <c r="AB828">
        <v>3</v>
      </c>
      <c r="AC828">
        <v>7</v>
      </c>
      <c r="AD828">
        <v>28.5</v>
      </c>
      <c r="AE828">
        <v>253</v>
      </c>
      <c r="AF828">
        <v>22</v>
      </c>
      <c r="AG828">
        <v>59</v>
      </c>
      <c r="AH828">
        <v>32</v>
      </c>
      <c r="AI828">
        <v>8.6999999999999993</v>
      </c>
      <c r="AJ828">
        <v>23.32</v>
      </c>
      <c r="AK828">
        <v>12.65</v>
      </c>
      <c r="AL828">
        <v>-19.64973869999994</v>
      </c>
      <c r="AM828">
        <v>-43.873980587601103</v>
      </c>
      <c r="AN828">
        <v>-19.64973869999994</v>
      </c>
      <c r="AO828">
        <v>-43.873980587601103</v>
      </c>
      <c r="AP828">
        <v>-19.649691000000001</v>
      </c>
      <c r="AQ828">
        <v>-43.873970999999997</v>
      </c>
      <c r="AR828">
        <v>5.4042596125531333</v>
      </c>
      <c r="AS828" t="s">
        <v>65</v>
      </c>
      <c r="AT828">
        <v>1</v>
      </c>
      <c r="AU828" t="s">
        <v>455</v>
      </c>
      <c r="AV828" t="s">
        <v>456</v>
      </c>
      <c r="AW828" t="s">
        <v>60</v>
      </c>
      <c r="AX828" t="s">
        <v>68</v>
      </c>
      <c r="AY828" t="s">
        <v>69</v>
      </c>
      <c r="AZ828" t="b">
        <v>1</v>
      </c>
    </row>
    <row r="829" spans="1:52" x14ac:dyDescent="0.3">
      <c r="A829" t="s">
        <v>52</v>
      </c>
      <c r="B829" t="s">
        <v>53</v>
      </c>
      <c r="C829" t="s">
        <v>54</v>
      </c>
      <c r="D829" t="s">
        <v>55</v>
      </c>
      <c r="E829" t="s">
        <v>802</v>
      </c>
      <c r="F829" t="s">
        <v>176</v>
      </c>
      <c r="G829" t="s">
        <v>324</v>
      </c>
      <c r="H829" t="s">
        <v>325</v>
      </c>
      <c r="I829" t="s">
        <v>325</v>
      </c>
      <c r="J829" t="s">
        <v>60</v>
      </c>
      <c r="K829" t="s">
        <v>326</v>
      </c>
      <c r="L829" t="s">
        <v>62</v>
      </c>
      <c r="M829" t="s">
        <v>326</v>
      </c>
      <c r="N829" t="s">
        <v>327</v>
      </c>
      <c r="O829" t="s">
        <v>328</v>
      </c>
      <c r="P829">
        <v>-19.654454000000001</v>
      </c>
      <c r="Q829">
        <v>-43.874654</v>
      </c>
      <c r="R829" s="2" t="str">
        <f>HYPERLINK("https://www.google.com/maps?q=-19.6544540,-43.8746540","Abrir no Google Maps")</f>
        <v>Abrir no Google Maps</v>
      </c>
      <c r="S829">
        <v>3</v>
      </c>
      <c r="T829">
        <v>461.71515786258828</v>
      </c>
      <c r="U829">
        <v>3</v>
      </c>
      <c r="V829">
        <v>0.41632230338974879</v>
      </c>
      <c r="W829">
        <v>1</v>
      </c>
      <c r="X829">
        <v>0.41632230338974879</v>
      </c>
      <c r="Y829">
        <v>3</v>
      </c>
      <c r="Z829">
        <v>321.42492762576637</v>
      </c>
      <c r="AA829">
        <v>2</v>
      </c>
      <c r="AB829">
        <v>3</v>
      </c>
      <c r="AC829">
        <v>7</v>
      </c>
      <c r="AD829">
        <v>28.5</v>
      </c>
      <c r="AE829">
        <v>253</v>
      </c>
      <c r="AF829">
        <v>22</v>
      </c>
      <c r="AG829">
        <v>59</v>
      </c>
      <c r="AH829">
        <v>32</v>
      </c>
      <c r="AI829">
        <v>8.6999999999999993</v>
      </c>
      <c r="AJ829">
        <v>23.32</v>
      </c>
      <c r="AK829">
        <v>12.65</v>
      </c>
      <c r="AL829">
        <v>-19.654399599999941</v>
      </c>
      <c r="AM829">
        <v>-43.87457008070222</v>
      </c>
      <c r="AN829">
        <v>-19.654399599999941</v>
      </c>
      <c r="AO829">
        <v>-43.87457008070222</v>
      </c>
      <c r="AP829">
        <v>-19.654454000000001</v>
      </c>
      <c r="AQ829">
        <v>-43.874654</v>
      </c>
      <c r="AR829">
        <v>10.68040226290562</v>
      </c>
      <c r="AS829" t="s">
        <v>65</v>
      </c>
      <c r="AT829">
        <v>1</v>
      </c>
      <c r="AU829" t="s">
        <v>329</v>
      </c>
      <c r="AV829" t="s">
        <v>330</v>
      </c>
      <c r="AW829" t="s">
        <v>60</v>
      </c>
      <c r="AX829" t="s">
        <v>68</v>
      </c>
      <c r="AY829" t="s">
        <v>69</v>
      </c>
      <c r="AZ829" t="b">
        <v>1</v>
      </c>
    </row>
    <row r="830" spans="1:52" x14ac:dyDescent="0.3">
      <c r="A830" t="s">
        <v>52</v>
      </c>
      <c r="B830" t="s">
        <v>53</v>
      </c>
      <c r="C830" t="s">
        <v>54</v>
      </c>
      <c r="D830" t="s">
        <v>55</v>
      </c>
      <c r="E830" t="s">
        <v>802</v>
      </c>
      <c r="F830" t="s">
        <v>176</v>
      </c>
      <c r="G830" t="s">
        <v>457</v>
      </c>
      <c r="H830" t="s">
        <v>458</v>
      </c>
      <c r="I830" t="s">
        <v>458</v>
      </c>
      <c r="J830" t="s">
        <v>60</v>
      </c>
      <c r="K830" t="s">
        <v>286</v>
      </c>
      <c r="L830" t="s">
        <v>62</v>
      </c>
      <c r="M830" t="s">
        <v>286</v>
      </c>
      <c r="N830" t="s">
        <v>459</v>
      </c>
      <c r="O830" t="s">
        <v>408</v>
      </c>
      <c r="P830">
        <v>-19.648675000000001</v>
      </c>
      <c r="Q830">
        <v>-43.876176999999998</v>
      </c>
      <c r="R830" s="2" t="str">
        <f>HYPERLINK("https://www.google.com/maps?q=-19.6486750,-43.8761770","Abrir no Google Maps")</f>
        <v>Abrir no Google Maps</v>
      </c>
      <c r="S830">
        <v>3</v>
      </c>
      <c r="T830">
        <v>696.15049931004592</v>
      </c>
      <c r="U830">
        <v>3</v>
      </c>
      <c r="V830">
        <v>0.41008888797931631</v>
      </c>
      <c r="W830">
        <v>1</v>
      </c>
      <c r="X830">
        <v>0.41008888797931631</v>
      </c>
      <c r="Y830">
        <v>3</v>
      </c>
      <c r="Z830">
        <v>617.40976221624703</v>
      </c>
      <c r="AA830">
        <v>2</v>
      </c>
      <c r="AB830">
        <v>3</v>
      </c>
      <c r="AC830">
        <v>7</v>
      </c>
      <c r="AD830">
        <v>28.5</v>
      </c>
      <c r="AE830">
        <v>253</v>
      </c>
      <c r="AF830">
        <v>22</v>
      </c>
      <c r="AG830">
        <v>59</v>
      </c>
      <c r="AH830">
        <v>32</v>
      </c>
      <c r="AI830">
        <v>8.6999999999999993</v>
      </c>
      <c r="AJ830">
        <v>23.32</v>
      </c>
      <c r="AK830">
        <v>12.65</v>
      </c>
      <c r="AL830">
        <v>-19.648626649999951</v>
      </c>
      <c r="AM830">
        <v>-43.876233357879343</v>
      </c>
      <c r="AN830">
        <v>-19.648626649999951</v>
      </c>
      <c r="AO830">
        <v>-43.876233357879343</v>
      </c>
      <c r="AP830">
        <v>-19.648675000000001</v>
      </c>
      <c r="AQ830">
        <v>-43.876176999999998</v>
      </c>
      <c r="AR830">
        <v>7.9924470956447653</v>
      </c>
      <c r="AS830" t="s">
        <v>65</v>
      </c>
      <c r="AT830">
        <v>1</v>
      </c>
      <c r="AU830" t="s">
        <v>460</v>
      </c>
      <c r="AV830" t="s">
        <v>461</v>
      </c>
      <c r="AW830" t="s">
        <v>60</v>
      </c>
      <c r="AX830" t="s">
        <v>68</v>
      </c>
      <c r="AY830" t="s">
        <v>69</v>
      </c>
      <c r="AZ830" t="b">
        <v>1</v>
      </c>
    </row>
    <row r="831" spans="1:52" x14ac:dyDescent="0.3">
      <c r="A831" t="s">
        <v>52</v>
      </c>
      <c r="B831" t="s">
        <v>53</v>
      </c>
      <c r="C831" t="s">
        <v>54</v>
      </c>
      <c r="D831" t="s">
        <v>55</v>
      </c>
      <c r="E831" t="s">
        <v>802</v>
      </c>
      <c r="F831" t="s">
        <v>176</v>
      </c>
      <c r="G831" t="s">
        <v>468</v>
      </c>
      <c r="H831" t="s">
        <v>469</v>
      </c>
      <c r="I831" t="s">
        <v>469</v>
      </c>
      <c r="J831" t="s">
        <v>60</v>
      </c>
      <c r="K831" t="s">
        <v>326</v>
      </c>
      <c r="L831" t="s">
        <v>62</v>
      </c>
      <c r="M831" t="s">
        <v>326</v>
      </c>
      <c r="N831" t="s">
        <v>470</v>
      </c>
      <c r="O831" t="s">
        <v>471</v>
      </c>
      <c r="P831">
        <v>-19.655975999999999</v>
      </c>
      <c r="Q831">
        <v>-43.870057000000003</v>
      </c>
      <c r="R831" s="2" t="str">
        <f>HYPERLINK("https://www.google.com/maps?q=-19.6559760,-43.8700570","Abrir no Google Maps")</f>
        <v>Abrir no Google Maps</v>
      </c>
      <c r="S831">
        <v>3</v>
      </c>
      <c r="T831">
        <v>409.25016374145417</v>
      </c>
      <c r="U831">
        <v>3</v>
      </c>
      <c r="V831">
        <v>0.40994435366189891</v>
      </c>
      <c r="W831">
        <v>1</v>
      </c>
      <c r="X831">
        <v>0.40994435366189891</v>
      </c>
      <c r="Y831">
        <v>3</v>
      </c>
      <c r="Z831">
        <v>484.59511175905197</v>
      </c>
      <c r="AA831">
        <v>2</v>
      </c>
      <c r="AB831">
        <v>3</v>
      </c>
      <c r="AC831">
        <v>7</v>
      </c>
      <c r="AD831">
        <v>28.5</v>
      </c>
      <c r="AE831">
        <v>253</v>
      </c>
      <c r="AF831">
        <v>22</v>
      </c>
      <c r="AG831">
        <v>59</v>
      </c>
      <c r="AH831">
        <v>32</v>
      </c>
      <c r="AI831">
        <v>8.6999999999999993</v>
      </c>
      <c r="AJ831">
        <v>23.32</v>
      </c>
      <c r="AK831">
        <v>12.65</v>
      </c>
      <c r="AL831">
        <v>-19.655869499999969</v>
      </c>
      <c r="AM831">
        <v>-43.870040006843681</v>
      </c>
      <c r="AN831">
        <v>-19.655869499999969</v>
      </c>
      <c r="AO831">
        <v>-43.870040006843681</v>
      </c>
      <c r="AP831">
        <v>-19.655975999999999</v>
      </c>
      <c r="AQ831">
        <v>-43.870057000000003</v>
      </c>
      <c r="AR831">
        <v>11.98867552929476</v>
      </c>
      <c r="AS831" t="s">
        <v>65</v>
      </c>
      <c r="AT831">
        <v>1</v>
      </c>
      <c r="AU831" t="s">
        <v>472</v>
      </c>
      <c r="AV831" t="s">
        <v>473</v>
      </c>
      <c r="AW831" t="s">
        <v>60</v>
      </c>
      <c r="AX831" t="s">
        <v>68</v>
      </c>
      <c r="AY831" t="s">
        <v>69</v>
      </c>
      <c r="AZ831" t="b">
        <v>1</v>
      </c>
    </row>
    <row r="832" spans="1:52" x14ac:dyDescent="0.3">
      <c r="A832" t="s">
        <v>52</v>
      </c>
      <c r="B832" t="s">
        <v>53</v>
      </c>
      <c r="C832" t="s">
        <v>54</v>
      </c>
      <c r="D832" t="s">
        <v>55</v>
      </c>
      <c r="E832" t="s">
        <v>802</v>
      </c>
      <c r="F832" t="s">
        <v>176</v>
      </c>
      <c r="G832" t="s">
        <v>438</v>
      </c>
      <c r="H832" t="s">
        <v>718</v>
      </c>
      <c r="I832" t="s">
        <v>718</v>
      </c>
      <c r="J832" t="s">
        <v>60</v>
      </c>
      <c r="K832" t="s">
        <v>719</v>
      </c>
      <c r="L832" t="s">
        <v>62</v>
      </c>
      <c r="M832" t="s">
        <v>719</v>
      </c>
      <c r="N832" t="s">
        <v>720</v>
      </c>
      <c r="O832" t="s">
        <v>721</v>
      </c>
      <c r="P832">
        <v>-19.659696</v>
      </c>
      <c r="Q832">
        <v>-43.878183</v>
      </c>
      <c r="R832" s="2" t="str">
        <f>HYPERLINK("https://www.google.com/maps?q=-19.6596960,-43.8781830","Abrir no Google Maps")</f>
        <v>Abrir no Google Maps</v>
      </c>
      <c r="S832">
        <v>3</v>
      </c>
      <c r="T832">
        <v>1123.545826977394</v>
      </c>
      <c r="U832">
        <v>3</v>
      </c>
      <c r="V832">
        <v>0.40528889138913887</v>
      </c>
      <c r="W832">
        <v>1</v>
      </c>
      <c r="X832">
        <v>0.40528889138913887</v>
      </c>
      <c r="Y832">
        <v>3</v>
      </c>
      <c r="Z832">
        <v>1050.5223173666111</v>
      </c>
      <c r="AA832">
        <v>2</v>
      </c>
      <c r="AB832">
        <v>3</v>
      </c>
      <c r="AC832">
        <v>7</v>
      </c>
      <c r="AD832">
        <v>28.5</v>
      </c>
      <c r="AE832">
        <v>253</v>
      </c>
      <c r="AF832">
        <v>22</v>
      </c>
      <c r="AG832">
        <v>59</v>
      </c>
      <c r="AH832">
        <v>32</v>
      </c>
      <c r="AI832">
        <v>8.6999999999999993</v>
      </c>
      <c r="AJ832">
        <v>23.32</v>
      </c>
      <c r="AK832">
        <v>12.65</v>
      </c>
      <c r="AL832">
        <v>-19.65964904999996</v>
      </c>
      <c r="AM832">
        <v>-43.878129467040978</v>
      </c>
      <c r="AN832">
        <v>-19.65964904999996</v>
      </c>
      <c r="AO832">
        <v>-43.878129467040978</v>
      </c>
      <c r="AP832">
        <v>-19.659696</v>
      </c>
      <c r="AQ832">
        <v>-43.878183</v>
      </c>
      <c r="AR832">
        <v>7.6687382643842978</v>
      </c>
      <c r="AS832" t="s">
        <v>65</v>
      </c>
      <c r="AT832">
        <v>1</v>
      </c>
      <c r="AU832" t="s">
        <v>722</v>
      </c>
      <c r="AV832" t="s">
        <v>723</v>
      </c>
      <c r="AW832" t="s">
        <v>60</v>
      </c>
      <c r="AX832" t="s">
        <v>68</v>
      </c>
      <c r="AY832" t="s">
        <v>69</v>
      </c>
      <c r="AZ832" t="b">
        <v>1</v>
      </c>
    </row>
    <row r="833" spans="1:52" x14ac:dyDescent="0.3">
      <c r="A833" t="s">
        <v>52</v>
      </c>
      <c r="B833" t="s">
        <v>53</v>
      </c>
      <c r="C833" t="s">
        <v>54</v>
      </c>
      <c r="D833" t="s">
        <v>55</v>
      </c>
      <c r="E833" t="s">
        <v>802</v>
      </c>
      <c r="F833" t="s">
        <v>176</v>
      </c>
      <c r="G833" t="s">
        <v>474</v>
      </c>
      <c r="H833" t="s">
        <v>475</v>
      </c>
      <c r="I833" t="s">
        <v>475</v>
      </c>
      <c r="J833" t="s">
        <v>60</v>
      </c>
      <c r="K833" t="s">
        <v>326</v>
      </c>
      <c r="L833" t="s">
        <v>62</v>
      </c>
      <c r="M833" t="s">
        <v>326</v>
      </c>
      <c r="N833" t="s">
        <v>476</v>
      </c>
      <c r="O833" t="s">
        <v>477</v>
      </c>
      <c r="P833">
        <v>-19.658083000000001</v>
      </c>
      <c r="Q833">
        <v>-43.866957999999997</v>
      </c>
      <c r="R833" s="2" t="str">
        <f>HYPERLINK("https://www.google.com/maps?q=-19.6580830,-43.8669580","Abrir no Google Maps")</f>
        <v>Abrir no Google Maps</v>
      </c>
      <c r="S833">
        <v>3</v>
      </c>
      <c r="T833">
        <v>753.45055811539748</v>
      </c>
      <c r="U833">
        <v>3</v>
      </c>
      <c r="V833">
        <v>0.41232368270196401</v>
      </c>
      <c r="W833">
        <v>1</v>
      </c>
      <c r="X833">
        <v>0.41232368270196401</v>
      </c>
      <c r="Y833">
        <v>3</v>
      </c>
      <c r="Z833">
        <v>808.47816984050394</v>
      </c>
      <c r="AA833">
        <v>2</v>
      </c>
      <c r="AB833">
        <v>3</v>
      </c>
      <c r="AC833">
        <v>7</v>
      </c>
      <c r="AD833">
        <v>28.5</v>
      </c>
      <c r="AE833">
        <v>253</v>
      </c>
      <c r="AF833">
        <v>22</v>
      </c>
      <c r="AG833">
        <v>59</v>
      </c>
      <c r="AH833">
        <v>32</v>
      </c>
      <c r="AI833">
        <v>8.6999999999999993</v>
      </c>
      <c r="AJ833">
        <v>23.32</v>
      </c>
      <c r="AK833">
        <v>12.65</v>
      </c>
      <c r="AL833">
        <v>-19.658034899999929</v>
      </c>
      <c r="AM833">
        <v>-43.867024921196148</v>
      </c>
      <c r="AN833">
        <v>-19.658034899999929</v>
      </c>
      <c r="AO833">
        <v>-43.867024921196148</v>
      </c>
      <c r="AP833">
        <v>-19.658083000000001</v>
      </c>
      <c r="AQ833">
        <v>-43.866957999999997</v>
      </c>
      <c r="AR833">
        <v>8.8253920204286462</v>
      </c>
      <c r="AS833" t="s">
        <v>65</v>
      </c>
      <c r="AT833">
        <v>1</v>
      </c>
      <c r="AU833" t="s">
        <v>478</v>
      </c>
      <c r="AV833" t="s">
        <v>349</v>
      </c>
      <c r="AW833" t="s">
        <v>60</v>
      </c>
      <c r="AX833" t="s">
        <v>68</v>
      </c>
      <c r="AY833" t="s">
        <v>69</v>
      </c>
      <c r="AZ833" t="b">
        <v>1</v>
      </c>
    </row>
    <row r="834" spans="1:52" x14ac:dyDescent="0.3">
      <c r="A834" t="s">
        <v>52</v>
      </c>
      <c r="B834" t="s">
        <v>53</v>
      </c>
      <c r="C834" t="s">
        <v>54</v>
      </c>
      <c r="D834" t="s">
        <v>55</v>
      </c>
      <c r="E834" t="s">
        <v>802</v>
      </c>
      <c r="F834" t="s">
        <v>176</v>
      </c>
      <c r="G834" t="s">
        <v>479</v>
      </c>
      <c r="H834" t="s">
        <v>480</v>
      </c>
      <c r="I834" t="s">
        <v>480</v>
      </c>
      <c r="J834" t="s">
        <v>60</v>
      </c>
      <c r="K834" t="s">
        <v>286</v>
      </c>
      <c r="L834" t="s">
        <v>62</v>
      </c>
      <c r="M834" t="s">
        <v>286</v>
      </c>
      <c r="N834" t="s">
        <v>481</v>
      </c>
      <c r="O834" t="s">
        <v>159</v>
      </c>
      <c r="P834">
        <v>-19.635337</v>
      </c>
      <c r="Q834">
        <v>-43.884400999999997</v>
      </c>
      <c r="R834" s="2" t="str">
        <f>HYPERLINK("https://www.google.com/maps?q=-19.6353370,-43.8844010","Abrir no Google Maps")</f>
        <v>Abrir no Google Maps</v>
      </c>
      <c r="S834">
        <v>3</v>
      </c>
      <c r="T834">
        <v>697.1404216088763</v>
      </c>
      <c r="U834">
        <v>3</v>
      </c>
      <c r="V834">
        <v>0.41743849644962489</v>
      </c>
      <c r="W834">
        <v>1</v>
      </c>
      <c r="X834">
        <v>0.41743849644962489</v>
      </c>
      <c r="Y834">
        <v>2</v>
      </c>
      <c r="Z834">
        <v>178.9017814618079</v>
      </c>
      <c r="AA834">
        <v>2</v>
      </c>
      <c r="AB834">
        <v>3</v>
      </c>
      <c r="AC834">
        <v>7</v>
      </c>
      <c r="AD834">
        <v>28.5</v>
      </c>
      <c r="AE834">
        <v>253</v>
      </c>
      <c r="AF834">
        <v>22</v>
      </c>
      <c r="AG834">
        <v>59</v>
      </c>
      <c r="AH834">
        <v>32</v>
      </c>
      <c r="AI834">
        <v>8.6999999999999993</v>
      </c>
      <c r="AJ834">
        <v>23.32</v>
      </c>
      <c r="AK834">
        <v>12.65</v>
      </c>
      <c r="AL834">
        <v>-19.635338699999949</v>
      </c>
      <c r="AM834">
        <v>-43.884486286355838</v>
      </c>
      <c r="AN834">
        <v>-19.635338699999949</v>
      </c>
      <c r="AO834">
        <v>-43.884486286355838</v>
      </c>
      <c r="AP834">
        <v>-19.635337</v>
      </c>
      <c r="AQ834">
        <v>-43.884400999999997</v>
      </c>
      <c r="AR834">
        <v>8.9440024153343494</v>
      </c>
      <c r="AS834" t="s">
        <v>65</v>
      </c>
      <c r="AT834">
        <v>1</v>
      </c>
      <c r="AU834" t="s">
        <v>482</v>
      </c>
      <c r="AV834" t="s">
        <v>483</v>
      </c>
      <c r="AW834" t="s">
        <v>60</v>
      </c>
      <c r="AX834" t="s">
        <v>68</v>
      </c>
      <c r="AY834" t="s">
        <v>69</v>
      </c>
      <c r="AZ834" t="b">
        <v>1</v>
      </c>
    </row>
    <row r="835" spans="1:52" x14ac:dyDescent="0.3">
      <c r="A835" t="s">
        <v>52</v>
      </c>
      <c r="B835" t="s">
        <v>53</v>
      </c>
      <c r="C835" t="s">
        <v>54</v>
      </c>
      <c r="D835" t="s">
        <v>55</v>
      </c>
      <c r="E835" t="s">
        <v>802</v>
      </c>
      <c r="F835" t="s">
        <v>176</v>
      </c>
      <c r="G835" t="s">
        <v>484</v>
      </c>
      <c r="H835" t="s">
        <v>485</v>
      </c>
      <c r="I835" t="s">
        <v>485</v>
      </c>
      <c r="J835" t="s">
        <v>60</v>
      </c>
      <c r="K835" t="s">
        <v>486</v>
      </c>
      <c r="L835" t="s">
        <v>62</v>
      </c>
      <c r="M835" t="s">
        <v>486</v>
      </c>
      <c r="N835" t="s">
        <v>487</v>
      </c>
      <c r="O835" t="s">
        <v>488</v>
      </c>
      <c r="P835">
        <v>-19.599471999999999</v>
      </c>
      <c r="Q835">
        <v>-43.904423999999999</v>
      </c>
      <c r="R835" s="2" t="str">
        <f>HYPERLINK("https://www.google.com/maps?q=-19.5994720,-43.9044240","Abrir no Google Maps")</f>
        <v>Abrir no Google Maps</v>
      </c>
      <c r="S835">
        <v>3</v>
      </c>
      <c r="T835">
        <v>0</v>
      </c>
      <c r="U835">
        <v>3</v>
      </c>
      <c r="V835">
        <v>0.39970655267717181</v>
      </c>
      <c r="W835">
        <v>1</v>
      </c>
      <c r="X835">
        <v>0.39970655267717181</v>
      </c>
      <c r="Y835">
        <v>2</v>
      </c>
      <c r="Z835">
        <v>112.207711482489</v>
      </c>
      <c r="AA835">
        <v>2</v>
      </c>
      <c r="AB835">
        <v>3</v>
      </c>
      <c r="AC835">
        <v>7</v>
      </c>
      <c r="AD835">
        <v>28.5</v>
      </c>
      <c r="AE835">
        <v>253</v>
      </c>
      <c r="AF835">
        <v>22</v>
      </c>
      <c r="AG835">
        <v>59</v>
      </c>
      <c r="AH835">
        <v>32</v>
      </c>
      <c r="AI835">
        <v>8.6999999999999993</v>
      </c>
      <c r="AJ835">
        <v>23.32</v>
      </c>
      <c r="AK835">
        <v>12.65</v>
      </c>
      <c r="AL835">
        <v>-19.599417149999969</v>
      </c>
      <c r="AM835">
        <v>-43.904309145074677</v>
      </c>
      <c r="AN835">
        <v>-19.599417149999969</v>
      </c>
      <c r="AO835">
        <v>-43.904309145074677</v>
      </c>
      <c r="AP835">
        <v>-19.599471999999999</v>
      </c>
      <c r="AQ835">
        <v>-43.904423999999999</v>
      </c>
      <c r="AR835">
        <v>13.50409975769734</v>
      </c>
      <c r="AS835" t="s">
        <v>65</v>
      </c>
      <c r="AT835">
        <v>1</v>
      </c>
      <c r="AU835" t="s">
        <v>489</v>
      </c>
      <c r="AV835" t="s">
        <v>490</v>
      </c>
      <c r="AW835" t="s">
        <v>60</v>
      </c>
      <c r="AX835" t="s">
        <v>68</v>
      </c>
      <c r="AY835" t="s">
        <v>69</v>
      </c>
      <c r="AZ835" t="b">
        <v>1</v>
      </c>
    </row>
    <row r="836" spans="1:52" x14ac:dyDescent="0.3">
      <c r="A836" t="s">
        <v>52</v>
      </c>
      <c r="B836" t="s">
        <v>53</v>
      </c>
      <c r="C836" t="s">
        <v>54</v>
      </c>
      <c r="D836" t="s">
        <v>55</v>
      </c>
      <c r="E836" t="s">
        <v>802</v>
      </c>
      <c r="F836" t="s">
        <v>176</v>
      </c>
      <c r="G836" t="s">
        <v>350</v>
      </c>
      <c r="H836" t="s">
        <v>368</v>
      </c>
      <c r="I836" t="s">
        <v>368</v>
      </c>
      <c r="J836" t="s">
        <v>60</v>
      </c>
      <c r="K836" t="s">
        <v>364</v>
      </c>
      <c r="L836" t="s">
        <v>62</v>
      </c>
      <c r="M836" t="s">
        <v>364</v>
      </c>
      <c r="N836" t="s">
        <v>353</v>
      </c>
      <c r="O836" t="s">
        <v>365</v>
      </c>
      <c r="P836">
        <v>-19.593221</v>
      </c>
      <c r="Q836">
        <v>-43.901839000000002</v>
      </c>
      <c r="R836" s="2" t="str">
        <f>HYPERLINK("https://www.google.com/maps?q=-19.5932210,-43.9018390","Abrir no Google Maps")</f>
        <v>Abrir no Google Maps</v>
      </c>
      <c r="S836">
        <v>3</v>
      </c>
      <c r="T836">
        <v>741.77482535005606</v>
      </c>
      <c r="U836">
        <v>3</v>
      </c>
      <c r="V836">
        <v>0.4776066586921851</v>
      </c>
      <c r="W836">
        <v>0.85</v>
      </c>
      <c r="X836">
        <v>0.40596565988835731</v>
      </c>
      <c r="Y836">
        <v>2</v>
      </c>
      <c r="Z836">
        <v>790.59331647558088</v>
      </c>
      <c r="AA836">
        <v>2</v>
      </c>
      <c r="AB836">
        <v>3</v>
      </c>
      <c r="AC836">
        <v>7</v>
      </c>
      <c r="AD836">
        <v>28.5</v>
      </c>
      <c r="AE836">
        <v>253</v>
      </c>
      <c r="AF836">
        <v>22</v>
      </c>
      <c r="AG836">
        <v>59</v>
      </c>
      <c r="AH836">
        <v>32</v>
      </c>
      <c r="AI836">
        <v>8.6999999999999993</v>
      </c>
      <c r="AJ836">
        <v>23.32</v>
      </c>
      <c r="AK836">
        <v>12.65</v>
      </c>
      <c r="AL836">
        <v>-19.593187449999959</v>
      </c>
      <c r="AM836">
        <v>-43.901700308057322</v>
      </c>
      <c r="AN836">
        <v>-19.593187449999959</v>
      </c>
      <c r="AO836">
        <v>-43.901700308057322</v>
      </c>
      <c r="AP836">
        <v>-19.593221</v>
      </c>
      <c r="AQ836">
        <v>-43.901839000000002</v>
      </c>
      <c r="AR836">
        <v>15.017055708279431</v>
      </c>
      <c r="AS836" t="s">
        <v>65</v>
      </c>
      <c r="AT836">
        <v>1</v>
      </c>
      <c r="AU836" t="s">
        <v>369</v>
      </c>
      <c r="AV836" t="s">
        <v>370</v>
      </c>
      <c r="AW836" t="s">
        <v>60</v>
      </c>
      <c r="AX836" t="s">
        <v>68</v>
      </c>
      <c r="AY836" t="s">
        <v>69</v>
      </c>
      <c r="AZ836" t="b">
        <v>1</v>
      </c>
    </row>
    <row r="837" spans="1:52" x14ac:dyDescent="0.3">
      <c r="A837" t="s">
        <v>52</v>
      </c>
      <c r="B837" t="s">
        <v>53</v>
      </c>
      <c r="C837" t="s">
        <v>54</v>
      </c>
      <c r="D837" t="s">
        <v>55</v>
      </c>
      <c r="E837" t="s">
        <v>802</v>
      </c>
      <c r="F837" t="s">
        <v>176</v>
      </c>
      <c r="G837" t="s">
        <v>500</v>
      </c>
      <c r="H837" t="s">
        <v>501</v>
      </c>
      <c r="I837" t="s">
        <v>501</v>
      </c>
      <c r="J837" t="s">
        <v>60</v>
      </c>
      <c r="K837" t="s">
        <v>164</v>
      </c>
      <c r="L837" t="s">
        <v>62</v>
      </c>
      <c r="M837" t="s">
        <v>164</v>
      </c>
      <c r="N837" t="s">
        <v>502</v>
      </c>
      <c r="O837" t="s">
        <v>503</v>
      </c>
      <c r="P837">
        <v>-19.665816</v>
      </c>
      <c r="Q837">
        <v>-43.886322999999997</v>
      </c>
      <c r="R837" s="2" t="str">
        <f>HYPERLINK("https://www.google.com/maps?q=-19.6658160,-43.8863230","Abrir no Google Maps")</f>
        <v>Abrir no Google Maps</v>
      </c>
      <c r="S837">
        <v>3</v>
      </c>
      <c r="T837">
        <v>1149.957610345353</v>
      </c>
      <c r="U837">
        <v>3</v>
      </c>
      <c r="V837">
        <v>0.40674438282694159</v>
      </c>
      <c r="W837">
        <v>1</v>
      </c>
      <c r="X837">
        <v>0.40674438282694159</v>
      </c>
      <c r="Y837">
        <v>1</v>
      </c>
      <c r="Z837">
        <v>381.605286477493</v>
      </c>
      <c r="AA837">
        <v>2</v>
      </c>
      <c r="AB837">
        <v>3</v>
      </c>
      <c r="AC837">
        <v>7</v>
      </c>
      <c r="AD837">
        <v>28.5</v>
      </c>
      <c r="AE837">
        <v>253</v>
      </c>
      <c r="AF837">
        <v>22</v>
      </c>
      <c r="AG837">
        <v>59</v>
      </c>
      <c r="AH837">
        <v>32</v>
      </c>
      <c r="AI837">
        <v>8.6999999999999993</v>
      </c>
      <c r="AJ837">
        <v>23.32</v>
      </c>
      <c r="AK837">
        <v>12.65</v>
      </c>
      <c r="AL837">
        <v>-19.665844049999951</v>
      </c>
      <c r="AM837">
        <v>-43.886344205728712</v>
      </c>
      <c r="AN837">
        <v>-19.665844049999951</v>
      </c>
      <c r="AO837">
        <v>-43.886344205728712</v>
      </c>
      <c r="AP837">
        <v>-19.665816</v>
      </c>
      <c r="AQ837">
        <v>-43.886322999999997</v>
      </c>
      <c r="AR837">
        <v>3.8329604058735098</v>
      </c>
      <c r="AS837" t="s">
        <v>65</v>
      </c>
      <c r="AT837">
        <v>1</v>
      </c>
      <c r="AU837" t="s">
        <v>504</v>
      </c>
      <c r="AV837" t="s">
        <v>505</v>
      </c>
      <c r="AW837" t="s">
        <v>60</v>
      </c>
      <c r="AX837" t="s">
        <v>68</v>
      </c>
      <c r="AY837" t="s">
        <v>69</v>
      </c>
      <c r="AZ837" t="b">
        <v>1</v>
      </c>
    </row>
    <row r="838" spans="1:52" x14ac:dyDescent="0.3">
      <c r="A838" t="s">
        <v>52</v>
      </c>
      <c r="B838" t="s">
        <v>53</v>
      </c>
      <c r="C838" t="s">
        <v>54</v>
      </c>
      <c r="D838" t="s">
        <v>55</v>
      </c>
      <c r="E838" t="s">
        <v>802</v>
      </c>
      <c r="F838" t="s">
        <v>176</v>
      </c>
      <c r="G838" t="s">
        <v>664</v>
      </c>
      <c r="H838" t="s">
        <v>687</v>
      </c>
      <c r="I838" t="s">
        <v>687</v>
      </c>
      <c r="J838" t="s">
        <v>60</v>
      </c>
      <c r="K838" t="s">
        <v>683</v>
      </c>
      <c r="L838" t="s">
        <v>62</v>
      </c>
      <c r="M838" t="s">
        <v>683</v>
      </c>
      <c r="N838" t="s">
        <v>688</v>
      </c>
      <c r="O838" t="s">
        <v>354</v>
      </c>
      <c r="P838">
        <v>-19.564990999999999</v>
      </c>
      <c r="Q838">
        <v>-43.947169000000002</v>
      </c>
      <c r="R838" s="2" t="str">
        <f>HYPERLINK("https://www.google.com/maps?q=-19.5649910,-43.9471690","Abrir no Google Maps")</f>
        <v>Abrir no Google Maps</v>
      </c>
      <c r="S838">
        <v>3</v>
      </c>
      <c r="T838">
        <v>686.62887321451433</v>
      </c>
      <c r="U838">
        <v>3</v>
      </c>
      <c r="V838">
        <v>0.40790713161802189</v>
      </c>
      <c r="W838">
        <v>1</v>
      </c>
      <c r="X838">
        <v>0.40790713161802189</v>
      </c>
      <c r="Y838">
        <v>1</v>
      </c>
      <c r="Z838">
        <v>848.87718642784125</v>
      </c>
      <c r="AA838">
        <v>2</v>
      </c>
      <c r="AB838">
        <v>3</v>
      </c>
      <c r="AC838">
        <v>7</v>
      </c>
      <c r="AD838">
        <v>28.5</v>
      </c>
      <c r="AE838">
        <v>253</v>
      </c>
      <c r="AF838">
        <v>22</v>
      </c>
      <c r="AG838">
        <v>59</v>
      </c>
      <c r="AH838">
        <v>32</v>
      </c>
      <c r="AI838">
        <v>8.6999999999999993</v>
      </c>
      <c r="AJ838">
        <v>23.32</v>
      </c>
      <c r="AK838">
        <v>12.65</v>
      </c>
      <c r="AL838">
        <v>-19.564904949999971</v>
      </c>
      <c r="AM838">
        <v>-43.94746329903581</v>
      </c>
      <c r="AN838">
        <v>-19.564904949999971</v>
      </c>
      <c r="AO838">
        <v>-43.94746329903581</v>
      </c>
      <c r="AP838">
        <v>-19.564990999999999</v>
      </c>
      <c r="AQ838">
        <v>-43.947169000000002</v>
      </c>
      <c r="AR838">
        <v>32.321888980844889</v>
      </c>
      <c r="AS838" t="s">
        <v>65</v>
      </c>
      <c r="AT838">
        <v>1</v>
      </c>
      <c r="AU838" t="s">
        <v>689</v>
      </c>
      <c r="AV838" t="s">
        <v>690</v>
      </c>
      <c r="AW838" t="s">
        <v>60</v>
      </c>
      <c r="AX838" t="s">
        <v>68</v>
      </c>
      <c r="AY838" t="s">
        <v>69</v>
      </c>
      <c r="AZ838" t="b">
        <v>1</v>
      </c>
    </row>
    <row r="839" spans="1:52" x14ac:dyDescent="0.3">
      <c r="A839" t="s">
        <v>52</v>
      </c>
      <c r="B839" t="s">
        <v>53</v>
      </c>
      <c r="C839" t="s">
        <v>54</v>
      </c>
      <c r="D839" t="s">
        <v>55</v>
      </c>
      <c r="E839" t="s">
        <v>802</v>
      </c>
      <c r="F839" t="s">
        <v>512</v>
      </c>
      <c r="G839" t="s">
        <v>58</v>
      </c>
      <c r="H839" t="s">
        <v>59</v>
      </c>
      <c r="I839" t="s">
        <v>59</v>
      </c>
      <c r="J839" t="s">
        <v>60</v>
      </c>
      <c r="K839" t="s">
        <v>61</v>
      </c>
      <c r="L839" t="s">
        <v>62</v>
      </c>
      <c r="M839" t="s">
        <v>61</v>
      </c>
      <c r="N839" t="s">
        <v>63</v>
      </c>
      <c r="O839" t="s">
        <v>64</v>
      </c>
      <c r="P839">
        <v>-19.631502000000001</v>
      </c>
      <c r="Q839">
        <v>-43.910241999999997</v>
      </c>
      <c r="R839" s="2" t="str">
        <f>HYPERLINK("https://www.google.com/maps?q=-19.6315020,-43.9102420","Abrir no Google Maps")</f>
        <v>Abrir no Google Maps</v>
      </c>
      <c r="S839">
        <v>4</v>
      </c>
      <c r="T839">
        <v>789.20099406682743</v>
      </c>
      <c r="U839">
        <v>4</v>
      </c>
      <c r="V839">
        <v>0.4310287152010267</v>
      </c>
      <c r="W839">
        <v>1</v>
      </c>
      <c r="X839">
        <v>0.4310287152010267</v>
      </c>
      <c r="Y839">
        <v>10</v>
      </c>
      <c r="Z839">
        <v>691.44930074509864</v>
      </c>
      <c r="AA839">
        <v>2</v>
      </c>
      <c r="AB839">
        <v>3</v>
      </c>
      <c r="AC839">
        <v>7</v>
      </c>
      <c r="AD839">
        <v>28.5</v>
      </c>
      <c r="AE839">
        <v>253</v>
      </c>
      <c r="AF839">
        <v>22</v>
      </c>
      <c r="AG839">
        <v>59</v>
      </c>
      <c r="AH839">
        <v>32</v>
      </c>
      <c r="AI839">
        <v>8.6999999999999993</v>
      </c>
      <c r="AJ839">
        <v>23.32</v>
      </c>
      <c r="AK839">
        <v>12.65</v>
      </c>
      <c r="AL839">
        <v>-19.631719749999949</v>
      </c>
      <c r="AM839">
        <v>-43.910102324517517</v>
      </c>
      <c r="AN839">
        <v>-19.631719749999949</v>
      </c>
      <c r="AO839">
        <v>-43.910102324517517</v>
      </c>
      <c r="AP839">
        <v>-19.631502000000001</v>
      </c>
      <c r="AQ839">
        <v>-43.910241999999997</v>
      </c>
      <c r="AR839">
        <v>28.320416429206599</v>
      </c>
      <c r="AS839" t="s">
        <v>65</v>
      </c>
      <c r="AT839">
        <v>1</v>
      </c>
      <c r="AU839" t="s">
        <v>66</v>
      </c>
      <c r="AV839" t="s">
        <v>67</v>
      </c>
      <c r="AW839" t="s">
        <v>60</v>
      </c>
      <c r="AX839" t="s">
        <v>68</v>
      </c>
      <c r="AY839" t="s">
        <v>69</v>
      </c>
      <c r="AZ839" t="b">
        <v>1</v>
      </c>
    </row>
    <row r="840" spans="1:52" x14ac:dyDescent="0.3">
      <c r="A840" t="s">
        <v>52</v>
      </c>
      <c r="B840" t="s">
        <v>53</v>
      </c>
      <c r="C840" t="s">
        <v>54</v>
      </c>
      <c r="D840" t="s">
        <v>55</v>
      </c>
      <c r="E840" t="s">
        <v>802</v>
      </c>
      <c r="F840" t="s">
        <v>512</v>
      </c>
      <c r="G840" t="s">
        <v>70</v>
      </c>
      <c r="H840" t="s">
        <v>71</v>
      </c>
      <c r="I840" t="s">
        <v>71</v>
      </c>
      <c r="J840" t="s">
        <v>60</v>
      </c>
      <c r="K840" t="s">
        <v>72</v>
      </c>
      <c r="L840" t="s">
        <v>62</v>
      </c>
      <c r="M840" t="s">
        <v>72</v>
      </c>
      <c r="N840" t="s">
        <v>73</v>
      </c>
      <c r="O840" t="s">
        <v>74</v>
      </c>
      <c r="P840">
        <v>-19.632581999999999</v>
      </c>
      <c r="Q840">
        <v>-43.902416000000002</v>
      </c>
      <c r="R840" s="2" t="str">
        <f>HYPERLINK("https://www.google.com/maps?q=-19.6325820,-43.9024160","Abrir no Google Maps")</f>
        <v>Abrir no Google Maps</v>
      </c>
      <c r="S840">
        <v>4</v>
      </c>
      <c r="T840">
        <v>0</v>
      </c>
      <c r="U840">
        <v>4</v>
      </c>
      <c r="V840">
        <v>0.430001491886433</v>
      </c>
      <c r="W840">
        <v>1</v>
      </c>
      <c r="X840">
        <v>0.430001491886433</v>
      </c>
      <c r="Y840">
        <v>10</v>
      </c>
      <c r="Z840">
        <v>146.6968158874696</v>
      </c>
      <c r="AA840">
        <v>2</v>
      </c>
      <c r="AB840">
        <v>3</v>
      </c>
      <c r="AC840">
        <v>7</v>
      </c>
      <c r="AD840">
        <v>28.5</v>
      </c>
      <c r="AE840">
        <v>253</v>
      </c>
      <c r="AF840">
        <v>22</v>
      </c>
      <c r="AG840">
        <v>59</v>
      </c>
      <c r="AH840">
        <v>32</v>
      </c>
      <c r="AI840">
        <v>8.6999999999999993</v>
      </c>
      <c r="AJ840">
        <v>23.32</v>
      </c>
      <c r="AK840">
        <v>12.65</v>
      </c>
      <c r="AL840">
        <v>-19.63271449999996</v>
      </c>
      <c r="AM840">
        <v>-43.902649897389402</v>
      </c>
      <c r="AN840">
        <v>-19.63271449999996</v>
      </c>
      <c r="AO840">
        <v>-43.902649897389402</v>
      </c>
      <c r="AP840">
        <v>-19.632581999999999</v>
      </c>
      <c r="AQ840">
        <v>-43.902416000000002</v>
      </c>
      <c r="AR840">
        <v>28.617753432996459</v>
      </c>
      <c r="AS840" t="s">
        <v>65</v>
      </c>
      <c r="AT840">
        <v>1</v>
      </c>
      <c r="AU840" t="s">
        <v>75</v>
      </c>
      <c r="AV840" t="s">
        <v>76</v>
      </c>
      <c r="AW840" t="s">
        <v>60</v>
      </c>
      <c r="AX840" t="s">
        <v>68</v>
      </c>
      <c r="AY840" t="s">
        <v>69</v>
      </c>
      <c r="AZ840" t="b">
        <v>1</v>
      </c>
    </row>
    <row r="841" spans="1:52" x14ac:dyDescent="0.3">
      <c r="A841" t="s">
        <v>52</v>
      </c>
      <c r="B841" t="s">
        <v>53</v>
      </c>
      <c r="C841" t="s">
        <v>54</v>
      </c>
      <c r="D841" t="s">
        <v>55</v>
      </c>
      <c r="E841" t="s">
        <v>802</v>
      </c>
      <c r="F841" t="s">
        <v>512</v>
      </c>
      <c r="G841" t="s">
        <v>77</v>
      </c>
      <c r="H841" t="s">
        <v>78</v>
      </c>
      <c r="I841" t="s">
        <v>78</v>
      </c>
      <c r="J841" t="s">
        <v>60</v>
      </c>
      <c r="K841" t="s">
        <v>79</v>
      </c>
      <c r="L841" t="s">
        <v>62</v>
      </c>
      <c r="M841" t="s">
        <v>79</v>
      </c>
      <c r="N841" t="s">
        <v>80</v>
      </c>
      <c r="O841" t="s">
        <v>81</v>
      </c>
      <c r="P841">
        <v>-19.632463999999999</v>
      </c>
      <c r="Q841">
        <v>-43.904927999999998</v>
      </c>
      <c r="R841" s="2" t="str">
        <f>HYPERLINK("https://www.google.com/maps?q=-19.6324640,-43.9049280","Abrir no Google Maps")</f>
        <v>Abrir no Google Maps</v>
      </c>
      <c r="S841">
        <v>4</v>
      </c>
      <c r="T841">
        <v>244.1735197453369</v>
      </c>
      <c r="U841">
        <v>4</v>
      </c>
      <c r="V841">
        <v>0.43194194896749638</v>
      </c>
      <c r="W841">
        <v>1</v>
      </c>
      <c r="X841">
        <v>0.43194194896749638</v>
      </c>
      <c r="Y841">
        <v>10</v>
      </c>
      <c r="Z841">
        <v>287.26068152447448</v>
      </c>
      <c r="AA841">
        <v>2</v>
      </c>
      <c r="AB841">
        <v>3</v>
      </c>
      <c r="AC841">
        <v>7</v>
      </c>
      <c r="AD841">
        <v>28.5</v>
      </c>
      <c r="AE841">
        <v>253</v>
      </c>
      <c r="AF841">
        <v>22</v>
      </c>
      <c r="AG841">
        <v>59</v>
      </c>
      <c r="AH841">
        <v>32</v>
      </c>
      <c r="AI841">
        <v>8.6999999999999993</v>
      </c>
      <c r="AJ841">
        <v>23.32</v>
      </c>
      <c r="AK841">
        <v>12.65</v>
      </c>
      <c r="AL841">
        <v>-19.63247099999996</v>
      </c>
      <c r="AM841">
        <v>-43.904964174285787</v>
      </c>
      <c r="AN841">
        <v>-19.63247099999996</v>
      </c>
      <c r="AO841">
        <v>-43.904964174285787</v>
      </c>
      <c r="AP841">
        <v>-19.632463999999999</v>
      </c>
      <c r="AQ841">
        <v>-43.904927999999998</v>
      </c>
      <c r="AR841">
        <v>3.8720457500200469</v>
      </c>
      <c r="AS841" t="s">
        <v>65</v>
      </c>
      <c r="AT841">
        <v>1</v>
      </c>
      <c r="AU841" t="s">
        <v>82</v>
      </c>
      <c r="AV841" t="s">
        <v>83</v>
      </c>
      <c r="AW841" t="s">
        <v>60</v>
      </c>
      <c r="AX841" t="s">
        <v>68</v>
      </c>
      <c r="AY841" t="s">
        <v>69</v>
      </c>
      <c r="AZ841" t="b">
        <v>1</v>
      </c>
    </row>
    <row r="842" spans="1:52" x14ac:dyDescent="0.3">
      <c r="A842" t="s">
        <v>52</v>
      </c>
      <c r="B842" t="s">
        <v>53</v>
      </c>
      <c r="C842" t="s">
        <v>54</v>
      </c>
      <c r="D842" t="s">
        <v>55</v>
      </c>
      <c r="E842" t="s">
        <v>802</v>
      </c>
      <c r="F842" t="s">
        <v>512</v>
      </c>
      <c r="G842" t="s">
        <v>84</v>
      </c>
      <c r="H842" t="s">
        <v>85</v>
      </c>
      <c r="I842" t="s">
        <v>85</v>
      </c>
      <c r="J842" t="s">
        <v>60</v>
      </c>
      <c r="K842" t="s">
        <v>86</v>
      </c>
      <c r="L842" t="s">
        <v>62</v>
      </c>
      <c r="M842" t="s">
        <v>86</v>
      </c>
      <c r="N842" t="s">
        <v>87</v>
      </c>
      <c r="O842" t="s">
        <v>88</v>
      </c>
      <c r="P842">
        <v>-19.629436999999999</v>
      </c>
      <c r="Q842">
        <v>-43.910398999999998</v>
      </c>
      <c r="R842" s="2" t="str">
        <f>HYPERLINK("https://www.google.com/maps?q=-19.6294370,-43.9103990","Abrir no Google Maps")</f>
        <v>Abrir no Google Maps</v>
      </c>
      <c r="S842">
        <v>4</v>
      </c>
      <c r="T842">
        <v>888.82060643108082</v>
      </c>
      <c r="U842">
        <v>3</v>
      </c>
      <c r="V842">
        <v>0.41083054356080889</v>
      </c>
      <c r="W842">
        <v>1</v>
      </c>
      <c r="X842">
        <v>0.41083054356080889</v>
      </c>
      <c r="Y842">
        <v>10</v>
      </c>
      <c r="Z842">
        <v>867.42797341651737</v>
      </c>
      <c r="AA842">
        <v>2</v>
      </c>
      <c r="AB842">
        <v>3</v>
      </c>
      <c r="AC842">
        <v>7</v>
      </c>
      <c r="AD842">
        <v>28.5</v>
      </c>
      <c r="AE842">
        <v>253</v>
      </c>
      <c r="AF842">
        <v>22</v>
      </c>
      <c r="AG842">
        <v>59</v>
      </c>
      <c r="AH842">
        <v>32</v>
      </c>
      <c r="AI842">
        <v>8.6999999999999993</v>
      </c>
      <c r="AJ842">
        <v>23.32</v>
      </c>
      <c r="AK842">
        <v>12.65</v>
      </c>
      <c r="AL842">
        <v>-19.62934694999996</v>
      </c>
      <c r="AM842">
        <v>-43.910344699357317</v>
      </c>
      <c r="AN842">
        <v>-19.62934694999996</v>
      </c>
      <c r="AO842">
        <v>-43.910344699357331</v>
      </c>
      <c r="AP842">
        <v>-19.629436999999999</v>
      </c>
      <c r="AQ842">
        <v>-43.910398999999998</v>
      </c>
      <c r="AR842">
        <v>11.52837377953678</v>
      </c>
      <c r="AS842" t="s">
        <v>65</v>
      </c>
      <c r="AT842">
        <v>1</v>
      </c>
      <c r="AU842" t="s">
        <v>89</v>
      </c>
      <c r="AV842" t="s">
        <v>90</v>
      </c>
      <c r="AW842" t="s">
        <v>60</v>
      </c>
      <c r="AX842" t="s">
        <v>68</v>
      </c>
      <c r="AY842" t="s">
        <v>69</v>
      </c>
      <c r="AZ842" t="b">
        <v>1</v>
      </c>
    </row>
    <row r="843" spans="1:52" x14ac:dyDescent="0.3">
      <c r="A843" t="s">
        <v>52</v>
      </c>
      <c r="B843" t="s">
        <v>53</v>
      </c>
      <c r="C843" t="s">
        <v>54</v>
      </c>
      <c r="D843" t="s">
        <v>55</v>
      </c>
      <c r="E843" t="s">
        <v>802</v>
      </c>
      <c r="F843" t="s">
        <v>512</v>
      </c>
      <c r="G843" t="s">
        <v>91</v>
      </c>
      <c r="H843" t="s">
        <v>92</v>
      </c>
      <c r="I843" t="s">
        <v>92</v>
      </c>
      <c r="J843" t="s">
        <v>60</v>
      </c>
      <c r="K843" t="s">
        <v>86</v>
      </c>
      <c r="L843" t="s">
        <v>62</v>
      </c>
      <c r="M843" t="s">
        <v>86</v>
      </c>
      <c r="N843" t="s">
        <v>93</v>
      </c>
      <c r="O843" t="s">
        <v>94</v>
      </c>
      <c r="P843">
        <v>-19.630676999999999</v>
      </c>
      <c r="Q843">
        <v>-43.907255999999997</v>
      </c>
      <c r="R843" s="2" t="str">
        <f>HYPERLINK("https://www.google.com/maps?q=-19.6306770,-43.9072560","Abrir no Google Maps")</f>
        <v>Abrir no Google Maps</v>
      </c>
      <c r="S843">
        <v>4</v>
      </c>
      <c r="T843">
        <v>545.39374622597825</v>
      </c>
      <c r="U843">
        <v>3</v>
      </c>
      <c r="V843">
        <v>0.40681073896863379</v>
      </c>
      <c r="W843">
        <v>1</v>
      </c>
      <c r="X843">
        <v>0.40681073896863379</v>
      </c>
      <c r="Y843">
        <v>10</v>
      </c>
      <c r="Z843">
        <v>559.94033759457182</v>
      </c>
      <c r="AA843">
        <v>2</v>
      </c>
      <c r="AB843">
        <v>3</v>
      </c>
      <c r="AC843">
        <v>7</v>
      </c>
      <c r="AD843">
        <v>28.5</v>
      </c>
      <c r="AE843">
        <v>253</v>
      </c>
      <c r="AF843">
        <v>22</v>
      </c>
      <c r="AG843">
        <v>59</v>
      </c>
      <c r="AH843">
        <v>32</v>
      </c>
      <c r="AI843">
        <v>8.6999999999999993</v>
      </c>
      <c r="AJ843">
        <v>23.32</v>
      </c>
      <c r="AK843">
        <v>12.65</v>
      </c>
      <c r="AL843">
        <v>-19.630448649999941</v>
      </c>
      <c r="AM843">
        <v>-43.907268502495313</v>
      </c>
      <c r="AN843">
        <v>-19.630448649999941</v>
      </c>
      <c r="AO843">
        <v>-43.907268502495313</v>
      </c>
      <c r="AP843">
        <v>-19.630676999999999</v>
      </c>
      <c r="AQ843">
        <v>-43.907255999999997</v>
      </c>
      <c r="AR843">
        <v>25.453700276562468</v>
      </c>
      <c r="AS843" t="s">
        <v>65</v>
      </c>
      <c r="AT843">
        <v>1</v>
      </c>
      <c r="AU843" t="s">
        <v>95</v>
      </c>
      <c r="AV843" t="s">
        <v>96</v>
      </c>
      <c r="AW843" t="s">
        <v>60</v>
      </c>
      <c r="AX843" t="s">
        <v>68</v>
      </c>
      <c r="AY843" t="s">
        <v>69</v>
      </c>
      <c r="AZ843" t="b">
        <v>1</v>
      </c>
    </row>
    <row r="844" spans="1:52" x14ac:dyDescent="0.3">
      <c r="A844" t="s">
        <v>52</v>
      </c>
      <c r="B844" t="s">
        <v>53</v>
      </c>
      <c r="C844" t="s">
        <v>54</v>
      </c>
      <c r="D844" t="s">
        <v>55</v>
      </c>
      <c r="E844" t="s">
        <v>802</v>
      </c>
      <c r="F844" t="s">
        <v>512</v>
      </c>
      <c r="G844" t="s">
        <v>97</v>
      </c>
      <c r="H844" t="s">
        <v>98</v>
      </c>
      <c r="I844" t="s">
        <v>98</v>
      </c>
      <c r="J844" t="s">
        <v>60</v>
      </c>
      <c r="K844" t="s">
        <v>99</v>
      </c>
      <c r="L844" t="s">
        <v>62</v>
      </c>
      <c r="M844" t="s">
        <v>99</v>
      </c>
      <c r="N844" t="s">
        <v>100</v>
      </c>
      <c r="O844" t="s">
        <v>101</v>
      </c>
      <c r="P844">
        <v>-19.629822000000001</v>
      </c>
      <c r="Q844">
        <v>-43.905341</v>
      </c>
      <c r="R844" s="2" t="str">
        <f>HYPERLINK("https://www.google.com/maps?q=-19.6298220,-43.9053410","Abrir no Google Maps")</f>
        <v>Abrir no Google Maps</v>
      </c>
      <c r="S844">
        <v>4</v>
      </c>
      <c r="T844">
        <v>441.30597341744129</v>
      </c>
      <c r="U844">
        <v>3</v>
      </c>
      <c r="V844">
        <v>0.41281563306227759</v>
      </c>
      <c r="W844">
        <v>1</v>
      </c>
      <c r="X844">
        <v>0.41281563306227759</v>
      </c>
      <c r="Y844">
        <v>10</v>
      </c>
      <c r="Z844">
        <v>513.56493751010987</v>
      </c>
      <c r="AA844">
        <v>2</v>
      </c>
      <c r="AB844">
        <v>3</v>
      </c>
      <c r="AC844">
        <v>7</v>
      </c>
      <c r="AD844">
        <v>28.5</v>
      </c>
      <c r="AE844">
        <v>253</v>
      </c>
      <c r="AF844">
        <v>22</v>
      </c>
      <c r="AG844">
        <v>59</v>
      </c>
      <c r="AH844">
        <v>32</v>
      </c>
      <c r="AI844">
        <v>8.6999999999999993</v>
      </c>
      <c r="AJ844">
        <v>23.32</v>
      </c>
      <c r="AK844">
        <v>12.65</v>
      </c>
      <c r="AL844">
        <v>-19.629671599999941</v>
      </c>
      <c r="AM844">
        <v>-43.905369597920988</v>
      </c>
      <c r="AN844">
        <v>-19.629671599999931</v>
      </c>
      <c r="AO844">
        <v>-43.905369597920988</v>
      </c>
      <c r="AP844">
        <v>-19.629822000000001</v>
      </c>
      <c r="AQ844">
        <v>-43.905341</v>
      </c>
      <c r="AR844">
        <v>17.008917699186132</v>
      </c>
      <c r="AS844" t="s">
        <v>65</v>
      </c>
      <c r="AT844">
        <v>1</v>
      </c>
      <c r="AU844" t="s">
        <v>102</v>
      </c>
      <c r="AV844" t="s">
        <v>103</v>
      </c>
      <c r="AW844" t="s">
        <v>60</v>
      </c>
      <c r="AX844" t="s">
        <v>68</v>
      </c>
      <c r="AY844" t="s">
        <v>69</v>
      </c>
      <c r="AZ844" t="b">
        <v>1</v>
      </c>
    </row>
    <row r="845" spans="1:52" x14ac:dyDescent="0.3">
      <c r="A845" t="s">
        <v>52</v>
      </c>
      <c r="B845" t="s">
        <v>53</v>
      </c>
      <c r="C845" t="s">
        <v>54</v>
      </c>
      <c r="D845" t="s">
        <v>55</v>
      </c>
      <c r="E845" t="s">
        <v>802</v>
      </c>
      <c r="F845" t="s">
        <v>512</v>
      </c>
      <c r="G845" t="s">
        <v>513</v>
      </c>
      <c r="H845" t="s">
        <v>514</v>
      </c>
      <c r="I845" t="s">
        <v>514</v>
      </c>
      <c r="J845" t="s">
        <v>60</v>
      </c>
      <c r="K845" t="s">
        <v>185</v>
      </c>
      <c r="L845" t="s">
        <v>62</v>
      </c>
      <c r="M845" t="s">
        <v>185</v>
      </c>
      <c r="N845" t="s">
        <v>515</v>
      </c>
      <c r="O845" t="s">
        <v>516</v>
      </c>
      <c r="P845">
        <v>-19.63184</v>
      </c>
      <c r="Q845">
        <v>-43.899625999999998</v>
      </c>
      <c r="R845" s="2" t="str">
        <f>HYPERLINK("https://www.google.com/maps?q=-19.6318400,-43.8996260","Abrir no Google Maps")</f>
        <v>Abrir no Google Maps</v>
      </c>
      <c r="S845">
        <v>4</v>
      </c>
      <c r="T845">
        <v>317.05369638212568</v>
      </c>
      <c r="U845">
        <v>2</v>
      </c>
      <c r="V845">
        <v>0.41718909306461172</v>
      </c>
      <c r="W845">
        <v>0.85</v>
      </c>
      <c r="X845">
        <v>0.35461072910491998</v>
      </c>
      <c r="Y845">
        <v>10</v>
      </c>
      <c r="Z845">
        <v>467.39112963581732</v>
      </c>
      <c r="AA845">
        <v>2</v>
      </c>
      <c r="AB845">
        <v>3</v>
      </c>
      <c r="AC845">
        <v>7</v>
      </c>
      <c r="AD845">
        <v>28.5</v>
      </c>
      <c r="AE845">
        <v>253</v>
      </c>
      <c r="AF845">
        <v>22</v>
      </c>
      <c r="AG845">
        <v>59</v>
      </c>
      <c r="AH845">
        <v>32</v>
      </c>
      <c r="AI845">
        <v>8.6999999999999993</v>
      </c>
      <c r="AJ845">
        <v>23.32</v>
      </c>
      <c r="AK845">
        <v>12.65</v>
      </c>
      <c r="AL845">
        <v>-19.631819699999941</v>
      </c>
      <c r="AM845">
        <v>-43.89977767057065</v>
      </c>
      <c r="AN845">
        <v>-19.631819699999941</v>
      </c>
      <c r="AO845">
        <v>-43.89977767057065</v>
      </c>
      <c r="AP845">
        <v>-19.63184</v>
      </c>
      <c r="AQ845">
        <v>-43.899625999999998</v>
      </c>
      <c r="AR845">
        <v>16.062279375806241</v>
      </c>
      <c r="AS845" t="s">
        <v>65</v>
      </c>
      <c r="AT845">
        <v>1</v>
      </c>
      <c r="AU845" t="s">
        <v>517</v>
      </c>
      <c r="AV845" t="s">
        <v>518</v>
      </c>
      <c r="AW845" t="s">
        <v>60</v>
      </c>
      <c r="AX845" t="s">
        <v>68</v>
      </c>
      <c r="AY845" t="s">
        <v>69</v>
      </c>
      <c r="AZ845" t="b">
        <v>1</v>
      </c>
    </row>
    <row r="846" spans="1:52" x14ac:dyDescent="0.3">
      <c r="A846" t="s">
        <v>52</v>
      </c>
      <c r="B846" t="s">
        <v>53</v>
      </c>
      <c r="C846" t="s">
        <v>54</v>
      </c>
      <c r="D846" t="s">
        <v>55</v>
      </c>
      <c r="E846" t="s">
        <v>802</v>
      </c>
      <c r="F846" t="s">
        <v>512</v>
      </c>
      <c r="G846" t="s">
        <v>519</v>
      </c>
      <c r="H846" t="s">
        <v>520</v>
      </c>
      <c r="I846" t="s">
        <v>520</v>
      </c>
      <c r="J846" t="s">
        <v>60</v>
      </c>
      <c r="K846" t="s">
        <v>72</v>
      </c>
      <c r="L846" t="s">
        <v>62</v>
      </c>
      <c r="M846" t="s">
        <v>72</v>
      </c>
      <c r="N846" t="s">
        <v>521</v>
      </c>
      <c r="O846" t="s">
        <v>522</v>
      </c>
      <c r="P846">
        <v>-19.634713000000001</v>
      </c>
      <c r="Q846">
        <v>-43.908909999999999</v>
      </c>
      <c r="R846" s="2" t="str">
        <f>HYPERLINK("https://www.google.com/maps?q=-19.6347130,-43.9089100","Abrir no Google Maps")</f>
        <v>Abrir no Google Maps</v>
      </c>
      <c r="S846">
        <v>4</v>
      </c>
      <c r="T846">
        <v>700.74700083720154</v>
      </c>
      <c r="U846">
        <v>2</v>
      </c>
      <c r="V846">
        <v>0.43015206057596828</v>
      </c>
      <c r="W846">
        <v>0.85</v>
      </c>
      <c r="X846">
        <v>0.36562925148957298</v>
      </c>
      <c r="Y846">
        <v>10</v>
      </c>
      <c r="Z846">
        <v>557.86159429038207</v>
      </c>
      <c r="AA846">
        <v>2</v>
      </c>
      <c r="AB846">
        <v>3</v>
      </c>
      <c r="AC846">
        <v>7</v>
      </c>
      <c r="AD846">
        <v>28.5</v>
      </c>
      <c r="AE846">
        <v>253</v>
      </c>
      <c r="AF846">
        <v>22</v>
      </c>
      <c r="AG846">
        <v>59</v>
      </c>
      <c r="AH846">
        <v>32</v>
      </c>
      <c r="AI846">
        <v>8.6999999999999993</v>
      </c>
      <c r="AJ846">
        <v>23.32</v>
      </c>
      <c r="AK846">
        <v>12.65</v>
      </c>
      <c r="AL846">
        <v>-19.634626949999959</v>
      </c>
      <c r="AM846">
        <v>-43.909020333181857</v>
      </c>
      <c r="AN846">
        <v>-19.634626949999959</v>
      </c>
      <c r="AO846">
        <v>-43.909020333181857</v>
      </c>
      <c r="AP846">
        <v>-19.634713000000001</v>
      </c>
      <c r="AQ846">
        <v>-43.908909999999999</v>
      </c>
      <c r="AR846">
        <v>15.01933861967664</v>
      </c>
      <c r="AS846" t="s">
        <v>65</v>
      </c>
      <c r="AT846">
        <v>1</v>
      </c>
      <c r="AU846" t="s">
        <v>523</v>
      </c>
      <c r="AV846" t="s">
        <v>524</v>
      </c>
      <c r="AW846" t="s">
        <v>60</v>
      </c>
      <c r="AX846" t="s">
        <v>68</v>
      </c>
      <c r="AY846" t="s">
        <v>69</v>
      </c>
      <c r="AZ846" t="b">
        <v>1</v>
      </c>
    </row>
    <row r="847" spans="1:52" x14ac:dyDescent="0.3">
      <c r="A847" t="s">
        <v>52</v>
      </c>
      <c r="B847" t="s">
        <v>53</v>
      </c>
      <c r="C847" t="s">
        <v>54</v>
      </c>
      <c r="D847" t="s">
        <v>55</v>
      </c>
      <c r="E847" t="s">
        <v>802</v>
      </c>
      <c r="F847" t="s">
        <v>512</v>
      </c>
      <c r="G847" t="s">
        <v>411</v>
      </c>
      <c r="H847" t="s">
        <v>412</v>
      </c>
      <c r="I847" t="s">
        <v>412</v>
      </c>
      <c r="J847" t="s">
        <v>60</v>
      </c>
      <c r="K847" t="s">
        <v>179</v>
      </c>
      <c r="L847" t="s">
        <v>62</v>
      </c>
      <c r="M847" t="s">
        <v>179</v>
      </c>
      <c r="N847" t="s">
        <v>413</v>
      </c>
      <c r="O847" t="s">
        <v>414</v>
      </c>
      <c r="P847">
        <v>-19.650079000000002</v>
      </c>
      <c r="Q847">
        <v>-43.884253999999999</v>
      </c>
      <c r="R847" s="2" t="str">
        <f>HYPERLINK("https://www.google.com/maps?q=-19.6500790,-43.8842540","Abrir no Google Maps")</f>
        <v>Abrir no Google Maps</v>
      </c>
      <c r="S847">
        <v>3</v>
      </c>
      <c r="T847">
        <v>797.21430129715498</v>
      </c>
      <c r="U847">
        <v>4</v>
      </c>
      <c r="V847">
        <v>0.4205889071637427</v>
      </c>
      <c r="W847">
        <v>1</v>
      </c>
      <c r="X847">
        <v>0.4205889071637427</v>
      </c>
      <c r="Y847">
        <v>10</v>
      </c>
      <c r="Z847">
        <v>774.04145012702554</v>
      </c>
      <c r="AA847">
        <v>2</v>
      </c>
      <c r="AB847">
        <v>3</v>
      </c>
      <c r="AC847">
        <v>7</v>
      </c>
      <c r="AD847">
        <v>28.5</v>
      </c>
      <c r="AE847">
        <v>253</v>
      </c>
      <c r="AF847">
        <v>22</v>
      </c>
      <c r="AG847">
        <v>59</v>
      </c>
      <c r="AH847">
        <v>32</v>
      </c>
      <c r="AI847">
        <v>8.6999999999999993</v>
      </c>
      <c r="AJ847">
        <v>23.32</v>
      </c>
      <c r="AK847">
        <v>12.65</v>
      </c>
      <c r="AL847">
        <v>-19.649199399999961</v>
      </c>
      <c r="AM847">
        <v>-43.883888390043637</v>
      </c>
      <c r="AN847">
        <v>-19.649199399999961</v>
      </c>
      <c r="AO847">
        <v>-43.883888390043637</v>
      </c>
      <c r="AP847">
        <v>-19.650079000000002</v>
      </c>
      <c r="AQ847">
        <v>-43.884253999999999</v>
      </c>
      <c r="AR847">
        <v>105.1518915696123</v>
      </c>
      <c r="AS847" t="s">
        <v>65</v>
      </c>
      <c r="AT847">
        <v>1</v>
      </c>
      <c r="AU847" t="s">
        <v>415</v>
      </c>
      <c r="AV847" t="s">
        <v>416</v>
      </c>
      <c r="AW847" t="s">
        <v>60</v>
      </c>
      <c r="AX847" t="s">
        <v>68</v>
      </c>
      <c r="AY847" t="s">
        <v>69</v>
      </c>
      <c r="AZ847" t="b">
        <v>1</v>
      </c>
    </row>
    <row r="848" spans="1:52" x14ac:dyDescent="0.3">
      <c r="A848" t="s">
        <v>52</v>
      </c>
      <c r="B848" t="s">
        <v>53</v>
      </c>
      <c r="C848" t="s">
        <v>54</v>
      </c>
      <c r="D848" t="s">
        <v>55</v>
      </c>
      <c r="E848" t="s">
        <v>802</v>
      </c>
      <c r="F848" t="s">
        <v>512</v>
      </c>
      <c r="G848" t="s">
        <v>394</v>
      </c>
      <c r="H848" t="s">
        <v>395</v>
      </c>
      <c r="I848" t="s">
        <v>395</v>
      </c>
      <c r="J848" t="s">
        <v>60</v>
      </c>
      <c r="K848" t="s">
        <v>286</v>
      </c>
      <c r="L848" t="s">
        <v>62</v>
      </c>
      <c r="M848" t="s">
        <v>286</v>
      </c>
      <c r="N848" t="s">
        <v>396</v>
      </c>
      <c r="O848" t="s">
        <v>88</v>
      </c>
      <c r="P848">
        <v>-19.636932999999999</v>
      </c>
      <c r="Q848">
        <v>-43.882691999999999</v>
      </c>
      <c r="R848" s="2" t="str">
        <f>HYPERLINK("https://www.google.com/maps?q=-19.6369330,-43.8826920","Abrir no Google Maps")</f>
        <v>Abrir no Google Maps</v>
      </c>
      <c r="S848">
        <v>3</v>
      </c>
      <c r="T848">
        <v>523.52675813688109</v>
      </c>
      <c r="U848">
        <v>3</v>
      </c>
      <c r="V848">
        <v>0.4036372429357713</v>
      </c>
      <c r="W848">
        <v>1</v>
      </c>
      <c r="X848">
        <v>0.4036372429357713</v>
      </c>
      <c r="Y848">
        <v>10</v>
      </c>
      <c r="Z848">
        <v>372.58135532659509</v>
      </c>
      <c r="AA848">
        <v>2</v>
      </c>
      <c r="AB848">
        <v>3</v>
      </c>
      <c r="AC848">
        <v>7</v>
      </c>
      <c r="AD848">
        <v>28.5</v>
      </c>
      <c r="AE848">
        <v>253</v>
      </c>
      <c r="AF848">
        <v>22</v>
      </c>
      <c r="AG848">
        <v>59</v>
      </c>
      <c r="AH848">
        <v>32</v>
      </c>
      <c r="AI848">
        <v>8.6999999999999993</v>
      </c>
      <c r="AJ848">
        <v>23.32</v>
      </c>
      <c r="AK848">
        <v>12.65</v>
      </c>
      <c r="AL848">
        <v>-19.637159949999951</v>
      </c>
      <c r="AM848">
        <v>-43.882643289441461</v>
      </c>
      <c r="AN848">
        <v>-19.637159949999951</v>
      </c>
      <c r="AO848">
        <v>-43.882643289441461</v>
      </c>
      <c r="AP848">
        <v>-19.636932999999999</v>
      </c>
      <c r="AQ848">
        <v>-43.882691999999999</v>
      </c>
      <c r="AR848">
        <v>25.775099947452478</v>
      </c>
      <c r="AS848" t="s">
        <v>65</v>
      </c>
      <c r="AT848">
        <v>1</v>
      </c>
      <c r="AU848" t="s">
        <v>397</v>
      </c>
      <c r="AV848" t="s">
        <v>398</v>
      </c>
      <c r="AW848" t="s">
        <v>60</v>
      </c>
      <c r="AX848" t="s">
        <v>68</v>
      </c>
      <c r="AY848" t="s">
        <v>69</v>
      </c>
      <c r="AZ848" t="b">
        <v>1</v>
      </c>
    </row>
    <row r="849" spans="1:52" x14ac:dyDescent="0.3">
      <c r="A849" t="s">
        <v>52</v>
      </c>
      <c r="B849" t="s">
        <v>53</v>
      </c>
      <c r="C849" t="s">
        <v>54</v>
      </c>
      <c r="D849" t="s">
        <v>55</v>
      </c>
      <c r="E849" t="s">
        <v>802</v>
      </c>
      <c r="F849" t="s">
        <v>512</v>
      </c>
      <c r="G849" t="s">
        <v>399</v>
      </c>
      <c r="H849" t="s">
        <v>400</v>
      </c>
      <c r="I849" t="s">
        <v>400</v>
      </c>
      <c r="J849" t="s">
        <v>60</v>
      </c>
      <c r="K849" t="s">
        <v>286</v>
      </c>
      <c r="L849" t="s">
        <v>62</v>
      </c>
      <c r="M849" t="s">
        <v>286</v>
      </c>
      <c r="N849" t="s">
        <v>401</v>
      </c>
      <c r="O849" t="s">
        <v>402</v>
      </c>
      <c r="P849">
        <v>-19.639906</v>
      </c>
      <c r="Q849">
        <v>-43.886059000000003</v>
      </c>
      <c r="R849" s="2" t="str">
        <f>HYPERLINK("https://www.google.com/maps?q=-19.6399060,-43.8860590","Abrir no Google Maps")</f>
        <v>Abrir no Google Maps</v>
      </c>
      <c r="S849">
        <v>3</v>
      </c>
      <c r="T849">
        <v>256.0748811302048</v>
      </c>
      <c r="U849">
        <v>3</v>
      </c>
      <c r="V849">
        <v>0.40126551467855809</v>
      </c>
      <c r="W849">
        <v>1</v>
      </c>
      <c r="X849">
        <v>0.40126551467855809</v>
      </c>
      <c r="Y849">
        <v>10</v>
      </c>
      <c r="Z849">
        <v>205.06236700857289</v>
      </c>
      <c r="AA849">
        <v>2</v>
      </c>
      <c r="AB849">
        <v>3</v>
      </c>
      <c r="AC849">
        <v>7</v>
      </c>
      <c r="AD849">
        <v>28.5</v>
      </c>
      <c r="AE849">
        <v>253</v>
      </c>
      <c r="AF849">
        <v>22</v>
      </c>
      <c r="AG849">
        <v>59</v>
      </c>
      <c r="AH849">
        <v>32</v>
      </c>
      <c r="AI849">
        <v>8.6999999999999993</v>
      </c>
      <c r="AJ849">
        <v>23.32</v>
      </c>
      <c r="AK849">
        <v>12.65</v>
      </c>
      <c r="AL849">
        <v>-19.639789499999949</v>
      </c>
      <c r="AM849">
        <v>-43.885737855031408</v>
      </c>
      <c r="AN849">
        <v>-19.639789499999949</v>
      </c>
      <c r="AO849">
        <v>-43.885737855031408</v>
      </c>
      <c r="AP849">
        <v>-19.639906</v>
      </c>
      <c r="AQ849">
        <v>-43.886059000000003</v>
      </c>
      <c r="AR849">
        <v>36.081349702130403</v>
      </c>
      <c r="AS849" t="s">
        <v>65</v>
      </c>
      <c r="AT849">
        <v>1</v>
      </c>
      <c r="AU849" t="s">
        <v>403</v>
      </c>
      <c r="AV849" t="s">
        <v>404</v>
      </c>
      <c r="AW849" t="s">
        <v>60</v>
      </c>
      <c r="AX849" t="s">
        <v>68</v>
      </c>
      <c r="AY849" t="s">
        <v>69</v>
      </c>
      <c r="AZ849" t="b">
        <v>1</v>
      </c>
    </row>
    <row r="850" spans="1:52" x14ac:dyDescent="0.3">
      <c r="A850" t="s">
        <v>52</v>
      </c>
      <c r="B850" t="s">
        <v>53</v>
      </c>
      <c r="C850" t="s">
        <v>54</v>
      </c>
      <c r="D850" t="s">
        <v>55</v>
      </c>
      <c r="E850" t="s">
        <v>802</v>
      </c>
      <c r="F850" t="s">
        <v>512</v>
      </c>
      <c r="G850" t="s">
        <v>284</v>
      </c>
      <c r="H850" t="s">
        <v>285</v>
      </c>
      <c r="I850" t="s">
        <v>285</v>
      </c>
      <c r="J850" t="s">
        <v>60</v>
      </c>
      <c r="K850" t="s">
        <v>286</v>
      </c>
      <c r="L850" t="s">
        <v>62</v>
      </c>
      <c r="M850" t="s">
        <v>286</v>
      </c>
      <c r="N850" t="s">
        <v>287</v>
      </c>
      <c r="O850" t="s">
        <v>288</v>
      </c>
      <c r="P850">
        <v>-19.639790000000001</v>
      </c>
      <c r="Q850">
        <v>-43.882798999999999</v>
      </c>
      <c r="R850" s="2" t="str">
        <f>HYPERLINK("https://www.google.com/maps?q=-19.6397900,-43.8827990","Abrir no Google Maps")</f>
        <v>Abrir no Google Maps</v>
      </c>
      <c r="S850">
        <v>3</v>
      </c>
      <c r="T850">
        <v>242.7052058134478</v>
      </c>
      <c r="U850">
        <v>3</v>
      </c>
      <c r="V850">
        <v>0.40695539429719368</v>
      </c>
      <c r="W850">
        <v>1</v>
      </c>
      <c r="X850">
        <v>0.40695539429719368</v>
      </c>
      <c r="Y850">
        <v>10</v>
      </c>
      <c r="Z850">
        <v>187.2088809462339</v>
      </c>
      <c r="AA850">
        <v>2</v>
      </c>
      <c r="AB850">
        <v>3</v>
      </c>
      <c r="AC850">
        <v>7</v>
      </c>
      <c r="AD850">
        <v>28.5</v>
      </c>
      <c r="AE850">
        <v>253</v>
      </c>
      <c r="AF850">
        <v>22</v>
      </c>
      <c r="AG850">
        <v>59</v>
      </c>
      <c r="AH850">
        <v>32</v>
      </c>
      <c r="AI850">
        <v>8.6999999999999993</v>
      </c>
      <c r="AJ850">
        <v>23.32</v>
      </c>
      <c r="AK850">
        <v>12.65</v>
      </c>
      <c r="AL850">
        <v>-19.639855599999951</v>
      </c>
      <c r="AM850">
        <v>-43.882909745178452</v>
      </c>
      <c r="AN850">
        <v>-19.639855599999951</v>
      </c>
      <c r="AO850">
        <v>-43.882909745178452</v>
      </c>
      <c r="AP850">
        <v>-19.639790000000001</v>
      </c>
      <c r="AQ850">
        <v>-43.882798999999999</v>
      </c>
      <c r="AR850">
        <v>13.716486068571211</v>
      </c>
      <c r="AS850" t="s">
        <v>65</v>
      </c>
      <c r="AT850">
        <v>1</v>
      </c>
      <c r="AU850" t="s">
        <v>289</v>
      </c>
      <c r="AV850" t="s">
        <v>290</v>
      </c>
      <c r="AW850" t="s">
        <v>60</v>
      </c>
      <c r="AX850" t="s">
        <v>68</v>
      </c>
      <c r="AY850" t="s">
        <v>69</v>
      </c>
      <c r="AZ850" t="b">
        <v>1</v>
      </c>
    </row>
    <row r="851" spans="1:52" x14ac:dyDescent="0.3">
      <c r="A851" t="s">
        <v>52</v>
      </c>
      <c r="B851" t="s">
        <v>53</v>
      </c>
      <c r="C851" t="s">
        <v>54</v>
      </c>
      <c r="D851" t="s">
        <v>55</v>
      </c>
      <c r="E851" t="s">
        <v>802</v>
      </c>
      <c r="F851" t="s">
        <v>512</v>
      </c>
      <c r="G851" t="s">
        <v>291</v>
      </c>
      <c r="H851" t="s">
        <v>292</v>
      </c>
      <c r="I851" t="s">
        <v>292</v>
      </c>
      <c r="J851" t="s">
        <v>60</v>
      </c>
      <c r="K851" t="s">
        <v>286</v>
      </c>
      <c r="L851" t="s">
        <v>62</v>
      </c>
      <c r="M851" t="s">
        <v>286</v>
      </c>
      <c r="N851" t="s">
        <v>293</v>
      </c>
      <c r="O851" t="s">
        <v>294</v>
      </c>
      <c r="P851">
        <v>-19.640333999999999</v>
      </c>
      <c r="Q851">
        <v>-43.880004999999997</v>
      </c>
      <c r="R851" s="2" t="str">
        <f>HYPERLINK("https://www.google.com/maps?q=-19.6403340,-43.8800050","Abrir no Google Maps")</f>
        <v>Abrir no Google Maps</v>
      </c>
      <c r="S851">
        <v>3</v>
      </c>
      <c r="T851">
        <v>276.80943817309782</v>
      </c>
      <c r="U851">
        <v>3</v>
      </c>
      <c r="V851">
        <v>0.41523600298812618</v>
      </c>
      <c r="W851">
        <v>1</v>
      </c>
      <c r="X851">
        <v>0.41523600298812618</v>
      </c>
      <c r="Y851">
        <v>10</v>
      </c>
      <c r="Z851">
        <v>361.98332038983392</v>
      </c>
      <c r="AA851">
        <v>2</v>
      </c>
      <c r="AB851">
        <v>3</v>
      </c>
      <c r="AC851">
        <v>7</v>
      </c>
      <c r="AD851">
        <v>28.5</v>
      </c>
      <c r="AE851">
        <v>253</v>
      </c>
      <c r="AF851">
        <v>22</v>
      </c>
      <c r="AG851">
        <v>59</v>
      </c>
      <c r="AH851">
        <v>32</v>
      </c>
      <c r="AI851">
        <v>8.6999999999999993</v>
      </c>
      <c r="AJ851">
        <v>23.32</v>
      </c>
      <c r="AK851">
        <v>12.65</v>
      </c>
      <c r="AL851">
        <v>-19.640260249999951</v>
      </c>
      <c r="AM851">
        <v>-43.880090474326408</v>
      </c>
      <c r="AN851">
        <v>-19.640260249999951</v>
      </c>
      <c r="AO851">
        <v>-43.880090474326408</v>
      </c>
      <c r="AP851">
        <v>-19.640333999999999</v>
      </c>
      <c r="AQ851">
        <v>-43.880004999999997</v>
      </c>
      <c r="AR851">
        <v>12.153556195359609</v>
      </c>
      <c r="AS851" t="s">
        <v>65</v>
      </c>
      <c r="AT851">
        <v>1</v>
      </c>
      <c r="AU851" t="s">
        <v>295</v>
      </c>
      <c r="AV851" t="s">
        <v>296</v>
      </c>
      <c r="AW851" t="s">
        <v>60</v>
      </c>
      <c r="AX851" t="s">
        <v>68</v>
      </c>
      <c r="AY851" t="s">
        <v>69</v>
      </c>
      <c r="AZ851" t="b">
        <v>1</v>
      </c>
    </row>
    <row r="852" spans="1:52" x14ac:dyDescent="0.3">
      <c r="A852" t="s">
        <v>52</v>
      </c>
      <c r="B852" t="s">
        <v>53</v>
      </c>
      <c r="C852" t="s">
        <v>54</v>
      </c>
      <c r="D852" t="s">
        <v>55</v>
      </c>
      <c r="E852" t="s">
        <v>802</v>
      </c>
      <c r="F852" t="s">
        <v>512</v>
      </c>
      <c r="G852" t="s">
        <v>405</v>
      </c>
      <c r="H852" t="s">
        <v>406</v>
      </c>
      <c r="I852" t="s">
        <v>406</v>
      </c>
      <c r="J852" t="s">
        <v>60</v>
      </c>
      <c r="K852" t="s">
        <v>286</v>
      </c>
      <c r="L852" t="s">
        <v>62</v>
      </c>
      <c r="M852" t="s">
        <v>286</v>
      </c>
      <c r="N852" t="s">
        <v>407</v>
      </c>
      <c r="O852" t="s">
        <v>408</v>
      </c>
      <c r="P852">
        <v>-19.646345</v>
      </c>
      <c r="Q852">
        <v>-43.882294999999999</v>
      </c>
      <c r="R852" s="2" t="str">
        <f>HYPERLINK("https://www.google.com/maps?q=-19.6463450,-43.8822950","Abrir no Google Maps")</f>
        <v>Abrir no Google Maps</v>
      </c>
      <c r="S852">
        <v>3</v>
      </c>
      <c r="T852">
        <v>450.3180538635894</v>
      </c>
      <c r="U852">
        <v>3</v>
      </c>
      <c r="V852">
        <v>0.41349999999999998</v>
      </c>
      <c r="W852">
        <v>1</v>
      </c>
      <c r="X852">
        <v>0.41349999999999998</v>
      </c>
      <c r="Y852">
        <v>10</v>
      </c>
      <c r="Z852">
        <v>349.23341775902583</v>
      </c>
      <c r="AA852">
        <v>2</v>
      </c>
      <c r="AB852">
        <v>3</v>
      </c>
      <c r="AC852">
        <v>7</v>
      </c>
      <c r="AD852">
        <v>28.5</v>
      </c>
      <c r="AE852">
        <v>253</v>
      </c>
      <c r="AF852">
        <v>22</v>
      </c>
      <c r="AG852">
        <v>59</v>
      </c>
      <c r="AH852">
        <v>32</v>
      </c>
      <c r="AI852">
        <v>8.6999999999999993</v>
      </c>
      <c r="AJ852">
        <v>23.32</v>
      </c>
      <c r="AK852">
        <v>12.65</v>
      </c>
      <c r="AL852">
        <v>-19.646391649999941</v>
      </c>
      <c r="AM852">
        <v>-43.882007396993302</v>
      </c>
      <c r="AN852">
        <v>-19.646391649999941</v>
      </c>
      <c r="AO852">
        <v>-43.882007396993302</v>
      </c>
      <c r="AP852">
        <v>-19.646345</v>
      </c>
      <c r="AQ852">
        <v>-43.882294999999999</v>
      </c>
      <c r="AR852">
        <v>30.596105513395301</v>
      </c>
      <c r="AS852" t="s">
        <v>65</v>
      </c>
      <c r="AT852">
        <v>1</v>
      </c>
      <c r="AU852" t="s">
        <v>409</v>
      </c>
      <c r="AV852" t="s">
        <v>410</v>
      </c>
      <c r="AW852" t="s">
        <v>60</v>
      </c>
      <c r="AX852" t="s">
        <v>68</v>
      </c>
      <c r="AY852" t="s">
        <v>69</v>
      </c>
      <c r="AZ852" t="b">
        <v>1</v>
      </c>
    </row>
    <row r="853" spans="1:52" x14ac:dyDescent="0.3">
      <c r="A853" t="s">
        <v>52</v>
      </c>
      <c r="B853" t="s">
        <v>53</v>
      </c>
      <c r="C853" t="s">
        <v>54</v>
      </c>
      <c r="D853" t="s">
        <v>55</v>
      </c>
      <c r="E853" t="s">
        <v>802</v>
      </c>
      <c r="F853" t="s">
        <v>512</v>
      </c>
      <c r="G853" t="s">
        <v>552</v>
      </c>
      <c r="H853" t="s">
        <v>553</v>
      </c>
      <c r="I853" t="s">
        <v>553</v>
      </c>
      <c r="J853" t="s">
        <v>60</v>
      </c>
      <c r="K853" t="s">
        <v>445</v>
      </c>
      <c r="L853" t="s">
        <v>62</v>
      </c>
      <c r="M853" t="s">
        <v>445</v>
      </c>
      <c r="N853" t="s">
        <v>554</v>
      </c>
      <c r="O853" t="s">
        <v>207</v>
      </c>
      <c r="P853">
        <v>-19.641549999999999</v>
      </c>
      <c r="Q853">
        <v>-43.873263999999999</v>
      </c>
      <c r="R853" s="2" t="str">
        <f>HYPERLINK("https://www.google.com/maps?q=-19.6415500,-43.8732640","Abrir no Google Maps")</f>
        <v>Abrir no Google Maps</v>
      </c>
      <c r="S853">
        <v>3</v>
      </c>
      <c r="T853">
        <v>879.45465995735231</v>
      </c>
      <c r="U853">
        <v>2</v>
      </c>
      <c r="V853">
        <v>0.4164196368202453</v>
      </c>
      <c r="W853">
        <v>0.85</v>
      </c>
      <c r="X853">
        <v>0.35395669129720853</v>
      </c>
      <c r="Y853">
        <v>10</v>
      </c>
      <c r="Z853">
        <v>830.70905214077095</v>
      </c>
      <c r="AA853">
        <v>2</v>
      </c>
      <c r="AB853">
        <v>3</v>
      </c>
      <c r="AC853">
        <v>7</v>
      </c>
      <c r="AD853">
        <v>28.5</v>
      </c>
      <c r="AE853">
        <v>253</v>
      </c>
      <c r="AF853">
        <v>22</v>
      </c>
      <c r="AG853">
        <v>59</v>
      </c>
      <c r="AH853">
        <v>32</v>
      </c>
      <c r="AI853">
        <v>8.6999999999999993</v>
      </c>
      <c r="AJ853">
        <v>23.32</v>
      </c>
      <c r="AK853">
        <v>12.65</v>
      </c>
      <c r="AL853">
        <v>-19.641459949999959</v>
      </c>
      <c r="AM853">
        <v>-43.873212145688711</v>
      </c>
      <c r="AN853">
        <v>-19.641459949999959</v>
      </c>
      <c r="AO853">
        <v>-43.873212145688711</v>
      </c>
      <c r="AP853">
        <v>-19.641549999999999</v>
      </c>
      <c r="AQ853">
        <v>-43.873263999999999</v>
      </c>
      <c r="AR853">
        <v>11.40368340137019</v>
      </c>
      <c r="AS853" t="s">
        <v>65</v>
      </c>
      <c r="AT853">
        <v>1</v>
      </c>
      <c r="AU853" t="s">
        <v>555</v>
      </c>
      <c r="AV853" t="s">
        <v>556</v>
      </c>
      <c r="AW853" t="s">
        <v>60</v>
      </c>
      <c r="AX853" t="s">
        <v>68</v>
      </c>
      <c r="AY853" t="s">
        <v>69</v>
      </c>
      <c r="AZ853" t="b">
        <v>1</v>
      </c>
    </row>
    <row r="854" spans="1:52" x14ac:dyDescent="0.3">
      <c r="A854" t="s">
        <v>52</v>
      </c>
      <c r="B854" t="s">
        <v>53</v>
      </c>
      <c r="C854" t="s">
        <v>54</v>
      </c>
      <c r="D854" t="s">
        <v>55</v>
      </c>
      <c r="E854" t="s">
        <v>802</v>
      </c>
      <c r="F854" t="s">
        <v>512</v>
      </c>
      <c r="G854" t="s">
        <v>563</v>
      </c>
      <c r="H854" t="s">
        <v>564</v>
      </c>
      <c r="I854" t="s">
        <v>564</v>
      </c>
      <c r="J854" t="s">
        <v>60</v>
      </c>
      <c r="K854" t="s">
        <v>445</v>
      </c>
      <c r="L854" t="s">
        <v>62</v>
      </c>
      <c r="M854" t="s">
        <v>445</v>
      </c>
      <c r="N854" t="s">
        <v>565</v>
      </c>
      <c r="O854" t="s">
        <v>566</v>
      </c>
      <c r="P854">
        <v>-19.645859000000002</v>
      </c>
      <c r="Q854">
        <v>-43.878008000000001</v>
      </c>
      <c r="R854" s="2" t="str">
        <f>HYPERLINK("https://www.google.com/maps?q=-19.6458590,-43.8780080","Abrir no Google Maps")</f>
        <v>Abrir no Google Maps</v>
      </c>
      <c r="S854">
        <v>3</v>
      </c>
      <c r="T854">
        <v>535.60651658514928</v>
      </c>
      <c r="U854">
        <v>2</v>
      </c>
      <c r="V854">
        <v>0.41998405690458668</v>
      </c>
      <c r="W854">
        <v>0.85</v>
      </c>
      <c r="X854">
        <v>0.35698644836889859</v>
      </c>
      <c r="Y854">
        <v>10</v>
      </c>
      <c r="Z854">
        <v>356.77070476702067</v>
      </c>
      <c r="AA854">
        <v>2</v>
      </c>
      <c r="AB854">
        <v>3</v>
      </c>
      <c r="AC854">
        <v>7</v>
      </c>
      <c r="AD854">
        <v>28.5</v>
      </c>
      <c r="AE854">
        <v>253</v>
      </c>
      <c r="AF854">
        <v>22</v>
      </c>
      <c r="AG854">
        <v>59</v>
      </c>
      <c r="AH854">
        <v>32</v>
      </c>
      <c r="AI854">
        <v>8.6999999999999993</v>
      </c>
      <c r="AJ854">
        <v>23.32</v>
      </c>
      <c r="AK854">
        <v>12.65</v>
      </c>
      <c r="AL854">
        <v>-19.645894599999959</v>
      </c>
      <c r="AM854">
        <v>-43.878073476665591</v>
      </c>
      <c r="AN854">
        <v>-19.645894599999959</v>
      </c>
      <c r="AO854">
        <v>-43.878073476665591</v>
      </c>
      <c r="AP854">
        <v>-19.645859000000002</v>
      </c>
      <c r="AQ854">
        <v>-43.878008000000001</v>
      </c>
      <c r="AR854">
        <v>7.9263849189726594</v>
      </c>
      <c r="AS854" t="s">
        <v>65</v>
      </c>
      <c r="AT854">
        <v>1</v>
      </c>
      <c r="AU854" t="s">
        <v>567</v>
      </c>
      <c r="AV854" t="s">
        <v>568</v>
      </c>
      <c r="AW854" t="s">
        <v>60</v>
      </c>
      <c r="AX854" t="s">
        <v>68</v>
      </c>
      <c r="AY854" t="s">
        <v>69</v>
      </c>
      <c r="AZ854" t="b">
        <v>1</v>
      </c>
    </row>
    <row r="855" spans="1:52" x14ac:dyDescent="0.3">
      <c r="A855" t="s">
        <v>52</v>
      </c>
      <c r="B855" t="s">
        <v>53</v>
      </c>
      <c r="C855" t="s">
        <v>54</v>
      </c>
      <c r="D855" t="s">
        <v>55</v>
      </c>
      <c r="E855" t="s">
        <v>802</v>
      </c>
      <c r="F855" t="s">
        <v>512</v>
      </c>
      <c r="G855" t="s">
        <v>525</v>
      </c>
      <c r="H855" t="s">
        <v>526</v>
      </c>
      <c r="I855" t="s">
        <v>526</v>
      </c>
      <c r="J855" t="s">
        <v>60</v>
      </c>
      <c r="K855" t="s">
        <v>286</v>
      </c>
      <c r="L855" t="s">
        <v>62</v>
      </c>
      <c r="M855" t="s">
        <v>286</v>
      </c>
      <c r="N855" t="s">
        <v>527</v>
      </c>
      <c r="O855" t="s">
        <v>113</v>
      </c>
      <c r="P855">
        <v>-19.629049999999999</v>
      </c>
      <c r="Q855">
        <v>-43.887543000000001</v>
      </c>
      <c r="R855" s="2" t="str">
        <f>HYPERLINK("https://www.google.com/maps?q=-19.6290500,-43.8875430","Abrir no Google Maps")</f>
        <v>Abrir no Google Maps</v>
      </c>
      <c r="S855">
        <v>3</v>
      </c>
      <c r="T855">
        <v>420.9244758141914</v>
      </c>
      <c r="U855">
        <v>1</v>
      </c>
      <c r="V855">
        <v>0.40388339920948618</v>
      </c>
      <c r="W855">
        <v>0.85</v>
      </c>
      <c r="X855">
        <v>0.34330088932806319</v>
      </c>
      <c r="Y855">
        <v>18</v>
      </c>
      <c r="Z855">
        <v>298.16529694300579</v>
      </c>
      <c r="AA855">
        <v>2</v>
      </c>
      <c r="AB855">
        <v>3</v>
      </c>
      <c r="AC855">
        <v>7</v>
      </c>
      <c r="AD855">
        <v>28.5</v>
      </c>
      <c r="AE855">
        <v>253</v>
      </c>
      <c r="AF855">
        <v>22</v>
      </c>
      <c r="AG855">
        <v>59</v>
      </c>
      <c r="AH855">
        <v>32</v>
      </c>
      <c r="AI855">
        <v>8.6999999999999993</v>
      </c>
      <c r="AJ855">
        <v>23.32</v>
      </c>
      <c r="AK855">
        <v>12.65</v>
      </c>
      <c r="AL855">
        <v>-19.62914789999996</v>
      </c>
      <c r="AM855">
        <v>-43.887659532387332</v>
      </c>
      <c r="AN855">
        <v>-19.62914789999996</v>
      </c>
      <c r="AO855">
        <v>-43.887659532387332</v>
      </c>
      <c r="AP855">
        <v>-19.629049999999999</v>
      </c>
      <c r="AQ855">
        <v>-43.887543000000001</v>
      </c>
      <c r="AR855">
        <v>16.372645779361299</v>
      </c>
      <c r="AS855" t="s">
        <v>65</v>
      </c>
      <c r="AT855">
        <v>1</v>
      </c>
      <c r="AU855" t="s">
        <v>528</v>
      </c>
      <c r="AV855" t="s">
        <v>529</v>
      </c>
      <c r="AW855" t="s">
        <v>60</v>
      </c>
      <c r="AX855" t="s">
        <v>68</v>
      </c>
      <c r="AY855" t="s">
        <v>69</v>
      </c>
      <c r="AZ855" t="b">
        <v>1</v>
      </c>
    </row>
    <row r="856" spans="1:52" x14ac:dyDescent="0.3">
      <c r="A856" t="s">
        <v>52</v>
      </c>
      <c r="B856" t="s">
        <v>53</v>
      </c>
      <c r="C856" t="s">
        <v>54</v>
      </c>
      <c r="D856" t="s">
        <v>55</v>
      </c>
      <c r="E856" t="s">
        <v>802</v>
      </c>
      <c r="F856" t="s">
        <v>512</v>
      </c>
      <c r="G856" t="s">
        <v>388</v>
      </c>
      <c r="H856" t="s">
        <v>389</v>
      </c>
      <c r="I856" t="s">
        <v>389</v>
      </c>
      <c r="J856" t="s">
        <v>60</v>
      </c>
      <c r="K856" t="s">
        <v>185</v>
      </c>
      <c r="L856" t="s">
        <v>62</v>
      </c>
      <c r="M856" t="s">
        <v>185</v>
      </c>
      <c r="N856" t="s">
        <v>390</v>
      </c>
      <c r="O856" t="s">
        <v>391</v>
      </c>
      <c r="P856">
        <v>-19.628802</v>
      </c>
      <c r="Q856">
        <v>-43.891649000000001</v>
      </c>
      <c r="R856" s="2" t="str">
        <f>HYPERLINK("https://www.google.com/maps?q=-19.6288020,-43.8916490","Abrir no Google Maps")</f>
        <v>Abrir no Google Maps</v>
      </c>
      <c r="S856">
        <v>3</v>
      </c>
      <c r="T856">
        <v>0</v>
      </c>
      <c r="U856">
        <v>1</v>
      </c>
      <c r="V856">
        <v>0.40951962016478149</v>
      </c>
      <c r="W856">
        <v>0.85</v>
      </c>
      <c r="X856">
        <v>0.34809167714006428</v>
      </c>
      <c r="Y856">
        <v>18</v>
      </c>
      <c r="Z856">
        <v>117.5064585283839</v>
      </c>
      <c r="AA856">
        <v>2</v>
      </c>
      <c r="AB856">
        <v>3</v>
      </c>
      <c r="AC856">
        <v>7</v>
      </c>
      <c r="AD856">
        <v>28.5</v>
      </c>
      <c r="AE856">
        <v>253</v>
      </c>
      <c r="AF856">
        <v>22</v>
      </c>
      <c r="AG856">
        <v>59</v>
      </c>
      <c r="AH856">
        <v>32</v>
      </c>
      <c r="AI856">
        <v>8.6999999999999993</v>
      </c>
      <c r="AJ856">
        <v>23.32</v>
      </c>
      <c r="AK856">
        <v>12.65</v>
      </c>
      <c r="AL856">
        <v>-19.628865499999961</v>
      </c>
      <c r="AM856">
        <v>-43.891662391334172</v>
      </c>
      <c r="AN856">
        <v>-19.628865499999961</v>
      </c>
      <c r="AO856">
        <v>-43.891662391334172</v>
      </c>
      <c r="AP856">
        <v>-19.628802</v>
      </c>
      <c r="AQ856">
        <v>-43.891649000000001</v>
      </c>
      <c r="AR856">
        <v>7.2069201904448459</v>
      </c>
      <c r="AS856" t="s">
        <v>65</v>
      </c>
      <c r="AT856">
        <v>1</v>
      </c>
      <c r="AU856" t="s">
        <v>392</v>
      </c>
      <c r="AV856" t="s">
        <v>393</v>
      </c>
      <c r="AW856" t="s">
        <v>60</v>
      </c>
      <c r="AX856" t="s">
        <v>68</v>
      </c>
      <c r="AY856" t="s">
        <v>69</v>
      </c>
      <c r="AZ856" t="b">
        <v>1</v>
      </c>
    </row>
    <row r="857" spans="1:52" x14ac:dyDescent="0.3">
      <c r="A857" t="s">
        <v>52</v>
      </c>
      <c r="B857" t="s">
        <v>53</v>
      </c>
      <c r="C857" t="s">
        <v>54</v>
      </c>
      <c r="D857" t="s">
        <v>55</v>
      </c>
      <c r="E857" t="s">
        <v>802</v>
      </c>
      <c r="F857" t="s">
        <v>512</v>
      </c>
      <c r="G857" t="s">
        <v>530</v>
      </c>
      <c r="H857" t="s">
        <v>531</v>
      </c>
      <c r="I857" t="s">
        <v>531</v>
      </c>
      <c r="J857" t="s">
        <v>60</v>
      </c>
      <c r="K857" t="s">
        <v>185</v>
      </c>
      <c r="L857" t="s">
        <v>62</v>
      </c>
      <c r="M857" t="s">
        <v>185</v>
      </c>
      <c r="N857" t="s">
        <v>532</v>
      </c>
      <c r="O857" t="s">
        <v>533</v>
      </c>
      <c r="P857">
        <v>-19.625264000000001</v>
      </c>
      <c r="Q857">
        <v>-43.889451000000001</v>
      </c>
      <c r="R857" s="2" t="str">
        <f>HYPERLINK("https://www.google.com/maps?q=-19.6252640,-43.8894510","Abrir no Google Maps")</f>
        <v>Abrir no Google Maps</v>
      </c>
      <c r="S857">
        <v>3</v>
      </c>
      <c r="T857">
        <v>466.11340370665903</v>
      </c>
      <c r="U857">
        <v>1</v>
      </c>
      <c r="V857">
        <v>0.40681418581418582</v>
      </c>
      <c r="W857">
        <v>0.85</v>
      </c>
      <c r="X857">
        <v>0.34579205794205792</v>
      </c>
      <c r="Y857">
        <v>18</v>
      </c>
      <c r="Z857">
        <v>320.77337440837812</v>
      </c>
      <c r="AA857">
        <v>2</v>
      </c>
      <c r="AB857">
        <v>3</v>
      </c>
      <c r="AC857">
        <v>7</v>
      </c>
      <c r="AD857">
        <v>28.5</v>
      </c>
      <c r="AE857">
        <v>253</v>
      </c>
      <c r="AF857">
        <v>22</v>
      </c>
      <c r="AG857">
        <v>59</v>
      </c>
      <c r="AH857">
        <v>32</v>
      </c>
      <c r="AI857">
        <v>8.6999999999999993</v>
      </c>
      <c r="AJ857">
        <v>23.32</v>
      </c>
      <c r="AK857">
        <v>12.65</v>
      </c>
      <c r="AL857">
        <v>-19.62516189999997</v>
      </c>
      <c r="AM857">
        <v>-43.88954614566876</v>
      </c>
      <c r="AN857">
        <v>-19.62516189999997</v>
      </c>
      <c r="AO857">
        <v>-43.88954614566876</v>
      </c>
      <c r="AP857">
        <v>-19.625264000000001</v>
      </c>
      <c r="AQ857">
        <v>-43.889451000000001</v>
      </c>
      <c r="AR857">
        <v>15.12310549834147</v>
      </c>
      <c r="AS857" t="s">
        <v>65</v>
      </c>
      <c r="AT857">
        <v>1</v>
      </c>
      <c r="AU857" t="s">
        <v>534</v>
      </c>
      <c r="AV857" t="s">
        <v>535</v>
      </c>
      <c r="AW857" t="s">
        <v>60</v>
      </c>
      <c r="AX857" t="s">
        <v>68</v>
      </c>
      <c r="AY857" t="s">
        <v>69</v>
      </c>
      <c r="AZ857" t="b">
        <v>1</v>
      </c>
    </row>
    <row r="858" spans="1:52" x14ac:dyDescent="0.3">
      <c r="A858" t="s">
        <v>52</v>
      </c>
      <c r="B858" t="s">
        <v>53</v>
      </c>
      <c r="C858" t="s">
        <v>54</v>
      </c>
      <c r="D858" t="s">
        <v>55</v>
      </c>
      <c r="E858" t="s">
        <v>802</v>
      </c>
      <c r="F858" t="s">
        <v>512</v>
      </c>
      <c r="G858" t="s">
        <v>536</v>
      </c>
      <c r="H858" t="s">
        <v>537</v>
      </c>
      <c r="I858" t="s">
        <v>537</v>
      </c>
      <c r="J858" t="s">
        <v>60</v>
      </c>
      <c r="K858" t="s">
        <v>185</v>
      </c>
      <c r="L858" t="s">
        <v>62</v>
      </c>
      <c r="M858" t="s">
        <v>185</v>
      </c>
      <c r="N858" t="s">
        <v>538</v>
      </c>
      <c r="O858" t="s">
        <v>408</v>
      </c>
      <c r="P858">
        <v>-19.630147999999998</v>
      </c>
      <c r="Q858">
        <v>-43.893844000000001</v>
      </c>
      <c r="R858" s="2" t="str">
        <f>HYPERLINK("https://www.google.com/maps?q=-19.6301480,-43.8938440","Abrir no Google Maps")</f>
        <v>Abrir no Google Maps</v>
      </c>
      <c r="S858">
        <v>3</v>
      </c>
      <c r="T858">
        <v>262.94285160220159</v>
      </c>
      <c r="U858">
        <v>1</v>
      </c>
      <c r="V858">
        <v>0.39631540930979131</v>
      </c>
      <c r="W858">
        <v>0.85</v>
      </c>
      <c r="X858">
        <v>0.33686809791332262</v>
      </c>
      <c r="Y858">
        <v>18</v>
      </c>
      <c r="Z858">
        <v>351.25774094845309</v>
      </c>
      <c r="AA858">
        <v>2</v>
      </c>
      <c r="AB858">
        <v>3</v>
      </c>
      <c r="AC858">
        <v>7</v>
      </c>
      <c r="AD858">
        <v>28.5</v>
      </c>
      <c r="AE858">
        <v>253</v>
      </c>
      <c r="AF858">
        <v>22</v>
      </c>
      <c r="AG858">
        <v>59</v>
      </c>
      <c r="AH858">
        <v>32</v>
      </c>
      <c r="AI858">
        <v>8.6999999999999993</v>
      </c>
      <c r="AJ858">
        <v>23.32</v>
      </c>
      <c r="AK858">
        <v>12.65</v>
      </c>
      <c r="AL858">
        <v>-19.630177599999939</v>
      </c>
      <c r="AM858">
        <v>-43.893752755034278</v>
      </c>
      <c r="AN858">
        <v>-19.630177599999939</v>
      </c>
      <c r="AO858">
        <v>-43.893752755034278</v>
      </c>
      <c r="AP858">
        <v>-19.630147999999998</v>
      </c>
      <c r="AQ858">
        <v>-43.893844000000001</v>
      </c>
      <c r="AR858">
        <v>10.1185927114604</v>
      </c>
      <c r="AS858" t="s">
        <v>65</v>
      </c>
      <c r="AT858">
        <v>1</v>
      </c>
      <c r="AU858" t="s">
        <v>539</v>
      </c>
      <c r="AV858" t="s">
        <v>540</v>
      </c>
      <c r="AW858" t="s">
        <v>60</v>
      </c>
      <c r="AX858" t="s">
        <v>68</v>
      </c>
      <c r="AY858" t="s">
        <v>69</v>
      </c>
      <c r="AZ858" t="b">
        <v>1</v>
      </c>
    </row>
    <row r="859" spans="1:52" x14ac:dyDescent="0.3">
      <c r="A859" t="s">
        <v>52</v>
      </c>
      <c r="B859" t="s">
        <v>53</v>
      </c>
      <c r="C859" t="s">
        <v>54</v>
      </c>
      <c r="D859" t="s">
        <v>55</v>
      </c>
      <c r="E859" t="s">
        <v>802</v>
      </c>
      <c r="F859" t="s">
        <v>512</v>
      </c>
      <c r="G859" t="s">
        <v>541</v>
      </c>
      <c r="H859" t="s">
        <v>542</v>
      </c>
      <c r="I859" t="s">
        <v>542</v>
      </c>
      <c r="J859" t="s">
        <v>60</v>
      </c>
      <c r="K859" t="s">
        <v>445</v>
      </c>
      <c r="L859" t="s">
        <v>62</v>
      </c>
      <c r="M859" t="s">
        <v>445</v>
      </c>
      <c r="N859" t="s">
        <v>543</v>
      </c>
      <c r="O859" t="s">
        <v>328</v>
      </c>
      <c r="P859">
        <v>-19.642263</v>
      </c>
      <c r="Q859">
        <v>-43.881428999999997</v>
      </c>
      <c r="R859" s="2" t="str">
        <f>HYPERLINK("https://www.google.com/maps?q=-19.6422630,-43.8814290","Abrir no Google Maps")</f>
        <v>Abrir no Google Maps</v>
      </c>
      <c r="S859">
        <v>3</v>
      </c>
      <c r="T859">
        <v>0</v>
      </c>
      <c r="U859">
        <v>1</v>
      </c>
      <c r="V859">
        <v>0.38997076023391808</v>
      </c>
      <c r="W859">
        <v>0.85</v>
      </c>
      <c r="X859">
        <v>0.33147514619883028</v>
      </c>
      <c r="Y859">
        <v>10</v>
      </c>
      <c r="Z859">
        <v>162.4764384685345</v>
      </c>
      <c r="AA859">
        <v>2</v>
      </c>
      <c r="AB859">
        <v>3</v>
      </c>
      <c r="AC859">
        <v>7</v>
      </c>
      <c r="AD859">
        <v>28.5</v>
      </c>
      <c r="AE859">
        <v>253</v>
      </c>
      <c r="AF859">
        <v>22</v>
      </c>
      <c r="AG859">
        <v>59</v>
      </c>
      <c r="AH859">
        <v>32</v>
      </c>
      <c r="AI859">
        <v>8.6999999999999993</v>
      </c>
      <c r="AJ859">
        <v>23.32</v>
      </c>
      <c r="AK859">
        <v>12.65</v>
      </c>
      <c r="AL859">
        <v>-19.642346249999949</v>
      </c>
      <c r="AM859">
        <v>-43.881546938715289</v>
      </c>
      <c r="AN859">
        <v>-19.642346249999939</v>
      </c>
      <c r="AO859">
        <v>-43.881546938715289</v>
      </c>
      <c r="AP859">
        <v>-19.642263</v>
      </c>
      <c r="AQ859">
        <v>-43.881428999999997</v>
      </c>
      <c r="AR859">
        <v>15.45239906956777</v>
      </c>
      <c r="AS859" t="s">
        <v>65</v>
      </c>
      <c r="AT859">
        <v>1</v>
      </c>
      <c r="AU859" t="s">
        <v>544</v>
      </c>
      <c r="AV859" t="s">
        <v>545</v>
      </c>
      <c r="AW859" t="s">
        <v>60</v>
      </c>
      <c r="AX859" t="s">
        <v>68</v>
      </c>
      <c r="AY859" t="s">
        <v>69</v>
      </c>
      <c r="AZ859" t="b">
        <v>1</v>
      </c>
    </row>
    <row r="860" spans="1:52" x14ac:dyDescent="0.3">
      <c r="A860" t="s">
        <v>52</v>
      </c>
      <c r="B860" t="s">
        <v>53</v>
      </c>
      <c r="C860" t="s">
        <v>54</v>
      </c>
      <c r="D860" t="s">
        <v>55</v>
      </c>
      <c r="E860" t="s">
        <v>802</v>
      </c>
      <c r="F860" t="s">
        <v>512</v>
      </c>
      <c r="G860" t="s">
        <v>546</v>
      </c>
      <c r="H860" t="s">
        <v>547</v>
      </c>
      <c r="I860" t="s">
        <v>547</v>
      </c>
      <c r="J860" t="s">
        <v>60</v>
      </c>
      <c r="K860" t="s">
        <v>445</v>
      </c>
      <c r="L860" t="s">
        <v>62</v>
      </c>
      <c r="M860" t="s">
        <v>445</v>
      </c>
      <c r="N860" t="s">
        <v>548</v>
      </c>
      <c r="O860" t="s">
        <v>549</v>
      </c>
      <c r="P860">
        <v>-19.642752999999999</v>
      </c>
      <c r="Q860">
        <v>-43.879080999999999</v>
      </c>
      <c r="R860" s="2" t="str">
        <f>HYPERLINK("https://www.google.com/maps?q=-19.6427530,-43.8790810","Abrir no Google Maps")</f>
        <v>Abrir no Google Maps</v>
      </c>
      <c r="S860">
        <v>3</v>
      </c>
      <c r="T860">
        <v>256.19518367376457</v>
      </c>
      <c r="U860">
        <v>1</v>
      </c>
      <c r="V860">
        <v>0.40040807808386308</v>
      </c>
      <c r="W860">
        <v>0.85</v>
      </c>
      <c r="X860">
        <v>0.34034686637128359</v>
      </c>
      <c r="Y860">
        <v>10</v>
      </c>
      <c r="Z860">
        <v>192.73978446408199</v>
      </c>
      <c r="AA860">
        <v>2</v>
      </c>
      <c r="AB860">
        <v>3</v>
      </c>
      <c r="AC860">
        <v>7</v>
      </c>
      <c r="AD860">
        <v>28.5</v>
      </c>
      <c r="AE860">
        <v>253</v>
      </c>
      <c r="AF860">
        <v>22</v>
      </c>
      <c r="AG860">
        <v>59</v>
      </c>
      <c r="AH860">
        <v>32</v>
      </c>
      <c r="AI860">
        <v>8.6999999999999993</v>
      </c>
      <c r="AJ860">
        <v>23.32</v>
      </c>
      <c r="AK860">
        <v>12.65</v>
      </c>
      <c r="AL860">
        <v>-19.642703749999949</v>
      </c>
      <c r="AM860">
        <v>-43.879132974738582</v>
      </c>
      <c r="AN860">
        <v>-19.642703749999949</v>
      </c>
      <c r="AO860">
        <v>-43.879132974738582</v>
      </c>
      <c r="AP860">
        <v>-19.642752999999999</v>
      </c>
      <c r="AQ860">
        <v>-43.879080999999999</v>
      </c>
      <c r="AR860">
        <v>7.7298757823687696</v>
      </c>
      <c r="AS860" t="s">
        <v>65</v>
      </c>
      <c r="AT860">
        <v>1</v>
      </c>
      <c r="AU860" t="s">
        <v>550</v>
      </c>
      <c r="AV860" t="s">
        <v>551</v>
      </c>
      <c r="AW860" t="s">
        <v>60</v>
      </c>
      <c r="AX860" t="s">
        <v>68</v>
      </c>
      <c r="AY860" t="s">
        <v>69</v>
      </c>
      <c r="AZ860" t="b">
        <v>1</v>
      </c>
    </row>
    <row r="861" spans="1:52" x14ac:dyDescent="0.3">
      <c r="A861" t="s">
        <v>52</v>
      </c>
      <c r="B861" t="s">
        <v>53</v>
      </c>
      <c r="C861" t="s">
        <v>54</v>
      </c>
      <c r="D861" t="s">
        <v>55</v>
      </c>
      <c r="E861" t="s">
        <v>802</v>
      </c>
      <c r="F861" t="s">
        <v>512</v>
      </c>
      <c r="G861" t="s">
        <v>557</v>
      </c>
      <c r="H861" t="s">
        <v>558</v>
      </c>
      <c r="I861" t="s">
        <v>558</v>
      </c>
      <c r="J861" t="s">
        <v>60</v>
      </c>
      <c r="K861" t="s">
        <v>445</v>
      </c>
      <c r="L861" t="s">
        <v>62</v>
      </c>
      <c r="M861" t="s">
        <v>445</v>
      </c>
      <c r="N861" t="s">
        <v>559</v>
      </c>
      <c r="O861" t="s">
        <v>560</v>
      </c>
      <c r="P861">
        <v>-19.641839000000001</v>
      </c>
      <c r="Q861">
        <v>-43.876227</v>
      </c>
      <c r="R861" s="2" t="str">
        <f>HYPERLINK("https://www.google.com/maps?q=-19.6418390,-43.8762270","Abrir no Google Maps")</f>
        <v>Abrir no Google Maps</v>
      </c>
      <c r="S861">
        <v>3</v>
      </c>
      <c r="T861">
        <v>564.50471877254449</v>
      </c>
      <c r="U861">
        <v>1</v>
      </c>
      <c r="V861">
        <v>0.3911880062820301</v>
      </c>
      <c r="W861">
        <v>0.85</v>
      </c>
      <c r="X861">
        <v>0.33250980533972557</v>
      </c>
      <c r="Y861">
        <v>10</v>
      </c>
      <c r="Z861">
        <v>490.40238336341412</v>
      </c>
      <c r="AA861">
        <v>2</v>
      </c>
      <c r="AB861">
        <v>3</v>
      </c>
      <c r="AC861">
        <v>7</v>
      </c>
      <c r="AD861">
        <v>28.5</v>
      </c>
      <c r="AE861">
        <v>253</v>
      </c>
      <c r="AF861">
        <v>22</v>
      </c>
      <c r="AG861">
        <v>59</v>
      </c>
      <c r="AH861">
        <v>32</v>
      </c>
      <c r="AI861">
        <v>8.6999999999999993</v>
      </c>
      <c r="AJ861">
        <v>23.32</v>
      </c>
      <c r="AK861">
        <v>12.65</v>
      </c>
      <c r="AL861">
        <v>-19.641880699999941</v>
      </c>
      <c r="AM861">
        <v>-43.876185869580858</v>
      </c>
      <c r="AN861">
        <v>-19.641880699999941</v>
      </c>
      <c r="AO861">
        <v>-43.876185869580858</v>
      </c>
      <c r="AP861">
        <v>-19.641839000000001</v>
      </c>
      <c r="AQ861">
        <v>-43.876227</v>
      </c>
      <c r="AR861">
        <v>6.3359121862683301</v>
      </c>
      <c r="AS861" t="s">
        <v>65</v>
      </c>
      <c r="AT861">
        <v>1</v>
      </c>
      <c r="AU861" t="s">
        <v>561</v>
      </c>
      <c r="AV861" t="s">
        <v>562</v>
      </c>
      <c r="AW861" t="s">
        <v>60</v>
      </c>
      <c r="AX861" t="s">
        <v>68</v>
      </c>
      <c r="AY861" t="s">
        <v>69</v>
      </c>
      <c r="AZ861" t="b">
        <v>1</v>
      </c>
    </row>
    <row r="862" spans="1:52" x14ac:dyDescent="0.3">
      <c r="A862" t="s">
        <v>52</v>
      </c>
      <c r="B862" t="s">
        <v>53</v>
      </c>
      <c r="C862" t="s">
        <v>54</v>
      </c>
      <c r="D862" t="s">
        <v>55</v>
      </c>
      <c r="E862" t="s">
        <v>802</v>
      </c>
      <c r="F862" t="s">
        <v>512</v>
      </c>
      <c r="G862" t="s">
        <v>569</v>
      </c>
      <c r="H862" t="s">
        <v>570</v>
      </c>
      <c r="I862" t="s">
        <v>570</v>
      </c>
      <c r="J862" t="s">
        <v>60</v>
      </c>
      <c r="K862" t="s">
        <v>445</v>
      </c>
      <c r="L862" t="s">
        <v>62</v>
      </c>
      <c r="M862" t="s">
        <v>445</v>
      </c>
      <c r="N862" t="s">
        <v>571</v>
      </c>
      <c r="O862" t="s">
        <v>572</v>
      </c>
      <c r="P862">
        <v>-19.646602999999999</v>
      </c>
      <c r="Q862">
        <v>-43.879826000000001</v>
      </c>
      <c r="R862" s="2" t="str">
        <f>HYPERLINK("https://www.google.com/maps?q=-19.6466030,-43.8798260","Abrir no Google Maps")</f>
        <v>Abrir no Google Maps</v>
      </c>
      <c r="S862">
        <v>3</v>
      </c>
      <c r="T862">
        <v>497.89126003830972</v>
      </c>
      <c r="U862">
        <v>1</v>
      </c>
      <c r="V862">
        <v>0.38924933513974608</v>
      </c>
      <c r="W862">
        <v>0.85</v>
      </c>
      <c r="X862">
        <v>0.33086193486878418</v>
      </c>
      <c r="Y862">
        <v>10</v>
      </c>
      <c r="Z862">
        <v>228.69190976735251</v>
      </c>
      <c r="AA862">
        <v>2</v>
      </c>
      <c r="AB862">
        <v>3</v>
      </c>
      <c r="AC862">
        <v>7</v>
      </c>
      <c r="AD862">
        <v>28.5</v>
      </c>
      <c r="AE862">
        <v>253</v>
      </c>
      <c r="AF862">
        <v>22</v>
      </c>
      <c r="AG862">
        <v>59</v>
      </c>
      <c r="AH862">
        <v>32</v>
      </c>
      <c r="AI862">
        <v>8.6999999999999993</v>
      </c>
      <c r="AJ862">
        <v>23.32</v>
      </c>
      <c r="AK862">
        <v>12.65</v>
      </c>
      <c r="AL862">
        <v>-19.646577499999982</v>
      </c>
      <c r="AM862">
        <v>-43.879934131171261</v>
      </c>
      <c r="AN862">
        <v>-19.646577499999971</v>
      </c>
      <c r="AO862">
        <v>-43.879934131171261</v>
      </c>
      <c r="AP862">
        <v>-19.646602999999999</v>
      </c>
      <c r="AQ862">
        <v>-43.879826000000001</v>
      </c>
      <c r="AR862">
        <v>11.68641198848764</v>
      </c>
      <c r="AS862" t="s">
        <v>65</v>
      </c>
      <c r="AT862">
        <v>1</v>
      </c>
      <c r="AU862" t="s">
        <v>573</v>
      </c>
      <c r="AV862" t="s">
        <v>574</v>
      </c>
      <c r="AW862" t="s">
        <v>60</v>
      </c>
      <c r="AX862" t="s">
        <v>68</v>
      </c>
      <c r="AY862" t="s">
        <v>69</v>
      </c>
      <c r="AZ862" t="b">
        <v>1</v>
      </c>
    </row>
    <row r="863" spans="1:52" x14ac:dyDescent="0.3">
      <c r="A863" t="s">
        <v>52</v>
      </c>
      <c r="B863" t="s">
        <v>53</v>
      </c>
      <c r="C863" t="s">
        <v>54</v>
      </c>
      <c r="D863" t="s">
        <v>55</v>
      </c>
      <c r="E863" t="s">
        <v>802</v>
      </c>
      <c r="F863" t="s">
        <v>512</v>
      </c>
      <c r="G863" t="s">
        <v>580</v>
      </c>
      <c r="H863" t="s">
        <v>581</v>
      </c>
      <c r="I863" t="s">
        <v>581</v>
      </c>
      <c r="J863" t="s">
        <v>60</v>
      </c>
      <c r="K863" t="s">
        <v>179</v>
      </c>
      <c r="L863" t="s">
        <v>62</v>
      </c>
      <c r="M863" t="s">
        <v>179</v>
      </c>
      <c r="N863" t="s">
        <v>582</v>
      </c>
      <c r="O863" t="s">
        <v>583</v>
      </c>
      <c r="P863">
        <v>-19.651917999999998</v>
      </c>
      <c r="Q863">
        <v>-43.888081</v>
      </c>
      <c r="R863" s="2" t="str">
        <f>HYPERLINK("https://www.google.com/maps?q=-19.6519180,-43.8880810","Abrir no Google Maps")</f>
        <v>Abrir no Google Maps</v>
      </c>
      <c r="S863">
        <v>3</v>
      </c>
      <c r="T863">
        <v>1192.758363020145</v>
      </c>
      <c r="U863">
        <v>1</v>
      </c>
      <c r="V863">
        <v>0.39514183283613341</v>
      </c>
      <c r="W863">
        <v>0.85</v>
      </c>
      <c r="X863">
        <v>0.33587055791071341</v>
      </c>
      <c r="Y863">
        <v>10</v>
      </c>
      <c r="Z863">
        <v>1164.020417046748</v>
      </c>
      <c r="AA863">
        <v>2</v>
      </c>
      <c r="AB863">
        <v>3</v>
      </c>
      <c r="AC863">
        <v>7</v>
      </c>
      <c r="AD863">
        <v>28.5</v>
      </c>
      <c r="AE863">
        <v>253</v>
      </c>
      <c r="AF863">
        <v>22</v>
      </c>
      <c r="AG863">
        <v>59</v>
      </c>
      <c r="AH863">
        <v>32</v>
      </c>
      <c r="AI863">
        <v>8.6999999999999993</v>
      </c>
      <c r="AJ863">
        <v>23.32</v>
      </c>
      <c r="AK863">
        <v>12.65</v>
      </c>
      <c r="AL863">
        <v>-19.65182809999996</v>
      </c>
      <c r="AM863">
        <v>-43.887955347266519</v>
      </c>
      <c r="AN863">
        <v>-19.65182809999996</v>
      </c>
      <c r="AO863">
        <v>-43.887955347266519</v>
      </c>
      <c r="AP863">
        <v>-19.651917999999998</v>
      </c>
      <c r="AQ863">
        <v>-43.888081</v>
      </c>
      <c r="AR863">
        <v>16.543262936495491</v>
      </c>
      <c r="AS863" t="s">
        <v>65</v>
      </c>
      <c r="AT863">
        <v>1</v>
      </c>
      <c r="AU863" t="s">
        <v>584</v>
      </c>
      <c r="AV863" t="s">
        <v>585</v>
      </c>
      <c r="AW863" t="s">
        <v>60</v>
      </c>
      <c r="AX863" t="s">
        <v>68</v>
      </c>
      <c r="AY863" t="s">
        <v>69</v>
      </c>
      <c r="AZ863" t="b">
        <v>1</v>
      </c>
    </row>
    <row r="864" spans="1:52" x14ac:dyDescent="0.3">
      <c r="A864" t="s">
        <v>52</v>
      </c>
      <c r="B864" t="s">
        <v>53</v>
      </c>
      <c r="C864" t="s">
        <v>54</v>
      </c>
      <c r="D864" t="s">
        <v>55</v>
      </c>
      <c r="E864" t="s">
        <v>802</v>
      </c>
      <c r="F864" t="s">
        <v>512</v>
      </c>
      <c r="G864" t="s">
        <v>586</v>
      </c>
      <c r="H864" t="s">
        <v>587</v>
      </c>
      <c r="I864" t="s">
        <v>587</v>
      </c>
      <c r="J864" t="s">
        <v>60</v>
      </c>
      <c r="K864" t="s">
        <v>286</v>
      </c>
      <c r="L864" t="s">
        <v>62</v>
      </c>
      <c r="M864" t="s">
        <v>286</v>
      </c>
      <c r="N864" t="s">
        <v>588</v>
      </c>
      <c r="O864" t="s">
        <v>589</v>
      </c>
      <c r="P864">
        <v>-19.638362999999998</v>
      </c>
      <c r="Q864">
        <v>-43.887081000000002</v>
      </c>
      <c r="R864" s="2" t="str">
        <f>HYPERLINK("https://www.google.com/maps?q=-19.6383630,-43.8870810","Abrir no Google Maps")</f>
        <v>Abrir no Google Maps</v>
      </c>
      <c r="S864">
        <v>3</v>
      </c>
      <c r="T864">
        <v>521.16909902210193</v>
      </c>
      <c r="U864">
        <v>1</v>
      </c>
      <c r="V864">
        <v>0.38469008397932808</v>
      </c>
      <c r="W864">
        <v>0.85</v>
      </c>
      <c r="X864">
        <v>0.32698657138242893</v>
      </c>
      <c r="Y864">
        <v>10</v>
      </c>
      <c r="Z864">
        <v>416.66355243950221</v>
      </c>
      <c r="AA864">
        <v>2</v>
      </c>
      <c r="AB864">
        <v>3</v>
      </c>
      <c r="AC864">
        <v>7</v>
      </c>
      <c r="AD864">
        <v>28.5</v>
      </c>
      <c r="AE864">
        <v>253</v>
      </c>
      <c r="AF864">
        <v>22</v>
      </c>
      <c r="AG864">
        <v>59</v>
      </c>
      <c r="AH864">
        <v>32</v>
      </c>
      <c r="AI864">
        <v>8.6999999999999993</v>
      </c>
      <c r="AJ864">
        <v>23.32</v>
      </c>
      <c r="AK864">
        <v>12.65</v>
      </c>
      <c r="AL864">
        <v>-19.638074649999961</v>
      </c>
      <c r="AM864">
        <v>-43.887517684870552</v>
      </c>
      <c r="AN864">
        <v>-19.638074649999961</v>
      </c>
      <c r="AO864">
        <v>-43.887517684870552</v>
      </c>
      <c r="AP864">
        <v>-19.638362999999998</v>
      </c>
      <c r="AQ864">
        <v>-43.887081000000002</v>
      </c>
      <c r="AR864">
        <v>55.915550702564907</v>
      </c>
      <c r="AS864" t="s">
        <v>65</v>
      </c>
      <c r="AT864">
        <v>1</v>
      </c>
      <c r="AU864" t="s">
        <v>590</v>
      </c>
      <c r="AV864" t="s">
        <v>591</v>
      </c>
      <c r="AW864" t="s">
        <v>60</v>
      </c>
      <c r="AX864" t="s">
        <v>68</v>
      </c>
      <c r="AY864" t="s">
        <v>69</v>
      </c>
      <c r="AZ864" t="b">
        <v>1</v>
      </c>
    </row>
    <row r="865" spans="1:52" x14ac:dyDescent="0.3">
      <c r="A865" t="s">
        <v>52</v>
      </c>
      <c r="B865" t="s">
        <v>53</v>
      </c>
      <c r="C865" t="s">
        <v>54</v>
      </c>
      <c r="D865" t="s">
        <v>55</v>
      </c>
      <c r="E865" t="s">
        <v>802</v>
      </c>
      <c r="F865" t="s">
        <v>512</v>
      </c>
      <c r="G865" t="s">
        <v>575</v>
      </c>
      <c r="H865" t="s">
        <v>576</v>
      </c>
      <c r="I865" t="s">
        <v>576</v>
      </c>
      <c r="J865" t="s">
        <v>60</v>
      </c>
      <c r="K865" t="s">
        <v>445</v>
      </c>
      <c r="L865" t="s">
        <v>62</v>
      </c>
      <c r="M865" t="s">
        <v>445</v>
      </c>
      <c r="N865" t="s">
        <v>577</v>
      </c>
      <c r="O865" t="s">
        <v>214</v>
      </c>
      <c r="P865">
        <v>-19.639865</v>
      </c>
      <c r="Q865">
        <v>-43.877858000000003</v>
      </c>
      <c r="R865" s="2" t="str">
        <f>HYPERLINK("https://www.google.com/maps?q=-19.6398650,-43.8778580","Abrir no Google Maps")</f>
        <v>Abrir no Google Maps</v>
      </c>
      <c r="S865">
        <v>3</v>
      </c>
      <c r="T865">
        <v>497.47318171010488</v>
      </c>
      <c r="U865">
        <v>1</v>
      </c>
      <c r="V865">
        <v>0.40322988321868503</v>
      </c>
      <c r="W865">
        <v>0.85</v>
      </c>
      <c r="X865">
        <v>0.34274540073588228</v>
      </c>
      <c r="Y865">
        <v>10</v>
      </c>
      <c r="Z865">
        <v>547.08184956634818</v>
      </c>
      <c r="AA865">
        <v>2</v>
      </c>
      <c r="AB865">
        <v>3</v>
      </c>
      <c r="AC865">
        <v>7</v>
      </c>
      <c r="AD865">
        <v>28.5</v>
      </c>
      <c r="AE865">
        <v>253</v>
      </c>
      <c r="AF865">
        <v>22</v>
      </c>
      <c r="AG865">
        <v>59</v>
      </c>
      <c r="AH865">
        <v>32</v>
      </c>
      <c r="AI865">
        <v>8.6999999999999993</v>
      </c>
      <c r="AJ865">
        <v>23.32</v>
      </c>
      <c r="AK865">
        <v>12.65</v>
      </c>
      <c r="AL865">
        <v>-19.639907499999961</v>
      </c>
      <c r="AM865">
        <v>-43.877561677180587</v>
      </c>
      <c r="AN865">
        <v>-19.639907499999961</v>
      </c>
      <c r="AO865">
        <v>-43.877561677180587</v>
      </c>
      <c r="AP865">
        <v>-19.639865</v>
      </c>
      <c r="AQ865">
        <v>-43.877858000000003</v>
      </c>
      <c r="AR865">
        <v>31.4257813556037</v>
      </c>
      <c r="AS865" t="s">
        <v>65</v>
      </c>
      <c r="AT865">
        <v>1</v>
      </c>
      <c r="AU865" t="s">
        <v>578</v>
      </c>
      <c r="AV865" t="s">
        <v>579</v>
      </c>
      <c r="AW865" t="s">
        <v>60</v>
      </c>
      <c r="AX865" t="s">
        <v>68</v>
      </c>
      <c r="AY865" t="s">
        <v>69</v>
      </c>
      <c r="AZ865" t="b">
        <v>1</v>
      </c>
    </row>
    <row r="866" spans="1:52" x14ac:dyDescent="0.3">
      <c r="A866" t="s">
        <v>52</v>
      </c>
      <c r="B866" t="s">
        <v>53</v>
      </c>
      <c r="C866" t="s">
        <v>54</v>
      </c>
      <c r="D866" t="s">
        <v>55</v>
      </c>
      <c r="E866" t="s">
        <v>802</v>
      </c>
      <c r="F866" t="s">
        <v>512</v>
      </c>
      <c r="G866" t="s">
        <v>597</v>
      </c>
      <c r="H866" t="s">
        <v>598</v>
      </c>
      <c r="I866" t="s">
        <v>598</v>
      </c>
      <c r="J866" t="s">
        <v>60</v>
      </c>
      <c r="K866" t="s">
        <v>445</v>
      </c>
      <c r="L866" t="s">
        <v>62</v>
      </c>
      <c r="M866" t="s">
        <v>445</v>
      </c>
      <c r="N866" t="s">
        <v>599</v>
      </c>
      <c r="O866" t="s">
        <v>391</v>
      </c>
      <c r="P866">
        <v>-19.637060999999999</v>
      </c>
      <c r="Q866">
        <v>-43.871026000000001</v>
      </c>
      <c r="R866" s="2" t="str">
        <f>HYPERLINK("https://www.google.com/maps?q=-19.6370610,-43.8710260","Abrir no Google Maps")</f>
        <v>Abrir no Google Maps</v>
      </c>
      <c r="S866">
        <v>1</v>
      </c>
      <c r="T866">
        <v>737.61884389282102</v>
      </c>
      <c r="U866">
        <v>4</v>
      </c>
      <c r="V866">
        <v>0.41778634200084352</v>
      </c>
      <c r="W866">
        <v>1</v>
      </c>
      <c r="X866">
        <v>0.41778634200084352</v>
      </c>
      <c r="Y866">
        <v>10</v>
      </c>
      <c r="Z866">
        <v>1331.4501394006061</v>
      </c>
      <c r="AA866">
        <v>2</v>
      </c>
      <c r="AB866">
        <v>3</v>
      </c>
      <c r="AC866">
        <v>7</v>
      </c>
      <c r="AD866">
        <v>28.5</v>
      </c>
      <c r="AE866">
        <v>253</v>
      </c>
      <c r="AF866">
        <v>22</v>
      </c>
      <c r="AG866">
        <v>59</v>
      </c>
      <c r="AH866">
        <v>32</v>
      </c>
      <c r="AI866">
        <v>8.6999999999999993</v>
      </c>
      <c r="AJ866">
        <v>23.32</v>
      </c>
      <c r="AK866">
        <v>12.65</v>
      </c>
      <c r="AL866">
        <v>-19.637111899999951</v>
      </c>
      <c r="AM866">
        <v>-43.870888931681193</v>
      </c>
      <c r="AN866">
        <v>-19.637111899999951</v>
      </c>
      <c r="AO866">
        <v>-43.870888931681193</v>
      </c>
      <c r="AP866">
        <v>-19.637060999999999</v>
      </c>
      <c r="AQ866">
        <v>-43.871026000000001</v>
      </c>
      <c r="AR866">
        <v>15.44770924391884</v>
      </c>
      <c r="AS866" t="s">
        <v>65</v>
      </c>
      <c r="AT866">
        <v>1</v>
      </c>
      <c r="AU866" t="s">
        <v>600</v>
      </c>
      <c r="AV866" t="s">
        <v>601</v>
      </c>
      <c r="AW866" t="s">
        <v>60</v>
      </c>
      <c r="AX866" t="s">
        <v>68</v>
      </c>
      <c r="AY866" t="s">
        <v>69</v>
      </c>
      <c r="AZ866" t="b">
        <v>1</v>
      </c>
    </row>
    <row r="867" spans="1:52" x14ac:dyDescent="0.3">
      <c r="A867" t="s">
        <v>52</v>
      </c>
      <c r="B867" t="s">
        <v>53</v>
      </c>
      <c r="C867" t="s">
        <v>54</v>
      </c>
      <c r="D867" t="s">
        <v>55</v>
      </c>
      <c r="E867" t="s">
        <v>802</v>
      </c>
      <c r="F867" t="s">
        <v>512</v>
      </c>
      <c r="G867" t="s">
        <v>592</v>
      </c>
      <c r="H867" t="s">
        <v>593</v>
      </c>
      <c r="I867" t="s">
        <v>593</v>
      </c>
      <c r="J867" t="s">
        <v>60</v>
      </c>
      <c r="K867" t="s">
        <v>445</v>
      </c>
      <c r="L867" t="s">
        <v>62</v>
      </c>
      <c r="M867" t="s">
        <v>445</v>
      </c>
      <c r="N867" t="s">
        <v>594</v>
      </c>
      <c r="O867" t="s">
        <v>477</v>
      </c>
      <c r="P867">
        <v>-19.640709000000001</v>
      </c>
      <c r="Q867">
        <v>-43.868687999999999</v>
      </c>
      <c r="R867" s="2" t="str">
        <f>HYPERLINK("https://www.google.com/maps?q=-19.6407090,-43.8686880","Abrir no Google Maps")</f>
        <v>Abrir no Google Maps</v>
      </c>
      <c r="S867">
        <v>1</v>
      </c>
      <c r="T867">
        <v>1174.9679995958841</v>
      </c>
      <c r="U867">
        <v>3</v>
      </c>
      <c r="V867">
        <v>0.40186532204925463</v>
      </c>
      <c r="W867">
        <v>1</v>
      </c>
      <c r="X867">
        <v>0.40186532204925463</v>
      </c>
      <c r="Y867">
        <v>10</v>
      </c>
      <c r="Z867">
        <v>1230.8029594060461</v>
      </c>
      <c r="AA867">
        <v>2</v>
      </c>
      <c r="AB867">
        <v>3</v>
      </c>
      <c r="AC867">
        <v>7</v>
      </c>
      <c r="AD867">
        <v>28.5</v>
      </c>
      <c r="AE867">
        <v>253</v>
      </c>
      <c r="AF867">
        <v>22</v>
      </c>
      <c r="AG867">
        <v>59</v>
      </c>
      <c r="AH867">
        <v>32</v>
      </c>
      <c r="AI867">
        <v>8.6999999999999993</v>
      </c>
      <c r="AJ867">
        <v>23.32</v>
      </c>
      <c r="AK867">
        <v>12.65</v>
      </c>
      <c r="AL867">
        <v>-19.641057949999979</v>
      </c>
      <c r="AM867">
        <v>-43.868800137485707</v>
      </c>
      <c r="AN867">
        <v>-19.641057949999979</v>
      </c>
      <c r="AO867">
        <v>-43.868800137485707</v>
      </c>
      <c r="AP867">
        <v>-19.640709000000001</v>
      </c>
      <c r="AQ867">
        <v>-43.868687999999999</v>
      </c>
      <c r="AR867">
        <v>40.585293798071682</v>
      </c>
      <c r="AS867" t="s">
        <v>65</v>
      </c>
      <c r="AT867">
        <v>1</v>
      </c>
      <c r="AU867" t="s">
        <v>595</v>
      </c>
      <c r="AV867" t="s">
        <v>596</v>
      </c>
      <c r="AW867" t="s">
        <v>60</v>
      </c>
      <c r="AX867" t="s">
        <v>68</v>
      </c>
      <c r="AY867" t="s">
        <v>69</v>
      </c>
      <c r="AZ867" t="b">
        <v>1</v>
      </c>
    </row>
    <row r="868" spans="1:52" x14ac:dyDescent="0.3">
      <c r="A868" t="s">
        <v>52</v>
      </c>
      <c r="B868" t="s">
        <v>53</v>
      </c>
      <c r="C868" t="s">
        <v>54</v>
      </c>
      <c r="D868" t="s">
        <v>55</v>
      </c>
      <c r="E868" t="s">
        <v>802</v>
      </c>
      <c r="F868" t="s">
        <v>512</v>
      </c>
      <c r="G868" t="s">
        <v>123</v>
      </c>
      <c r="H868" t="s">
        <v>607</v>
      </c>
      <c r="I868" t="s">
        <v>607</v>
      </c>
      <c r="J868" t="s">
        <v>60</v>
      </c>
      <c r="K868" t="s">
        <v>333</v>
      </c>
      <c r="L868" t="s">
        <v>62</v>
      </c>
      <c r="M868" t="s">
        <v>333</v>
      </c>
      <c r="N868" t="s">
        <v>125</v>
      </c>
      <c r="O868" t="s">
        <v>608</v>
      </c>
      <c r="P868">
        <v>-19.636002999999999</v>
      </c>
      <c r="Q868">
        <v>-43.908445</v>
      </c>
      <c r="R868" s="2" t="str">
        <f>HYPERLINK("https://www.google.com/maps?q=-19.6360030,-43.9084450","Abrir no Google Maps")</f>
        <v>Abrir no Google Maps</v>
      </c>
      <c r="S868">
        <v>1</v>
      </c>
      <c r="T868">
        <v>612.64850802557942</v>
      </c>
      <c r="U868">
        <v>2</v>
      </c>
      <c r="V868">
        <v>0.43244179499917212</v>
      </c>
      <c r="W868">
        <v>0.85</v>
      </c>
      <c r="X868">
        <v>0.36757552574929631</v>
      </c>
      <c r="Y868">
        <v>10</v>
      </c>
      <c r="Z868">
        <v>606.91793961222209</v>
      </c>
      <c r="AA868">
        <v>2</v>
      </c>
      <c r="AB868">
        <v>3</v>
      </c>
      <c r="AC868">
        <v>7</v>
      </c>
      <c r="AD868">
        <v>28.5</v>
      </c>
      <c r="AE868">
        <v>253</v>
      </c>
      <c r="AF868">
        <v>22</v>
      </c>
      <c r="AG868">
        <v>59</v>
      </c>
      <c r="AH868">
        <v>32</v>
      </c>
      <c r="AI868">
        <v>8.6999999999999993</v>
      </c>
      <c r="AJ868">
        <v>23.32</v>
      </c>
      <c r="AK868">
        <v>12.65</v>
      </c>
      <c r="AL868">
        <v>-19.63618049999997</v>
      </c>
      <c r="AM868">
        <v>-43.908471095478113</v>
      </c>
      <c r="AN868">
        <v>-19.63618049999997</v>
      </c>
      <c r="AO868">
        <v>-43.908471095478113</v>
      </c>
      <c r="AP868">
        <v>-19.636002999999999</v>
      </c>
      <c r="AQ868">
        <v>-43.908445</v>
      </c>
      <c r="AR868">
        <v>19.947824476218141</v>
      </c>
      <c r="AS868" t="s">
        <v>65</v>
      </c>
      <c r="AT868">
        <v>1</v>
      </c>
      <c r="AU868" t="s">
        <v>609</v>
      </c>
      <c r="AV868" t="s">
        <v>610</v>
      </c>
      <c r="AW868" t="s">
        <v>60</v>
      </c>
      <c r="AX868" t="s">
        <v>68</v>
      </c>
      <c r="AY868" t="s">
        <v>69</v>
      </c>
      <c r="AZ868" t="b">
        <v>1</v>
      </c>
    </row>
    <row r="869" spans="1:52" x14ac:dyDescent="0.3">
      <c r="A869" t="s">
        <v>52</v>
      </c>
      <c r="B869" t="s">
        <v>53</v>
      </c>
      <c r="C869" t="s">
        <v>54</v>
      </c>
      <c r="D869" t="s">
        <v>55</v>
      </c>
      <c r="E869" t="s">
        <v>802</v>
      </c>
      <c r="F869" t="s">
        <v>512</v>
      </c>
      <c r="G869" t="s">
        <v>611</v>
      </c>
      <c r="H869" t="s">
        <v>612</v>
      </c>
      <c r="I869" t="s">
        <v>612</v>
      </c>
      <c r="J869" t="s">
        <v>60</v>
      </c>
      <c r="K869" t="s">
        <v>445</v>
      </c>
      <c r="L869" t="s">
        <v>62</v>
      </c>
      <c r="M869" t="s">
        <v>445</v>
      </c>
      <c r="N869" t="s">
        <v>613</v>
      </c>
      <c r="O869" t="s">
        <v>94</v>
      </c>
      <c r="P869">
        <v>-19.639271999999998</v>
      </c>
      <c r="Q869">
        <v>-43.875624000000002</v>
      </c>
      <c r="R869" s="2" t="str">
        <f>HYPERLINK("https://www.google.com/maps?q=-19.6392720,-43.8756240","Abrir no Google Maps")</f>
        <v>Abrir no Google Maps</v>
      </c>
      <c r="S869">
        <v>1</v>
      </c>
      <c r="T869">
        <v>618.4798639458262</v>
      </c>
      <c r="U869">
        <v>2</v>
      </c>
      <c r="V869">
        <v>0.4259782608695652</v>
      </c>
      <c r="W869">
        <v>0.85</v>
      </c>
      <c r="X869">
        <v>0.36208152173913039</v>
      </c>
      <c r="Y869">
        <v>10</v>
      </c>
      <c r="Z869">
        <v>724.62991660382431</v>
      </c>
      <c r="AA869">
        <v>2</v>
      </c>
      <c r="AB869">
        <v>3</v>
      </c>
      <c r="AC869">
        <v>7</v>
      </c>
      <c r="AD869">
        <v>28.5</v>
      </c>
      <c r="AE869">
        <v>253</v>
      </c>
      <c r="AF869">
        <v>22</v>
      </c>
      <c r="AG869">
        <v>59</v>
      </c>
      <c r="AH869">
        <v>32</v>
      </c>
      <c r="AI869">
        <v>8.6999999999999993</v>
      </c>
      <c r="AJ869">
        <v>23.32</v>
      </c>
      <c r="AK869">
        <v>12.65</v>
      </c>
      <c r="AL869">
        <v>-19.639239899999978</v>
      </c>
      <c r="AM869">
        <v>-43.875497463228079</v>
      </c>
      <c r="AN869">
        <v>-19.639239899999978</v>
      </c>
      <c r="AO869">
        <v>-43.875497463228079</v>
      </c>
      <c r="AP869">
        <v>-19.639271999999998</v>
      </c>
      <c r="AQ869">
        <v>-43.875624000000002</v>
      </c>
      <c r="AR869">
        <v>13.73946951590594</v>
      </c>
      <c r="AS869" t="s">
        <v>65</v>
      </c>
      <c r="AT869">
        <v>1</v>
      </c>
      <c r="AU869" t="s">
        <v>614</v>
      </c>
      <c r="AV869" t="s">
        <v>615</v>
      </c>
      <c r="AW869" t="s">
        <v>60</v>
      </c>
      <c r="AX869" t="s">
        <v>68</v>
      </c>
      <c r="AY869" t="s">
        <v>69</v>
      </c>
      <c r="AZ869" t="b">
        <v>1</v>
      </c>
    </row>
    <row r="870" spans="1:52" x14ac:dyDescent="0.3">
      <c r="A870" t="s">
        <v>52</v>
      </c>
      <c r="B870" t="s">
        <v>53</v>
      </c>
      <c r="C870" t="s">
        <v>54</v>
      </c>
      <c r="D870" t="s">
        <v>55</v>
      </c>
      <c r="E870" t="s">
        <v>802</v>
      </c>
      <c r="F870" t="s">
        <v>512</v>
      </c>
      <c r="G870" t="s">
        <v>602</v>
      </c>
      <c r="H870" t="s">
        <v>603</v>
      </c>
      <c r="I870" t="s">
        <v>603</v>
      </c>
      <c r="J870" t="s">
        <v>60</v>
      </c>
      <c r="K870" t="s">
        <v>185</v>
      </c>
      <c r="L870" t="s">
        <v>62</v>
      </c>
      <c r="M870" t="s">
        <v>185</v>
      </c>
      <c r="N870" t="s">
        <v>604</v>
      </c>
      <c r="O870" t="s">
        <v>341</v>
      </c>
      <c r="P870">
        <v>-19.624801999999999</v>
      </c>
      <c r="Q870">
        <v>-43.891128999999999</v>
      </c>
      <c r="R870" s="2" t="str">
        <f>HYPERLINK("https://www.google.com/maps?q=-19.6248020,-43.8911290","Abrir no Google Maps")</f>
        <v>Abrir no Google Maps</v>
      </c>
      <c r="S870">
        <v>1</v>
      </c>
      <c r="T870">
        <v>340.53720321500958</v>
      </c>
      <c r="U870">
        <v>1</v>
      </c>
      <c r="V870">
        <v>0.40441885964912289</v>
      </c>
      <c r="W870">
        <v>0.85</v>
      </c>
      <c r="X870">
        <v>0.34375603070175442</v>
      </c>
      <c r="Y870">
        <v>18</v>
      </c>
      <c r="Z870">
        <v>362.68114540183888</v>
      </c>
      <c r="AA870">
        <v>2</v>
      </c>
      <c r="AB870">
        <v>3</v>
      </c>
      <c r="AC870">
        <v>7</v>
      </c>
      <c r="AD870">
        <v>28.5</v>
      </c>
      <c r="AE870">
        <v>253</v>
      </c>
      <c r="AF870">
        <v>22</v>
      </c>
      <c r="AG870">
        <v>59</v>
      </c>
      <c r="AH870">
        <v>32</v>
      </c>
      <c r="AI870">
        <v>8.6999999999999993</v>
      </c>
      <c r="AJ870">
        <v>23.32</v>
      </c>
      <c r="AK870">
        <v>12.65</v>
      </c>
      <c r="AL870">
        <v>-19.625033299999959</v>
      </c>
      <c r="AM870">
        <v>-43.891084256403538</v>
      </c>
      <c r="AN870">
        <v>-19.625033299999959</v>
      </c>
      <c r="AO870">
        <v>-43.891084256403538</v>
      </c>
      <c r="AP870">
        <v>-19.624801999999999</v>
      </c>
      <c r="AQ870">
        <v>-43.891128999999999</v>
      </c>
      <c r="AR870">
        <v>26.172240371022362</v>
      </c>
      <c r="AS870" t="s">
        <v>65</v>
      </c>
      <c r="AT870">
        <v>1</v>
      </c>
      <c r="AU870" t="s">
        <v>605</v>
      </c>
      <c r="AV870" t="s">
        <v>606</v>
      </c>
      <c r="AW870" t="s">
        <v>60</v>
      </c>
      <c r="AX870" t="s">
        <v>68</v>
      </c>
      <c r="AY870" t="s">
        <v>69</v>
      </c>
      <c r="AZ870" t="b">
        <v>1</v>
      </c>
    </row>
    <row r="871" spans="1:52" x14ac:dyDescent="0.3">
      <c r="A871" t="s">
        <v>52</v>
      </c>
      <c r="B871" t="s">
        <v>53</v>
      </c>
      <c r="C871" t="s">
        <v>54</v>
      </c>
      <c r="D871" t="s">
        <v>55</v>
      </c>
      <c r="E871" t="s">
        <v>803</v>
      </c>
      <c r="F871" t="s">
        <v>57</v>
      </c>
      <c r="G871" t="s">
        <v>58</v>
      </c>
      <c r="H871" t="s">
        <v>59</v>
      </c>
      <c r="I871" t="s">
        <v>59</v>
      </c>
      <c r="J871" t="s">
        <v>60</v>
      </c>
      <c r="K871" t="s">
        <v>61</v>
      </c>
      <c r="L871" t="s">
        <v>62</v>
      </c>
      <c r="M871" t="s">
        <v>61</v>
      </c>
      <c r="N871" t="s">
        <v>63</v>
      </c>
      <c r="O871" t="s">
        <v>64</v>
      </c>
      <c r="P871">
        <v>-19.631502000000001</v>
      </c>
      <c r="Q871">
        <v>-43.910241999999997</v>
      </c>
      <c r="R871" s="2" t="str">
        <f>HYPERLINK("https://www.google.com/maps?q=-19.6315020,-43.9102420","Abrir no Google Maps")</f>
        <v>Abrir no Google Maps</v>
      </c>
      <c r="S871">
        <v>4</v>
      </c>
      <c r="T871">
        <v>789.20099406682743</v>
      </c>
      <c r="U871">
        <v>4</v>
      </c>
      <c r="V871">
        <v>0.37728660618894111</v>
      </c>
      <c r="W871">
        <v>1</v>
      </c>
      <c r="X871">
        <v>0.37728660618894111</v>
      </c>
      <c r="Y871">
        <v>10</v>
      </c>
      <c r="Z871">
        <v>691.44930074509864</v>
      </c>
      <c r="AA871">
        <v>2</v>
      </c>
      <c r="AB871">
        <v>3</v>
      </c>
      <c r="AC871">
        <v>7</v>
      </c>
      <c r="AD871">
        <v>26.01</v>
      </c>
      <c r="AE871">
        <v>253</v>
      </c>
      <c r="AF871">
        <v>18</v>
      </c>
      <c r="AG871">
        <v>58</v>
      </c>
      <c r="AH871">
        <v>32</v>
      </c>
      <c r="AI871">
        <v>7.11</v>
      </c>
      <c r="AJ871">
        <v>22.92</v>
      </c>
      <c r="AK871">
        <v>12.65</v>
      </c>
      <c r="AL871">
        <v>-19.631719749999949</v>
      </c>
      <c r="AM871">
        <v>-43.910102324517517</v>
      </c>
      <c r="AN871">
        <v>-19.631719749999949</v>
      </c>
      <c r="AO871">
        <v>-43.910102324517517</v>
      </c>
      <c r="AP871">
        <v>-19.631502000000001</v>
      </c>
      <c r="AQ871">
        <v>-43.910241999999997</v>
      </c>
      <c r="AR871">
        <v>28.320416429206599</v>
      </c>
      <c r="AS871" t="s">
        <v>65</v>
      </c>
      <c r="AT871">
        <v>1</v>
      </c>
      <c r="AU871" t="s">
        <v>66</v>
      </c>
      <c r="AV871" t="s">
        <v>67</v>
      </c>
      <c r="AW871" t="s">
        <v>60</v>
      </c>
      <c r="AX871" t="s">
        <v>68</v>
      </c>
      <c r="AY871" t="s">
        <v>69</v>
      </c>
      <c r="AZ871" t="b">
        <v>1</v>
      </c>
    </row>
    <row r="872" spans="1:52" x14ac:dyDescent="0.3">
      <c r="A872" t="s">
        <v>52</v>
      </c>
      <c r="B872" t="s">
        <v>53</v>
      </c>
      <c r="C872" t="s">
        <v>54</v>
      </c>
      <c r="D872" t="s">
        <v>55</v>
      </c>
      <c r="E872" t="s">
        <v>803</v>
      </c>
      <c r="F872" t="s">
        <v>57</v>
      </c>
      <c r="G872" t="s">
        <v>70</v>
      </c>
      <c r="H872" t="s">
        <v>71</v>
      </c>
      <c r="I872" t="s">
        <v>71</v>
      </c>
      <c r="J872" t="s">
        <v>60</v>
      </c>
      <c r="K872" t="s">
        <v>72</v>
      </c>
      <c r="L872" t="s">
        <v>62</v>
      </c>
      <c r="M872" t="s">
        <v>72</v>
      </c>
      <c r="N872" t="s">
        <v>73</v>
      </c>
      <c r="O872" t="s">
        <v>74</v>
      </c>
      <c r="P872">
        <v>-19.632581999999999</v>
      </c>
      <c r="Q872">
        <v>-43.902416000000002</v>
      </c>
      <c r="R872" s="2" t="str">
        <f>HYPERLINK("https://www.google.com/maps?q=-19.6325820,-43.9024160","Abrir no Google Maps")</f>
        <v>Abrir no Google Maps</v>
      </c>
      <c r="S872">
        <v>4</v>
      </c>
      <c r="T872">
        <v>0</v>
      </c>
      <c r="U872">
        <v>4</v>
      </c>
      <c r="V872">
        <v>0.42437076149204261</v>
      </c>
      <c r="W872">
        <v>1</v>
      </c>
      <c r="X872">
        <v>0.42437076149204261</v>
      </c>
      <c r="Y872">
        <v>10</v>
      </c>
      <c r="Z872">
        <v>146.6968158874696</v>
      </c>
      <c r="AA872">
        <v>2</v>
      </c>
      <c r="AB872">
        <v>3</v>
      </c>
      <c r="AC872">
        <v>7</v>
      </c>
      <c r="AD872">
        <v>26.01</v>
      </c>
      <c r="AE872">
        <v>253</v>
      </c>
      <c r="AF872">
        <v>18</v>
      </c>
      <c r="AG872">
        <v>58</v>
      </c>
      <c r="AH872">
        <v>32</v>
      </c>
      <c r="AI872">
        <v>7.11</v>
      </c>
      <c r="AJ872">
        <v>22.92</v>
      </c>
      <c r="AK872">
        <v>12.65</v>
      </c>
      <c r="AL872">
        <v>-19.63271449999996</v>
      </c>
      <c r="AM872">
        <v>-43.902649897389402</v>
      </c>
      <c r="AN872">
        <v>-19.63271449999996</v>
      </c>
      <c r="AO872">
        <v>-43.902649897389402</v>
      </c>
      <c r="AP872">
        <v>-19.632581999999999</v>
      </c>
      <c r="AQ872">
        <v>-43.902416000000002</v>
      </c>
      <c r="AR872">
        <v>28.617753432996459</v>
      </c>
      <c r="AS872" t="s">
        <v>65</v>
      </c>
      <c r="AT872">
        <v>1</v>
      </c>
      <c r="AU872" t="s">
        <v>75</v>
      </c>
      <c r="AV872" t="s">
        <v>76</v>
      </c>
      <c r="AW872" t="s">
        <v>60</v>
      </c>
      <c r="AX872" t="s">
        <v>68</v>
      </c>
      <c r="AY872" t="s">
        <v>69</v>
      </c>
      <c r="AZ872" t="b">
        <v>1</v>
      </c>
    </row>
    <row r="873" spans="1:52" x14ac:dyDescent="0.3">
      <c r="A873" t="s">
        <v>52</v>
      </c>
      <c r="B873" t="s">
        <v>53</v>
      </c>
      <c r="C873" t="s">
        <v>54</v>
      </c>
      <c r="D873" t="s">
        <v>55</v>
      </c>
      <c r="E873" t="s">
        <v>803</v>
      </c>
      <c r="F873" t="s">
        <v>57</v>
      </c>
      <c r="G873" t="s">
        <v>77</v>
      </c>
      <c r="H873" t="s">
        <v>78</v>
      </c>
      <c r="I873" t="s">
        <v>78</v>
      </c>
      <c r="J873" t="s">
        <v>60</v>
      </c>
      <c r="K873" t="s">
        <v>79</v>
      </c>
      <c r="L873" t="s">
        <v>62</v>
      </c>
      <c r="M873" t="s">
        <v>79</v>
      </c>
      <c r="N873" t="s">
        <v>80</v>
      </c>
      <c r="O873" t="s">
        <v>81</v>
      </c>
      <c r="P873">
        <v>-19.632463999999999</v>
      </c>
      <c r="Q873">
        <v>-43.904927999999998</v>
      </c>
      <c r="R873" s="2" t="str">
        <f>HYPERLINK("https://www.google.com/maps?q=-19.6324640,-43.9049280","Abrir no Google Maps")</f>
        <v>Abrir no Google Maps</v>
      </c>
      <c r="S873">
        <v>4</v>
      </c>
      <c r="T873">
        <v>244.1735197453369</v>
      </c>
      <c r="U873">
        <v>4</v>
      </c>
      <c r="V873">
        <v>0.41544195336657441</v>
      </c>
      <c r="W873">
        <v>1</v>
      </c>
      <c r="X873">
        <v>0.41544195336657441</v>
      </c>
      <c r="Y873">
        <v>10</v>
      </c>
      <c r="Z873">
        <v>287.26068152447448</v>
      </c>
      <c r="AA873">
        <v>2</v>
      </c>
      <c r="AB873">
        <v>3</v>
      </c>
      <c r="AC873">
        <v>7</v>
      </c>
      <c r="AD873">
        <v>26.01</v>
      </c>
      <c r="AE873">
        <v>253</v>
      </c>
      <c r="AF873">
        <v>18</v>
      </c>
      <c r="AG873">
        <v>58</v>
      </c>
      <c r="AH873">
        <v>32</v>
      </c>
      <c r="AI873">
        <v>7.11</v>
      </c>
      <c r="AJ873">
        <v>22.92</v>
      </c>
      <c r="AK873">
        <v>12.65</v>
      </c>
      <c r="AL873">
        <v>-19.63247099999996</v>
      </c>
      <c r="AM873">
        <v>-43.904964174285787</v>
      </c>
      <c r="AN873">
        <v>-19.63247099999996</v>
      </c>
      <c r="AO873">
        <v>-43.904964174285787</v>
      </c>
      <c r="AP873">
        <v>-19.632463999999999</v>
      </c>
      <c r="AQ873">
        <v>-43.904927999999998</v>
      </c>
      <c r="AR873">
        <v>3.8720457500200469</v>
      </c>
      <c r="AS873" t="s">
        <v>65</v>
      </c>
      <c r="AT873">
        <v>1</v>
      </c>
      <c r="AU873" t="s">
        <v>82</v>
      </c>
      <c r="AV873" t="s">
        <v>83</v>
      </c>
      <c r="AW873" t="s">
        <v>60</v>
      </c>
      <c r="AX873" t="s">
        <v>68</v>
      </c>
      <c r="AY873" t="s">
        <v>69</v>
      </c>
      <c r="AZ873" t="b">
        <v>1</v>
      </c>
    </row>
    <row r="874" spans="1:52" x14ac:dyDescent="0.3">
      <c r="A874" t="s">
        <v>52</v>
      </c>
      <c r="B874" t="s">
        <v>53</v>
      </c>
      <c r="C874" t="s">
        <v>54</v>
      </c>
      <c r="D874" t="s">
        <v>55</v>
      </c>
      <c r="E874" t="s">
        <v>803</v>
      </c>
      <c r="F874" t="s">
        <v>57</v>
      </c>
      <c r="G874" t="s">
        <v>97</v>
      </c>
      <c r="H874" t="s">
        <v>98</v>
      </c>
      <c r="I874" t="s">
        <v>98</v>
      </c>
      <c r="J874" t="s">
        <v>60</v>
      </c>
      <c r="K874" t="s">
        <v>99</v>
      </c>
      <c r="L874" t="s">
        <v>62</v>
      </c>
      <c r="M874" t="s">
        <v>99</v>
      </c>
      <c r="N874" t="s">
        <v>100</v>
      </c>
      <c r="O874" t="s">
        <v>101</v>
      </c>
      <c r="P874">
        <v>-19.629822000000001</v>
      </c>
      <c r="Q874">
        <v>-43.905341</v>
      </c>
      <c r="R874" s="2" t="str">
        <f>HYPERLINK("https://www.google.com/maps?q=-19.6298220,-43.9053410","Abrir no Google Maps")</f>
        <v>Abrir no Google Maps</v>
      </c>
      <c r="S874">
        <v>4</v>
      </c>
      <c r="T874">
        <v>441.30597341744129</v>
      </c>
      <c r="U874">
        <v>4</v>
      </c>
      <c r="V874">
        <v>0.38027279176968931</v>
      </c>
      <c r="W874">
        <v>1</v>
      </c>
      <c r="X874">
        <v>0.38027279176968931</v>
      </c>
      <c r="Y874">
        <v>10</v>
      </c>
      <c r="Z874">
        <v>513.56493751010987</v>
      </c>
      <c r="AA874">
        <v>2</v>
      </c>
      <c r="AB874">
        <v>3</v>
      </c>
      <c r="AC874">
        <v>7</v>
      </c>
      <c r="AD874">
        <v>26.01</v>
      </c>
      <c r="AE874">
        <v>253</v>
      </c>
      <c r="AF874">
        <v>18</v>
      </c>
      <c r="AG874">
        <v>58</v>
      </c>
      <c r="AH874">
        <v>32</v>
      </c>
      <c r="AI874">
        <v>7.11</v>
      </c>
      <c r="AJ874">
        <v>22.92</v>
      </c>
      <c r="AK874">
        <v>12.65</v>
      </c>
      <c r="AL874">
        <v>-19.629671599999941</v>
      </c>
      <c r="AM874">
        <v>-43.905369597920988</v>
      </c>
      <c r="AN874">
        <v>-19.629671599999931</v>
      </c>
      <c r="AO874">
        <v>-43.905369597920988</v>
      </c>
      <c r="AP874">
        <v>-19.629822000000001</v>
      </c>
      <c r="AQ874">
        <v>-43.905341</v>
      </c>
      <c r="AR874">
        <v>17.008917699186132</v>
      </c>
      <c r="AS874" t="s">
        <v>65</v>
      </c>
      <c r="AT874">
        <v>1</v>
      </c>
      <c r="AU874" t="s">
        <v>102</v>
      </c>
      <c r="AV874" t="s">
        <v>103</v>
      </c>
      <c r="AW874" t="s">
        <v>60</v>
      </c>
      <c r="AX874" t="s">
        <v>68</v>
      </c>
      <c r="AY874" t="s">
        <v>69</v>
      </c>
      <c r="AZ874" t="b">
        <v>1</v>
      </c>
    </row>
    <row r="875" spans="1:52" x14ac:dyDescent="0.3">
      <c r="A875" t="s">
        <v>52</v>
      </c>
      <c r="B875" t="s">
        <v>53</v>
      </c>
      <c r="C875" t="s">
        <v>54</v>
      </c>
      <c r="D875" t="s">
        <v>55</v>
      </c>
      <c r="E875" t="s">
        <v>803</v>
      </c>
      <c r="F875" t="s">
        <v>57</v>
      </c>
      <c r="G875" t="s">
        <v>104</v>
      </c>
      <c r="H875" t="s">
        <v>105</v>
      </c>
      <c r="I875" t="s">
        <v>105</v>
      </c>
      <c r="J875" t="s">
        <v>60</v>
      </c>
      <c r="K875" t="s">
        <v>99</v>
      </c>
      <c r="L875" t="s">
        <v>62</v>
      </c>
      <c r="M875" t="s">
        <v>99</v>
      </c>
      <c r="N875" t="s">
        <v>106</v>
      </c>
      <c r="O875" t="s">
        <v>107</v>
      </c>
      <c r="P875">
        <v>-19.627993</v>
      </c>
      <c r="Q875">
        <v>-43.904820000000001</v>
      </c>
      <c r="R875" s="2" t="str">
        <f>HYPERLINK("https://www.google.com/maps?q=-19.6279930,-43.9048200","Abrir no Google Maps")</f>
        <v>Abrir no Google Maps</v>
      </c>
      <c r="S875">
        <v>4</v>
      </c>
      <c r="T875">
        <v>573.16526621674666</v>
      </c>
      <c r="U875">
        <v>4</v>
      </c>
      <c r="V875">
        <v>0.41652846733205467</v>
      </c>
      <c r="W875">
        <v>1</v>
      </c>
      <c r="X875">
        <v>0.41652846733205467</v>
      </c>
      <c r="Y875">
        <v>7</v>
      </c>
      <c r="Z875">
        <v>659.04372306144853</v>
      </c>
      <c r="AA875">
        <v>2</v>
      </c>
      <c r="AB875">
        <v>3</v>
      </c>
      <c r="AC875">
        <v>7</v>
      </c>
      <c r="AD875">
        <v>26.01</v>
      </c>
      <c r="AE875">
        <v>253</v>
      </c>
      <c r="AF875">
        <v>18</v>
      </c>
      <c r="AG875">
        <v>58</v>
      </c>
      <c r="AH875">
        <v>32</v>
      </c>
      <c r="AI875">
        <v>7.11</v>
      </c>
      <c r="AJ875">
        <v>22.92</v>
      </c>
      <c r="AK875">
        <v>12.65</v>
      </c>
      <c r="AL875">
        <v>-19.627956249999951</v>
      </c>
      <c r="AM875">
        <v>-43.904807634206207</v>
      </c>
      <c r="AN875">
        <v>-19.627956249999951</v>
      </c>
      <c r="AO875">
        <v>-43.904807634206207</v>
      </c>
      <c r="AP875">
        <v>-19.627993</v>
      </c>
      <c r="AQ875">
        <v>-43.904820000000001</v>
      </c>
      <c r="AR875">
        <v>4.291557430205998</v>
      </c>
      <c r="AS875" t="s">
        <v>65</v>
      </c>
      <c r="AT875">
        <v>1</v>
      </c>
      <c r="AU875" t="s">
        <v>108</v>
      </c>
      <c r="AV875" t="s">
        <v>103</v>
      </c>
      <c r="AW875" t="s">
        <v>60</v>
      </c>
      <c r="AX875" t="s">
        <v>68</v>
      </c>
      <c r="AY875" t="s">
        <v>69</v>
      </c>
      <c r="AZ875" t="b">
        <v>1</v>
      </c>
    </row>
    <row r="876" spans="1:52" x14ac:dyDescent="0.3">
      <c r="A876" t="s">
        <v>52</v>
      </c>
      <c r="B876" t="s">
        <v>53</v>
      </c>
      <c r="C876" t="s">
        <v>54</v>
      </c>
      <c r="D876" t="s">
        <v>55</v>
      </c>
      <c r="E876" t="s">
        <v>803</v>
      </c>
      <c r="F876" t="s">
        <v>57</v>
      </c>
      <c r="G876" t="s">
        <v>183</v>
      </c>
      <c r="H876" t="s">
        <v>184</v>
      </c>
      <c r="I876" t="s">
        <v>184</v>
      </c>
      <c r="J876" t="s">
        <v>60</v>
      </c>
      <c r="K876" t="s">
        <v>185</v>
      </c>
      <c r="L876" t="s">
        <v>62</v>
      </c>
      <c r="M876" t="s">
        <v>185</v>
      </c>
      <c r="N876" t="s">
        <v>186</v>
      </c>
      <c r="O876" t="s">
        <v>187</v>
      </c>
      <c r="P876">
        <v>-19.628589000000002</v>
      </c>
      <c r="Q876">
        <v>-43.900232000000003</v>
      </c>
      <c r="R876" s="2" t="str">
        <f>HYPERLINK("https://www.google.com/maps?q=-19.6285890,-43.9002320","Abrir no Google Maps")</f>
        <v>Abrir no Google Maps</v>
      </c>
      <c r="S876">
        <v>4</v>
      </c>
      <c r="T876">
        <v>479.31588622283061</v>
      </c>
      <c r="U876">
        <v>4</v>
      </c>
      <c r="V876">
        <v>0.43845791004269519</v>
      </c>
      <c r="W876">
        <v>0.85</v>
      </c>
      <c r="X876">
        <v>0.37268922353629091</v>
      </c>
      <c r="Y876">
        <v>6</v>
      </c>
      <c r="Z876">
        <v>383.34726345998263</v>
      </c>
      <c r="AA876">
        <v>2</v>
      </c>
      <c r="AB876">
        <v>3</v>
      </c>
      <c r="AC876">
        <v>7</v>
      </c>
      <c r="AD876">
        <v>26.01</v>
      </c>
      <c r="AE876">
        <v>253</v>
      </c>
      <c r="AF876">
        <v>18</v>
      </c>
      <c r="AG876">
        <v>58</v>
      </c>
      <c r="AH876">
        <v>32</v>
      </c>
      <c r="AI876">
        <v>7.11</v>
      </c>
      <c r="AJ876">
        <v>22.92</v>
      </c>
      <c r="AK876">
        <v>12.65</v>
      </c>
      <c r="AL876">
        <v>-19.628813749999949</v>
      </c>
      <c r="AM876">
        <v>-43.90066394563523</v>
      </c>
      <c r="AN876">
        <v>-19.628813749999949</v>
      </c>
      <c r="AO876">
        <v>-43.90066394563523</v>
      </c>
      <c r="AP876">
        <v>-19.628589000000002</v>
      </c>
      <c r="AQ876">
        <v>-43.900232000000003</v>
      </c>
      <c r="AR876">
        <v>51.741071441894853</v>
      </c>
      <c r="AS876" t="s">
        <v>65</v>
      </c>
      <c r="AT876">
        <v>1</v>
      </c>
      <c r="AU876" t="s">
        <v>188</v>
      </c>
      <c r="AV876" t="s">
        <v>189</v>
      </c>
      <c r="AW876" t="s">
        <v>60</v>
      </c>
      <c r="AX876" t="s">
        <v>68</v>
      </c>
      <c r="AY876" t="s">
        <v>69</v>
      </c>
      <c r="AZ876" t="b">
        <v>1</v>
      </c>
    </row>
    <row r="877" spans="1:52" x14ac:dyDescent="0.3">
      <c r="A877" t="s">
        <v>52</v>
      </c>
      <c r="B877" t="s">
        <v>53</v>
      </c>
      <c r="C877" t="s">
        <v>54</v>
      </c>
      <c r="D877" t="s">
        <v>55</v>
      </c>
      <c r="E877" t="s">
        <v>803</v>
      </c>
      <c r="F877" t="s">
        <v>57</v>
      </c>
      <c r="G877" t="s">
        <v>109</v>
      </c>
      <c r="H877" t="s">
        <v>110</v>
      </c>
      <c r="I877" t="s">
        <v>110</v>
      </c>
      <c r="J877" t="s">
        <v>60</v>
      </c>
      <c r="K877" t="s">
        <v>111</v>
      </c>
      <c r="L877" t="s">
        <v>62</v>
      </c>
      <c r="M877" t="s">
        <v>111</v>
      </c>
      <c r="N877" t="s">
        <v>112</v>
      </c>
      <c r="O877" t="s">
        <v>113</v>
      </c>
      <c r="P877">
        <v>-19.654686000000002</v>
      </c>
      <c r="Q877">
        <v>-43.907240000000002</v>
      </c>
      <c r="R877" s="2" t="str">
        <f>HYPERLINK("https://www.google.com/maps?q=-19.6546860,-43.9072400","Abrir no Google Maps")</f>
        <v>Abrir no Google Maps</v>
      </c>
      <c r="S877">
        <v>4</v>
      </c>
      <c r="T877">
        <v>824.24450564548704</v>
      </c>
      <c r="U877">
        <v>4</v>
      </c>
      <c r="V877">
        <v>0.42518843952440222</v>
      </c>
      <c r="W877">
        <v>1</v>
      </c>
      <c r="X877">
        <v>0.42518843952440222</v>
      </c>
      <c r="Y877">
        <v>4</v>
      </c>
      <c r="Z877">
        <v>524.70106879290392</v>
      </c>
      <c r="AA877">
        <v>2</v>
      </c>
      <c r="AB877">
        <v>3</v>
      </c>
      <c r="AC877">
        <v>7</v>
      </c>
      <c r="AD877">
        <v>26.01</v>
      </c>
      <c r="AE877">
        <v>253</v>
      </c>
      <c r="AF877">
        <v>18</v>
      </c>
      <c r="AG877">
        <v>58</v>
      </c>
      <c r="AH877">
        <v>32</v>
      </c>
      <c r="AI877">
        <v>7.11</v>
      </c>
      <c r="AJ877">
        <v>22.92</v>
      </c>
      <c r="AK877">
        <v>12.65</v>
      </c>
      <c r="AL877">
        <v>-19.65511684999996</v>
      </c>
      <c r="AM877">
        <v>-43.905662999837993</v>
      </c>
      <c r="AN877">
        <v>-19.65511684999996</v>
      </c>
      <c r="AO877">
        <v>-43.905662999837993</v>
      </c>
      <c r="AP877">
        <v>-19.654686000000002</v>
      </c>
      <c r="AQ877">
        <v>-43.907240000000002</v>
      </c>
      <c r="AR877">
        <v>172.13969981835351</v>
      </c>
      <c r="AS877" t="s">
        <v>65</v>
      </c>
      <c r="AT877">
        <v>1</v>
      </c>
      <c r="AU877" t="s">
        <v>114</v>
      </c>
      <c r="AV877" t="s">
        <v>115</v>
      </c>
      <c r="AW877" t="s">
        <v>60</v>
      </c>
      <c r="AX877" t="s">
        <v>68</v>
      </c>
      <c r="AY877" t="s">
        <v>69</v>
      </c>
      <c r="AZ877" t="b">
        <v>1</v>
      </c>
    </row>
    <row r="878" spans="1:52" x14ac:dyDescent="0.3">
      <c r="A878" t="s">
        <v>52</v>
      </c>
      <c r="B878" t="s">
        <v>53</v>
      </c>
      <c r="C878" t="s">
        <v>54</v>
      </c>
      <c r="D878" t="s">
        <v>55</v>
      </c>
      <c r="E878" t="s">
        <v>803</v>
      </c>
      <c r="F878" t="s">
        <v>57</v>
      </c>
      <c r="G878" t="s">
        <v>190</v>
      </c>
      <c r="H878" t="s">
        <v>191</v>
      </c>
      <c r="I878" t="s">
        <v>191</v>
      </c>
      <c r="J878" t="s">
        <v>60</v>
      </c>
      <c r="K878" t="s">
        <v>192</v>
      </c>
      <c r="L878" t="s">
        <v>62</v>
      </c>
      <c r="M878" t="s">
        <v>192</v>
      </c>
      <c r="N878" t="s">
        <v>193</v>
      </c>
      <c r="O878" t="s">
        <v>194</v>
      </c>
      <c r="P878">
        <v>-19.654112000000001</v>
      </c>
      <c r="Q878">
        <v>-43.910761999999998</v>
      </c>
      <c r="R878" s="2" t="str">
        <f>HYPERLINK("https://www.google.com/maps?q=-19.6541120,-43.9107620","Abrir no Google Maps")</f>
        <v>Abrir no Google Maps</v>
      </c>
      <c r="S878">
        <v>4</v>
      </c>
      <c r="T878">
        <v>1080.0524626304521</v>
      </c>
      <c r="U878">
        <v>4</v>
      </c>
      <c r="V878">
        <v>0.37589690215117449</v>
      </c>
      <c r="W878">
        <v>1</v>
      </c>
      <c r="X878">
        <v>0.37589690215117449</v>
      </c>
      <c r="Y878">
        <v>4</v>
      </c>
      <c r="Z878">
        <v>666.99022879086885</v>
      </c>
      <c r="AA878">
        <v>2</v>
      </c>
      <c r="AB878">
        <v>3</v>
      </c>
      <c r="AC878">
        <v>7</v>
      </c>
      <c r="AD878">
        <v>26.01</v>
      </c>
      <c r="AE878">
        <v>253</v>
      </c>
      <c r="AF878">
        <v>18</v>
      </c>
      <c r="AG878">
        <v>58</v>
      </c>
      <c r="AH878">
        <v>32</v>
      </c>
      <c r="AI878">
        <v>7.11</v>
      </c>
      <c r="AJ878">
        <v>22.92</v>
      </c>
      <c r="AK878">
        <v>12.65</v>
      </c>
      <c r="AL878">
        <v>-19.653869149999959</v>
      </c>
      <c r="AM878">
        <v>-43.911142816432779</v>
      </c>
      <c r="AN878">
        <v>-19.653869149999959</v>
      </c>
      <c r="AO878">
        <v>-43.911142816432779</v>
      </c>
      <c r="AP878">
        <v>-19.654112000000001</v>
      </c>
      <c r="AQ878">
        <v>-43.910761999999998</v>
      </c>
      <c r="AR878">
        <v>48.214810864237499</v>
      </c>
      <c r="AS878" t="s">
        <v>65</v>
      </c>
      <c r="AT878">
        <v>1</v>
      </c>
      <c r="AU878" t="s">
        <v>195</v>
      </c>
      <c r="AV878" t="s">
        <v>196</v>
      </c>
      <c r="AW878" t="s">
        <v>60</v>
      </c>
      <c r="AX878" t="s">
        <v>68</v>
      </c>
      <c r="AY878" t="s">
        <v>69</v>
      </c>
      <c r="AZ878" t="b">
        <v>1</v>
      </c>
    </row>
    <row r="879" spans="1:52" x14ac:dyDescent="0.3">
      <c r="A879" t="s">
        <v>52</v>
      </c>
      <c r="B879" t="s">
        <v>53</v>
      </c>
      <c r="C879" t="s">
        <v>54</v>
      </c>
      <c r="D879" t="s">
        <v>55</v>
      </c>
      <c r="E879" t="s">
        <v>803</v>
      </c>
      <c r="F879" t="s">
        <v>57</v>
      </c>
      <c r="G879" t="s">
        <v>116</v>
      </c>
      <c r="H879" t="s">
        <v>117</v>
      </c>
      <c r="I879" t="s">
        <v>117</v>
      </c>
      <c r="J879" t="s">
        <v>60</v>
      </c>
      <c r="K879" t="s">
        <v>118</v>
      </c>
      <c r="L879" t="s">
        <v>62</v>
      </c>
      <c r="M879" t="s">
        <v>118</v>
      </c>
      <c r="N879" t="s">
        <v>119</v>
      </c>
      <c r="O879" t="s">
        <v>120</v>
      </c>
      <c r="P879">
        <v>-19.663869999999999</v>
      </c>
      <c r="Q879">
        <v>-43.904916999999998</v>
      </c>
      <c r="R879" s="2" t="str">
        <f>HYPERLINK("https://www.google.com/maps?q=-19.6638700,-43.9049170","Abrir no Google Maps")</f>
        <v>Abrir no Google Maps</v>
      </c>
      <c r="S879">
        <v>4</v>
      </c>
      <c r="T879">
        <v>0</v>
      </c>
      <c r="U879">
        <v>4</v>
      </c>
      <c r="V879">
        <v>0.4747454894813995</v>
      </c>
      <c r="W879">
        <v>1</v>
      </c>
      <c r="X879">
        <v>0.4747454894813995</v>
      </c>
      <c r="Y879">
        <v>4</v>
      </c>
      <c r="Z879">
        <v>1169.476938179705</v>
      </c>
      <c r="AA879">
        <v>2</v>
      </c>
      <c r="AB879">
        <v>3</v>
      </c>
      <c r="AC879">
        <v>7</v>
      </c>
      <c r="AD879">
        <v>26.01</v>
      </c>
      <c r="AE879">
        <v>253</v>
      </c>
      <c r="AF879">
        <v>18</v>
      </c>
      <c r="AG879">
        <v>58</v>
      </c>
      <c r="AH879">
        <v>32</v>
      </c>
      <c r="AI879">
        <v>7.11</v>
      </c>
      <c r="AJ879">
        <v>22.92</v>
      </c>
      <c r="AK879">
        <v>12.65</v>
      </c>
      <c r="AL879">
        <v>-19.657063599999962</v>
      </c>
      <c r="AM879">
        <v>-43.898074976464507</v>
      </c>
      <c r="AN879">
        <v>-19.657063599999962</v>
      </c>
      <c r="AO879">
        <v>-43.898074976464507</v>
      </c>
      <c r="AP879">
        <v>-19.663869999999999</v>
      </c>
      <c r="AQ879">
        <v>-43.904916999999998</v>
      </c>
      <c r="AR879">
        <v>1043.3426220355029</v>
      </c>
      <c r="AS879" t="s">
        <v>65</v>
      </c>
      <c r="AT879">
        <v>1</v>
      </c>
      <c r="AU879" t="s">
        <v>121</v>
      </c>
      <c r="AV879" t="s">
        <v>122</v>
      </c>
      <c r="AW879" t="s">
        <v>60</v>
      </c>
      <c r="AX879" t="s">
        <v>68</v>
      </c>
      <c r="AY879" t="s">
        <v>69</v>
      </c>
      <c r="AZ879" t="b">
        <v>1</v>
      </c>
    </row>
    <row r="880" spans="1:52" x14ac:dyDescent="0.3">
      <c r="A880" t="s">
        <v>52</v>
      </c>
      <c r="B880" t="s">
        <v>53</v>
      </c>
      <c r="C880" t="s">
        <v>54</v>
      </c>
      <c r="D880" t="s">
        <v>55</v>
      </c>
      <c r="E880" t="s">
        <v>803</v>
      </c>
      <c r="F880" t="s">
        <v>57</v>
      </c>
      <c r="G880" t="s">
        <v>204</v>
      </c>
      <c r="H880" t="s">
        <v>205</v>
      </c>
      <c r="I880" t="s">
        <v>205</v>
      </c>
      <c r="J880" t="s">
        <v>60</v>
      </c>
      <c r="K880" t="s">
        <v>171</v>
      </c>
      <c r="L880" t="s">
        <v>62</v>
      </c>
      <c r="M880" t="s">
        <v>171</v>
      </c>
      <c r="N880" t="s">
        <v>206</v>
      </c>
      <c r="O880" t="s">
        <v>207</v>
      </c>
      <c r="P880">
        <v>-19.674109000000001</v>
      </c>
      <c r="Q880">
        <v>-43.890711000000003</v>
      </c>
      <c r="R880" s="2" t="str">
        <f>HYPERLINK("https://www.google.com/maps?q=-19.6741090,-43.8907110","Abrir no Google Maps")</f>
        <v>Abrir no Google Maps</v>
      </c>
      <c r="S880">
        <v>4</v>
      </c>
      <c r="T880">
        <v>396.53059443764772</v>
      </c>
      <c r="U880">
        <v>4</v>
      </c>
      <c r="V880">
        <v>0.37630910914318771</v>
      </c>
      <c r="W880">
        <v>1</v>
      </c>
      <c r="X880">
        <v>0.37630910914318771</v>
      </c>
      <c r="Y880">
        <v>3</v>
      </c>
      <c r="Z880">
        <v>499.22520255557538</v>
      </c>
      <c r="AA880">
        <v>2</v>
      </c>
      <c r="AB880">
        <v>3</v>
      </c>
      <c r="AC880">
        <v>7</v>
      </c>
      <c r="AD880">
        <v>26.01</v>
      </c>
      <c r="AE880">
        <v>253</v>
      </c>
      <c r="AF880">
        <v>18</v>
      </c>
      <c r="AG880">
        <v>58</v>
      </c>
      <c r="AH880">
        <v>32</v>
      </c>
      <c r="AI880">
        <v>7.11</v>
      </c>
      <c r="AJ880">
        <v>22.92</v>
      </c>
      <c r="AK880">
        <v>12.65</v>
      </c>
      <c r="AL880">
        <v>-19.67362479999997</v>
      </c>
      <c r="AM880">
        <v>-43.89068378253377</v>
      </c>
      <c r="AN880">
        <v>-19.67362479999997</v>
      </c>
      <c r="AO880">
        <v>-43.89068378253377</v>
      </c>
      <c r="AP880">
        <v>-19.674109000000001</v>
      </c>
      <c r="AQ880">
        <v>-43.890711000000003</v>
      </c>
      <c r="AR880">
        <v>53.976595260276227</v>
      </c>
      <c r="AS880" t="s">
        <v>65</v>
      </c>
      <c r="AT880">
        <v>1</v>
      </c>
      <c r="AU880" t="s">
        <v>208</v>
      </c>
      <c r="AV880" t="s">
        <v>209</v>
      </c>
      <c r="AW880" t="s">
        <v>60</v>
      </c>
      <c r="AX880" t="s">
        <v>68</v>
      </c>
      <c r="AY880" t="s">
        <v>69</v>
      </c>
      <c r="AZ880" t="b">
        <v>1</v>
      </c>
    </row>
    <row r="881" spans="1:52" x14ac:dyDescent="0.3">
      <c r="A881" t="s">
        <v>52</v>
      </c>
      <c r="B881" t="s">
        <v>53</v>
      </c>
      <c r="C881" t="s">
        <v>54</v>
      </c>
      <c r="D881" t="s">
        <v>55</v>
      </c>
      <c r="E881" t="s">
        <v>803</v>
      </c>
      <c r="F881" t="s">
        <v>57</v>
      </c>
      <c r="G881" t="s">
        <v>123</v>
      </c>
      <c r="H881" t="s">
        <v>124</v>
      </c>
      <c r="I881" t="s">
        <v>124</v>
      </c>
      <c r="J881" t="s">
        <v>60</v>
      </c>
      <c r="K881" t="s">
        <v>72</v>
      </c>
      <c r="L881" t="s">
        <v>62</v>
      </c>
      <c r="M881" t="s">
        <v>72</v>
      </c>
      <c r="N881" t="s">
        <v>125</v>
      </c>
      <c r="O881" t="s">
        <v>126</v>
      </c>
      <c r="P881">
        <v>-19.634015000000002</v>
      </c>
      <c r="Q881">
        <v>-43.918776000000001</v>
      </c>
      <c r="R881" s="2" t="str">
        <f>HYPERLINK("https://www.google.com/maps?q=-19.6340150,-43.9187760","Abrir no Google Maps")</f>
        <v>Abrir no Google Maps</v>
      </c>
      <c r="S881">
        <v>4</v>
      </c>
      <c r="T881">
        <v>525.62818365919122</v>
      </c>
      <c r="U881">
        <v>4</v>
      </c>
      <c r="V881">
        <v>0.47387630363857142</v>
      </c>
      <c r="W881">
        <v>1</v>
      </c>
      <c r="X881">
        <v>0.47387630363857142</v>
      </c>
      <c r="Y881">
        <v>3</v>
      </c>
      <c r="Z881">
        <v>474.91441433808131</v>
      </c>
      <c r="AA881">
        <v>2</v>
      </c>
      <c r="AB881">
        <v>3</v>
      </c>
      <c r="AC881">
        <v>7</v>
      </c>
      <c r="AD881">
        <v>26.01</v>
      </c>
      <c r="AE881">
        <v>253</v>
      </c>
      <c r="AF881">
        <v>18</v>
      </c>
      <c r="AG881">
        <v>58</v>
      </c>
      <c r="AH881">
        <v>32</v>
      </c>
      <c r="AI881">
        <v>7.11</v>
      </c>
      <c r="AJ881">
        <v>22.92</v>
      </c>
      <c r="AK881">
        <v>12.65</v>
      </c>
      <c r="AL881">
        <v>-19.63405809999994</v>
      </c>
      <c r="AM881">
        <v>-43.919666391328043</v>
      </c>
      <c r="AN881">
        <v>-19.63405809999994</v>
      </c>
      <c r="AO881">
        <v>-43.919666391328029</v>
      </c>
      <c r="AP881">
        <v>-19.634015000000002</v>
      </c>
      <c r="AQ881">
        <v>-43.918776000000001</v>
      </c>
      <c r="AR881">
        <v>93.478621134470259</v>
      </c>
      <c r="AS881" t="s">
        <v>65</v>
      </c>
      <c r="AT881">
        <v>1</v>
      </c>
      <c r="AU881" t="s">
        <v>127</v>
      </c>
      <c r="AV881" t="s">
        <v>128</v>
      </c>
      <c r="AW881" t="s">
        <v>60</v>
      </c>
      <c r="AX881" t="s">
        <v>68</v>
      </c>
      <c r="AY881" t="s">
        <v>69</v>
      </c>
      <c r="AZ881" t="b">
        <v>1</v>
      </c>
    </row>
    <row r="882" spans="1:52" x14ac:dyDescent="0.3">
      <c r="A882" t="s">
        <v>52</v>
      </c>
      <c r="B882" t="s">
        <v>53</v>
      </c>
      <c r="C882" t="s">
        <v>54</v>
      </c>
      <c r="D882" t="s">
        <v>55</v>
      </c>
      <c r="E882" t="s">
        <v>803</v>
      </c>
      <c r="F882" t="s">
        <v>57</v>
      </c>
      <c r="G882" t="s">
        <v>129</v>
      </c>
      <c r="H882" t="s">
        <v>130</v>
      </c>
      <c r="I882" t="s">
        <v>130</v>
      </c>
      <c r="J882" t="s">
        <v>60</v>
      </c>
      <c r="K882" t="s">
        <v>131</v>
      </c>
      <c r="L882" t="s">
        <v>62</v>
      </c>
      <c r="M882" t="s">
        <v>131</v>
      </c>
      <c r="N882" t="s">
        <v>132</v>
      </c>
      <c r="O882" t="s">
        <v>133</v>
      </c>
      <c r="P882">
        <v>-19.632088</v>
      </c>
      <c r="Q882">
        <v>-43.916114999999998</v>
      </c>
      <c r="R882" s="2" t="str">
        <f>HYPERLINK("https://www.google.com/maps?q=-19.6320880,-43.9161150","Abrir no Google Maps")</f>
        <v>Abrir no Google Maps</v>
      </c>
      <c r="S882">
        <v>4</v>
      </c>
      <c r="T882">
        <v>566.5346232632869</v>
      </c>
      <c r="U882">
        <v>4</v>
      </c>
      <c r="V882">
        <v>0.50172147006272361</v>
      </c>
      <c r="W882">
        <v>1</v>
      </c>
      <c r="X882">
        <v>0.50172147006272361</v>
      </c>
      <c r="Y882">
        <v>3</v>
      </c>
      <c r="Z882">
        <v>488.06597434012792</v>
      </c>
      <c r="AA882">
        <v>2</v>
      </c>
      <c r="AB882">
        <v>3</v>
      </c>
      <c r="AC882">
        <v>7</v>
      </c>
      <c r="AD882">
        <v>26.01</v>
      </c>
      <c r="AE882">
        <v>253</v>
      </c>
      <c r="AF882">
        <v>18</v>
      </c>
      <c r="AG882">
        <v>58</v>
      </c>
      <c r="AH882">
        <v>32</v>
      </c>
      <c r="AI882">
        <v>7.11</v>
      </c>
      <c r="AJ882">
        <v>22.92</v>
      </c>
      <c r="AK882">
        <v>12.65</v>
      </c>
      <c r="AL882">
        <v>-19.632034449999939</v>
      </c>
      <c r="AM882">
        <v>-43.916174776913351</v>
      </c>
      <c r="AN882">
        <v>-19.632034449999939</v>
      </c>
      <c r="AO882">
        <v>-43.916174776913351</v>
      </c>
      <c r="AP882">
        <v>-19.632088</v>
      </c>
      <c r="AQ882">
        <v>-43.916114999999998</v>
      </c>
      <c r="AR882">
        <v>8.6497324882263911</v>
      </c>
      <c r="AS882" t="s">
        <v>65</v>
      </c>
      <c r="AT882">
        <v>1</v>
      </c>
      <c r="AU882" t="s">
        <v>134</v>
      </c>
      <c r="AV882" t="s">
        <v>135</v>
      </c>
      <c r="AW882" t="s">
        <v>60</v>
      </c>
      <c r="AX882" t="s">
        <v>68</v>
      </c>
      <c r="AY882" t="s">
        <v>69</v>
      </c>
      <c r="AZ882" t="b">
        <v>1</v>
      </c>
    </row>
    <row r="883" spans="1:52" x14ac:dyDescent="0.3">
      <c r="A883" t="s">
        <v>52</v>
      </c>
      <c r="B883" t="s">
        <v>53</v>
      </c>
      <c r="C883" t="s">
        <v>54</v>
      </c>
      <c r="D883" t="s">
        <v>55</v>
      </c>
      <c r="E883" t="s">
        <v>803</v>
      </c>
      <c r="F883" t="s">
        <v>57</v>
      </c>
      <c r="G883" t="s">
        <v>129</v>
      </c>
      <c r="H883" t="s">
        <v>136</v>
      </c>
      <c r="I883" t="s">
        <v>136</v>
      </c>
      <c r="J883" t="s">
        <v>60</v>
      </c>
      <c r="K883" t="s">
        <v>131</v>
      </c>
      <c r="L883" t="s">
        <v>62</v>
      </c>
      <c r="M883" t="s">
        <v>131</v>
      </c>
      <c r="N883" t="s">
        <v>132</v>
      </c>
      <c r="O883" t="s">
        <v>133</v>
      </c>
      <c r="P883">
        <v>-19.632290999999999</v>
      </c>
      <c r="Q883">
        <v>-43.916542999999997</v>
      </c>
      <c r="R883" s="2" t="str">
        <f>HYPERLINK("https://www.google.com/maps?q=-19.6322910,-43.9165430","Abrir no Google Maps")</f>
        <v>Abrir no Google Maps</v>
      </c>
      <c r="S883">
        <v>4</v>
      </c>
      <c r="T883">
        <v>556.95255545673058</v>
      </c>
      <c r="U883">
        <v>4</v>
      </c>
      <c r="V883">
        <v>0.49100324076854879</v>
      </c>
      <c r="W883">
        <v>1</v>
      </c>
      <c r="X883">
        <v>0.49100324076854879</v>
      </c>
      <c r="Y883">
        <v>3</v>
      </c>
      <c r="Z883">
        <v>479.66756878400719</v>
      </c>
      <c r="AA883">
        <v>2</v>
      </c>
      <c r="AB883">
        <v>3</v>
      </c>
      <c r="AC883">
        <v>7</v>
      </c>
      <c r="AD883">
        <v>26.01</v>
      </c>
      <c r="AE883">
        <v>253</v>
      </c>
      <c r="AF883">
        <v>18</v>
      </c>
      <c r="AG883">
        <v>58</v>
      </c>
      <c r="AH883">
        <v>32</v>
      </c>
      <c r="AI883">
        <v>7.11</v>
      </c>
      <c r="AJ883">
        <v>22.92</v>
      </c>
      <c r="AK883">
        <v>12.65</v>
      </c>
      <c r="AL883">
        <v>-19.63215424999996</v>
      </c>
      <c r="AM883">
        <v>-43.916542189528307</v>
      </c>
      <c r="AN883">
        <v>-19.63215424999996</v>
      </c>
      <c r="AO883">
        <v>-43.916542189528307</v>
      </c>
      <c r="AP883">
        <v>-19.632290999999999</v>
      </c>
      <c r="AQ883">
        <v>-43.916542999999997</v>
      </c>
      <c r="AR883">
        <v>15.22324717984722</v>
      </c>
      <c r="AS883" t="s">
        <v>65</v>
      </c>
      <c r="AT883">
        <v>1</v>
      </c>
      <c r="AU883" t="s">
        <v>137</v>
      </c>
      <c r="AV883" t="s">
        <v>138</v>
      </c>
      <c r="AW883" t="s">
        <v>60</v>
      </c>
      <c r="AX883" t="s">
        <v>68</v>
      </c>
      <c r="AY883" t="s">
        <v>69</v>
      </c>
      <c r="AZ883" t="b">
        <v>1</v>
      </c>
    </row>
    <row r="884" spans="1:52" x14ac:dyDescent="0.3">
      <c r="A884" t="s">
        <v>52</v>
      </c>
      <c r="B884" t="s">
        <v>53</v>
      </c>
      <c r="C884" t="s">
        <v>54</v>
      </c>
      <c r="D884" t="s">
        <v>55</v>
      </c>
      <c r="E884" t="s">
        <v>803</v>
      </c>
      <c r="F884" t="s">
        <v>57</v>
      </c>
      <c r="G884" t="s">
        <v>139</v>
      </c>
      <c r="H884" t="s">
        <v>140</v>
      </c>
      <c r="I884" t="s">
        <v>140</v>
      </c>
      <c r="J884" t="s">
        <v>60</v>
      </c>
      <c r="K884" t="s">
        <v>79</v>
      </c>
      <c r="L884" t="s">
        <v>62</v>
      </c>
      <c r="M884" t="s">
        <v>79</v>
      </c>
      <c r="N884" t="s">
        <v>141</v>
      </c>
      <c r="O884" t="s">
        <v>142</v>
      </c>
      <c r="P884">
        <v>-19.628888</v>
      </c>
      <c r="Q884">
        <v>-43.912554</v>
      </c>
      <c r="R884" s="2" t="str">
        <f>HYPERLINK("https://www.google.com/maps?q=-19.6288880,-43.9125540","Abrir no Google Maps")</f>
        <v>Abrir no Google Maps</v>
      </c>
      <c r="S884">
        <v>4</v>
      </c>
      <c r="T884">
        <v>1013.629555558835</v>
      </c>
      <c r="U884">
        <v>4</v>
      </c>
      <c r="V884">
        <v>0.55729664966443815</v>
      </c>
      <c r="W884">
        <v>0.85</v>
      </c>
      <c r="X884">
        <v>0.47370215221477241</v>
      </c>
      <c r="Y884">
        <v>3</v>
      </c>
      <c r="Z884">
        <v>950.42126394515765</v>
      </c>
      <c r="AA884">
        <v>2</v>
      </c>
      <c r="AB884">
        <v>3</v>
      </c>
      <c r="AC884">
        <v>7</v>
      </c>
      <c r="AD884">
        <v>26.01</v>
      </c>
      <c r="AE884">
        <v>253</v>
      </c>
      <c r="AF884">
        <v>18</v>
      </c>
      <c r="AG884">
        <v>58</v>
      </c>
      <c r="AH884">
        <v>32</v>
      </c>
      <c r="AI884">
        <v>7.11</v>
      </c>
      <c r="AJ884">
        <v>22.92</v>
      </c>
      <c r="AK884">
        <v>12.65</v>
      </c>
      <c r="AL884">
        <v>-19.628472899999959</v>
      </c>
      <c r="AM884">
        <v>-43.912746118821246</v>
      </c>
      <c r="AN884">
        <v>-19.628472899999959</v>
      </c>
      <c r="AO884">
        <v>-43.912746118821246</v>
      </c>
      <c r="AP884">
        <v>-19.628888</v>
      </c>
      <c r="AQ884">
        <v>-43.912554</v>
      </c>
      <c r="AR884">
        <v>50.408750888077009</v>
      </c>
      <c r="AS884" t="s">
        <v>65</v>
      </c>
      <c r="AT884">
        <v>1</v>
      </c>
      <c r="AU884" t="s">
        <v>143</v>
      </c>
      <c r="AV884" t="s">
        <v>144</v>
      </c>
      <c r="AW884" t="s">
        <v>60</v>
      </c>
      <c r="AX884" t="s">
        <v>68</v>
      </c>
      <c r="AY884" t="s">
        <v>69</v>
      </c>
      <c r="AZ884" t="b">
        <v>1</v>
      </c>
    </row>
    <row r="885" spans="1:52" x14ac:dyDescent="0.3">
      <c r="A885" t="s">
        <v>52</v>
      </c>
      <c r="B885" t="s">
        <v>53</v>
      </c>
      <c r="C885" t="s">
        <v>54</v>
      </c>
      <c r="D885" t="s">
        <v>55</v>
      </c>
      <c r="E885" t="s">
        <v>803</v>
      </c>
      <c r="F885" t="s">
        <v>57</v>
      </c>
      <c r="G885" t="s">
        <v>151</v>
      </c>
      <c r="H885" t="s">
        <v>152</v>
      </c>
      <c r="I885" t="s">
        <v>152</v>
      </c>
      <c r="J885" t="s">
        <v>60</v>
      </c>
      <c r="K885" t="s">
        <v>72</v>
      </c>
      <c r="L885" t="s">
        <v>62</v>
      </c>
      <c r="M885" t="s">
        <v>72</v>
      </c>
      <c r="N885" t="s">
        <v>153</v>
      </c>
      <c r="O885" t="s">
        <v>81</v>
      </c>
      <c r="P885">
        <v>-19.635065999999998</v>
      </c>
      <c r="Q885">
        <v>-43.916640000000001</v>
      </c>
      <c r="R885" s="2" t="str">
        <f>HYPERLINK("https://www.google.com/maps?q=-19.6350660,-43.9166400","Abrir no Google Maps")</f>
        <v>Abrir no Google Maps</v>
      </c>
      <c r="S885">
        <v>4</v>
      </c>
      <c r="T885">
        <v>245.09875796292749</v>
      </c>
      <c r="U885">
        <v>4</v>
      </c>
      <c r="V885">
        <v>0.38621796743225811</v>
      </c>
      <c r="W885">
        <v>1</v>
      </c>
      <c r="X885">
        <v>0.38621796743225811</v>
      </c>
      <c r="Y885">
        <v>3</v>
      </c>
      <c r="Z885">
        <v>207.74356419317499</v>
      </c>
      <c r="AA885">
        <v>2</v>
      </c>
      <c r="AB885">
        <v>3</v>
      </c>
      <c r="AC885">
        <v>7</v>
      </c>
      <c r="AD885">
        <v>26.01</v>
      </c>
      <c r="AE885">
        <v>253</v>
      </c>
      <c r="AF885">
        <v>18</v>
      </c>
      <c r="AG885">
        <v>58</v>
      </c>
      <c r="AH885">
        <v>32</v>
      </c>
      <c r="AI885">
        <v>7.11</v>
      </c>
      <c r="AJ885">
        <v>22.92</v>
      </c>
      <c r="AK885">
        <v>12.65</v>
      </c>
      <c r="AL885">
        <v>-19.63505579999995</v>
      </c>
      <c r="AM885">
        <v>-43.916633303072622</v>
      </c>
      <c r="AN885">
        <v>-19.63505579999995</v>
      </c>
      <c r="AO885">
        <v>-43.916633303072622</v>
      </c>
      <c r="AP885">
        <v>-19.635065999999998</v>
      </c>
      <c r="AQ885">
        <v>-43.916640000000001</v>
      </c>
      <c r="AR885">
        <v>1.335026849412978</v>
      </c>
      <c r="AS885" t="s">
        <v>65</v>
      </c>
      <c r="AT885">
        <v>1</v>
      </c>
      <c r="AU885" t="s">
        <v>154</v>
      </c>
      <c r="AV885" t="s">
        <v>155</v>
      </c>
      <c r="AW885" t="s">
        <v>60</v>
      </c>
      <c r="AX885" t="s">
        <v>68</v>
      </c>
      <c r="AY885" t="s">
        <v>69</v>
      </c>
      <c r="AZ885" t="b">
        <v>1</v>
      </c>
    </row>
    <row r="886" spans="1:52" x14ac:dyDescent="0.3">
      <c r="A886" t="s">
        <v>52</v>
      </c>
      <c r="B886" t="s">
        <v>53</v>
      </c>
      <c r="C886" t="s">
        <v>54</v>
      </c>
      <c r="D886" t="s">
        <v>55</v>
      </c>
      <c r="E886" t="s">
        <v>803</v>
      </c>
      <c r="F886" t="s">
        <v>57</v>
      </c>
      <c r="G886" t="s">
        <v>156</v>
      </c>
      <c r="H886" t="s">
        <v>157</v>
      </c>
      <c r="I886" t="s">
        <v>157</v>
      </c>
      <c r="J886" t="s">
        <v>60</v>
      </c>
      <c r="K886" t="s">
        <v>79</v>
      </c>
      <c r="L886" t="s">
        <v>62</v>
      </c>
      <c r="M886" t="s">
        <v>79</v>
      </c>
      <c r="N886" t="s">
        <v>158</v>
      </c>
      <c r="O886" t="s">
        <v>159</v>
      </c>
      <c r="P886">
        <v>-19.634687</v>
      </c>
      <c r="Q886">
        <v>-43.912925999999999</v>
      </c>
      <c r="R886" s="2" t="str">
        <f>HYPERLINK("https://www.google.com/maps?q=-19.6346870,-43.9129260","Abrir no Google Maps")</f>
        <v>Abrir no Google Maps</v>
      </c>
      <c r="S886">
        <v>4</v>
      </c>
      <c r="T886">
        <v>363.69725005634331</v>
      </c>
      <c r="U886">
        <v>4</v>
      </c>
      <c r="V886">
        <v>0.37655531098686001</v>
      </c>
      <c r="W886">
        <v>1</v>
      </c>
      <c r="X886">
        <v>0.37655531098686001</v>
      </c>
      <c r="Y886">
        <v>3</v>
      </c>
      <c r="Z886">
        <v>343.04088334900467</v>
      </c>
      <c r="AA886">
        <v>2</v>
      </c>
      <c r="AB886">
        <v>3</v>
      </c>
      <c r="AC886">
        <v>7</v>
      </c>
      <c r="AD886">
        <v>26.01</v>
      </c>
      <c r="AE886">
        <v>253</v>
      </c>
      <c r="AF886">
        <v>18</v>
      </c>
      <c r="AG886">
        <v>58</v>
      </c>
      <c r="AH886">
        <v>32</v>
      </c>
      <c r="AI886">
        <v>7.11</v>
      </c>
      <c r="AJ886">
        <v>22.92</v>
      </c>
      <c r="AK886">
        <v>12.65</v>
      </c>
      <c r="AL886">
        <v>-19.635145849999962</v>
      </c>
      <c r="AM886">
        <v>-43.913103387269381</v>
      </c>
      <c r="AN886">
        <v>-19.635145849999962</v>
      </c>
      <c r="AO886">
        <v>-43.913103387269381</v>
      </c>
      <c r="AP886">
        <v>-19.634687</v>
      </c>
      <c r="AQ886">
        <v>-43.912925999999999</v>
      </c>
      <c r="AR886">
        <v>54.359794849827942</v>
      </c>
      <c r="AS886" t="s">
        <v>65</v>
      </c>
      <c r="AT886">
        <v>1</v>
      </c>
      <c r="AU886" t="s">
        <v>160</v>
      </c>
      <c r="AV886" t="s">
        <v>161</v>
      </c>
      <c r="AW886" t="s">
        <v>60</v>
      </c>
      <c r="AX886" t="s">
        <v>68</v>
      </c>
      <c r="AY886" t="s">
        <v>69</v>
      </c>
      <c r="AZ886" t="b">
        <v>1</v>
      </c>
    </row>
    <row r="887" spans="1:52" x14ac:dyDescent="0.3">
      <c r="A887" t="s">
        <v>52</v>
      </c>
      <c r="B887" t="s">
        <v>53</v>
      </c>
      <c r="C887" t="s">
        <v>54</v>
      </c>
      <c r="D887" t="s">
        <v>55</v>
      </c>
      <c r="E887" t="s">
        <v>803</v>
      </c>
      <c r="F887" t="s">
        <v>57</v>
      </c>
      <c r="G887" t="s">
        <v>273</v>
      </c>
      <c r="H887" t="s">
        <v>274</v>
      </c>
      <c r="I887" t="s">
        <v>274</v>
      </c>
      <c r="J887" t="s">
        <v>60</v>
      </c>
      <c r="K887" t="s">
        <v>171</v>
      </c>
      <c r="L887" t="s">
        <v>62</v>
      </c>
      <c r="M887" t="s">
        <v>171</v>
      </c>
      <c r="N887" t="s">
        <v>275</v>
      </c>
      <c r="O887" t="s">
        <v>276</v>
      </c>
      <c r="P887">
        <v>-19.679956000000001</v>
      </c>
      <c r="Q887">
        <v>-43.888520999999997</v>
      </c>
      <c r="R887" s="2" t="str">
        <f>HYPERLINK("https://www.google.com/maps?q=-19.6799560,-43.8885210","Abrir no Google Maps")</f>
        <v>Abrir no Google Maps</v>
      </c>
      <c r="S887">
        <v>4</v>
      </c>
      <c r="T887">
        <v>346.2974251077423</v>
      </c>
      <c r="U887">
        <v>4</v>
      </c>
      <c r="V887">
        <v>0.36946863045004191</v>
      </c>
      <c r="W887">
        <v>1</v>
      </c>
      <c r="X887">
        <v>0.36946863045004191</v>
      </c>
      <c r="Y887">
        <v>0</v>
      </c>
      <c r="Z887">
        <v>223.68420981797229</v>
      </c>
      <c r="AA887">
        <v>2</v>
      </c>
      <c r="AB887">
        <v>3</v>
      </c>
      <c r="AC887">
        <v>7</v>
      </c>
      <c r="AD887">
        <v>26.01</v>
      </c>
      <c r="AE887">
        <v>253</v>
      </c>
      <c r="AF887">
        <v>18</v>
      </c>
      <c r="AG887">
        <v>58</v>
      </c>
      <c r="AH887">
        <v>32</v>
      </c>
      <c r="AI887">
        <v>7.11</v>
      </c>
      <c r="AJ887">
        <v>22.92</v>
      </c>
      <c r="AK887">
        <v>12.65</v>
      </c>
      <c r="AL887">
        <v>-19.67989189999998</v>
      </c>
      <c r="AM887">
        <v>-43.888485157753777</v>
      </c>
      <c r="AN887">
        <v>-19.67989189999998</v>
      </c>
      <c r="AO887">
        <v>-43.888485157753777</v>
      </c>
      <c r="AP887">
        <v>-19.679956000000001</v>
      </c>
      <c r="AQ887">
        <v>-43.888520999999997</v>
      </c>
      <c r="AR887">
        <v>8.0641961934087583</v>
      </c>
      <c r="AS887" t="s">
        <v>65</v>
      </c>
      <c r="AT887">
        <v>1</v>
      </c>
      <c r="AU887" t="s">
        <v>277</v>
      </c>
      <c r="AV887" t="s">
        <v>278</v>
      </c>
      <c r="AW887" t="s">
        <v>60</v>
      </c>
      <c r="AX887" t="s">
        <v>68</v>
      </c>
      <c r="AY887" t="s">
        <v>69</v>
      </c>
      <c r="AZ887" t="b">
        <v>1</v>
      </c>
    </row>
    <row r="888" spans="1:52" x14ac:dyDescent="0.3">
      <c r="A888" t="s">
        <v>52</v>
      </c>
      <c r="B888" t="s">
        <v>53</v>
      </c>
      <c r="C888" t="s">
        <v>54</v>
      </c>
      <c r="D888" t="s">
        <v>55</v>
      </c>
      <c r="E888" t="s">
        <v>803</v>
      </c>
      <c r="F888" t="s">
        <v>57</v>
      </c>
      <c r="G888" t="s">
        <v>169</v>
      </c>
      <c r="H888" t="s">
        <v>170</v>
      </c>
      <c r="I888" t="s">
        <v>170</v>
      </c>
      <c r="J888" t="s">
        <v>60</v>
      </c>
      <c r="K888" t="s">
        <v>171</v>
      </c>
      <c r="L888" t="s">
        <v>62</v>
      </c>
      <c r="M888" t="s">
        <v>171</v>
      </c>
      <c r="N888" t="s">
        <v>172</v>
      </c>
      <c r="O888" t="s">
        <v>173</v>
      </c>
      <c r="P888">
        <v>-19.676233</v>
      </c>
      <c r="Q888">
        <v>-43.88861</v>
      </c>
      <c r="R888" s="2" t="str">
        <f>HYPERLINK("https://www.google.com/maps?q=-19.6762330,-43.8886100","Abrir no Google Maps")</f>
        <v>Abrir no Google Maps</v>
      </c>
      <c r="S888">
        <v>4</v>
      </c>
      <c r="T888">
        <v>209.5772620412292</v>
      </c>
      <c r="U888">
        <v>4</v>
      </c>
      <c r="V888">
        <v>0.3884119949515083</v>
      </c>
      <c r="W888">
        <v>1</v>
      </c>
      <c r="X888">
        <v>0.3884119949515083</v>
      </c>
      <c r="Y888">
        <v>0</v>
      </c>
      <c r="Z888">
        <v>194.26571923644971</v>
      </c>
      <c r="AA888">
        <v>2</v>
      </c>
      <c r="AB888">
        <v>3</v>
      </c>
      <c r="AC888">
        <v>7</v>
      </c>
      <c r="AD888">
        <v>26.01</v>
      </c>
      <c r="AE888">
        <v>253</v>
      </c>
      <c r="AF888">
        <v>18</v>
      </c>
      <c r="AG888">
        <v>58</v>
      </c>
      <c r="AH888">
        <v>32</v>
      </c>
      <c r="AI888">
        <v>7.11</v>
      </c>
      <c r="AJ888">
        <v>22.92</v>
      </c>
      <c r="AK888">
        <v>12.65</v>
      </c>
      <c r="AL888">
        <v>-19.676097449999961</v>
      </c>
      <c r="AM888">
        <v>-43.888455613153738</v>
      </c>
      <c r="AN888">
        <v>-19.676097449999961</v>
      </c>
      <c r="AO888">
        <v>-43.888455613153738</v>
      </c>
      <c r="AP888">
        <v>-19.676233</v>
      </c>
      <c r="AQ888">
        <v>-43.88861</v>
      </c>
      <c r="AR888">
        <v>22.126352434234079</v>
      </c>
      <c r="AS888" t="s">
        <v>65</v>
      </c>
      <c r="AT888">
        <v>1</v>
      </c>
      <c r="AU888" t="s">
        <v>174</v>
      </c>
      <c r="AV888" t="s">
        <v>175</v>
      </c>
      <c r="AW888" t="s">
        <v>60</v>
      </c>
      <c r="AX888" t="s">
        <v>68</v>
      </c>
      <c r="AY888" t="s">
        <v>69</v>
      </c>
      <c r="AZ888" t="b">
        <v>1</v>
      </c>
    </row>
    <row r="889" spans="1:52" x14ac:dyDescent="0.3">
      <c r="A889" t="s">
        <v>52</v>
      </c>
      <c r="B889" t="s">
        <v>53</v>
      </c>
      <c r="C889" t="s">
        <v>54</v>
      </c>
      <c r="D889" t="s">
        <v>55</v>
      </c>
      <c r="E889" t="s">
        <v>803</v>
      </c>
      <c r="F889" t="s">
        <v>176</v>
      </c>
      <c r="G889" t="s">
        <v>84</v>
      </c>
      <c r="H889" t="s">
        <v>85</v>
      </c>
      <c r="I889" t="s">
        <v>85</v>
      </c>
      <c r="J889" t="s">
        <v>60</v>
      </c>
      <c r="K889" t="s">
        <v>86</v>
      </c>
      <c r="L889" t="s">
        <v>62</v>
      </c>
      <c r="M889" t="s">
        <v>86</v>
      </c>
      <c r="N889" t="s">
        <v>87</v>
      </c>
      <c r="O889" t="s">
        <v>88</v>
      </c>
      <c r="P889">
        <v>-19.629436999999999</v>
      </c>
      <c r="Q889">
        <v>-43.910398999999998</v>
      </c>
      <c r="R889" s="2" t="str">
        <f>HYPERLINK("https://www.google.com/maps?q=-19.6294370,-43.9103990","Abrir no Google Maps")</f>
        <v>Abrir no Google Maps</v>
      </c>
      <c r="S889">
        <v>4</v>
      </c>
      <c r="T889">
        <v>888.82060643108082</v>
      </c>
      <c r="U889">
        <v>3</v>
      </c>
      <c r="V889">
        <v>0.36010756283401868</v>
      </c>
      <c r="W889">
        <v>1</v>
      </c>
      <c r="X889">
        <v>0.36010756283401868</v>
      </c>
      <c r="Y889">
        <v>10</v>
      </c>
      <c r="Z889">
        <v>867.42797341651737</v>
      </c>
      <c r="AA889">
        <v>2</v>
      </c>
      <c r="AB889">
        <v>3</v>
      </c>
      <c r="AC889">
        <v>7</v>
      </c>
      <c r="AD889">
        <v>26.01</v>
      </c>
      <c r="AE889">
        <v>253</v>
      </c>
      <c r="AF889">
        <v>18</v>
      </c>
      <c r="AG889">
        <v>58</v>
      </c>
      <c r="AH889">
        <v>32</v>
      </c>
      <c r="AI889">
        <v>7.11</v>
      </c>
      <c r="AJ889">
        <v>22.92</v>
      </c>
      <c r="AK889">
        <v>12.65</v>
      </c>
      <c r="AL889">
        <v>-19.62934694999996</v>
      </c>
      <c r="AM889">
        <v>-43.910344699357317</v>
      </c>
      <c r="AN889">
        <v>-19.62934694999996</v>
      </c>
      <c r="AO889">
        <v>-43.910344699357331</v>
      </c>
      <c r="AP889">
        <v>-19.629436999999999</v>
      </c>
      <c r="AQ889">
        <v>-43.910398999999998</v>
      </c>
      <c r="AR889">
        <v>11.52837377953678</v>
      </c>
      <c r="AS889" t="s">
        <v>65</v>
      </c>
      <c r="AT889">
        <v>1</v>
      </c>
      <c r="AU889" t="s">
        <v>89</v>
      </c>
      <c r="AV889" t="s">
        <v>90</v>
      </c>
      <c r="AW889" t="s">
        <v>60</v>
      </c>
      <c r="AX889" t="s">
        <v>68</v>
      </c>
      <c r="AY889" t="s">
        <v>69</v>
      </c>
      <c r="AZ889" t="b">
        <v>1</v>
      </c>
    </row>
    <row r="890" spans="1:52" x14ac:dyDescent="0.3">
      <c r="A890" t="s">
        <v>52</v>
      </c>
      <c r="B890" t="s">
        <v>53</v>
      </c>
      <c r="C890" t="s">
        <v>54</v>
      </c>
      <c r="D890" t="s">
        <v>55</v>
      </c>
      <c r="E890" t="s">
        <v>803</v>
      </c>
      <c r="F890" t="s">
        <v>176</v>
      </c>
      <c r="G890" t="s">
        <v>91</v>
      </c>
      <c r="H890" t="s">
        <v>92</v>
      </c>
      <c r="I890" t="s">
        <v>92</v>
      </c>
      <c r="J890" t="s">
        <v>60</v>
      </c>
      <c r="K890" t="s">
        <v>86</v>
      </c>
      <c r="L890" t="s">
        <v>62</v>
      </c>
      <c r="M890" t="s">
        <v>86</v>
      </c>
      <c r="N890" t="s">
        <v>93</v>
      </c>
      <c r="O890" t="s">
        <v>94</v>
      </c>
      <c r="P890">
        <v>-19.630676999999999</v>
      </c>
      <c r="Q890">
        <v>-43.907255999999997</v>
      </c>
      <c r="R890" s="2" t="str">
        <f>HYPERLINK("https://www.google.com/maps?q=-19.6306770,-43.9072560","Abrir no Google Maps")</f>
        <v>Abrir no Google Maps</v>
      </c>
      <c r="S890">
        <v>4</v>
      </c>
      <c r="T890">
        <v>545.39374622597825</v>
      </c>
      <c r="U890">
        <v>3</v>
      </c>
      <c r="V890">
        <v>0.36465421761474381</v>
      </c>
      <c r="W890">
        <v>1</v>
      </c>
      <c r="X890">
        <v>0.36465421761474381</v>
      </c>
      <c r="Y890">
        <v>10</v>
      </c>
      <c r="Z890">
        <v>559.94033759457182</v>
      </c>
      <c r="AA890">
        <v>2</v>
      </c>
      <c r="AB890">
        <v>3</v>
      </c>
      <c r="AC890">
        <v>7</v>
      </c>
      <c r="AD890">
        <v>26.01</v>
      </c>
      <c r="AE890">
        <v>253</v>
      </c>
      <c r="AF890">
        <v>18</v>
      </c>
      <c r="AG890">
        <v>58</v>
      </c>
      <c r="AH890">
        <v>32</v>
      </c>
      <c r="AI890">
        <v>7.11</v>
      </c>
      <c r="AJ890">
        <v>22.92</v>
      </c>
      <c r="AK890">
        <v>12.65</v>
      </c>
      <c r="AL890">
        <v>-19.630448649999941</v>
      </c>
      <c r="AM890">
        <v>-43.907268502495313</v>
      </c>
      <c r="AN890">
        <v>-19.630448649999941</v>
      </c>
      <c r="AO890">
        <v>-43.907268502495313</v>
      </c>
      <c r="AP890">
        <v>-19.630676999999999</v>
      </c>
      <c r="AQ890">
        <v>-43.907255999999997</v>
      </c>
      <c r="AR890">
        <v>25.453700276562468</v>
      </c>
      <c r="AS890" t="s">
        <v>65</v>
      </c>
      <c r="AT890">
        <v>1</v>
      </c>
      <c r="AU890" t="s">
        <v>95</v>
      </c>
      <c r="AV890" t="s">
        <v>96</v>
      </c>
      <c r="AW890" t="s">
        <v>60</v>
      </c>
      <c r="AX890" t="s">
        <v>68</v>
      </c>
      <c r="AY890" t="s">
        <v>69</v>
      </c>
      <c r="AZ890" t="b">
        <v>1</v>
      </c>
    </row>
    <row r="891" spans="1:52" x14ac:dyDescent="0.3">
      <c r="A891" t="s">
        <v>52</v>
      </c>
      <c r="B891" t="s">
        <v>53</v>
      </c>
      <c r="C891" t="s">
        <v>54</v>
      </c>
      <c r="D891" t="s">
        <v>55</v>
      </c>
      <c r="E891" t="s">
        <v>803</v>
      </c>
      <c r="F891" t="s">
        <v>176</v>
      </c>
      <c r="G891" t="s">
        <v>177</v>
      </c>
      <c r="H891" t="s">
        <v>178</v>
      </c>
      <c r="I891" t="s">
        <v>178</v>
      </c>
      <c r="J891" t="s">
        <v>60</v>
      </c>
      <c r="K891" t="s">
        <v>179</v>
      </c>
      <c r="L891" t="s">
        <v>62</v>
      </c>
      <c r="M891" t="s">
        <v>179</v>
      </c>
      <c r="N891" t="s">
        <v>180</v>
      </c>
      <c r="O891" t="s">
        <v>120</v>
      </c>
      <c r="P891">
        <v>-19.651526</v>
      </c>
      <c r="Q891">
        <v>-43.891382999999998</v>
      </c>
      <c r="R891" s="2" t="str">
        <f>HYPERLINK("https://www.google.com/maps?q=-19.6515260,-43.8913830","Abrir no Google Maps")</f>
        <v>Abrir no Google Maps</v>
      </c>
      <c r="S891">
        <v>4</v>
      </c>
      <c r="T891">
        <v>925.67779296789433</v>
      </c>
      <c r="U891">
        <v>3</v>
      </c>
      <c r="V891">
        <v>0.36189458028036342</v>
      </c>
      <c r="W891">
        <v>1</v>
      </c>
      <c r="X891">
        <v>0.36189458028036342</v>
      </c>
      <c r="Y891">
        <v>7</v>
      </c>
      <c r="Z891">
        <v>1193.102297436121</v>
      </c>
      <c r="AA891">
        <v>2</v>
      </c>
      <c r="AB891">
        <v>3</v>
      </c>
      <c r="AC891">
        <v>7</v>
      </c>
      <c r="AD891">
        <v>26.01</v>
      </c>
      <c r="AE891">
        <v>253</v>
      </c>
      <c r="AF891">
        <v>18</v>
      </c>
      <c r="AG891">
        <v>58</v>
      </c>
      <c r="AH891">
        <v>32</v>
      </c>
      <c r="AI891">
        <v>7.11</v>
      </c>
      <c r="AJ891">
        <v>22.92</v>
      </c>
      <c r="AK891">
        <v>12.65</v>
      </c>
      <c r="AL891">
        <v>-19.651590199999958</v>
      </c>
      <c r="AM891">
        <v>-43.891399191449963</v>
      </c>
      <c r="AN891">
        <v>-19.651590199999958</v>
      </c>
      <c r="AO891">
        <v>-43.891399191449963</v>
      </c>
      <c r="AP891">
        <v>-19.651526</v>
      </c>
      <c r="AQ891">
        <v>-43.891382999999998</v>
      </c>
      <c r="AR891">
        <v>7.3455622550785931</v>
      </c>
      <c r="AS891" t="s">
        <v>65</v>
      </c>
      <c r="AT891">
        <v>1</v>
      </c>
      <c r="AU891" t="s">
        <v>181</v>
      </c>
      <c r="AV891" t="s">
        <v>182</v>
      </c>
      <c r="AW891" t="s">
        <v>60</v>
      </c>
      <c r="AX891" t="s">
        <v>68</v>
      </c>
      <c r="AY891" t="s">
        <v>69</v>
      </c>
      <c r="AZ891" t="b">
        <v>1</v>
      </c>
    </row>
    <row r="892" spans="1:52" x14ac:dyDescent="0.3">
      <c r="A892" t="s">
        <v>52</v>
      </c>
      <c r="B892" t="s">
        <v>53</v>
      </c>
      <c r="C892" t="s">
        <v>54</v>
      </c>
      <c r="D892" t="s">
        <v>55</v>
      </c>
      <c r="E892" t="s">
        <v>803</v>
      </c>
      <c r="F892" t="s">
        <v>176</v>
      </c>
      <c r="G892" t="s">
        <v>197</v>
      </c>
      <c r="H892" t="s">
        <v>198</v>
      </c>
      <c r="I892" t="s">
        <v>198</v>
      </c>
      <c r="J892" t="s">
        <v>60</v>
      </c>
      <c r="K892" t="s">
        <v>199</v>
      </c>
      <c r="L892" t="s">
        <v>62</v>
      </c>
      <c r="M892" t="s">
        <v>199</v>
      </c>
      <c r="N892" t="s">
        <v>200</v>
      </c>
      <c r="O892" t="s">
        <v>201</v>
      </c>
      <c r="P892">
        <v>-19.639250000000001</v>
      </c>
      <c r="Q892">
        <v>-43.916449999999998</v>
      </c>
      <c r="R892" s="2" t="str">
        <f>HYPERLINK("https://www.google.com/maps?q=-19.6392500,-43.9164500","Abrir no Google Maps")</f>
        <v>Abrir no Google Maps</v>
      </c>
      <c r="S892">
        <v>4</v>
      </c>
      <c r="T892">
        <v>249.46350881074861</v>
      </c>
      <c r="U892">
        <v>3</v>
      </c>
      <c r="V892">
        <v>0.35686065492752578</v>
      </c>
      <c r="W892">
        <v>1</v>
      </c>
      <c r="X892">
        <v>0.35686065492752578</v>
      </c>
      <c r="Y892">
        <v>3</v>
      </c>
      <c r="Z892">
        <v>267.54148787490578</v>
      </c>
      <c r="AA892">
        <v>2</v>
      </c>
      <c r="AB892">
        <v>3</v>
      </c>
      <c r="AC892">
        <v>7</v>
      </c>
      <c r="AD892">
        <v>26.01</v>
      </c>
      <c r="AE892">
        <v>253</v>
      </c>
      <c r="AF892">
        <v>18</v>
      </c>
      <c r="AG892">
        <v>58</v>
      </c>
      <c r="AH892">
        <v>32</v>
      </c>
      <c r="AI892">
        <v>7.11</v>
      </c>
      <c r="AJ892">
        <v>22.92</v>
      </c>
      <c r="AK892">
        <v>12.65</v>
      </c>
      <c r="AL892">
        <v>-19.639331149999951</v>
      </c>
      <c r="AM892">
        <v>-43.916434187886892</v>
      </c>
      <c r="AN892">
        <v>-19.639331149999951</v>
      </c>
      <c r="AO892">
        <v>-43.916434187886892</v>
      </c>
      <c r="AP892">
        <v>-19.639250000000001</v>
      </c>
      <c r="AQ892">
        <v>-43.916449999999998</v>
      </c>
      <c r="AR892">
        <v>9.1844750188843953</v>
      </c>
      <c r="AS892" t="s">
        <v>65</v>
      </c>
      <c r="AT892">
        <v>1</v>
      </c>
      <c r="AU892" t="s">
        <v>202</v>
      </c>
      <c r="AV892" t="s">
        <v>203</v>
      </c>
      <c r="AW892" t="s">
        <v>60</v>
      </c>
      <c r="AX892" t="s">
        <v>68</v>
      </c>
      <c r="AY892" t="s">
        <v>69</v>
      </c>
      <c r="AZ892" t="b">
        <v>1</v>
      </c>
    </row>
    <row r="893" spans="1:52" x14ac:dyDescent="0.3">
      <c r="A893" t="s">
        <v>52</v>
      </c>
      <c r="B893" t="s">
        <v>53</v>
      </c>
      <c r="C893" t="s">
        <v>54</v>
      </c>
      <c r="D893" t="s">
        <v>55</v>
      </c>
      <c r="E893" t="s">
        <v>803</v>
      </c>
      <c r="F893" t="s">
        <v>176</v>
      </c>
      <c r="G893" t="s">
        <v>145</v>
      </c>
      <c r="H893" t="s">
        <v>146</v>
      </c>
      <c r="I893" t="s">
        <v>146</v>
      </c>
      <c r="J893" t="s">
        <v>60</v>
      </c>
      <c r="K893" t="s">
        <v>147</v>
      </c>
      <c r="L893" t="s">
        <v>62</v>
      </c>
      <c r="M893" t="s">
        <v>147</v>
      </c>
      <c r="N893" t="s">
        <v>148</v>
      </c>
      <c r="O893" t="s">
        <v>81</v>
      </c>
      <c r="P893">
        <v>-19.629356999999999</v>
      </c>
      <c r="Q893">
        <v>-43.916857</v>
      </c>
      <c r="R893" s="2" t="str">
        <f>HYPERLINK("https://www.google.com/maps?q=-19.6293570,-43.9168570","Abrir no Google Maps")</f>
        <v>Abrir no Google Maps</v>
      </c>
      <c r="S893">
        <v>4</v>
      </c>
      <c r="T893">
        <v>834.49898564045827</v>
      </c>
      <c r="U893">
        <v>3</v>
      </c>
      <c r="V893">
        <v>0.36204081970391178</v>
      </c>
      <c r="W893">
        <v>1</v>
      </c>
      <c r="X893">
        <v>0.36204081970391178</v>
      </c>
      <c r="Y893">
        <v>3</v>
      </c>
      <c r="Z893">
        <v>774.2841152512085</v>
      </c>
      <c r="AA893">
        <v>2</v>
      </c>
      <c r="AB893">
        <v>3</v>
      </c>
      <c r="AC893">
        <v>7</v>
      </c>
      <c r="AD893">
        <v>26.01</v>
      </c>
      <c r="AE893">
        <v>253</v>
      </c>
      <c r="AF893">
        <v>18</v>
      </c>
      <c r="AG893">
        <v>58</v>
      </c>
      <c r="AH893">
        <v>32</v>
      </c>
      <c r="AI893">
        <v>7.11</v>
      </c>
      <c r="AJ893">
        <v>22.92</v>
      </c>
      <c r="AK893">
        <v>12.65</v>
      </c>
      <c r="AL893">
        <v>-19.62962324999998</v>
      </c>
      <c r="AM893">
        <v>-43.916419823634037</v>
      </c>
      <c r="AN893">
        <v>-19.62962324999998</v>
      </c>
      <c r="AO893">
        <v>-43.916419823634051</v>
      </c>
      <c r="AP893">
        <v>-19.629356999999999</v>
      </c>
      <c r="AQ893">
        <v>-43.916857</v>
      </c>
      <c r="AR893">
        <v>54.585757388798442</v>
      </c>
      <c r="AS893" t="s">
        <v>65</v>
      </c>
      <c r="AT893">
        <v>1</v>
      </c>
      <c r="AU893" t="s">
        <v>149</v>
      </c>
      <c r="AV893" t="s">
        <v>150</v>
      </c>
      <c r="AW893" t="s">
        <v>60</v>
      </c>
      <c r="AX893" t="s">
        <v>68</v>
      </c>
      <c r="AY893" t="s">
        <v>69</v>
      </c>
      <c r="AZ893" t="b">
        <v>1</v>
      </c>
    </row>
    <row r="894" spans="1:52" x14ac:dyDescent="0.3">
      <c r="A894" t="s">
        <v>52</v>
      </c>
      <c r="B894" t="s">
        <v>53</v>
      </c>
      <c r="C894" t="s">
        <v>54</v>
      </c>
      <c r="D894" t="s">
        <v>55</v>
      </c>
      <c r="E894" t="s">
        <v>803</v>
      </c>
      <c r="F894" t="s">
        <v>176</v>
      </c>
      <c r="G894" t="s">
        <v>217</v>
      </c>
      <c r="H894" t="s">
        <v>218</v>
      </c>
      <c r="I894" t="s">
        <v>218</v>
      </c>
      <c r="J894" t="s">
        <v>60</v>
      </c>
      <c r="K894" t="s">
        <v>219</v>
      </c>
      <c r="L894" t="s">
        <v>62</v>
      </c>
      <c r="M894" t="s">
        <v>219</v>
      </c>
      <c r="N894" t="s">
        <v>220</v>
      </c>
      <c r="O894" t="s">
        <v>221</v>
      </c>
      <c r="P894">
        <v>-19.668924000000001</v>
      </c>
      <c r="Q894">
        <v>-43.888824</v>
      </c>
      <c r="R894" s="2" t="str">
        <f>HYPERLINK("https://www.google.com/maps?q=-19.6689240,-43.8888240","Abrir no Google Maps")</f>
        <v>Abrir no Google Maps</v>
      </c>
      <c r="S894">
        <v>4</v>
      </c>
      <c r="T894">
        <v>911.82770913869297</v>
      </c>
      <c r="U894">
        <v>3</v>
      </c>
      <c r="V894">
        <v>0.35574095595373689</v>
      </c>
      <c r="W894">
        <v>1</v>
      </c>
      <c r="X894">
        <v>0.35574095595373689</v>
      </c>
      <c r="Y894">
        <v>3</v>
      </c>
      <c r="Z894">
        <v>306.43809582423751</v>
      </c>
      <c r="AA894">
        <v>2</v>
      </c>
      <c r="AB894">
        <v>3</v>
      </c>
      <c r="AC894">
        <v>7</v>
      </c>
      <c r="AD894">
        <v>26.01</v>
      </c>
      <c r="AE894">
        <v>253</v>
      </c>
      <c r="AF894">
        <v>18</v>
      </c>
      <c r="AG894">
        <v>58</v>
      </c>
      <c r="AH894">
        <v>32</v>
      </c>
      <c r="AI894">
        <v>7.11</v>
      </c>
      <c r="AJ894">
        <v>22.92</v>
      </c>
      <c r="AK894">
        <v>12.65</v>
      </c>
      <c r="AL894">
        <v>-19.669015399999981</v>
      </c>
      <c r="AM894">
        <v>-43.88883436988452</v>
      </c>
      <c r="AN894">
        <v>-19.669015399999971</v>
      </c>
      <c r="AO894">
        <v>-43.88883436988452</v>
      </c>
      <c r="AP894">
        <v>-19.668924000000001</v>
      </c>
      <c r="AQ894">
        <v>-43.888824</v>
      </c>
      <c r="AR894">
        <v>10.23254983885769</v>
      </c>
      <c r="AS894" t="s">
        <v>65</v>
      </c>
      <c r="AT894">
        <v>1</v>
      </c>
      <c r="AU894" t="s">
        <v>222</v>
      </c>
      <c r="AV894" t="s">
        <v>223</v>
      </c>
      <c r="AW894" t="s">
        <v>60</v>
      </c>
      <c r="AX894" t="s">
        <v>68</v>
      </c>
      <c r="AY894" t="s">
        <v>69</v>
      </c>
      <c r="AZ894" t="b">
        <v>1</v>
      </c>
    </row>
    <row r="895" spans="1:52" x14ac:dyDescent="0.3">
      <c r="A895" t="s">
        <v>52</v>
      </c>
      <c r="B895" t="s">
        <v>53</v>
      </c>
      <c r="C895" t="s">
        <v>54</v>
      </c>
      <c r="D895" t="s">
        <v>55</v>
      </c>
      <c r="E895" t="s">
        <v>803</v>
      </c>
      <c r="F895" t="s">
        <v>176</v>
      </c>
      <c r="G895" t="s">
        <v>197</v>
      </c>
      <c r="H895" t="s">
        <v>224</v>
      </c>
      <c r="I895" t="s">
        <v>224</v>
      </c>
      <c r="J895" t="s">
        <v>60</v>
      </c>
      <c r="K895" t="s">
        <v>199</v>
      </c>
      <c r="L895" t="s">
        <v>62</v>
      </c>
      <c r="M895" t="s">
        <v>199</v>
      </c>
      <c r="N895" t="s">
        <v>200</v>
      </c>
      <c r="O895" t="s">
        <v>225</v>
      </c>
      <c r="P895">
        <v>-19.637217</v>
      </c>
      <c r="Q895">
        <v>-43.916117</v>
      </c>
      <c r="R895" s="2" t="str">
        <f>HYPERLINK("https://www.google.com/maps?q=-19.6372170,-43.9161170","Abrir no Google Maps")</f>
        <v>Abrir no Google Maps</v>
      </c>
      <c r="S895">
        <v>4</v>
      </c>
      <c r="T895">
        <v>0</v>
      </c>
      <c r="U895">
        <v>3</v>
      </c>
      <c r="V895">
        <v>0.3673815983184674</v>
      </c>
      <c r="W895">
        <v>1</v>
      </c>
      <c r="X895">
        <v>0.3673815983184674</v>
      </c>
      <c r="Y895">
        <v>3</v>
      </c>
      <c r="Z895">
        <v>94.289538231800577</v>
      </c>
      <c r="AA895">
        <v>2</v>
      </c>
      <c r="AB895">
        <v>3</v>
      </c>
      <c r="AC895">
        <v>7</v>
      </c>
      <c r="AD895">
        <v>26.01</v>
      </c>
      <c r="AE895">
        <v>253</v>
      </c>
      <c r="AF895">
        <v>18</v>
      </c>
      <c r="AG895">
        <v>58</v>
      </c>
      <c r="AH895">
        <v>32</v>
      </c>
      <c r="AI895">
        <v>7.11</v>
      </c>
      <c r="AJ895">
        <v>22.92</v>
      </c>
      <c r="AK895">
        <v>12.65</v>
      </c>
      <c r="AL895">
        <v>-19.63714454999996</v>
      </c>
      <c r="AM895">
        <v>-43.915856532303224</v>
      </c>
      <c r="AN895">
        <v>-19.63714454999996</v>
      </c>
      <c r="AO895">
        <v>-43.915856532303224</v>
      </c>
      <c r="AP895">
        <v>-19.637217</v>
      </c>
      <c r="AQ895">
        <v>-43.916117</v>
      </c>
      <c r="AR895">
        <v>28.47493692061667</v>
      </c>
      <c r="AS895" t="s">
        <v>65</v>
      </c>
      <c r="AT895">
        <v>1</v>
      </c>
      <c r="AU895" t="s">
        <v>226</v>
      </c>
      <c r="AV895" t="s">
        <v>227</v>
      </c>
      <c r="AW895" t="s">
        <v>60</v>
      </c>
      <c r="AX895" t="s">
        <v>68</v>
      </c>
      <c r="AY895" t="s">
        <v>69</v>
      </c>
      <c r="AZ895" t="b">
        <v>1</v>
      </c>
    </row>
    <row r="896" spans="1:52" x14ac:dyDescent="0.3">
      <c r="A896" t="s">
        <v>52</v>
      </c>
      <c r="B896" t="s">
        <v>53</v>
      </c>
      <c r="C896" t="s">
        <v>54</v>
      </c>
      <c r="D896" t="s">
        <v>55</v>
      </c>
      <c r="E896" t="s">
        <v>803</v>
      </c>
      <c r="F896" t="s">
        <v>176</v>
      </c>
      <c r="G896" t="s">
        <v>228</v>
      </c>
      <c r="H896" t="s">
        <v>229</v>
      </c>
      <c r="I896" t="s">
        <v>229</v>
      </c>
      <c r="J896" t="s">
        <v>60</v>
      </c>
      <c r="K896" t="s">
        <v>199</v>
      </c>
      <c r="L896" t="s">
        <v>62</v>
      </c>
      <c r="M896" t="s">
        <v>199</v>
      </c>
      <c r="N896" t="s">
        <v>230</v>
      </c>
      <c r="O896" t="s">
        <v>88</v>
      </c>
      <c r="P896">
        <v>-19.637703999999999</v>
      </c>
      <c r="Q896">
        <v>-43.913817999999999</v>
      </c>
      <c r="R896" s="2" t="str">
        <f>HYPERLINK("https://www.google.com/maps?q=-19.6377040,-43.9138180","Abrir no Google Maps")</f>
        <v>Abrir no Google Maps</v>
      </c>
      <c r="S896">
        <v>4</v>
      </c>
      <c r="T896">
        <v>216.67225021659709</v>
      </c>
      <c r="U896">
        <v>3</v>
      </c>
      <c r="V896">
        <v>0.35711197735123912</v>
      </c>
      <c r="W896">
        <v>1</v>
      </c>
      <c r="X896">
        <v>0.35711197735123912</v>
      </c>
      <c r="Y896">
        <v>3</v>
      </c>
      <c r="Z896">
        <v>250.25912407368671</v>
      </c>
      <c r="AA896">
        <v>2</v>
      </c>
      <c r="AB896">
        <v>3</v>
      </c>
      <c r="AC896">
        <v>7</v>
      </c>
      <c r="AD896">
        <v>26.01</v>
      </c>
      <c r="AE896">
        <v>253</v>
      </c>
      <c r="AF896">
        <v>18</v>
      </c>
      <c r="AG896">
        <v>58</v>
      </c>
      <c r="AH896">
        <v>32</v>
      </c>
      <c r="AI896">
        <v>7.11</v>
      </c>
      <c r="AJ896">
        <v>22.92</v>
      </c>
      <c r="AK896">
        <v>12.65</v>
      </c>
      <c r="AL896">
        <v>-19.637548049999939</v>
      </c>
      <c r="AM896">
        <v>-43.91383458447649</v>
      </c>
      <c r="AN896">
        <v>-19.637548049999939</v>
      </c>
      <c r="AO896">
        <v>-43.91383458447649</v>
      </c>
      <c r="AP896">
        <v>-19.637703999999999</v>
      </c>
      <c r="AQ896">
        <v>-43.913817999999999</v>
      </c>
      <c r="AR896">
        <v>17.44721566371809</v>
      </c>
      <c r="AS896" t="s">
        <v>65</v>
      </c>
      <c r="AT896">
        <v>1</v>
      </c>
      <c r="AU896" t="s">
        <v>231</v>
      </c>
      <c r="AV896" t="s">
        <v>232</v>
      </c>
      <c r="AW896" t="s">
        <v>60</v>
      </c>
      <c r="AX896" t="s">
        <v>68</v>
      </c>
      <c r="AY896" t="s">
        <v>69</v>
      </c>
      <c r="AZ896" t="b">
        <v>1</v>
      </c>
    </row>
    <row r="897" spans="1:52" x14ac:dyDescent="0.3">
      <c r="A897" t="s">
        <v>52</v>
      </c>
      <c r="B897" t="s">
        <v>53</v>
      </c>
      <c r="C897" t="s">
        <v>54</v>
      </c>
      <c r="D897" t="s">
        <v>55</v>
      </c>
      <c r="E897" t="s">
        <v>803</v>
      </c>
      <c r="F897" t="s">
        <v>176</v>
      </c>
      <c r="G897" t="s">
        <v>233</v>
      </c>
      <c r="H897" t="s">
        <v>234</v>
      </c>
      <c r="I897" t="s">
        <v>234</v>
      </c>
      <c r="J897" t="s">
        <v>60</v>
      </c>
      <c r="K897" t="s">
        <v>235</v>
      </c>
      <c r="L897" t="s">
        <v>62</v>
      </c>
      <c r="M897" t="s">
        <v>235</v>
      </c>
      <c r="N897" t="s">
        <v>236</v>
      </c>
      <c r="O897" t="s">
        <v>120</v>
      </c>
      <c r="P897">
        <v>-19.621310000000001</v>
      </c>
      <c r="Q897">
        <v>-43.919790999999996</v>
      </c>
      <c r="R897" s="2" t="str">
        <f>HYPERLINK("https://www.google.com/maps?q=-19.6213100,-43.9197910","Abrir no Google Maps")</f>
        <v>Abrir no Google Maps</v>
      </c>
      <c r="S897">
        <v>4</v>
      </c>
      <c r="T897">
        <v>1927.7454867197271</v>
      </c>
      <c r="U897">
        <v>3</v>
      </c>
      <c r="V897">
        <v>0.35523904368325382</v>
      </c>
      <c r="W897">
        <v>1</v>
      </c>
      <c r="X897">
        <v>0.35523904368325382</v>
      </c>
      <c r="Y897">
        <v>3</v>
      </c>
      <c r="Z897">
        <v>1860.010741524231</v>
      </c>
      <c r="AA897">
        <v>2</v>
      </c>
      <c r="AB897">
        <v>3</v>
      </c>
      <c r="AC897">
        <v>7</v>
      </c>
      <c r="AD897">
        <v>26.01</v>
      </c>
      <c r="AE897">
        <v>253</v>
      </c>
      <c r="AF897">
        <v>18</v>
      </c>
      <c r="AG897">
        <v>58</v>
      </c>
      <c r="AH897">
        <v>32</v>
      </c>
      <c r="AI897">
        <v>7.11</v>
      </c>
      <c r="AJ897">
        <v>22.92</v>
      </c>
      <c r="AK897">
        <v>12.65</v>
      </c>
      <c r="AL897">
        <v>-19.620273649999941</v>
      </c>
      <c r="AM897">
        <v>-43.920429283389112</v>
      </c>
      <c r="AN897">
        <v>-19.620273649999941</v>
      </c>
      <c r="AO897">
        <v>-43.920429283389112</v>
      </c>
      <c r="AP897">
        <v>-19.621310000000001</v>
      </c>
      <c r="AQ897">
        <v>-43.919790999999996</v>
      </c>
      <c r="AR897">
        <v>133.3747125733897</v>
      </c>
      <c r="AS897" t="s">
        <v>65</v>
      </c>
      <c r="AT897">
        <v>1</v>
      </c>
      <c r="AU897" t="s">
        <v>237</v>
      </c>
      <c r="AV897" t="s">
        <v>238</v>
      </c>
      <c r="AW897" t="s">
        <v>60</v>
      </c>
      <c r="AX897" t="s">
        <v>68</v>
      </c>
      <c r="AY897" t="s">
        <v>69</v>
      </c>
      <c r="AZ897" t="b">
        <v>1</v>
      </c>
    </row>
    <row r="898" spans="1:52" x14ac:dyDescent="0.3">
      <c r="A898" t="s">
        <v>52</v>
      </c>
      <c r="B898" t="s">
        <v>53</v>
      </c>
      <c r="C898" t="s">
        <v>54</v>
      </c>
      <c r="D898" t="s">
        <v>55</v>
      </c>
      <c r="E898" t="s">
        <v>803</v>
      </c>
      <c r="F898" t="s">
        <v>176</v>
      </c>
      <c r="G898" t="s">
        <v>239</v>
      </c>
      <c r="H898" t="s">
        <v>240</v>
      </c>
      <c r="I898" t="s">
        <v>240</v>
      </c>
      <c r="J898" t="s">
        <v>60</v>
      </c>
      <c r="K898" t="s">
        <v>241</v>
      </c>
      <c r="L898" t="s">
        <v>62</v>
      </c>
      <c r="M898" t="s">
        <v>241</v>
      </c>
      <c r="N898" t="s">
        <v>242</v>
      </c>
      <c r="O898" t="s">
        <v>243</v>
      </c>
      <c r="P898">
        <v>-19.64987</v>
      </c>
      <c r="Q898">
        <v>-43.901328999999997</v>
      </c>
      <c r="R898" s="2" t="str">
        <f>HYPERLINK("https://www.google.com/maps?q=-19.6498700,-43.9013290","Abrir no Google Maps")</f>
        <v>Abrir no Google Maps</v>
      </c>
      <c r="S898">
        <v>4</v>
      </c>
      <c r="T898">
        <v>379.88574886534309</v>
      </c>
      <c r="U898">
        <v>3</v>
      </c>
      <c r="V898">
        <v>0.36381574668132671</v>
      </c>
      <c r="W898">
        <v>1</v>
      </c>
      <c r="X898">
        <v>0.36381574668132671</v>
      </c>
      <c r="Y898">
        <v>1</v>
      </c>
      <c r="Z898">
        <v>442.33649591135162</v>
      </c>
      <c r="AA898">
        <v>2</v>
      </c>
      <c r="AB898">
        <v>3</v>
      </c>
      <c r="AC898">
        <v>7</v>
      </c>
      <c r="AD898">
        <v>26.01</v>
      </c>
      <c r="AE898">
        <v>253</v>
      </c>
      <c r="AF898">
        <v>18</v>
      </c>
      <c r="AG898">
        <v>58</v>
      </c>
      <c r="AH898">
        <v>32</v>
      </c>
      <c r="AI898">
        <v>7.11</v>
      </c>
      <c r="AJ898">
        <v>22.92</v>
      </c>
      <c r="AK898">
        <v>12.65</v>
      </c>
      <c r="AL898">
        <v>-19.64971674999995</v>
      </c>
      <c r="AM898">
        <v>-43.901441574655102</v>
      </c>
      <c r="AN898">
        <v>-19.64971674999995</v>
      </c>
      <c r="AO898">
        <v>-43.901441574655102</v>
      </c>
      <c r="AP898">
        <v>-19.64987</v>
      </c>
      <c r="AQ898">
        <v>-43.901328999999997</v>
      </c>
      <c r="AR898">
        <v>20.744262514610401</v>
      </c>
      <c r="AS898" t="s">
        <v>65</v>
      </c>
      <c r="AT898">
        <v>1</v>
      </c>
      <c r="AU898" t="s">
        <v>244</v>
      </c>
      <c r="AV898" t="s">
        <v>245</v>
      </c>
      <c r="AW898" t="s">
        <v>60</v>
      </c>
      <c r="AX898" t="s">
        <v>68</v>
      </c>
      <c r="AY898" t="s">
        <v>69</v>
      </c>
      <c r="AZ898" t="b">
        <v>1</v>
      </c>
    </row>
    <row r="899" spans="1:52" x14ac:dyDescent="0.3">
      <c r="A899" t="s">
        <v>52</v>
      </c>
      <c r="B899" t="s">
        <v>53</v>
      </c>
      <c r="C899" t="s">
        <v>54</v>
      </c>
      <c r="D899" t="s">
        <v>55</v>
      </c>
      <c r="E899" t="s">
        <v>803</v>
      </c>
      <c r="F899" t="s">
        <v>176</v>
      </c>
      <c r="G899" t="s">
        <v>246</v>
      </c>
      <c r="H899" t="s">
        <v>247</v>
      </c>
      <c r="I899" t="s">
        <v>247</v>
      </c>
      <c r="J899" t="s">
        <v>60</v>
      </c>
      <c r="K899" t="s">
        <v>164</v>
      </c>
      <c r="L899" t="s">
        <v>62</v>
      </c>
      <c r="M899" t="s">
        <v>164</v>
      </c>
      <c r="N899" t="s">
        <v>248</v>
      </c>
      <c r="O899" t="s">
        <v>249</v>
      </c>
      <c r="P899">
        <v>-19.6448</v>
      </c>
      <c r="Q899">
        <v>-43.901600999999999</v>
      </c>
      <c r="R899" s="2" t="str">
        <f>HYPERLINK("https://www.google.com/maps?q=-19.6448000,-43.9016010","Abrir no Google Maps")</f>
        <v>Abrir no Google Maps</v>
      </c>
      <c r="S899">
        <v>4</v>
      </c>
      <c r="T899">
        <v>317.869447308274</v>
      </c>
      <c r="U899">
        <v>3</v>
      </c>
      <c r="V899">
        <v>0.35193046976321191</v>
      </c>
      <c r="W899">
        <v>1</v>
      </c>
      <c r="X899">
        <v>0.35193046976321191</v>
      </c>
      <c r="Y899">
        <v>1</v>
      </c>
      <c r="Z899">
        <v>349.42631749673592</v>
      </c>
      <c r="AA899">
        <v>2</v>
      </c>
      <c r="AB899">
        <v>3</v>
      </c>
      <c r="AC899">
        <v>7</v>
      </c>
      <c r="AD899">
        <v>26.01</v>
      </c>
      <c r="AE899">
        <v>253</v>
      </c>
      <c r="AF899">
        <v>18</v>
      </c>
      <c r="AG899">
        <v>58</v>
      </c>
      <c r="AH899">
        <v>32</v>
      </c>
      <c r="AI899">
        <v>7.11</v>
      </c>
      <c r="AJ899">
        <v>22.92</v>
      </c>
      <c r="AK899">
        <v>12.65</v>
      </c>
      <c r="AL899">
        <v>-19.644877249999951</v>
      </c>
      <c r="AM899">
        <v>-43.901796079893373</v>
      </c>
      <c r="AN899">
        <v>-19.644877249999951</v>
      </c>
      <c r="AO899">
        <v>-43.901796079893373</v>
      </c>
      <c r="AP899">
        <v>-19.6448</v>
      </c>
      <c r="AQ899">
        <v>-43.901600999999999</v>
      </c>
      <c r="AR899">
        <v>22.186635956426102</v>
      </c>
      <c r="AS899" t="s">
        <v>65</v>
      </c>
      <c r="AT899">
        <v>1</v>
      </c>
      <c r="AU899" t="s">
        <v>250</v>
      </c>
      <c r="AV899" t="s">
        <v>251</v>
      </c>
      <c r="AW899" t="s">
        <v>60</v>
      </c>
      <c r="AX899" t="s">
        <v>68</v>
      </c>
      <c r="AY899" t="s">
        <v>69</v>
      </c>
      <c r="AZ899" t="b">
        <v>1</v>
      </c>
    </row>
    <row r="900" spans="1:52" x14ac:dyDescent="0.3">
      <c r="A900" t="s">
        <v>52</v>
      </c>
      <c r="B900" t="s">
        <v>53</v>
      </c>
      <c r="C900" t="s">
        <v>54</v>
      </c>
      <c r="D900" t="s">
        <v>55</v>
      </c>
      <c r="E900" t="s">
        <v>803</v>
      </c>
      <c r="F900" t="s">
        <v>176</v>
      </c>
      <c r="G900" t="s">
        <v>252</v>
      </c>
      <c r="H900" t="s">
        <v>253</v>
      </c>
      <c r="I900" t="s">
        <v>253</v>
      </c>
      <c r="J900" t="s">
        <v>60</v>
      </c>
      <c r="K900" t="s">
        <v>164</v>
      </c>
      <c r="L900" t="s">
        <v>62</v>
      </c>
      <c r="M900" t="s">
        <v>164</v>
      </c>
      <c r="N900" t="s">
        <v>254</v>
      </c>
      <c r="O900" t="s">
        <v>255</v>
      </c>
      <c r="P900">
        <v>-19.652244</v>
      </c>
      <c r="Q900">
        <v>-43.906869</v>
      </c>
      <c r="R900" s="2" t="str">
        <f>HYPERLINK("https://www.google.com/maps?q=-19.6522440,-43.9068690","Abrir no Google Maps")</f>
        <v>Abrir no Google Maps</v>
      </c>
      <c r="S900">
        <v>4</v>
      </c>
      <c r="T900">
        <v>659.98887289357856</v>
      </c>
      <c r="U900">
        <v>3</v>
      </c>
      <c r="V900">
        <v>0.34776704954316262</v>
      </c>
      <c r="W900">
        <v>1</v>
      </c>
      <c r="X900">
        <v>0.34776704954316262</v>
      </c>
      <c r="Y900">
        <v>1</v>
      </c>
      <c r="Z900">
        <v>607.69009953455907</v>
      </c>
      <c r="AA900">
        <v>2</v>
      </c>
      <c r="AB900">
        <v>3</v>
      </c>
      <c r="AC900">
        <v>7</v>
      </c>
      <c r="AD900">
        <v>26.01</v>
      </c>
      <c r="AE900">
        <v>253</v>
      </c>
      <c r="AF900">
        <v>18</v>
      </c>
      <c r="AG900">
        <v>58</v>
      </c>
      <c r="AH900">
        <v>32</v>
      </c>
      <c r="AI900">
        <v>7.11</v>
      </c>
      <c r="AJ900">
        <v>22.92</v>
      </c>
      <c r="AK900">
        <v>12.65</v>
      </c>
      <c r="AL900">
        <v>-19.65225609999996</v>
      </c>
      <c r="AM900">
        <v>-43.906862663911163</v>
      </c>
      <c r="AN900">
        <v>-19.65225609999996</v>
      </c>
      <c r="AO900">
        <v>-43.906862663911149</v>
      </c>
      <c r="AP900">
        <v>-19.652244</v>
      </c>
      <c r="AQ900">
        <v>-43.906869</v>
      </c>
      <c r="AR900">
        <v>1.501852076897872</v>
      </c>
      <c r="AS900" t="s">
        <v>65</v>
      </c>
      <c r="AT900">
        <v>1</v>
      </c>
      <c r="AU900" t="s">
        <v>256</v>
      </c>
      <c r="AV900" t="s">
        <v>257</v>
      </c>
      <c r="AW900" t="s">
        <v>60</v>
      </c>
      <c r="AX900" t="s">
        <v>68</v>
      </c>
      <c r="AY900" t="s">
        <v>69</v>
      </c>
      <c r="AZ900" t="b">
        <v>1</v>
      </c>
    </row>
    <row r="901" spans="1:52" x14ac:dyDescent="0.3">
      <c r="A901" t="s">
        <v>52</v>
      </c>
      <c r="B901" t="s">
        <v>53</v>
      </c>
      <c r="C901" t="s">
        <v>54</v>
      </c>
      <c r="D901" t="s">
        <v>55</v>
      </c>
      <c r="E901" t="s">
        <v>803</v>
      </c>
      <c r="F901" t="s">
        <v>176</v>
      </c>
      <c r="G901" t="s">
        <v>258</v>
      </c>
      <c r="H901" t="s">
        <v>259</v>
      </c>
      <c r="I901" t="s">
        <v>259</v>
      </c>
      <c r="J901" t="s">
        <v>60</v>
      </c>
      <c r="K901" t="s">
        <v>192</v>
      </c>
      <c r="L901" t="s">
        <v>62</v>
      </c>
      <c r="M901" t="s">
        <v>192</v>
      </c>
      <c r="N901" t="s">
        <v>260</v>
      </c>
      <c r="O901" t="s">
        <v>261</v>
      </c>
      <c r="P901">
        <v>-19.651322</v>
      </c>
      <c r="Q901">
        <v>-43.909526999999997</v>
      </c>
      <c r="R901" s="2" t="str">
        <f>HYPERLINK("https://www.google.com/maps?q=-19.6513220,-43.9095270","Abrir no Google Maps")</f>
        <v>Abrir no Google Maps</v>
      </c>
      <c r="S901">
        <v>4</v>
      </c>
      <c r="T901">
        <v>818.75599819160288</v>
      </c>
      <c r="U901">
        <v>3</v>
      </c>
      <c r="V901">
        <v>0.35813246004793958</v>
      </c>
      <c r="W901">
        <v>1</v>
      </c>
      <c r="X901">
        <v>0.35813246004793958</v>
      </c>
      <c r="Y901">
        <v>1</v>
      </c>
      <c r="Z901">
        <v>730.53961508554767</v>
      </c>
      <c r="AA901">
        <v>2</v>
      </c>
      <c r="AB901">
        <v>3</v>
      </c>
      <c r="AC901">
        <v>7</v>
      </c>
      <c r="AD901">
        <v>26.01</v>
      </c>
      <c r="AE901">
        <v>253</v>
      </c>
      <c r="AF901">
        <v>18</v>
      </c>
      <c r="AG901">
        <v>58</v>
      </c>
      <c r="AH901">
        <v>32</v>
      </c>
      <c r="AI901">
        <v>7.11</v>
      </c>
      <c r="AJ901">
        <v>22.92</v>
      </c>
      <c r="AK901">
        <v>12.65</v>
      </c>
      <c r="AL901">
        <v>-19.65143184999997</v>
      </c>
      <c r="AM901">
        <v>-43.910059983056307</v>
      </c>
      <c r="AN901">
        <v>-19.65143184999997</v>
      </c>
      <c r="AO901">
        <v>-43.910059983056307</v>
      </c>
      <c r="AP901">
        <v>-19.651322</v>
      </c>
      <c r="AQ901">
        <v>-43.909526999999997</v>
      </c>
      <c r="AR901">
        <v>57.198416395481701</v>
      </c>
      <c r="AS901" t="s">
        <v>65</v>
      </c>
      <c r="AT901">
        <v>1</v>
      </c>
      <c r="AU901" t="s">
        <v>262</v>
      </c>
      <c r="AV901" t="s">
        <v>263</v>
      </c>
      <c r="AW901" t="s">
        <v>60</v>
      </c>
      <c r="AX901" t="s">
        <v>68</v>
      </c>
      <c r="AY901" t="s">
        <v>69</v>
      </c>
      <c r="AZ901" t="b">
        <v>1</v>
      </c>
    </row>
    <row r="902" spans="1:52" x14ac:dyDescent="0.3">
      <c r="A902" t="s">
        <v>52</v>
      </c>
      <c r="B902" t="s">
        <v>53</v>
      </c>
      <c r="C902" t="s">
        <v>54</v>
      </c>
      <c r="D902" t="s">
        <v>55</v>
      </c>
      <c r="E902" t="s">
        <v>803</v>
      </c>
      <c r="F902" t="s">
        <v>176</v>
      </c>
      <c r="G902" t="s">
        <v>217</v>
      </c>
      <c r="H902" t="s">
        <v>264</v>
      </c>
      <c r="I902" t="s">
        <v>264</v>
      </c>
      <c r="J902" t="s">
        <v>60</v>
      </c>
      <c r="K902" t="s">
        <v>219</v>
      </c>
      <c r="L902" t="s">
        <v>62</v>
      </c>
      <c r="M902" t="s">
        <v>219</v>
      </c>
      <c r="N902" t="s">
        <v>220</v>
      </c>
      <c r="O902" t="s">
        <v>265</v>
      </c>
      <c r="P902">
        <v>-19.668958</v>
      </c>
      <c r="Q902">
        <v>-43.890619999999998</v>
      </c>
      <c r="R902" s="2" t="str">
        <f>HYPERLINK("https://www.google.com/maps?q=-19.6689580,-43.8906200","Abrir no Google Maps")</f>
        <v>Abrir no Google Maps</v>
      </c>
      <c r="S902">
        <v>4</v>
      </c>
      <c r="T902">
        <v>893.53138484322108</v>
      </c>
      <c r="U902">
        <v>3</v>
      </c>
      <c r="V902">
        <v>0.35514407333388609</v>
      </c>
      <c r="W902">
        <v>1</v>
      </c>
      <c r="X902">
        <v>0.35514407333388609</v>
      </c>
      <c r="Y902">
        <v>1</v>
      </c>
      <c r="Z902">
        <v>336.68220024294959</v>
      </c>
      <c r="AA902">
        <v>2</v>
      </c>
      <c r="AB902">
        <v>3</v>
      </c>
      <c r="AC902">
        <v>7</v>
      </c>
      <c r="AD902">
        <v>26.01</v>
      </c>
      <c r="AE902">
        <v>253</v>
      </c>
      <c r="AF902">
        <v>18</v>
      </c>
      <c r="AG902">
        <v>58</v>
      </c>
      <c r="AH902">
        <v>32</v>
      </c>
      <c r="AI902">
        <v>7.11</v>
      </c>
      <c r="AJ902">
        <v>22.92</v>
      </c>
      <c r="AK902">
        <v>12.65</v>
      </c>
      <c r="AL902">
        <v>-19.669114549999961</v>
      </c>
      <c r="AM902">
        <v>-43.890740893526242</v>
      </c>
      <c r="AN902">
        <v>-19.669114549999961</v>
      </c>
      <c r="AO902">
        <v>-43.890740893526242</v>
      </c>
      <c r="AP902">
        <v>-19.668958</v>
      </c>
      <c r="AQ902">
        <v>-43.890619999999998</v>
      </c>
      <c r="AR902">
        <v>21.54764375256557</v>
      </c>
      <c r="AS902" t="s">
        <v>65</v>
      </c>
      <c r="AT902">
        <v>1</v>
      </c>
      <c r="AU902" t="s">
        <v>266</v>
      </c>
      <c r="AV902" t="s">
        <v>267</v>
      </c>
      <c r="AW902" t="s">
        <v>60</v>
      </c>
      <c r="AX902" t="s">
        <v>68</v>
      </c>
      <c r="AY902" t="s">
        <v>69</v>
      </c>
      <c r="AZ902" t="b">
        <v>1</v>
      </c>
    </row>
    <row r="903" spans="1:52" x14ac:dyDescent="0.3">
      <c r="A903" t="s">
        <v>52</v>
      </c>
      <c r="B903" t="s">
        <v>53</v>
      </c>
      <c r="C903" t="s">
        <v>54</v>
      </c>
      <c r="D903" t="s">
        <v>55</v>
      </c>
      <c r="E903" t="s">
        <v>803</v>
      </c>
      <c r="F903" t="s">
        <v>176</v>
      </c>
      <c r="G903" t="s">
        <v>268</v>
      </c>
      <c r="H903" t="s">
        <v>269</v>
      </c>
      <c r="I903" t="s">
        <v>269</v>
      </c>
      <c r="J903" t="s">
        <v>60</v>
      </c>
      <c r="K903" t="s">
        <v>164</v>
      </c>
      <c r="L903" t="s">
        <v>62</v>
      </c>
      <c r="M903" t="s">
        <v>164</v>
      </c>
      <c r="N903" t="s">
        <v>270</v>
      </c>
      <c r="O903" t="s">
        <v>113</v>
      </c>
      <c r="P903">
        <v>-19.648771</v>
      </c>
      <c r="Q903">
        <v>-43.903640000000003</v>
      </c>
      <c r="R903" s="2" t="str">
        <f>HYPERLINK("https://www.google.com/maps?q=-19.6487710,-43.9036400","Abrir no Google Maps")</f>
        <v>Abrir no Google Maps</v>
      </c>
      <c r="S903">
        <v>4</v>
      </c>
      <c r="T903">
        <v>206.63717887005251</v>
      </c>
      <c r="U903">
        <v>3</v>
      </c>
      <c r="V903">
        <v>0.3529537503858205</v>
      </c>
      <c r="W903">
        <v>1</v>
      </c>
      <c r="X903">
        <v>0.3529537503858205</v>
      </c>
      <c r="Y903">
        <v>1</v>
      </c>
      <c r="Z903">
        <v>200.80459056276209</v>
      </c>
      <c r="AA903">
        <v>2</v>
      </c>
      <c r="AB903">
        <v>3</v>
      </c>
      <c r="AC903">
        <v>7</v>
      </c>
      <c r="AD903">
        <v>26.01</v>
      </c>
      <c r="AE903">
        <v>253</v>
      </c>
      <c r="AF903">
        <v>18</v>
      </c>
      <c r="AG903">
        <v>58</v>
      </c>
      <c r="AH903">
        <v>32</v>
      </c>
      <c r="AI903">
        <v>7.11</v>
      </c>
      <c r="AJ903">
        <v>22.92</v>
      </c>
      <c r="AK903">
        <v>12.65</v>
      </c>
      <c r="AL903">
        <v>-19.648938299999969</v>
      </c>
      <c r="AM903">
        <v>-43.903687287450857</v>
      </c>
      <c r="AN903">
        <v>-19.648938299999969</v>
      </c>
      <c r="AO903">
        <v>-43.903687287450857</v>
      </c>
      <c r="AP903">
        <v>-19.648771</v>
      </c>
      <c r="AQ903">
        <v>-43.903640000000003</v>
      </c>
      <c r="AR903">
        <v>19.272369946853829</v>
      </c>
      <c r="AS903" t="s">
        <v>65</v>
      </c>
      <c r="AT903">
        <v>1</v>
      </c>
      <c r="AU903" t="s">
        <v>271</v>
      </c>
      <c r="AV903" t="s">
        <v>272</v>
      </c>
      <c r="AW903" t="s">
        <v>60</v>
      </c>
      <c r="AX903" t="s">
        <v>68</v>
      </c>
      <c r="AY903" t="s">
        <v>69</v>
      </c>
      <c r="AZ903" t="b">
        <v>1</v>
      </c>
    </row>
    <row r="904" spans="1:52" x14ac:dyDescent="0.3">
      <c r="A904" t="s">
        <v>52</v>
      </c>
      <c r="B904" t="s">
        <v>53</v>
      </c>
      <c r="C904" t="s">
        <v>54</v>
      </c>
      <c r="D904" t="s">
        <v>55</v>
      </c>
      <c r="E904" t="s">
        <v>803</v>
      </c>
      <c r="F904" t="s">
        <v>176</v>
      </c>
      <c r="G904" t="s">
        <v>162</v>
      </c>
      <c r="H904" t="s">
        <v>163</v>
      </c>
      <c r="I904" t="s">
        <v>163</v>
      </c>
      <c r="J904" t="s">
        <v>60</v>
      </c>
      <c r="K904" t="s">
        <v>164</v>
      </c>
      <c r="L904" t="s">
        <v>62</v>
      </c>
      <c r="M904" t="s">
        <v>164</v>
      </c>
      <c r="N904" t="s">
        <v>165</v>
      </c>
      <c r="O904" t="s">
        <v>166</v>
      </c>
      <c r="P904">
        <v>-19.650033000000001</v>
      </c>
      <c r="Q904">
        <v>-43.904634000000001</v>
      </c>
      <c r="R904" s="2" t="str">
        <f>HYPERLINK("https://www.google.com/maps?q=-19.6500330,-43.9046340","Abrir no Google Maps")</f>
        <v>Abrir no Google Maps</v>
      </c>
      <c r="S904">
        <v>4</v>
      </c>
      <c r="T904">
        <v>343.61469317865811</v>
      </c>
      <c r="U904">
        <v>3</v>
      </c>
      <c r="V904">
        <v>0.35670294335889191</v>
      </c>
      <c r="W904">
        <v>1</v>
      </c>
      <c r="X904">
        <v>0.35670294335889191</v>
      </c>
      <c r="Y904">
        <v>1</v>
      </c>
      <c r="Z904">
        <v>351.81960241626399</v>
      </c>
      <c r="AA904">
        <v>2</v>
      </c>
      <c r="AB904">
        <v>3</v>
      </c>
      <c r="AC904">
        <v>7</v>
      </c>
      <c r="AD904">
        <v>26.01</v>
      </c>
      <c r="AE904">
        <v>253</v>
      </c>
      <c r="AF904">
        <v>18</v>
      </c>
      <c r="AG904">
        <v>58</v>
      </c>
      <c r="AH904">
        <v>32</v>
      </c>
      <c r="AI904">
        <v>7.11</v>
      </c>
      <c r="AJ904">
        <v>22.92</v>
      </c>
      <c r="AK904">
        <v>12.65</v>
      </c>
      <c r="AL904">
        <v>-19.650065899999959</v>
      </c>
      <c r="AM904">
        <v>-43.904619920569793</v>
      </c>
      <c r="AN904">
        <v>-19.650065899999959</v>
      </c>
      <c r="AO904">
        <v>-43.904619920569793</v>
      </c>
      <c r="AP904">
        <v>-19.650033000000001</v>
      </c>
      <c r="AQ904">
        <v>-43.904634000000001</v>
      </c>
      <c r="AR904">
        <v>3.9486827164921792</v>
      </c>
      <c r="AS904" t="s">
        <v>65</v>
      </c>
      <c r="AT904">
        <v>1</v>
      </c>
      <c r="AU904" t="s">
        <v>167</v>
      </c>
      <c r="AV904" t="s">
        <v>168</v>
      </c>
      <c r="AW904" t="s">
        <v>60</v>
      </c>
      <c r="AX904" t="s">
        <v>68</v>
      </c>
      <c r="AY904" t="s">
        <v>69</v>
      </c>
      <c r="AZ904" t="b">
        <v>1</v>
      </c>
    </row>
    <row r="905" spans="1:52" x14ac:dyDescent="0.3">
      <c r="A905" t="s">
        <v>52</v>
      </c>
      <c r="B905" t="s">
        <v>53</v>
      </c>
      <c r="C905" t="s">
        <v>54</v>
      </c>
      <c r="D905" t="s">
        <v>55</v>
      </c>
      <c r="E905" t="s">
        <v>803</v>
      </c>
      <c r="F905" t="s">
        <v>176</v>
      </c>
      <c r="G905" t="s">
        <v>279</v>
      </c>
      <c r="H905" t="s">
        <v>280</v>
      </c>
      <c r="I905" t="s">
        <v>280</v>
      </c>
      <c r="J905" t="s">
        <v>60</v>
      </c>
      <c r="K905" t="s">
        <v>171</v>
      </c>
      <c r="L905" t="s">
        <v>62</v>
      </c>
      <c r="M905" t="s">
        <v>171</v>
      </c>
      <c r="N905" t="s">
        <v>281</v>
      </c>
      <c r="O905" t="s">
        <v>282</v>
      </c>
      <c r="P905">
        <v>-19.677088000000001</v>
      </c>
      <c r="Q905">
        <v>-43.890014000000001</v>
      </c>
      <c r="R905" s="2" t="str">
        <f>HYPERLINK("https://www.google.com/maps?q=-19.6770880,-43.8900140","Abrir no Google Maps")</f>
        <v>Abrir no Google Maps</v>
      </c>
      <c r="S905">
        <v>4</v>
      </c>
      <c r="T905">
        <v>0</v>
      </c>
      <c r="U905">
        <v>3</v>
      </c>
      <c r="V905">
        <v>0.36182352985653898</v>
      </c>
      <c r="W905">
        <v>1</v>
      </c>
      <c r="X905">
        <v>0.36182352985653898</v>
      </c>
      <c r="Y905">
        <v>0</v>
      </c>
      <c r="Z905">
        <v>151.75635194559609</v>
      </c>
      <c r="AA905">
        <v>2</v>
      </c>
      <c r="AB905">
        <v>3</v>
      </c>
      <c r="AC905">
        <v>7</v>
      </c>
      <c r="AD905">
        <v>26.01</v>
      </c>
      <c r="AE905">
        <v>253</v>
      </c>
      <c r="AF905">
        <v>18</v>
      </c>
      <c r="AG905">
        <v>58</v>
      </c>
      <c r="AH905">
        <v>32</v>
      </c>
      <c r="AI905">
        <v>7.11</v>
      </c>
      <c r="AJ905">
        <v>22.92</v>
      </c>
      <c r="AK905">
        <v>12.65</v>
      </c>
      <c r="AL905">
        <v>-19.677165649999949</v>
      </c>
      <c r="AM905">
        <v>-43.890106299611283</v>
      </c>
      <c r="AN905">
        <v>-19.677165649999949</v>
      </c>
      <c r="AO905">
        <v>-43.890106299611283</v>
      </c>
      <c r="AP905">
        <v>-19.677088000000001</v>
      </c>
      <c r="AQ905">
        <v>-43.890014000000001</v>
      </c>
      <c r="AR905">
        <v>12.973833126778279</v>
      </c>
      <c r="AS905" t="s">
        <v>65</v>
      </c>
      <c r="AT905">
        <v>1</v>
      </c>
      <c r="AU905" t="s">
        <v>283</v>
      </c>
      <c r="AV905" t="s">
        <v>175</v>
      </c>
      <c r="AW905" t="s">
        <v>60</v>
      </c>
      <c r="AX905" t="s">
        <v>68</v>
      </c>
      <c r="AY905" t="s">
        <v>69</v>
      </c>
      <c r="AZ905" t="b">
        <v>1</v>
      </c>
    </row>
    <row r="906" spans="1:52" x14ac:dyDescent="0.3">
      <c r="A906" t="s">
        <v>52</v>
      </c>
      <c r="B906" t="s">
        <v>53</v>
      </c>
      <c r="C906" t="s">
        <v>54</v>
      </c>
      <c r="D906" t="s">
        <v>55</v>
      </c>
      <c r="E906" t="s">
        <v>803</v>
      </c>
      <c r="F906" t="s">
        <v>176</v>
      </c>
      <c r="G906" t="s">
        <v>388</v>
      </c>
      <c r="H906" t="s">
        <v>389</v>
      </c>
      <c r="I906" t="s">
        <v>389</v>
      </c>
      <c r="J906" t="s">
        <v>60</v>
      </c>
      <c r="K906" t="s">
        <v>185</v>
      </c>
      <c r="L906" t="s">
        <v>62</v>
      </c>
      <c r="M906" t="s">
        <v>185</v>
      </c>
      <c r="N906" t="s">
        <v>390</v>
      </c>
      <c r="O906" t="s">
        <v>391</v>
      </c>
      <c r="P906">
        <v>-19.628802</v>
      </c>
      <c r="Q906">
        <v>-43.891649000000001</v>
      </c>
      <c r="R906" s="2" t="str">
        <f>HYPERLINK("https://www.google.com/maps?q=-19.6288020,-43.8916490","Abrir no Google Maps")</f>
        <v>Abrir no Google Maps</v>
      </c>
      <c r="S906">
        <v>3</v>
      </c>
      <c r="T906">
        <v>0</v>
      </c>
      <c r="U906">
        <v>4</v>
      </c>
      <c r="V906">
        <v>0.43727747158418329</v>
      </c>
      <c r="W906">
        <v>0.85</v>
      </c>
      <c r="X906">
        <v>0.37168585084655581</v>
      </c>
      <c r="Y906">
        <v>18</v>
      </c>
      <c r="Z906">
        <v>117.5064585283839</v>
      </c>
      <c r="AA906">
        <v>2</v>
      </c>
      <c r="AB906">
        <v>3</v>
      </c>
      <c r="AC906">
        <v>7</v>
      </c>
      <c r="AD906">
        <v>26.01</v>
      </c>
      <c r="AE906">
        <v>253</v>
      </c>
      <c r="AF906">
        <v>18</v>
      </c>
      <c r="AG906">
        <v>58</v>
      </c>
      <c r="AH906">
        <v>32</v>
      </c>
      <c r="AI906">
        <v>7.11</v>
      </c>
      <c r="AJ906">
        <v>22.92</v>
      </c>
      <c r="AK906">
        <v>12.65</v>
      </c>
      <c r="AL906">
        <v>-19.628865499999961</v>
      </c>
      <c r="AM906">
        <v>-43.891662391334172</v>
      </c>
      <c r="AN906">
        <v>-19.628865499999961</v>
      </c>
      <c r="AO906">
        <v>-43.891662391334172</v>
      </c>
      <c r="AP906">
        <v>-19.628802</v>
      </c>
      <c r="AQ906">
        <v>-43.891649000000001</v>
      </c>
      <c r="AR906">
        <v>7.2069201904448459</v>
      </c>
      <c r="AS906" t="s">
        <v>65</v>
      </c>
      <c r="AT906">
        <v>1</v>
      </c>
      <c r="AU906" t="s">
        <v>392</v>
      </c>
      <c r="AV906" t="s">
        <v>393</v>
      </c>
      <c r="AW906" t="s">
        <v>60</v>
      </c>
      <c r="AX906" t="s">
        <v>68</v>
      </c>
      <c r="AY906" t="s">
        <v>69</v>
      </c>
      <c r="AZ906" t="b">
        <v>1</v>
      </c>
    </row>
    <row r="907" spans="1:52" x14ac:dyDescent="0.3">
      <c r="A907" t="s">
        <v>52</v>
      </c>
      <c r="B907" t="s">
        <v>53</v>
      </c>
      <c r="C907" t="s">
        <v>54</v>
      </c>
      <c r="D907" t="s">
        <v>55</v>
      </c>
      <c r="E907" t="s">
        <v>803</v>
      </c>
      <c r="F907" t="s">
        <v>176</v>
      </c>
      <c r="G907" t="s">
        <v>284</v>
      </c>
      <c r="H907" t="s">
        <v>285</v>
      </c>
      <c r="I907" t="s">
        <v>285</v>
      </c>
      <c r="J907" t="s">
        <v>60</v>
      </c>
      <c r="K907" t="s">
        <v>286</v>
      </c>
      <c r="L907" t="s">
        <v>62</v>
      </c>
      <c r="M907" t="s">
        <v>286</v>
      </c>
      <c r="N907" t="s">
        <v>287</v>
      </c>
      <c r="O907" t="s">
        <v>288</v>
      </c>
      <c r="P907">
        <v>-19.639790000000001</v>
      </c>
      <c r="Q907">
        <v>-43.882798999999999</v>
      </c>
      <c r="R907" s="2" t="str">
        <f>HYPERLINK("https://www.google.com/maps?q=-19.6397900,-43.8827990","Abrir no Google Maps")</f>
        <v>Abrir no Google Maps</v>
      </c>
      <c r="S907">
        <v>3</v>
      </c>
      <c r="T907">
        <v>242.7052058134478</v>
      </c>
      <c r="U907">
        <v>4</v>
      </c>
      <c r="V907">
        <v>0.37211533158060989</v>
      </c>
      <c r="W907">
        <v>1</v>
      </c>
      <c r="X907">
        <v>0.37211533158060989</v>
      </c>
      <c r="Y907">
        <v>10</v>
      </c>
      <c r="Z907">
        <v>187.2088809462339</v>
      </c>
      <c r="AA907">
        <v>2</v>
      </c>
      <c r="AB907">
        <v>3</v>
      </c>
      <c r="AC907">
        <v>7</v>
      </c>
      <c r="AD907">
        <v>26.01</v>
      </c>
      <c r="AE907">
        <v>253</v>
      </c>
      <c r="AF907">
        <v>18</v>
      </c>
      <c r="AG907">
        <v>58</v>
      </c>
      <c r="AH907">
        <v>32</v>
      </c>
      <c r="AI907">
        <v>7.11</v>
      </c>
      <c r="AJ907">
        <v>22.92</v>
      </c>
      <c r="AK907">
        <v>12.65</v>
      </c>
      <c r="AL907">
        <v>-19.639855599999951</v>
      </c>
      <c r="AM907">
        <v>-43.882909745178452</v>
      </c>
      <c r="AN907">
        <v>-19.639855599999951</v>
      </c>
      <c r="AO907">
        <v>-43.882909745178452</v>
      </c>
      <c r="AP907">
        <v>-19.639790000000001</v>
      </c>
      <c r="AQ907">
        <v>-43.882798999999999</v>
      </c>
      <c r="AR907">
        <v>13.716486068571211</v>
      </c>
      <c r="AS907" t="s">
        <v>65</v>
      </c>
      <c r="AT907">
        <v>1</v>
      </c>
      <c r="AU907" t="s">
        <v>289</v>
      </c>
      <c r="AV907" t="s">
        <v>290</v>
      </c>
      <c r="AW907" t="s">
        <v>60</v>
      </c>
      <c r="AX907" t="s">
        <v>68</v>
      </c>
      <c r="AY907" t="s">
        <v>69</v>
      </c>
      <c r="AZ907" t="b">
        <v>1</v>
      </c>
    </row>
    <row r="908" spans="1:52" x14ac:dyDescent="0.3">
      <c r="A908" t="s">
        <v>52</v>
      </c>
      <c r="B908" t="s">
        <v>53</v>
      </c>
      <c r="C908" t="s">
        <v>54</v>
      </c>
      <c r="D908" t="s">
        <v>55</v>
      </c>
      <c r="E908" t="s">
        <v>803</v>
      </c>
      <c r="F908" t="s">
        <v>176</v>
      </c>
      <c r="G908" t="s">
        <v>291</v>
      </c>
      <c r="H908" t="s">
        <v>292</v>
      </c>
      <c r="I908" t="s">
        <v>292</v>
      </c>
      <c r="J908" t="s">
        <v>60</v>
      </c>
      <c r="K908" t="s">
        <v>286</v>
      </c>
      <c r="L908" t="s">
        <v>62</v>
      </c>
      <c r="M908" t="s">
        <v>286</v>
      </c>
      <c r="N908" t="s">
        <v>293</v>
      </c>
      <c r="O908" t="s">
        <v>294</v>
      </c>
      <c r="P908">
        <v>-19.640333999999999</v>
      </c>
      <c r="Q908">
        <v>-43.880004999999997</v>
      </c>
      <c r="R908" s="2" t="str">
        <f>HYPERLINK("https://www.google.com/maps?q=-19.6403340,-43.8800050","Abrir no Google Maps")</f>
        <v>Abrir no Google Maps</v>
      </c>
      <c r="S908">
        <v>3</v>
      </c>
      <c r="T908">
        <v>276.80943817309782</v>
      </c>
      <c r="U908">
        <v>4</v>
      </c>
      <c r="V908">
        <v>0.38714443647173941</v>
      </c>
      <c r="W908">
        <v>1</v>
      </c>
      <c r="X908">
        <v>0.38714443647173941</v>
      </c>
      <c r="Y908">
        <v>10</v>
      </c>
      <c r="Z908">
        <v>361.98332038983392</v>
      </c>
      <c r="AA908">
        <v>2</v>
      </c>
      <c r="AB908">
        <v>3</v>
      </c>
      <c r="AC908">
        <v>7</v>
      </c>
      <c r="AD908">
        <v>26.01</v>
      </c>
      <c r="AE908">
        <v>253</v>
      </c>
      <c r="AF908">
        <v>18</v>
      </c>
      <c r="AG908">
        <v>58</v>
      </c>
      <c r="AH908">
        <v>32</v>
      </c>
      <c r="AI908">
        <v>7.11</v>
      </c>
      <c r="AJ908">
        <v>22.92</v>
      </c>
      <c r="AK908">
        <v>12.65</v>
      </c>
      <c r="AL908">
        <v>-19.640260249999951</v>
      </c>
      <c r="AM908">
        <v>-43.880090474326408</v>
      </c>
      <c r="AN908">
        <v>-19.640260249999951</v>
      </c>
      <c r="AO908">
        <v>-43.880090474326408</v>
      </c>
      <c r="AP908">
        <v>-19.640333999999999</v>
      </c>
      <c r="AQ908">
        <v>-43.880004999999997</v>
      </c>
      <c r="AR908">
        <v>12.153556195359609</v>
      </c>
      <c r="AS908" t="s">
        <v>65</v>
      </c>
      <c r="AT908">
        <v>1</v>
      </c>
      <c r="AU908" t="s">
        <v>295</v>
      </c>
      <c r="AV908" t="s">
        <v>296</v>
      </c>
      <c r="AW908" t="s">
        <v>60</v>
      </c>
      <c r="AX908" t="s">
        <v>68</v>
      </c>
      <c r="AY908" t="s">
        <v>69</v>
      </c>
      <c r="AZ908" t="b">
        <v>1</v>
      </c>
    </row>
    <row r="909" spans="1:52" x14ac:dyDescent="0.3">
      <c r="A909" t="s">
        <v>52</v>
      </c>
      <c r="B909" t="s">
        <v>53</v>
      </c>
      <c r="C909" t="s">
        <v>54</v>
      </c>
      <c r="D909" t="s">
        <v>55</v>
      </c>
      <c r="E909" t="s">
        <v>803</v>
      </c>
      <c r="F909" t="s">
        <v>176</v>
      </c>
      <c r="G909" t="s">
        <v>405</v>
      </c>
      <c r="H909" t="s">
        <v>406</v>
      </c>
      <c r="I909" t="s">
        <v>406</v>
      </c>
      <c r="J909" t="s">
        <v>60</v>
      </c>
      <c r="K909" t="s">
        <v>286</v>
      </c>
      <c r="L909" t="s">
        <v>62</v>
      </c>
      <c r="M909" t="s">
        <v>286</v>
      </c>
      <c r="N909" t="s">
        <v>407</v>
      </c>
      <c r="O909" t="s">
        <v>408</v>
      </c>
      <c r="P909">
        <v>-19.646345</v>
      </c>
      <c r="Q909">
        <v>-43.882294999999999</v>
      </c>
      <c r="R909" s="2" t="str">
        <f>HYPERLINK("https://www.google.com/maps?q=-19.6463450,-43.8822950","Abrir no Google Maps")</f>
        <v>Abrir no Google Maps</v>
      </c>
      <c r="S909">
        <v>3</v>
      </c>
      <c r="T909">
        <v>450.3180538635894</v>
      </c>
      <c r="U909">
        <v>4</v>
      </c>
      <c r="V909">
        <v>0.37542265446427769</v>
      </c>
      <c r="W909">
        <v>1</v>
      </c>
      <c r="X909">
        <v>0.37542265446427769</v>
      </c>
      <c r="Y909">
        <v>10</v>
      </c>
      <c r="Z909">
        <v>349.23341775902583</v>
      </c>
      <c r="AA909">
        <v>2</v>
      </c>
      <c r="AB909">
        <v>3</v>
      </c>
      <c r="AC909">
        <v>7</v>
      </c>
      <c r="AD909">
        <v>26.01</v>
      </c>
      <c r="AE909">
        <v>253</v>
      </c>
      <c r="AF909">
        <v>18</v>
      </c>
      <c r="AG909">
        <v>58</v>
      </c>
      <c r="AH909">
        <v>32</v>
      </c>
      <c r="AI909">
        <v>7.11</v>
      </c>
      <c r="AJ909">
        <v>22.92</v>
      </c>
      <c r="AK909">
        <v>12.65</v>
      </c>
      <c r="AL909">
        <v>-19.646391649999941</v>
      </c>
      <c r="AM909">
        <v>-43.882007396993302</v>
      </c>
      <c r="AN909">
        <v>-19.646391649999941</v>
      </c>
      <c r="AO909">
        <v>-43.882007396993302</v>
      </c>
      <c r="AP909">
        <v>-19.646345</v>
      </c>
      <c r="AQ909">
        <v>-43.882294999999999</v>
      </c>
      <c r="AR909">
        <v>30.596105513395301</v>
      </c>
      <c r="AS909" t="s">
        <v>65</v>
      </c>
      <c r="AT909">
        <v>1</v>
      </c>
      <c r="AU909" t="s">
        <v>409</v>
      </c>
      <c r="AV909" t="s">
        <v>410</v>
      </c>
      <c r="AW909" t="s">
        <v>60</v>
      </c>
      <c r="AX909" t="s">
        <v>68</v>
      </c>
      <c r="AY909" t="s">
        <v>69</v>
      </c>
      <c r="AZ909" t="b">
        <v>1</v>
      </c>
    </row>
    <row r="910" spans="1:52" x14ac:dyDescent="0.3">
      <c r="A910" t="s">
        <v>52</v>
      </c>
      <c r="B910" t="s">
        <v>53</v>
      </c>
      <c r="C910" t="s">
        <v>54</v>
      </c>
      <c r="D910" t="s">
        <v>55</v>
      </c>
      <c r="E910" t="s">
        <v>803</v>
      </c>
      <c r="F910" t="s">
        <v>176</v>
      </c>
      <c r="G910" t="s">
        <v>297</v>
      </c>
      <c r="H910" t="s">
        <v>298</v>
      </c>
      <c r="I910" t="s">
        <v>298</v>
      </c>
      <c r="J910" t="s">
        <v>60</v>
      </c>
      <c r="K910" t="s">
        <v>299</v>
      </c>
      <c r="L910" t="s">
        <v>62</v>
      </c>
      <c r="M910" t="s">
        <v>299</v>
      </c>
      <c r="N910" t="s">
        <v>300</v>
      </c>
      <c r="O910" t="s">
        <v>301</v>
      </c>
      <c r="P910">
        <v>-19.679597000000001</v>
      </c>
      <c r="Q910">
        <v>-43.912095000000001</v>
      </c>
      <c r="R910" s="2" t="str">
        <f>HYPERLINK("https://www.google.com/maps?q=-19.6795970,-43.9120950","Abrir no Google Maps")</f>
        <v>Abrir no Google Maps</v>
      </c>
      <c r="S910">
        <v>3</v>
      </c>
      <c r="T910">
        <v>1581.3368267219889</v>
      </c>
      <c r="U910">
        <v>4</v>
      </c>
      <c r="V910">
        <v>0.3743676206423831</v>
      </c>
      <c r="W910">
        <v>1</v>
      </c>
      <c r="X910">
        <v>0.3743676206423831</v>
      </c>
      <c r="Y910">
        <v>5</v>
      </c>
      <c r="Z910">
        <v>2051.2590436749392</v>
      </c>
      <c r="AA910">
        <v>2</v>
      </c>
      <c r="AB910">
        <v>3</v>
      </c>
      <c r="AC910">
        <v>7</v>
      </c>
      <c r="AD910">
        <v>26.01</v>
      </c>
      <c r="AE910">
        <v>253</v>
      </c>
      <c r="AF910">
        <v>18</v>
      </c>
      <c r="AG910">
        <v>58</v>
      </c>
      <c r="AH910">
        <v>32</v>
      </c>
      <c r="AI910">
        <v>7.11</v>
      </c>
      <c r="AJ910">
        <v>22.92</v>
      </c>
      <c r="AK910">
        <v>12.65</v>
      </c>
      <c r="AL910">
        <v>-19.679572799999931</v>
      </c>
      <c r="AM910">
        <v>-43.912071775440793</v>
      </c>
      <c r="AN910">
        <v>-19.679572799999931</v>
      </c>
      <c r="AO910">
        <v>-43.912071775440793</v>
      </c>
      <c r="AP910">
        <v>-19.679597000000001</v>
      </c>
      <c r="AQ910">
        <v>-43.912095000000001</v>
      </c>
      <c r="AR910">
        <v>3.6308936744190978</v>
      </c>
      <c r="AS910" t="s">
        <v>65</v>
      </c>
      <c r="AT910">
        <v>1</v>
      </c>
      <c r="AU910" t="s">
        <v>302</v>
      </c>
      <c r="AV910" t="s">
        <v>303</v>
      </c>
      <c r="AW910" t="s">
        <v>60</v>
      </c>
      <c r="AX910" t="s">
        <v>68</v>
      </c>
      <c r="AY910" t="s">
        <v>69</v>
      </c>
      <c r="AZ910" t="b">
        <v>1</v>
      </c>
    </row>
    <row r="911" spans="1:52" x14ac:dyDescent="0.3">
      <c r="A911" t="s">
        <v>52</v>
      </c>
      <c r="B911" t="s">
        <v>53</v>
      </c>
      <c r="C911" t="s">
        <v>54</v>
      </c>
      <c r="D911" t="s">
        <v>55</v>
      </c>
      <c r="E911" t="s">
        <v>803</v>
      </c>
      <c r="F911" t="s">
        <v>176</v>
      </c>
      <c r="G911" t="s">
        <v>309</v>
      </c>
      <c r="H911" t="s">
        <v>310</v>
      </c>
      <c r="I911" t="s">
        <v>310</v>
      </c>
      <c r="J911" t="s">
        <v>60</v>
      </c>
      <c r="K911" t="s">
        <v>311</v>
      </c>
      <c r="L911" t="s">
        <v>62</v>
      </c>
      <c r="M911" t="s">
        <v>311</v>
      </c>
      <c r="N911" t="s">
        <v>312</v>
      </c>
      <c r="O911" t="s">
        <v>313</v>
      </c>
      <c r="P911">
        <v>-19.576996999999999</v>
      </c>
      <c r="Q911">
        <v>-43.919024999999998</v>
      </c>
      <c r="R911" s="2" t="str">
        <f>HYPERLINK("https://www.google.com/maps?q=-19.5769970,-43.9190250","Abrir no Google Maps")</f>
        <v>Abrir no Google Maps</v>
      </c>
      <c r="S911">
        <v>3</v>
      </c>
      <c r="T911">
        <v>316.64266747869789</v>
      </c>
      <c r="U911">
        <v>4</v>
      </c>
      <c r="V911">
        <v>0.54147906924126676</v>
      </c>
      <c r="W911">
        <v>0.85</v>
      </c>
      <c r="X911">
        <v>0.46025720885507682</v>
      </c>
      <c r="Y911">
        <v>5</v>
      </c>
      <c r="Z911">
        <v>411.74435151529269</v>
      </c>
      <c r="AA911">
        <v>2</v>
      </c>
      <c r="AB911">
        <v>3</v>
      </c>
      <c r="AC911">
        <v>7</v>
      </c>
      <c r="AD911">
        <v>26.01</v>
      </c>
      <c r="AE911">
        <v>253</v>
      </c>
      <c r="AF911">
        <v>18</v>
      </c>
      <c r="AG911">
        <v>58</v>
      </c>
      <c r="AH911">
        <v>32</v>
      </c>
      <c r="AI911">
        <v>7.11</v>
      </c>
      <c r="AJ911">
        <v>22.92</v>
      </c>
      <c r="AK911">
        <v>12.65</v>
      </c>
      <c r="AL911">
        <v>-19.576964999999941</v>
      </c>
      <c r="AM911">
        <v>-43.919068241233632</v>
      </c>
      <c r="AN911">
        <v>-19.576964999999941</v>
      </c>
      <c r="AO911">
        <v>-43.919068241233632</v>
      </c>
      <c r="AP911">
        <v>-19.576996999999999</v>
      </c>
      <c r="AQ911">
        <v>-43.919024999999998</v>
      </c>
      <c r="AR911">
        <v>5.7670575161946216</v>
      </c>
      <c r="AS911" t="s">
        <v>65</v>
      </c>
      <c r="AT911">
        <v>1</v>
      </c>
      <c r="AU911" t="s">
        <v>314</v>
      </c>
      <c r="AV911" t="s">
        <v>315</v>
      </c>
      <c r="AW911" t="s">
        <v>60</v>
      </c>
      <c r="AX911" t="s">
        <v>68</v>
      </c>
      <c r="AY911" t="s">
        <v>69</v>
      </c>
      <c r="AZ911" t="b">
        <v>1</v>
      </c>
    </row>
    <row r="912" spans="1:52" x14ac:dyDescent="0.3">
      <c r="A912" t="s">
        <v>52</v>
      </c>
      <c r="B912" t="s">
        <v>53</v>
      </c>
      <c r="C912" t="s">
        <v>54</v>
      </c>
      <c r="D912" t="s">
        <v>55</v>
      </c>
      <c r="E912" t="s">
        <v>803</v>
      </c>
      <c r="F912" t="s">
        <v>176</v>
      </c>
      <c r="G912" t="s">
        <v>309</v>
      </c>
      <c r="H912" t="s">
        <v>316</v>
      </c>
      <c r="I912" t="s">
        <v>316</v>
      </c>
      <c r="J912" t="s">
        <v>60</v>
      </c>
      <c r="K912" t="s">
        <v>311</v>
      </c>
      <c r="L912" t="s">
        <v>62</v>
      </c>
      <c r="M912" t="s">
        <v>311</v>
      </c>
      <c r="N912" t="s">
        <v>317</v>
      </c>
      <c r="O912" t="s">
        <v>313</v>
      </c>
      <c r="P912">
        <v>-19.580131999999999</v>
      </c>
      <c r="Q912">
        <v>-43.918303000000002</v>
      </c>
      <c r="R912" s="2" t="str">
        <f>HYPERLINK("https://www.google.com/maps?q=-19.5801320,-43.9183030","Abrir no Google Maps")</f>
        <v>Abrir no Google Maps</v>
      </c>
      <c r="S912">
        <v>3</v>
      </c>
      <c r="T912">
        <v>665.05989403461285</v>
      </c>
      <c r="U912">
        <v>4</v>
      </c>
      <c r="V912">
        <v>0.52820437455452207</v>
      </c>
      <c r="W912">
        <v>1</v>
      </c>
      <c r="X912">
        <v>0.52820437455452207</v>
      </c>
      <c r="Y912">
        <v>5</v>
      </c>
      <c r="Z912">
        <v>743.64474333505098</v>
      </c>
      <c r="AA912">
        <v>2</v>
      </c>
      <c r="AB912">
        <v>3</v>
      </c>
      <c r="AC912">
        <v>7</v>
      </c>
      <c r="AD912">
        <v>26.01</v>
      </c>
      <c r="AE912">
        <v>253</v>
      </c>
      <c r="AF912">
        <v>18</v>
      </c>
      <c r="AG912">
        <v>58</v>
      </c>
      <c r="AH912">
        <v>32</v>
      </c>
      <c r="AI912">
        <v>7.11</v>
      </c>
      <c r="AJ912">
        <v>22.92</v>
      </c>
      <c r="AK912">
        <v>12.65</v>
      </c>
      <c r="AL912">
        <v>-19.58010349999995</v>
      </c>
      <c r="AM912">
        <v>-43.918363319288602</v>
      </c>
      <c r="AN912">
        <v>-19.58010349999995</v>
      </c>
      <c r="AO912">
        <v>-43.918363319288602</v>
      </c>
      <c r="AP912">
        <v>-19.580131999999999</v>
      </c>
      <c r="AQ912">
        <v>-43.918303000000002</v>
      </c>
      <c r="AR912">
        <v>7.0773977790944862</v>
      </c>
      <c r="AS912" t="s">
        <v>65</v>
      </c>
      <c r="AT912">
        <v>1</v>
      </c>
      <c r="AU912" t="s">
        <v>318</v>
      </c>
      <c r="AV912" t="s">
        <v>319</v>
      </c>
      <c r="AW912" t="s">
        <v>60</v>
      </c>
      <c r="AX912" t="s">
        <v>68</v>
      </c>
      <c r="AY912" t="s">
        <v>69</v>
      </c>
      <c r="AZ912" t="b">
        <v>1</v>
      </c>
    </row>
    <row r="913" spans="1:52" x14ac:dyDescent="0.3">
      <c r="A913" t="s">
        <v>52</v>
      </c>
      <c r="B913" t="s">
        <v>53</v>
      </c>
      <c r="C913" t="s">
        <v>54</v>
      </c>
      <c r="D913" t="s">
        <v>55</v>
      </c>
      <c r="E913" t="s">
        <v>803</v>
      </c>
      <c r="F913" t="s">
        <v>176</v>
      </c>
      <c r="G913" t="s">
        <v>309</v>
      </c>
      <c r="H913" t="s">
        <v>320</v>
      </c>
      <c r="I913" t="s">
        <v>320</v>
      </c>
      <c r="J913" t="s">
        <v>60</v>
      </c>
      <c r="K913" t="s">
        <v>311</v>
      </c>
      <c r="L913" t="s">
        <v>62</v>
      </c>
      <c r="M913" t="s">
        <v>311</v>
      </c>
      <c r="N913" t="s">
        <v>321</v>
      </c>
      <c r="O913" t="s">
        <v>313</v>
      </c>
      <c r="P913">
        <v>-19.578469999999999</v>
      </c>
      <c r="Q913">
        <v>-43.918922000000002</v>
      </c>
      <c r="R913" s="2" t="str">
        <f>HYPERLINK("https://www.google.com/maps?q=-19.5784700,-43.9189220","Abrir no Google Maps")</f>
        <v>Abrir no Google Maps</v>
      </c>
      <c r="S913">
        <v>3</v>
      </c>
      <c r="T913">
        <v>474.92456146278471</v>
      </c>
      <c r="U913">
        <v>4</v>
      </c>
      <c r="V913">
        <v>0.50510098709460427</v>
      </c>
      <c r="W913">
        <v>0.85</v>
      </c>
      <c r="X913">
        <v>0.42933583903041361</v>
      </c>
      <c r="Y913">
        <v>5</v>
      </c>
      <c r="Z913">
        <v>562.61594151292854</v>
      </c>
      <c r="AA913">
        <v>2</v>
      </c>
      <c r="AB913">
        <v>3</v>
      </c>
      <c r="AC913">
        <v>7</v>
      </c>
      <c r="AD913">
        <v>26.01</v>
      </c>
      <c r="AE913">
        <v>253</v>
      </c>
      <c r="AF913">
        <v>18</v>
      </c>
      <c r="AG913">
        <v>58</v>
      </c>
      <c r="AH913">
        <v>32</v>
      </c>
      <c r="AI913">
        <v>7.11</v>
      </c>
      <c r="AJ913">
        <v>22.92</v>
      </c>
      <c r="AK913">
        <v>12.65</v>
      </c>
      <c r="AL913">
        <v>-19.578483899999959</v>
      </c>
      <c r="AM913">
        <v>-43.918967993509547</v>
      </c>
      <c r="AN913">
        <v>-19.578483899999959</v>
      </c>
      <c r="AO913">
        <v>-43.918967993509547</v>
      </c>
      <c r="AP913">
        <v>-19.578469999999999</v>
      </c>
      <c r="AQ913">
        <v>-43.918922000000002</v>
      </c>
      <c r="AR913">
        <v>5.0660669465561501</v>
      </c>
      <c r="AS913" t="s">
        <v>65</v>
      </c>
      <c r="AT913">
        <v>1</v>
      </c>
      <c r="AU913" t="s">
        <v>322</v>
      </c>
      <c r="AV913" t="s">
        <v>323</v>
      </c>
      <c r="AW913" t="s">
        <v>60</v>
      </c>
      <c r="AX913" t="s">
        <v>68</v>
      </c>
      <c r="AY913" t="s">
        <v>69</v>
      </c>
      <c r="AZ913" t="b">
        <v>1</v>
      </c>
    </row>
    <row r="914" spans="1:52" x14ac:dyDescent="0.3">
      <c r="A914" t="s">
        <v>52</v>
      </c>
      <c r="B914" t="s">
        <v>53</v>
      </c>
      <c r="C914" t="s">
        <v>54</v>
      </c>
      <c r="D914" t="s">
        <v>55</v>
      </c>
      <c r="E914" t="s">
        <v>803</v>
      </c>
      <c r="F914" t="s">
        <v>176</v>
      </c>
      <c r="G914" t="s">
        <v>331</v>
      </c>
      <c r="H914" t="s">
        <v>332</v>
      </c>
      <c r="I914" t="s">
        <v>332</v>
      </c>
      <c r="J914" t="s">
        <v>60</v>
      </c>
      <c r="K914" t="s">
        <v>333</v>
      </c>
      <c r="L914" t="s">
        <v>62</v>
      </c>
      <c r="M914" t="s">
        <v>333</v>
      </c>
      <c r="N914" t="s">
        <v>334</v>
      </c>
      <c r="O914" t="s">
        <v>335</v>
      </c>
      <c r="P914">
        <v>-19.638455</v>
      </c>
      <c r="Q914">
        <v>-43.911239000000002</v>
      </c>
      <c r="R914" s="2" t="str">
        <f>HYPERLINK("https://www.google.com/maps?q=-19.6384550,-43.9112390","Abrir no Google Maps")</f>
        <v>Abrir no Google Maps</v>
      </c>
      <c r="S914">
        <v>3</v>
      </c>
      <c r="T914">
        <v>488.53051432983438</v>
      </c>
      <c r="U914">
        <v>4</v>
      </c>
      <c r="V914">
        <v>0.38263793037343757</v>
      </c>
      <c r="W914">
        <v>1</v>
      </c>
      <c r="X914">
        <v>0.38263793037343757</v>
      </c>
      <c r="Y914">
        <v>3</v>
      </c>
      <c r="Z914">
        <v>503.17412324010428</v>
      </c>
      <c r="AA914">
        <v>2</v>
      </c>
      <c r="AB914">
        <v>3</v>
      </c>
      <c r="AC914">
        <v>7</v>
      </c>
      <c r="AD914">
        <v>26.01</v>
      </c>
      <c r="AE914">
        <v>253</v>
      </c>
      <c r="AF914">
        <v>18</v>
      </c>
      <c r="AG914">
        <v>58</v>
      </c>
      <c r="AH914">
        <v>32</v>
      </c>
      <c r="AI914">
        <v>7.11</v>
      </c>
      <c r="AJ914">
        <v>22.92</v>
      </c>
      <c r="AK914">
        <v>12.65</v>
      </c>
      <c r="AL914">
        <v>-19.63853704999994</v>
      </c>
      <c r="AM914">
        <v>-43.911098254478723</v>
      </c>
      <c r="AN914">
        <v>-19.63853704999994</v>
      </c>
      <c r="AO914">
        <v>-43.911098254478723</v>
      </c>
      <c r="AP914">
        <v>-19.638455</v>
      </c>
      <c r="AQ914">
        <v>-43.911239000000002</v>
      </c>
      <c r="AR914">
        <v>17.354491692685801</v>
      </c>
      <c r="AS914" t="s">
        <v>65</v>
      </c>
      <c r="AT914">
        <v>1</v>
      </c>
      <c r="AU914" t="s">
        <v>336</v>
      </c>
      <c r="AV914" t="s">
        <v>337</v>
      </c>
      <c r="AW914" t="s">
        <v>60</v>
      </c>
      <c r="AX914" t="s">
        <v>68</v>
      </c>
      <c r="AY914" t="s">
        <v>69</v>
      </c>
      <c r="AZ914" t="b">
        <v>1</v>
      </c>
    </row>
    <row r="915" spans="1:52" x14ac:dyDescent="0.3">
      <c r="A915" t="s">
        <v>52</v>
      </c>
      <c r="B915" t="s">
        <v>53</v>
      </c>
      <c r="C915" t="s">
        <v>54</v>
      </c>
      <c r="D915" t="s">
        <v>55</v>
      </c>
      <c r="E915" t="s">
        <v>803</v>
      </c>
      <c r="F915" t="s">
        <v>176</v>
      </c>
      <c r="G915" t="s">
        <v>338</v>
      </c>
      <c r="H915" t="s">
        <v>339</v>
      </c>
      <c r="I915" t="s">
        <v>339</v>
      </c>
      <c r="J915" t="s">
        <v>60</v>
      </c>
      <c r="K915" t="s">
        <v>219</v>
      </c>
      <c r="L915" t="s">
        <v>62</v>
      </c>
      <c r="M915" t="s">
        <v>219</v>
      </c>
      <c r="N915" t="s">
        <v>340</v>
      </c>
      <c r="O915" t="s">
        <v>341</v>
      </c>
      <c r="P915">
        <v>-19.666964</v>
      </c>
      <c r="Q915">
        <v>-43.884436999999998</v>
      </c>
      <c r="R915" s="2" t="str">
        <f>HYPERLINK("https://www.google.com/maps?q=-19.6669640,-43.8844370","Abrir no Google Maps")</f>
        <v>Abrir no Google Maps</v>
      </c>
      <c r="S915">
        <v>3</v>
      </c>
      <c r="T915">
        <v>957.0047152726122</v>
      </c>
      <c r="U915">
        <v>4</v>
      </c>
      <c r="V915">
        <v>0.37566620275642559</v>
      </c>
      <c r="W915">
        <v>1</v>
      </c>
      <c r="X915">
        <v>0.37566620275642559</v>
      </c>
      <c r="Y915">
        <v>3</v>
      </c>
      <c r="Z915">
        <v>558.02655966087093</v>
      </c>
      <c r="AA915">
        <v>2</v>
      </c>
      <c r="AB915">
        <v>3</v>
      </c>
      <c r="AC915">
        <v>7</v>
      </c>
      <c r="AD915">
        <v>26.01</v>
      </c>
      <c r="AE915">
        <v>253</v>
      </c>
      <c r="AF915">
        <v>18</v>
      </c>
      <c r="AG915">
        <v>58</v>
      </c>
      <c r="AH915">
        <v>32</v>
      </c>
      <c r="AI915">
        <v>7.11</v>
      </c>
      <c r="AJ915">
        <v>22.92</v>
      </c>
      <c r="AK915">
        <v>12.65</v>
      </c>
      <c r="AL915">
        <v>-19.66693374999997</v>
      </c>
      <c r="AM915">
        <v>-43.884551162820181</v>
      </c>
      <c r="AN915">
        <v>-19.66693374999997</v>
      </c>
      <c r="AO915">
        <v>-43.884551162820181</v>
      </c>
      <c r="AP915">
        <v>-19.666964</v>
      </c>
      <c r="AQ915">
        <v>-43.884436999999998</v>
      </c>
      <c r="AR915">
        <v>12.43199920714442</v>
      </c>
      <c r="AS915" t="s">
        <v>65</v>
      </c>
      <c r="AT915">
        <v>1</v>
      </c>
      <c r="AU915" t="s">
        <v>342</v>
      </c>
      <c r="AV915" t="s">
        <v>343</v>
      </c>
      <c r="AW915" t="s">
        <v>60</v>
      </c>
      <c r="AX915" t="s">
        <v>68</v>
      </c>
      <c r="AY915" t="s">
        <v>69</v>
      </c>
      <c r="AZ915" t="b">
        <v>1</v>
      </c>
    </row>
    <row r="916" spans="1:52" x14ac:dyDescent="0.3">
      <c r="A916" t="s">
        <v>52</v>
      </c>
      <c r="B916" t="s">
        <v>53</v>
      </c>
      <c r="C916" t="s">
        <v>54</v>
      </c>
      <c r="D916" t="s">
        <v>55</v>
      </c>
      <c r="E916" t="s">
        <v>803</v>
      </c>
      <c r="F916" t="s">
        <v>176</v>
      </c>
      <c r="G916" t="s">
        <v>344</v>
      </c>
      <c r="H916" t="s">
        <v>345</v>
      </c>
      <c r="I916" t="s">
        <v>345</v>
      </c>
      <c r="J916" t="s">
        <v>60</v>
      </c>
      <c r="K916" t="s">
        <v>326</v>
      </c>
      <c r="L916" t="s">
        <v>62</v>
      </c>
      <c r="M916" t="s">
        <v>326</v>
      </c>
      <c r="N916" t="s">
        <v>346</v>
      </c>
      <c r="O916" t="s">
        <v>347</v>
      </c>
      <c r="P916">
        <v>-19.659784999999999</v>
      </c>
      <c r="Q916">
        <v>-43.868257999999997</v>
      </c>
      <c r="R916" s="2" t="str">
        <f>HYPERLINK("https://www.google.com/maps?q=-19.6597850,-43.8682580","Abrir no Google Maps")</f>
        <v>Abrir no Google Maps</v>
      </c>
      <c r="S916">
        <v>3</v>
      </c>
      <c r="T916">
        <v>887.40196140413514</v>
      </c>
      <c r="U916">
        <v>4</v>
      </c>
      <c r="V916">
        <v>0.39773705076482091</v>
      </c>
      <c r="W916">
        <v>1</v>
      </c>
      <c r="X916">
        <v>0.39773705076482091</v>
      </c>
      <c r="Y916">
        <v>3</v>
      </c>
      <c r="Z916">
        <v>951.67106090939239</v>
      </c>
      <c r="AA916">
        <v>2</v>
      </c>
      <c r="AB916">
        <v>3</v>
      </c>
      <c r="AC916">
        <v>7</v>
      </c>
      <c r="AD916">
        <v>26.01</v>
      </c>
      <c r="AE916">
        <v>253</v>
      </c>
      <c r="AF916">
        <v>18</v>
      </c>
      <c r="AG916">
        <v>58</v>
      </c>
      <c r="AH916">
        <v>32</v>
      </c>
      <c r="AI916">
        <v>7.11</v>
      </c>
      <c r="AJ916">
        <v>22.92</v>
      </c>
      <c r="AK916">
        <v>12.65</v>
      </c>
      <c r="AL916">
        <v>-19.659938849999971</v>
      </c>
      <c r="AM916">
        <v>-43.868426732971933</v>
      </c>
      <c r="AN916">
        <v>-19.659938849999971</v>
      </c>
      <c r="AO916">
        <v>-43.868426732971933</v>
      </c>
      <c r="AP916">
        <v>-19.659784999999999</v>
      </c>
      <c r="AQ916">
        <v>-43.868257999999997</v>
      </c>
      <c r="AR916">
        <v>24.621113441172451</v>
      </c>
      <c r="AS916" t="s">
        <v>65</v>
      </c>
      <c r="AT916">
        <v>1</v>
      </c>
      <c r="AU916" t="s">
        <v>348</v>
      </c>
      <c r="AV916" t="s">
        <v>349</v>
      </c>
      <c r="AW916" t="s">
        <v>60</v>
      </c>
      <c r="AX916" t="s">
        <v>68</v>
      </c>
      <c r="AY916" t="s">
        <v>69</v>
      </c>
      <c r="AZ916" t="b">
        <v>1</v>
      </c>
    </row>
    <row r="917" spans="1:52" x14ac:dyDescent="0.3">
      <c r="A917" t="s">
        <v>52</v>
      </c>
      <c r="B917" t="s">
        <v>53</v>
      </c>
      <c r="C917" t="s">
        <v>54</v>
      </c>
      <c r="D917" t="s">
        <v>55</v>
      </c>
      <c r="E917" t="s">
        <v>803</v>
      </c>
      <c r="F917" t="s">
        <v>176</v>
      </c>
      <c r="G917" t="s">
        <v>479</v>
      </c>
      <c r="H917" t="s">
        <v>480</v>
      </c>
      <c r="I917" t="s">
        <v>480</v>
      </c>
      <c r="J917" t="s">
        <v>60</v>
      </c>
      <c r="K917" t="s">
        <v>286</v>
      </c>
      <c r="L917" t="s">
        <v>62</v>
      </c>
      <c r="M917" t="s">
        <v>286</v>
      </c>
      <c r="N917" t="s">
        <v>481</v>
      </c>
      <c r="O917" t="s">
        <v>159</v>
      </c>
      <c r="P917">
        <v>-19.635337</v>
      </c>
      <c r="Q917">
        <v>-43.884400999999997</v>
      </c>
      <c r="R917" s="2" t="str">
        <f>HYPERLINK("https://www.google.com/maps?q=-19.6353370,-43.8844010","Abrir no Google Maps")</f>
        <v>Abrir no Google Maps</v>
      </c>
      <c r="S917">
        <v>3</v>
      </c>
      <c r="T917">
        <v>697.1404216088763</v>
      </c>
      <c r="U917">
        <v>4</v>
      </c>
      <c r="V917">
        <v>0.36900393536108728</v>
      </c>
      <c r="W917">
        <v>1</v>
      </c>
      <c r="X917">
        <v>0.36900393536108728</v>
      </c>
      <c r="Y917">
        <v>2</v>
      </c>
      <c r="Z917">
        <v>178.9017814618079</v>
      </c>
      <c r="AA917">
        <v>2</v>
      </c>
      <c r="AB917">
        <v>3</v>
      </c>
      <c r="AC917">
        <v>7</v>
      </c>
      <c r="AD917">
        <v>26.01</v>
      </c>
      <c r="AE917">
        <v>253</v>
      </c>
      <c r="AF917">
        <v>18</v>
      </c>
      <c r="AG917">
        <v>58</v>
      </c>
      <c r="AH917">
        <v>32</v>
      </c>
      <c r="AI917">
        <v>7.11</v>
      </c>
      <c r="AJ917">
        <v>22.92</v>
      </c>
      <c r="AK917">
        <v>12.65</v>
      </c>
      <c r="AL917">
        <v>-19.635338699999949</v>
      </c>
      <c r="AM917">
        <v>-43.884486286355838</v>
      </c>
      <c r="AN917">
        <v>-19.635338699999949</v>
      </c>
      <c r="AO917">
        <v>-43.884486286355838</v>
      </c>
      <c r="AP917">
        <v>-19.635337</v>
      </c>
      <c r="AQ917">
        <v>-43.884400999999997</v>
      </c>
      <c r="AR917">
        <v>8.9440024153343494</v>
      </c>
      <c r="AS917" t="s">
        <v>65</v>
      </c>
      <c r="AT917">
        <v>1</v>
      </c>
      <c r="AU917" t="s">
        <v>482</v>
      </c>
      <c r="AV917" t="s">
        <v>483</v>
      </c>
      <c r="AW917" t="s">
        <v>60</v>
      </c>
      <c r="AX917" t="s">
        <v>68</v>
      </c>
      <c r="AY917" t="s">
        <v>69</v>
      </c>
      <c r="AZ917" t="b">
        <v>1</v>
      </c>
    </row>
    <row r="918" spans="1:52" x14ac:dyDescent="0.3">
      <c r="A918" t="s">
        <v>52</v>
      </c>
      <c r="B918" t="s">
        <v>53</v>
      </c>
      <c r="C918" t="s">
        <v>54</v>
      </c>
      <c r="D918" t="s">
        <v>55</v>
      </c>
      <c r="E918" t="s">
        <v>803</v>
      </c>
      <c r="F918" t="s">
        <v>176</v>
      </c>
      <c r="G918" t="s">
        <v>350</v>
      </c>
      <c r="H918" t="s">
        <v>351</v>
      </c>
      <c r="I918" t="s">
        <v>351</v>
      </c>
      <c r="J918" t="s">
        <v>60</v>
      </c>
      <c r="K918" t="s">
        <v>352</v>
      </c>
      <c r="L918" t="s">
        <v>62</v>
      </c>
      <c r="M918" t="s">
        <v>352</v>
      </c>
      <c r="N918" t="s">
        <v>353</v>
      </c>
      <c r="O918" t="s">
        <v>354</v>
      </c>
      <c r="P918">
        <v>-19.595734</v>
      </c>
      <c r="Q918">
        <v>-43.900387000000002</v>
      </c>
      <c r="R918" s="2" t="str">
        <f>HYPERLINK("https://www.google.com/maps?q=-19.5957340,-43.9003870","Abrir no Google Maps")</f>
        <v>Abrir no Google Maps</v>
      </c>
      <c r="S918">
        <v>3</v>
      </c>
      <c r="T918">
        <v>600.67809066127609</v>
      </c>
      <c r="U918">
        <v>4</v>
      </c>
      <c r="V918">
        <v>0.5118807904896423</v>
      </c>
      <c r="W918">
        <v>1</v>
      </c>
      <c r="X918">
        <v>0.5118807904896423</v>
      </c>
      <c r="Y918">
        <v>2</v>
      </c>
      <c r="Z918">
        <v>676.06682548988681</v>
      </c>
      <c r="AA918">
        <v>2</v>
      </c>
      <c r="AB918">
        <v>3</v>
      </c>
      <c r="AC918">
        <v>7</v>
      </c>
      <c r="AD918">
        <v>26.01</v>
      </c>
      <c r="AE918">
        <v>253</v>
      </c>
      <c r="AF918">
        <v>18</v>
      </c>
      <c r="AG918">
        <v>58</v>
      </c>
      <c r="AH918">
        <v>32</v>
      </c>
      <c r="AI918">
        <v>7.11</v>
      </c>
      <c r="AJ918">
        <v>22.92</v>
      </c>
      <c r="AK918">
        <v>12.65</v>
      </c>
      <c r="AL918">
        <v>-19.595574149999951</v>
      </c>
      <c r="AM918">
        <v>-43.900265035317688</v>
      </c>
      <c r="AN918">
        <v>-19.595574149999951</v>
      </c>
      <c r="AO918">
        <v>-43.900265035317688</v>
      </c>
      <c r="AP918">
        <v>-19.595734</v>
      </c>
      <c r="AQ918">
        <v>-43.900387000000002</v>
      </c>
      <c r="AR918">
        <v>21.91456243504582</v>
      </c>
      <c r="AS918" t="s">
        <v>65</v>
      </c>
      <c r="AT918">
        <v>1</v>
      </c>
      <c r="AU918" t="s">
        <v>355</v>
      </c>
      <c r="AV918" t="s">
        <v>356</v>
      </c>
      <c r="AW918" t="s">
        <v>60</v>
      </c>
      <c r="AX918" t="s">
        <v>68</v>
      </c>
      <c r="AY918" t="s">
        <v>69</v>
      </c>
      <c r="AZ918" t="b">
        <v>1</v>
      </c>
    </row>
    <row r="919" spans="1:52" x14ac:dyDescent="0.3">
      <c r="A919" t="s">
        <v>52</v>
      </c>
      <c r="B919" t="s">
        <v>53</v>
      </c>
      <c r="C919" t="s">
        <v>54</v>
      </c>
      <c r="D919" t="s">
        <v>55</v>
      </c>
      <c r="E919" t="s">
        <v>803</v>
      </c>
      <c r="F919" t="s">
        <v>176</v>
      </c>
      <c r="G919" t="s">
        <v>371</v>
      </c>
      <c r="H919" t="s">
        <v>496</v>
      </c>
      <c r="I919" t="s">
        <v>496</v>
      </c>
      <c r="J919" t="s">
        <v>60</v>
      </c>
      <c r="K919" t="s">
        <v>352</v>
      </c>
      <c r="L919" t="s">
        <v>62</v>
      </c>
      <c r="M919" t="s">
        <v>352</v>
      </c>
      <c r="N919" t="s">
        <v>497</v>
      </c>
      <c r="O919" t="s">
        <v>120</v>
      </c>
      <c r="P919">
        <v>-19.599603999999999</v>
      </c>
      <c r="Q919">
        <v>-43.899650000000001</v>
      </c>
      <c r="R919" s="2" t="str">
        <f>HYPERLINK("https://www.google.com/maps?q=-19.5996040,-43.8996500","Abrir no Google Maps")</f>
        <v>Abrir no Google Maps</v>
      </c>
      <c r="S919">
        <v>3</v>
      </c>
      <c r="T919">
        <v>381.13553853255752</v>
      </c>
      <c r="U919">
        <v>4</v>
      </c>
      <c r="V919">
        <v>0.44806883354279692</v>
      </c>
      <c r="W919">
        <v>0.85</v>
      </c>
      <c r="X919">
        <v>0.38085850851137742</v>
      </c>
      <c r="Y919">
        <v>2</v>
      </c>
      <c r="Z919">
        <v>445.30611048306139</v>
      </c>
      <c r="AA919">
        <v>2</v>
      </c>
      <c r="AB919">
        <v>3</v>
      </c>
      <c r="AC919">
        <v>7</v>
      </c>
      <c r="AD919">
        <v>26.01</v>
      </c>
      <c r="AE919">
        <v>253</v>
      </c>
      <c r="AF919">
        <v>18</v>
      </c>
      <c r="AG919">
        <v>58</v>
      </c>
      <c r="AH919">
        <v>32</v>
      </c>
      <c r="AI919">
        <v>7.11</v>
      </c>
      <c r="AJ919">
        <v>22.92</v>
      </c>
      <c r="AK919">
        <v>12.65</v>
      </c>
      <c r="AL919">
        <v>-19.59984999999995</v>
      </c>
      <c r="AM919">
        <v>-43.90070409772008</v>
      </c>
      <c r="AN919">
        <v>-19.59984999999995</v>
      </c>
      <c r="AO919">
        <v>-43.90070409772008</v>
      </c>
      <c r="AP919">
        <v>-19.599603999999999</v>
      </c>
      <c r="AQ919">
        <v>-43.899650000000001</v>
      </c>
      <c r="AR919">
        <v>113.8846460473157</v>
      </c>
      <c r="AS919" t="s">
        <v>65</v>
      </c>
      <c r="AT919">
        <v>1</v>
      </c>
      <c r="AU919" t="s">
        <v>498</v>
      </c>
      <c r="AV919" t="s">
        <v>499</v>
      </c>
      <c r="AW919" t="s">
        <v>60</v>
      </c>
      <c r="AX919" t="s">
        <v>68</v>
      </c>
      <c r="AY919" t="s">
        <v>69</v>
      </c>
      <c r="AZ919" t="b">
        <v>1</v>
      </c>
    </row>
    <row r="920" spans="1:52" x14ac:dyDescent="0.3">
      <c r="A920" t="s">
        <v>52</v>
      </c>
      <c r="B920" t="s">
        <v>53</v>
      </c>
      <c r="C920" t="s">
        <v>54</v>
      </c>
      <c r="D920" t="s">
        <v>55</v>
      </c>
      <c r="E920" t="s">
        <v>803</v>
      </c>
      <c r="F920" t="s">
        <v>176</v>
      </c>
      <c r="G920" t="s">
        <v>357</v>
      </c>
      <c r="H920" t="s">
        <v>358</v>
      </c>
      <c r="I920" t="s">
        <v>358</v>
      </c>
      <c r="J920" t="s">
        <v>60</v>
      </c>
      <c r="K920" t="s">
        <v>359</v>
      </c>
      <c r="L920" t="s">
        <v>62</v>
      </c>
      <c r="M920" t="s">
        <v>359</v>
      </c>
      <c r="N920" t="s">
        <v>360</v>
      </c>
      <c r="O920" t="s">
        <v>201</v>
      </c>
      <c r="P920">
        <v>-19.601168000000001</v>
      </c>
      <c r="Q920">
        <v>-43.896143000000002</v>
      </c>
      <c r="R920" s="2" t="str">
        <f>HYPERLINK("https://www.google.com/maps?q=-19.6011680,-43.8961430","Abrir no Google Maps")</f>
        <v>Abrir no Google Maps</v>
      </c>
      <c r="S920">
        <v>3</v>
      </c>
      <c r="T920">
        <v>886.80074895427902</v>
      </c>
      <c r="U920">
        <v>4</v>
      </c>
      <c r="V920">
        <v>0.39015133345505071</v>
      </c>
      <c r="W920">
        <v>1</v>
      </c>
      <c r="X920">
        <v>0.39015133345505071</v>
      </c>
      <c r="Y920">
        <v>2</v>
      </c>
      <c r="Z920">
        <v>807.27931110193254</v>
      </c>
      <c r="AA920">
        <v>2</v>
      </c>
      <c r="AB920">
        <v>3</v>
      </c>
      <c r="AC920">
        <v>7</v>
      </c>
      <c r="AD920">
        <v>26.01</v>
      </c>
      <c r="AE920">
        <v>253</v>
      </c>
      <c r="AF920">
        <v>18</v>
      </c>
      <c r="AG920">
        <v>58</v>
      </c>
      <c r="AH920">
        <v>32</v>
      </c>
      <c r="AI920">
        <v>7.11</v>
      </c>
      <c r="AJ920">
        <v>22.92</v>
      </c>
      <c r="AK920">
        <v>12.65</v>
      </c>
      <c r="AL920">
        <v>-19.60112959999995</v>
      </c>
      <c r="AM920">
        <v>-43.896049426747439</v>
      </c>
      <c r="AN920">
        <v>-19.60112959999995</v>
      </c>
      <c r="AO920">
        <v>-43.896049426747439</v>
      </c>
      <c r="AP920">
        <v>-19.601168000000001</v>
      </c>
      <c r="AQ920">
        <v>-43.896143000000002</v>
      </c>
      <c r="AR920">
        <v>10.703588298793671</v>
      </c>
      <c r="AS920" t="s">
        <v>65</v>
      </c>
      <c r="AT920">
        <v>1</v>
      </c>
      <c r="AU920" t="s">
        <v>361</v>
      </c>
      <c r="AV920" t="s">
        <v>362</v>
      </c>
      <c r="AW920" t="s">
        <v>60</v>
      </c>
      <c r="AX920" t="s">
        <v>68</v>
      </c>
      <c r="AY920" t="s">
        <v>69</v>
      </c>
      <c r="AZ920" t="b">
        <v>1</v>
      </c>
    </row>
    <row r="921" spans="1:52" x14ac:dyDescent="0.3">
      <c r="A921" t="s">
        <v>52</v>
      </c>
      <c r="B921" t="s">
        <v>53</v>
      </c>
      <c r="C921" t="s">
        <v>54</v>
      </c>
      <c r="D921" t="s">
        <v>55</v>
      </c>
      <c r="E921" t="s">
        <v>803</v>
      </c>
      <c r="F921" t="s">
        <v>176</v>
      </c>
      <c r="G921" t="s">
        <v>350</v>
      </c>
      <c r="H921" t="s">
        <v>363</v>
      </c>
      <c r="I921" t="s">
        <v>363</v>
      </c>
      <c r="J921" t="s">
        <v>60</v>
      </c>
      <c r="K921" t="s">
        <v>364</v>
      </c>
      <c r="L921" t="s">
        <v>62</v>
      </c>
      <c r="M921" t="s">
        <v>364</v>
      </c>
      <c r="N921" t="s">
        <v>353</v>
      </c>
      <c r="O921" t="s">
        <v>365</v>
      </c>
      <c r="P921">
        <v>-19.594657000000002</v>
      </c>
      <c r="Q921">
        <v>-43.901567</v>
      </c>
      <c r="R921" s="2" t="str">
        <f>HYPERLINK("https://www.google.com/maps?q=-19.5946570,-43.9015670","Abrir no Google Maps")</f>
        <v>Abrir no Google Maps</v>
      </c>
      <c r="S921">
        <v>3</v>
      </c>
      <c r="T921">
        <v>592.43040989358553</v>
      </c>
      <c r="U921">
        <v>4</v>
      </c>
      <c r="V921">
        <v>0.51869097266692288</v>
      </c>
      <c r="W921">
        <v>1</v>
      </c>
      <c r="X921">
        <v>0.51869097266692288</v>
      </c>
      <c r="Y921">
        <v>2</v>
      </c>
      <c r="Z921">
        <v>597.4493869225131</v>
      </c>
      <c r="AA921">
        <v>2</v>
      </c>
      <c r="AB921">
        <v>3</v>
      </c>
      <c r="AC921">
        <v>7</v>
      </c>
      <c r="AD921">
        <v>26.01</v>
      </c>
      <c r="AE921">
        <v>253</v>
      </c>
      <c r="AF921">
        <v>18</v>
      </c>
      <c r="AG921">
        <v>58</v>
      </c>
      <c r="AH921">
        <v>32</v>
      </c>
      <c r="AI921">
        <v>7.11</v>
      </c>
      <c r="AJ921">
        <v>22.92</v>
      </c>
      <c r="AK921">
        <v>12.65</v>
      </c>
      <c r="AL921">
        <v>-19.59470494999994</v>
      </c>
      <c r="AM921">
        <v>-43.901629434678291</v>
      </c>
      <c r="AN921">
        <v>-19.59470494999994</v>
      </c>
      <c r="AO921">
        <v>-43.901629434678291</v>
      </c>
      <c r="AP921">
        <v>-19.594657000000002</v>
      </c>
      <c r="AQ921">
        <v>-43.901567</v>
      </c>
      <c r="AR921">
        <v>8.4477696105165858</v>
      </c>
      <c r="AS921" t="s">
        <v>65</v>
      </c>
      <c r="AT921">
        <v>1</v>
      </c>
      <c r="AU921" t="s">
        <v>366</v>
      </c>
      <c r="AV921" t="s">
        <v>367</v>
      </c>
      <c r="AW921" t="s">
        <v>60</v>
      </c>
      <c r="AX921" t="s">
        <v>68</v>
      </c>
      <c r="AY921" t="s">
        <v>69</v>
      </c>
      <c r="AZ921" t="b">
        <v>1</v>
      </c>
    </row>
    <row r="922" spans="1:52" x14ac:dyDescent="0.3">
      <c r="A922" t="s">
        <v>52</v>
      </c>
      <c r="B922" t="s">
        <v>53</v>
      </c>
      <c r="C922" t="s">
        <v>54</v>
      </c>
      <c r="D922" t="s">
        <v>55</v>
      </c>
      <c r="E922" t="s">
        <v>803</v>
      </c>
      <c r="F922" t="s">
        <v>176</v>
      </c>
      <c r="G922" t="s">
        <v>350</v>
      </c>
      <c r="H922" t="s">
        <v>368</v>
      </c>
      <c r="I922" t="s">
        <v>368</v>
      </c>
      <c r="J922" t="s">
        <v>60</v>
      </c>
      <c r="K922" t="s">
        <v>364</v>
      </c>
      <c r="L922" t="s">
        <v>62</v>
      </c>
      <c r="M922" t="s">
        <v>364</v>
      </c>
      <c r="N922" t="s">
        <v>353</v>
      </c>
      <c r="O922" t="s">
        <v>365</v>
      </c>
      <c r="P922">
        <v>-19.593221</v>
      </c>
      <c r="Q922">
        <v>-43.901839000000002</v>
      </c>
      <c r="R922" s="2" t="str">
        <f>HYPERLINK("https://www.google.com/maps?q=-19.5932210,-43.9018390","Abrir no Google Maps")</f>
        <v>Abrir no Google Maps</v>
      </c>
      <c r="S922">
        <v>3</v>
      </c>
      <c r="T922">
        <v>741.77482535005606</v>
      </c>
      <c r="U922">
        <v>4</v>
      </c>
      <c r="V922">
        <v>0.51493983871494264</v>
      </c>
      <c r="W922">
        <v>0.85</v>
      </c>
      <c r="X922">
        <v>0.43769886290770121</v>
      </c>
      <c r="Y922">
        <v>2</v>
      </c>
      <c r="Z922">
        <v>790.59331647558088</v>
      </c>
      <c r="AA922">
        <v>2</v>
      </c>
      <c r="AB922">
        <v>3</v>
      </c>
      <c r="AC922">
        <v>7</v>
      </c>
      <c r="AD922">
        <v>26.01</v>
      </c>
      <c r="AE922">
        <v>253</v>
      </c>
      <c r="AF922">
        <v>18</v>
      </c>
      <c r="AG922">
        <v>58</v>
      </c>
      <c r="AH922">
        <v>32</v>
      </c>
      <c r="AI922">
        <v>7.11</v>
      </c>
      <c r="AJ922">
        <v>22.92</v>
      </c>
      <c r="AK922">
        <v>12.65</v>
      </c>
      <c r="AL922">
        <v>-19.593187449999959</v>
      </c>
      <c r="AM922">
        <v>-43.901700308057322</v>
      </c>
      <c r="AN922">
        <v>-19.593187449999959</v>
      </c>
      <c r="AO922">
        <v>-43.901700308057322</v>
      </c>
      <c r="AP922">
        <v>-19.593221</v>
      </c>
      <c r="AQ922">
        <v>-43.901839000000002</v>
      </c>
      <c r="AR922">
        <v>15.017055708279431</v>
      </c>
      <c r="AS922" t="s">
        <v>65</v>
      </c>
      <c r="AT922">
        <v>1</v>
      </c>
      <c r="AU922" t="s">
        <v>369</v>
      </c>
      <c r="AV922" t="s">
        <v>370</v>
      </c>
      <c r="AW922" t="s">
        <v>60</v>
      </c>
      <c r="AX922" t="s">
        <v>68</v>
      </c>
      <c r="AY922" t="s">
        <v>69</v>
      </c>
      <c r="AZ922" t="b">
        <v>1</v>
      </c>
    </row>
    <row r="923" spans="1:52" x14ac:dyDescent="0.3">
      <c r="A923" t="s">
        <v>52</v>
      </c>
      <c r="B923" t="s">
        <v>53</v>
      </c>
      <c r="C923" t="s">
        <v>54</v>
      </c>
      <c r="D923" t="s">
        <v>55</v>
      </c>
      <c r="E923" t="s">
        <v>803</v>
      </c>
      <c r="F923" t="s">
        <v>176</v>
      </c>
      <c r="G923" t="s">
        <v>371</v>
      </c>
      <c r="H923" t="s">
        <v>372</v>
      </c>
      <c r="I923" t="s">
        <v>372</v>
      </c>
      <c r="J923" t="s">
        <v>60</v>
      </c>
      <c r="K923" t="s">
        <v>352</v>
      </c>
      <c r="L923" t="s">
        <v>62</v>
      </c>
      <c r="M923" t="s">
        <v>352</v>
      </c>
      <c r="N923" t="s">
        <v>353</v>
      </c>
      <c r="O923" t="s">
        <v>373</v>
      </c>
      <c r="P923">
        <v>-19.596541999999999</v>
      </c>
      <c r="Q923">
        <v>-43.900803000000003</v>
      </c>
      <c r="R923" s="2" t="str">
        <f>HYPERLINK("https://www.google.com/maps?q=-19.5965420,-43.9008030","Abrir no Google Maps")</f>
        <v>Abrir no Google Maps</v>
      </c>
      <c r="S923">
        <v>3</v>
      </c>
      <c r="T923">
        <v>401.18305899095373</v>
      </c>
      <c r="U923">
        <v>4</v>
      </c>
      <c r="V923">
        <v>0.51355757405937208</v>
      </c>
      <c r="W923">
        <v>1</v>
      </c>
      <c r="X923">
        <v>0.51355757405937208</v>
      </c>
      <c r="Y923">
        <v>2</v>
      </c>
      <c r="Z923">
        <v>484.51228510119228</v>
      </c>
      <c r="AA923">
        <v>2</v>
      </c>
      <c r="AB923">
        <v>3</v>
      </c>
      <c r="AC923">
        <v>7</v>
      </c>
      <c r="AD923">
        <v>26.01</v>
      </c>
      <c r="AE923">
        <v>253</v>
      </c>
      <c r="AF923">
        <v>18</v>
      </c>
      <c r="AG923">
        <v>58</v>
      </c>
      <c r="AH923">
        <v>32</v>
      </c>
      <c r="AI923">
        <v>7.11</v>
      </c>
      <c r="AJ923">
        <v>22.92</v>
      </c>
      <c r="AK923">
        <v>12.65</v>
      </c>
      <c r="AL923">
        <v>-19.596464449999932</v>
      </c>
      <c r="AM923">
        <v>-43.902090320142641</v>
      </c>
      <c r="AN923">
        <v>-19.596464449999932</v>
      </c>
      <c r="AO923">
        <v>-43.902090320142641</v>
      </c>
      <c r="AP923">
        <v>-19.596541999999999</v>
      </c>
      <c r="AQ923">
        <v>-43.900803000000003</v>
      </c>
      <c r="AR923">
        <v>135.27975170069479</v>
      </c>
      <c r="AS923" t="s">
        <v>65</v>
      </c>
      <c r="AT923">
        <v>1</v>
      </c>
      <c r="AU923" t="s">
        <v>374</v>
      </c>
      <c r="AV923" t="s">
        <v>375</v>
      </c>
      <c r="AW923" t="s">
        <v>60</v>
      </c>
      <c r="AX923" t="s">
        <v>68</v>
      </c>
      <c r="AY923" t="s">
        <v>69</v>
      </c>
      <c r="AZ923" t="b">
        <v>1</v>
      </c>
    </row>
    <row r="924" spans="1:52" x14ac:dyDescent="0.3">
      <c r="A924" t="s">
        <v>52</v>
      </c>
      <c r="B924" t="s">
        <v>53</v>
      </c>
      <c r="C924" t="s">
        <v>54</v>
      </c>
      <c r="D924" t="s">
        <v>55</v>
      </c>
      <c r="E924" t="s">
        <v>803</v>
      </c>
      <c r="F924" t="s">
        <v>176</v>
      </c>
      <c r="G924" t="s">
        <v>376</v>
      </c>
      <c r="H924" t="s">
        <v>377</v>
      </c>
      <c r="I924" t="s">
        <v>377</v>
      </c>
      <c r="J924" t="s">
        <v>60</v>
      </c>
      <c r="K924" t="s">
        <v>352</v>
      </c>
      <c r="L924" t="s">
        <v>62</v>
      </c>
      <c r="M924" t="s">
        <v>352</v>
      </c>
      <c r="N924" t="s">
        <v>378</v>
      </c>
      <c r="O924" t="s">
        <v>379</v>
      </c>
      <c r="P924">
        <v>-19.596966999999999</v>
      </c>
      <c r="Q924">
        <v>-43.90155</v>
      </c>
      <c r="R924" s="2" t="str">
        <f>HYPERLINK("https://www.google.com/maps?q=-19.5969670,-43.9015500","Abrir no Google Maps")</f>
        <v>Abrir no Google Maps</v>
      </c>
      <c r="S924">
        <v>3</v>
      </c>
      <c r="T924">
        <v>366.5160120865408</v>
      </c>
      <c r="U924">
        <v>4</v>
      </c>
      <c r="V924">
        <v>0.46674335841366638</v>
      </c>
      <c r="W924">
        <v>1</v>
      </c>
      <c r="X924">
        <v>0.46674335841366638</v>
      </c>
      <c r="Y924">
        <v>2</v>
      </c>
      <c r="Z924">
        <v>437.88042928493138</v>
      </c>
      <c r="AA924">
        <v>2</v>
      </c>
      <c r="AB924">
        <v>3</v>
      </c>
      <c r="AC924">
        <v>7</v>
      </c>
      <c r="AD924">
        <v>26.01</v>
      </c>
      <c r="AE924">
        <v>253</v>
      </c>
      <c r="AF924">
        <v>18</v>
      </c>
      <c r="AG924">
        <v>58</v>
      </c>
      <c r="AH924">
        <v>32</v>
      </c>
      <c r="AI924">
        <v>7.11</v>
      </c>
      <c r="AJ924">
        <v>22.92</v>
      </c>
      <c r="AK924">
        <v>12.65</v>
      </c>
      <c r="AL924">
        <v>-19.597188549999942</v>
      </c>
      <c r="AM924">
        <v>-43.901724335633787</v>
      </c>
      <c r="AN924">
        <v>-19.597188549999942</v>
      </c>
      <c r="AO924">
        <v>-43.901724335633787</v>
      </c>
      <c r="AP924">
        <v>-19.596966999999999</v>
      </c>
      <c r="AQ924">
        <v>-43.90155</v>
      </c>
      <c r="AR924">
        <v>30.700556875456439</v>
      </c>
      <c r="AS924" t="s">
        <v>65</v>
      </c>
      <c r="AT924">
        <v>1</v>
      </c>
      <c r="AU924" t="s">
        <v>380</v>
      </c>
      <c r="AV924" t="s">
        <v>381</v>
      </c>
      <c r="AW924" t="s">
        <v>60</v>
      </c>
      <c r="AX924" t="s">
        <v>68</v>
      </c>
      <c r="AY924" t="s">
        <v>69</v>
      </c>
      <c r="AZ924" t="b">
        <v>1</v>
      </c>
    </row>
    <row r="925" spans="1:52" x14ac:dyDescent="0.3">
      <c r="A925" t="s">
        <v>52</v>
      </c>
      <c r="B925" t="s">
        <v>53</v>
      </c>
      <c r="C925" t="s">
        <v>54</v>
      </c>
      <c r="D925" t="s">
        <v>55</v>
      </c>
      <c r="E925" t="s">
        <v>803</v>
      </c>
      <c r="F925" t="s">
        <v>176</v>
      </c>
      <c r="G925" t="s">
        <v>506</v>
      </c>
      <c r="H925" t="s">
        <v>507</v>
      </c>
      <c r="I925" t="s">
        <v>507</v>
      </c>
      <c r="J925" t="s">
        <v>60</v>
      </c>
      <c r="K925" t="s">
        <v>219</v>
      </c>
      <c r="L925" t="s">
        <v>62</v>
      </c>
      <c r="M925" t="s">
        <v>219</v>
      </c>
      <c r="N925" t="s">
        <v>508</v>
      </c>
      <c r="O925" t="s">
        <v>509</v>
      </c>
      <c r="P925">
        <v>-19.663573</v>
      </c>
      <c r="Q925">
        <v>-43.884306000000002</v>
      </c>
      <c r="R925" s="2" t="str">
        <f>HYPERLINK("https://www.google.com/maps?q=-19.6635730,-43.8843060","Abrir no Google Maps")</f>
        <v>Abrir no Google Maps</v>
      </c>
      <c r="S925">
        <v>3</v>
      </c>
      <c r="T925">
        <v>1293.040666597964</v>
      </c>
      <c r="U925">
        <v>4</v>
      </c>
      <c r="V925">
        <v>0.36901758403669838</v>
      </c>
      <c r="W925">
        <v>1</v>
      </c>
      <c r="X925">
        <v>0.36901758403669838</v>
      </c>
      <c r="Y925">
        <v>1</v>
      </c>
      <c r="Z925">
        <v>649.69199246551727</v>
      </c>
      <c r="AA925">
        <v>2</v>
      </c>
      <c r="AB925">
        <v>3</v>
      </c>
      <c r="AC925">
        <v>7</v>
      </c>
      <c r="AD925">
        <v>26.01</v>
      </c>
      <c r="AE925">
        <v>253</v>
      </c>
      <c r="AF925">
        <v>18</v>
      </c>
      <c r="AG925">
        <v>58</v>
      </c>
      <c r="AH925">
        <v>32</v>
      </c>
      <c r="AI925">
        <v>7.11</v>
      </c>
      <c r="AJ925">
        <v>22.92</v>
      </c>
      <c r="AK925">
        <v>12.65</v>
      </c>
      <c r="AL925">
        <v>-19.663616899999969</v>
      </c>
      <c r="AM925">
        <v>-43.884279937960187</v>
      </c>
      <c r="AN925">
        <v>-19.663616899999969</v>
      </c>
      <c r="AO925">
        <v>-43.884279937960187</v>
      </c>
      <c r="AP925">
        <v>-19.663573</v>
      </c>
      <c r="AQ925">
        <v>-43.884306000000002</v>
      </c>
      <c r="AR925">
        <v>5.5987767285658263</v>
      </c>
      <c r="AS925" t="s">
        <v>65</v>
      </c>
      <c r="AT925">
        <v>1</v>
      </c>
      <c r="AU925" t="s">
        <v>510</v>
      </c>
      <c r="AV925" t="s">
        <v>511</v>
      </c>
      <c r="AW925" t="s">
        <v>60</v>
      </c>
      <c r="AX925" t="s">
        <v>68</v>
      </c>
      <c r="AY925" t="s">
        <v>69</v>
      </c>
      <c r="AZ925" t="b">
        <v>1</v>
      </c>
    </row>
    <row r="926" spans="1:52" x14ac:dyDescent="0.3">
      <c r="A926" t="s">
        <v>52</v>
      </c>
      <c r="B926" t="s">
        <v>53</v>
      </c>
      <c r="C926" t="s">
        <v>54</v>
      </c>
      <c r="D926" t="s">
        <v>55</v>
      </c>
      <c r="E926" t="s">
        <v>803</v>
      </c>
      <c r="F926" t="s">
        <v>176</v>
      </c>
      <c r="G926" t="s">
        <v>382</v>
      </c>
      <c r="H926" t="s">
        <v>383</v>
      </c>
      <c r="I926" t="s">
        <v>383</v>
      </c>
      <c r="J926" t="s">
        <v>60</v>
      </c>
      <c r="K926" t="s">
        <v>185</v>
      </c>
      <c r="L926" t="s">
        <v>62</v>
      </c>
      <c r="M926" t="s">
        <v>185</v>
      </c>
      <c r="N926" t="s">
        <v>384</v>
      </c>
      <c r="O926" t="s">
        <v>385</v>
      </c>
      <c r="P926">
        <v>-19.623774000000001</v>
      </c>
      <c r="Q926">
        <v>-43.886352000000002</v>
      </c>
      <c r="R926" s="2" t="str">
        <f>HYPERLINK("https://www.google.com/maps?q=-19.6237740,-43.8863520","Abrir no Google Maps")</f>
        <v>Abrir no Google Maps</v>
      </c>
      <c r="S926">
        <v>3</v>
      </c>
      <c r="T926">
        <v>818.17252856383368</v>
      </c>
      <c r="U926">
        <v>4</v>
      </c>
      <c r="V926">
        <v>0.4010516635250102</v>
      </c>
      <c r="W926">
        <v>1</v>
      </c>
      <c r="X926">
        <v>0.4010516635250102</v>
      </c>
      <c r="Y926">
        <v>0</v>
      </c>
      <c r="Z926">
        <v>327.32213182525902</v>
      </c>
      <c r="AA926">
        <v>2</v>
      </c>
      <c r="AB926">
        <v>3</v>
      </c>
      <c r="AC926">
        <v>7</v>
      </c>
      <c r="AD926">
        <v>26.01</v>
      </c>
      <c r="AE926">
        <v>253</v>
      </c>
      <c r="AF926">
        <v>18</v>
      </c>
      <c r="AG926">
        <v>58</v>
      </c>
      <c r="AH926">
        <v>32</v>
      </c>
      <c r="AI926">
        <v>7.11</v>
      </c>
      <c r="AJ926">
        <v>22.92</v>
      </c>
      <c r="AK926">
        <v>12.65</v>
      </c>
      <c r="AL926">
        <v>-19.623056299999941</v>
      </c>
      <c r="AM926">
        <v>-43.886837120297002</v>
      </c>
      <c r="AN926">
        <v>-19.623056299999941</v>
      </c>
      <c r="AO926">
        <v>-43.886837120297002</v>
      </c>
      <c r="AP926">
        <v>-19.623774000000001</v>
      </c>
      <c r="AQ926">
        <v>-43.886352000000002</v>
      </c>
      <c r="AR926">
        <v>94.713149059175393</v>
      </c>
      <c r="AS926" t="s">
        <v>65</v>
      </c>
      <c r="AT926">
        <v>1</v>
      </c>
      <c r="AU926" t="s">
        <v>386</v>
      </c>
      <c r="AV926" t="s">
        <v>387</v>
      </c>
      <c r="AW926" t="s">
        <v>60</v>
      </c>
      <c r="AX926" t="s">
        <v>68</v>
      </c>
      <c r="AY926" t="s">
        <v>69</v>
      </c>
      <c r="AZ926" t="b">
        <v>1</v>
      </c>
    </row>
    <row r="927" spans="1:52" x14ac:dyDescent="0.3">
      <c r="A927" t="s">
        <v>52</v>
      </c>
      <c r="B927" t="s">
        <v>53</v>
      </c>
      <c r="C927" t="s">
        <v>54</v>
      </c>
      <c r="D927" t="s">
        <v>55</v>
      </c>
      <c r="E927" t="s">
        <v>803</v>
      </c>
      <c r="F927" t="s">
        <v>176</v>
      </c>
      <c r="G927" t="s">
        <v>394</v>
      </c>
      <c r="H927" t="s">
        <v>395</v>
      </c>
      <c r="I927" t="s">
        <v>395</v>
      </c>
      <c r="J927" t="s">
        <v>60</v>
      </c>
      <c r="K927" t="s">
        <v>286</v>
      </c>
      <c r="L927" t="s">
        <v>62</v>
      </c>
      <c r="M927" t="s">
        <v>286</v>
      </c>
      <c r="N927" t="s">
        <v>396</v>
      </c>
      <c r="O927" t="s">
        <v>88</v>
      </c>
      <c r="P927">
        <v>-19.636932999999999</v>
      </c>
      <c r="Q927">
        <v>-43.882691999999999</v>
      </c>
      <c r="R927" s="2" t="str">
        <f>HYPERLINK("https://www.google.com/maps?q=-19.6369330,-43.8826920","Abrir no Google Maps")</f>
        <v>Abrir no Google Maps</v>
      </c>
      <c r="S927">
        <v>3</v>
      </c>
      <c r="T927">
        <v>523.52675813688109</v>
      </c>
      <c r="U927">
        <v>3</v>
      </c>
      <c r="V927">
        <v>0.36074612860884531</v>
      </c>
      <c r="W927">
        <v>1</v>
      </c>
      <c r="X927">
        <v>0.36074612860884531</v>
      </c>
      <c r="Y927">
        <v>10</v>
      </c>
      <c r="Z927">
        <v>372.58135532659509</v>
      </c>
      <c r="AA927">
        <v>2</v>
      </c>
      <c r="AB927">
        <v>3</v>
      </c>
      <c r="AC927">
        <v>7</v>
      </c>
      <c r="AD927">
        <v>26.01</v>
      </c>
      <c r="AE927">
        <v>253</v>
      </c>
      <c r="AF927">
        <v>18</v>
      </c>
      <c r="AG927">
        <v>58</v>
      </c>
      <c r="AH927">
        <v>32</v>
      </c>
      <c r="AI927">
        <v>7.11</v>
      </c>
      <c r="AJ927">
        <v>22.92</v>
      </c>
      <c r="AK927">
        <v>12.65</v>
      </c>
      <c r="AL927">
        <v>-19.637159949999951</v>
      </c>
      <c r="AM927">
        <v>-43.882643289441461</v>
      </c>
      <c r="AN927">
        <v>-19.637159949999951</v>
      </c>
      <c r="AO927">
        <v>-43.882643289441461</v>
      </c>
      <c r="AP927">
        <v>-19.636932999999999</v>
      </c>
      <c r="AQ927">
        <v>-43.882691999999999</v>
      </c>
      <c r="AR927">
        <v>25.775099947452478</v>
      </c>
      <c r="AS927" t="s">
        <v>65</v>
      </c>
      <c r="AT927">
        <v>1</v>
      </c>
      <c r="AU927" t="s">
        <v>397</v>
      </c>
      <c r="AV927" t="s">
        <v>398</v>
      </c>
      <c r="AW927" t="s">
        <v>60</v>
      </c>
      <c r="AX927" t="s">
        <v>68</v>
      </c>
      <c r="AY927" t="s">
        <v>69</v>
      </c>
      <c r="AZ927" t="b">
        <v>1</v>
      </c>
    </row>
    <row r="928" spans="1:52" x14ac:dyDescent="0.3">
      <c r="A928" t="s">
        <v>52</v>
      </c>
      <c r="B928" t="s">
        <v>53</v>
      </c>
      <c r="C928" t="s">
        <v>54</v>
      </c>
      <c r="D928" t="s">
        <v>55</v>
      </c>
      <c r="E928" t="s">
        <v>803</v>
      </c>
      <c r="F928" t="s">
        <v>176</v>
      </c>
      <c r="G928" t="s">
        <v>399</v>
      </c>
      <c r="H928" t="s">
        <v>400</v>
      </c>
      <c r="I928" t="s">
        <v>400</v>
      </c>
      <c r="J928" t="s">
        <v>60</v>
      </c>
      <c r="K928" t="s">
        <v>286</v>
      </c>
      <c r="L928" t="s">
        <v>62</v>
      </c>
      <c r="M928" t="s">
        <v>286</v>
      </c>
      <c r="N928" t="s">
        <v>401</v>
      </c>
      <c r="O928" t="s">
        <v>402</v>
      </c>
      <c r="P928">
        <v>-19.639906</v>
      </c>
      <c r="Q928">
        <v>-43.886059000000003</v>
      </c>
      <c r="R928" s="2" t="str">
        <f>HYPERLINK("https://www.google.com/maps?q=-19.6399060,-43.8860590","Abrir no Google Maps")</f>
        <v>Abrir no Google Maps</v>
      </c>
      <c r="S928">
        <v>3</v>
      </c>
      <c r="T928">
        <v>256.0748811302048</v>
      </c>
      <c r="U928">
        <v>3</v>
      </c>
      <c r="V928">
        <v>0.35292136479488789</v>
      </c>
      <c r="W928">
        <v>1</v>
      </c>
      <c r="X928">
        <v>0.35292136479488789</v>
      </c>
      <c r="Y928">
        <v>10</v>
      </c>
      <c r="Z928">
        <v>205.06236700857289</v>
      </c>
      <c r="AA928">
        <v>2</v>
      </c>
      <c r="AB928">
        <v>3</v>
      </c>
      <c r="AC928">
        <v>7</v>
      </c>
      <c r="AD928">
        <v>26.01</v>
      </c>
      <c r="AE928">
        <v>253</v>
      </c>
      <c r="AF928">
        <v>18</v>
      </c>
      <c r="AG928">
        <v>58</v>
      </c>
      <c r="AH928">
        <v>32</v>
      </c>
      <c r="AI928">
        <v>7.11</v>
      </c>
      <c r="AJ928">
        <v>22.92</v>
      </c>
      <c r="AK928">
        <v>12.65</v>
      </c>
      <c r="AL928">
        <v>-19.639789499999949</v>
      </c>
      <c r="AM928">
        <v>-43.885737855031408</v>
      </c>
      <c r="AN928">
        <v>-19.639789499999949</v>
      </c>
      <c r="AO928">
        <v>-43.885737855031408</v>
      </c>
      <c r="AP928">
        <v>-19.639906</v>
      </c>
      <c r="AQ928">
        <v>-43.886059000000003</v>
      </c>
      <c r="AR928">
        <v>36.081349702130403</v>
      </c>
      <c r="AS928" t="s">
        <v>65</v>
      </c>
      <c r="AT928">
        <v>1</v>
      </c>
      <c r="AU928" t="s">
        <v>403</v>
      </c>
      <c r="AV928" t="s">
        <v>404</v>
      </c>
      <c r="AW928" t="s">
        <v>60</v>
      </c>
      <c r="AX928" t="s">
        <v>68</v>
      </c>
      <c r="AY928" t="s">
        <v>69</v>
      </c>
      <c r="AZ928" t="b">
        <v>1</v>
      </c>
    </row>
    <row r="929" spans="1:52" x14ac:dyDescent="0.3">
      <c r="A929" t="s">
        <v>52</v>
      </c>
      <c r="B929" t="s">
        <v>53</v>
      </c>
      <c r="C929" t="s">
        <v>54</v>
      </c>
      <c r="D929" t="s">
        <v>55</v>
      </c>
      <c r="E929" t="s">
        <v>803</v>
      </c>
      <c r="F929" t="s">
        <v>176</v>
      </c>
      <c r="G929" t="s">
        <v>411</v>
      </c>
      <c r="H929" t="s">
        <v>412</v>
      </c>
      <c r="I929" t="s">
        <v>412</v>
      </c>
      <c r="J929" t="s">
        <v>60</v>
      </c>
      <c r="K929" t="s">
        <v>179</v>
      </c>
      <c r="L929" t="s">
        <v>62</v>
      </c>
      <c r="M929" t="s">
        <v>179</v>
      </c>
      <c r="N929" t="s">
        <v>413</v>
      </c>
      <c r="O929" t="s">
        <v>414</v>
      </c>
      <c r="P929">
        <v>-19.650079000000002</v>
      </c>
      <c r="Q929">
        <v>-43.884253999999999</v>
      </c>
      <c r="R929" s="2" t="str">
        <f>HYPERLINK("https://www.google.com/maps?q=-19.6500790,-43.8842540","Abrir no Google Maps")</f>
        <v>Abrir no Google Maps</v>
      </c>
      <c r="S929">
        <v>3</v>
      </c>
      <c r="T929">
        <v>797.21430129715498</v>
      </c>
      <c r="U929">
        <v>3</v>
      </c>
      <c r="V929">
        <v>0.35761294340566319</v>
      </c>
      <c r="W929">
        <v>1</v>
      </c>
      <c r="X929">
        <v>0.35761294340566319</v>
      </c>
      <c r="Y929">
        <v>10</v>
      </c>
      <c r="Z929">
        <v>774.04145012702554</v>
      </c>
      <c r="AA929">
        <v>2</v>
      </c>
      <c r="AB929">
        <v>3</v>
      </c>
      <c r="AC929">
        <v>7</v>
      </c>
      <c r="AD929">
        <v>26.01</v>
      </c>
      <c r="AE929">
        <v>253</v>
      </c>
      <c r="AF929">
        <v>18</v>
      </c>
      <c r="AG929">
        <v>58</v>
      </c>
      <c r="AH929">
        <v>32</v>
      </c>
      <c r="AI929">
        <v>7.11</v>
      </c>
      <c r="AJ929">
        <v>22.92</v>
      </c>
      <c r="AK929">
        <v>12.65</v>
      </c>
      <c r="AL929">
        <v>-19.649199399999961</v>
      </c>
      <c r="AM929">
        <v>-43.883888390043637</v>
      </c>
      <c r="AN929">
        <v>-19.649199399999961</v>
      </c>
      <c r="AO929">
        <v>-43.883888390043637</v>
      </c>
      <c r="AP929">
        <v>-19.650079000000002</v>
      </c>
      <c r="AQ929">
        <v>-43.884253999999999</v>
      </c>
      <c r="AR929">
        <v>105.1518915696123</v>
      </c>
      <c r="AS929" t="s">
        <v>65</v>
      </c>
      <c r="AT929">
        <v>1</v>
      </c>
      <c r="AU929" t="s">
        <v>415</v>
      </c>
      <c r="AV929" t="s">
        <v>416</v>
      </c>
      <c r="AW929" t="s">
        <v>60</v>
      </c>
      <c r="AX929" t="s">
        <v>68</v>
      </c>
      <c r="AY929" t="s">
        <v>69</v>
      </c>
      <c r="AZ929" t="b">
        <v>1</v>
      </c>
    </row>
    <row r="930" spans="1:52" x14ac:dyDescent="0.3">
      <c r="A930" t="s">
        <v>52</v>
      </c>
      <c r="B930" t="s">
        <v>53</v>
      </c>
      <c r="C930" t="s">
        <v>54</v>
      </c>
      <c r="D930" t="s">
        <v>55</v>
      </c>
      <c r="E930" t="s">
        <v>803</v>
      </c>
      <c r="F930" t="s">
        <v>176</v>
      </c>
      <c r="G930" t="s">
        <v>417</v>
      </c>
      <c r="H930" t="s">
        <v>418</v>
      </c>
      <c r="I930" t="s">
        <v>418</v>
      </c>
      <c r="J930" t="s">
        <v>60</v>
      </c>
      <c r="K930" t="s">
        <v>179</v>
      </c>
      <c r="L930" t="s">
        <v>62</v>
      </c>
      <c r="M930" t="s">
        <v>179</v>
      </c>
      <c r="N930" t="s">
        <v>419</v>
      </c>
      <c r="O930" t="s">
        <v>420</v>
      </c>
      <c r="P930">
        <v>-19.646516999999999</v>
      </c>
      <c r="Q930">
        <v>-43.889716</v>
      </c>
      <c r="R930" s="2" t="str">
        <f>HYPERLINK("https://www.google.com/maps?q=-19.6465170,-43.8897160","Abrir no Google Maps")</f>
        <v>Abrir no Google Maps</v>
      </c>
      <c r="S930">
        <v>3</v>
      </c>
      <c r="T930">
        <v>796.8355517653099</v>
      </c>
      <c r="U930">
        <v>3</v>
      </c>
      <c r="V930">
        <v>0.3522443541764137</v>
      </c>
      <c r="W930">
        <v>1</v>
      </c>
      <c r="X930">
        <v>0.3522443541764137</v>
      </c>
      <c r="Y930">
        <v>7</v>
      </c>
      <c r="Z930">
        <v>749.72812632947034</v>
      </c>
      <c r="AA930">
        <v>2</v>
      </c>
      <c r="AB930">
        <v>3</v>
      </c>
      <c r="AC930">
        <v>7</v>
      </c>
      <c r="AD930">
        <v>26.01</v>
      </c>
      <c r="AE930">
        <v>253</v>
      </c>
      <c r="AF930">
        <v>18</v>
      </c>
      <c r="AG930">
        <v>58</v>
      </c>
      <c r="AH930">
        <v>32</v>
      </c>
      <c r="AI930">
        <v>7.11</v>
      </c>
      <c r="AJ930">
        <v>22.92</v>
      </c>
      <c r="AK930">
        <v>12.65</v>
      </c>
      <c r="AL930">
        <v>-19.646452649999961</v>
      </c>
      <c r="AM930">
        <v>-43.88991036523079</v>
      </c>
      <c r="AN930">
        <v>-19.646452649999961</v>
      </c>
      <c r="AO930">
        <v>-43.88991036523079</v>
      </c>
      <c r="AP930">
        <v>-19.646516999999999</v>
      </c>
      <c r="AQ930">
        <v>-43.889716</v>
      </c>
      <c r="AR930">
        <v>21.599617922669939</v>
      </c>
      <c r="AS930" t="s">
        <v>65</v>
      </c>
      <c r="AT930">
        <v>1</v>
      </c>
      <c r="AU930" t="s">
        <v>421</v>
      </c>
      <c r="AV930" t="s">
        <v>422</v>
      </c>
      <c r="AW930" t="s">
        <v>60</v>
      </c>
      <c r="AX930" t="s">
        <v>68</v>
      </c>
      <c r="AY930" t="s">
        <v>69</v>
      </c>
      <c r="AZ930" t="b">
        <v>1</v>
      </c>
    </row>
    <row r="931" spans="1:52" x14ac:dyDescent="0.3">
      <c r="A931" t="s">
        <v>52</v>
      </c>
      <c r="B931" t="s">
        <v>53</v>
      </c>
      <c r="C931" t="s">
        <v>54</v>
      </c>
      <c r="D931" t="s">
        <v>55</v>
      </c>
      <c r="E931" t="s">
        <v>803</v>
      </c>
      <c r="F931" t="s">
        <v>176</v>
      </c>
      <c r="G931" t="s">
        <v>228</v>
      </c>
      <c r="H931" t="s">
        <v>423</v>
      </c>
      <c r="I931" t="s">
        <v>423</v>
      </c>
      <c r="J931" t="s">
        <v>60</v>
      </c>
      <c r="K931" t="s">
        <v>286</v>
      </c>
      <c r="L931" t="s">
        <v>62</v>
      </c>
      <c r="M931" t="s">
        <v>286</v>
      </c>
      <c r="N931" t="s">
        <v>230</v>
      </c>
      <c r="O931" t="s">
        <v>424</v>
      </c>
      <c r="P931">
        <v>-19.641656999999999</v>
      </c>
      <c r="Q931">
        <v>-43.884228999999998</v>
      </c>
      <c r="R931" s="2" t="str">
        <f>HYPERLINK("https://www.google.com/maps?q=-19.6416570,-43.8842290","Abrir no Google Maps")</f>
        <v>Abrir no Google Maps</v>
      </c>
      <c r="S931">
        <v>3</v>
      </c>
      <c r="T931">
        <v>0</v>
      </c>
      <c r="U931">
        <v>3</v>
      </c>
      <c r="V931">
        <v>0.35948624705673698</v>
      </c>
      <c r="W931">
        <v>1</v>
      </c>
      <c r="X931">
        <v>0.35948624705673698</v>
      </c>
      <c r="Y931">
        <v>7</v>
      </c>
      <c r="Z931">
        <v>67.727401070752876</v>
      </c>
      <c r="AA931">
        <v>2</v>
      </c>
      <c r="AB931">
        <v>3</v>
      </c>
      <c r="AC931">
        <v>7</v>
      </c>
      <c r="AD931">
        <v>26.01</v>
      </c>
      <c r="AE931">
        <v>253</v>
      </c>
      <c r="AF931">
        <v>18</v>
      </c>
      <c r="AG931">
        <v>58</v>
      </c>
      <c r="AH931">
        <v>32</v>
      </c>
      <c r="AI931">
        <v>7.11</v>
      </c>
      <c r="AJ931">
        <v>22.92</v>
      </c>
      <c r="AK931">
        <v>12.65</v>
      </c>
      <c r="AL931">
        <v>-19.641634199999942</v>
      </c>
      <c r="AM931">
        <v>-43.884263743972831</v>
      </c>
      <c r="AN931">
        <v>-19.641634199999942</v>
      </c>
      <c r="AO931">
        <v>-43.884263743972831</v>
      </c>
      <c r="AP931">
        <v>-19.641656999999999</v>
      </c>
      <c r="AQ931">
        <v>-43.884228999999998</v>
      </c>
      <c r="AR931">
        <v>4.4396888961435659</v>
      </c>
      <c r="AS931" t="s">
        <v>65</v>
      </c>
      <c r="AT931">
        <v>1</v>
      </c>
      <c r="AU931" t="s">
        <v>425</v>
      </c>
      <c r="AV931" t="s">
        <v>426</v>
      </c>
      <c r="AW931" t="s">
        <v>60</v>
      </c>
      <c r="AX931" t="s">
        <v>68</v>
      </c>
      <c r="AY931" t="s">
        <v>69</v>
      </c>
      <c r="AZ931" t="b">
        <v>1</v>
      </c>
    </row>
    <row r="932" spans="1:52" x14ac:dyDescent="0.3">
      <c r="A932" t="s">
        <v>52</v>
      </c>
      <c r="B932" t="s">
        <v>53</v>
      </c>
      <c r="C932" t="s">
        <v>54</v>
      </c>
      <c r="D932" t="s">
        <v>55</v>
      </c>
      <c r="E932" t="s">
        <v>803</v>
      </c>
      <c r="F932" t="s">
        <v>176</v>
      </c>
      <c r="G932" t="s">
        <v>777</v>
      </c>
      <c r="H932" t="s">
        <v>778</v>
      </c>
      <c r="I932" t="s">
        <v>778</v>
      </c>
      <c r="J932" t="s">
        <v>60</v>
      </c>
      <c r="K932" t="s">
        <v>352</v>
      </c>
      <c r="L932" t="s">
        <v>62</v>
      </c>
      <c r="M932" t="s">
        <v>352</v>
      </c>
      <c r="N932" t="s">
        <v>779</v>
      </c>
      <c r="O932" t="s">
        <v>780</v>
      </c>
      <c r="P932">
        <v>-19.579518</v>
      </c>
      <c r="Q932">
        <v>-43.909238000000002</v>
      </c>
      <c r="R932" s="2" t="str">
        <f>HYPERLINK("https://www.google.com/maps?q=-19.5795180,-43.9092380","Abrir no Google Maps")</f>
        <v>Abrir no Google Maps</v>
      </c>
      <c r="S932">
        <v>3</v>
      </c>
      <c r="T932">
        <v>1293.9709096326289</v>
      </c>
      <c r="U932">
        <v>3</v>
      </c>
      <c r="V932">
        <v>0.41792040947902798</v>
      </c>
      <c r="W932">
        <v>0.85</v>
      </c>
      <c r="X932">
        <v>0.3552323480571738</v>
      </c>
      <c r="Y932">
        <v>7</v>
      </c>
      <c r="Z932">
        <v>1024.030940986815</v>
      </c>
      <c r="AA932">
        <v>2</v>
      </c>
      <c r="AB932">
        <v>3</v>
      </c>
      <c r="AC932">
        <v>7</v>
      </c>
      <c r="AD932">
        <v>26.01</v>
      </c>
      <c r="AE932">
        <v>253</v>
      </c>
      <c r="AF932">
        <v>18</v>
      </c>
      <c r="AG932">
        <v>58</v>
      </c>
      <c r="AH932">
        <v>32</v>
      </c>
      <c r="AI932">
        <v>7.11</v>
      </c>
      <c r="AJ932">
        <v>22.92</v>
      </c>
      <c r="AK932">
        <v>12.65</v>
      </c>
      <c r="AL932">
        <v>-19.579767999999941</v>
      </c>
      <c r="AM932">
        <v>-43.909514457818823</v>
      </c>
      <c r="AN932">
        <v>-19.579767999999941</v>
      </c>
      <c r="AO932">
        <v>-43.909514457818823</v>
      </c>
      <c r="AP932">
        <v>-19.579518</v>
      </c>
      <c r="AQ932">
        <v>-43.909238000000002</v>
      </c>
      <c r="AR932">
        <v>40.190312724728379</v>
      </c>
      <c r="AS932" t="s">
        <v>65</v>
      </c>
      <c r="AT932">
        <v>1</v>
      </c>
      <c r="AU932" t="s">
        <v>781</v>
      </c>
      <c r="AV932" t="s">
        <v>782</v>
      </c>
      <c r="AW932" t="s">
        <v>60</v>
      </c>
      <c r="AX932" t="s">
        <v>68</v>
      </c>
      <c r="AY932" t="s">
        <v>69</v>
      </c>
      <c r="AZ932" t="b">
        <v>1</v>
      </c>
    </row>
    <row r="933" spans="1:52" x14ac:dyDescent="0.3">
      <c r="A933" t="s">
        <v>52</v>
      </c>
      <c r="B933" t="s">
        <v>53</v>
      </c>
      <c r="C933" t="s">
        <v>54</v>
      </c>
      <c r="D933" t="s">
        <v>55</v>
      </c>
      <c r="E933" t="s">
        <v>803</v>
      </c>
      <c r="F933" t="s">
        <v>176</v>
      </c>
      <c r="G933" t="s">
        <v>304</v>
      </c>
      <c r="H933" t="s">
        <v>305</v>
      </c>
      <c r="I933" t="s">
        <v>305</v>
      </c>
      <c r="J933" t="s">
        <v>60</v>
      </c>
      <c r="K933" t="s">
        <v>299</v>
      </c>
      <c r="L933" t="s">
        <v>62</v>
      </c>
      <c r="M933" t="s">
        <v>299</v>
      </c>
      <c r="N933" t="s">
        <v>306</v>
      </c>
      <c r="O933" t="s">
        <v>307</v>
      </c>
      <c r="P933">
        <v>-19.681051</v>
      </c>
      <c r="Q933">
        <v>-43.914375</v>
      </c>
      <c r="R933" s="2" t="str">
        <f>HYPERLINK("https://www.google.com/maps?q=-19.6810510,-43.9143750","Abrir no Google Maps")</f>
        <v>Abrir no Google Maps</v>
      </c>
      <c r="S933">
        <v>3</v>
      </c>
      <c r="T933">
        <v>1793.507056919605</v>
      </c>
      <c r="U933">
        <v>3</v>
      </c>
      <c r="V933">
        <v>0.36472183315414708</v>
      </c>
      <c r="W933">
        <v>1</v>
      </c>
      <c r="X933">
        <v>0.36472183315414708</v>
      </c>
      <c r="Y933">
        <v>5</v>
      </c>
      <c r="Z933">
        <v>2183.7125920783069</v>
      </c>
      <c r="AA933">
        <v>2</v>
      </c>
      <c r="AB933">
        <v>3</v>
      </c>
      <c r="AC933">
        <v>7</v>
      </c>
      <c r="AD933">
        <v>26.01</v>
      </c>
      <c r="AE933">
        <v>253</v>
      </c>
      <c r="AF933">
        <v>18</v>
      </c>
      <c r="AG933">
        <v>58</v>
      </c>
      <c r="AH933">
        <v>32</v>
      </c>
      <c r="AI933">
        <v>7.11</v>
      </c>
      <c r="AJ933">
        <v>22.92</v>
      </c>
      <c r="AK933">
        <v>12.65</v>
      </c>
      <c r="AL933">
        <v>-19.680967149999962</v>
      </c>
      <c r="AM933">
        <v>-43.914383884426663</v>
      </c>
      <c r="AN933">
        <v>-19.680967149999962</v>
      </c>
      <c r="AO933">
        <v>-43.914383884426663</v>
      </c>
      <c r="AP933">
        <v>-19.681051</v>
      </c>
      <c r="AQ933">
        <v>-43.914375</v>
      </c>
      <c r="AR933">
        <v>9.3805201894968722</v>
      </c>
      <c r="AS933" t="s">
        <v>65</v>
      </c>
      <c r="AT933">
        <v>1</v>
      </c>
      <c r="AU933" t="s">
        <v>308</v>
      </c>
      <c r="AV933" t="s">
        <v>303</v>
      </c>
      <c r="AW933" t="s">
        <v>60</v>
      </c>
      <c r="AX933" t="s">
        <v>68</v>
      </c>
      <c r="AY933" t="s">
        <v>69</v>
      </c>
      <c r="AZ933" t="b">
        <v>1</v>
      </c>
    </row>
    <row r="934" spans="1:52" x14ac:dyDescent="0.3">
      <c r="A934" t="s">
        <v>52</v>
      </c>
      <c r="B934" t="s">
        <v>53</v>
      </c>
      <c r="C934" t="s">
        <v>54</v>
      </c>
      <c r="D934" t="s">
        <v>55</v>
      </c>
      <c r="E934" t="s">
        <v>803</v>
      </c>
      <c r="F934" t="s">
        <v>176</v>
      </c>
      <c r="G934" t="s">
        <v>427</v>
      </c>
      <c r="H934" t="s">
        <v>428</v>
      </c>
      <c r="I934" t="s">
        <v>428</v>
      </c>
      <c r="J934" t="s">
        <v>60</v>
      </c>
      <c r="K934" t="s">
        <v>311</v>
      </c>
      <c r="L934" t="s">
        <v>62</v>
      </c>
      <c r="M934" t="s">
        <v>311</v>
      </c>
      <c r="N934" t="s">
        <v>429</v>
      </c>
      <c r="O934" t="s">
        <v>430</v>
      </c>
      <c r="P934">
        <v>-19.574636999999999</v>
      </c>
      <c r="Q934">
        <v>-43.919919999999998</v>
      </c>
      <c r="R934" s="2" t="str">
        <f>HYPERLINK("https://www.google.com/maps?q=-19.5746370,-43.9199200","Abrir no Google Maps")</f>
        <v>Abrir no Google Maps</v>
      </c>
      <c r="S934">
        <v>3</v>
      </c>
      <c r="T934">
        <v>0</v>
      </c>
      <c r="U934">
        <v>3</v>
      </c>
      <c r="V934">
        <v>0.3514188914372775</v>
      </c>
      <c r="W934">
        <v>1</v>
      </c>
      <c r="X934">
        <v>0.3514188914372775</v>
      </c>
      <c r="Y934">
        <v>5</v>
      </c>
      <c r="Z934">
        <v>161.2304444692663</v>
      </c>
      <c r="AA934">
        <v>2</v>
      </c>
      <c r="AB934">
        <v>3</v>
      </c>
      <c r="AC934">
        <v>7</v>
      </c>
      <c r="AD934">
        <v>26.01</v>
      </c>
      <c r="AE934">
        <v>253</v>
      </c>
      <c r="AF934">
        <v>18</v>
      </c>
      <c r="AG934">
        <v>58</v>
      </c>
      <c r="AH934">
        <v>32</v>
      </c>
      <c r="AI934">
        <v>7.11</v>
      </c>
      <c r="AJ934">
        <v>22.92</v>
      </c>
      <c r="AK934">
        <v>12.65</v>
      </c>
      <c r="AL934">
        <v>-19.57444484999996</v>
      </c>
      <c r="AM934">
        <v>-43.920497272225433</v>
      </c>
      <c r="AN934">
        <v>-19.57444484999996</v>
      </c>
      <c r="AO934">
        <v>-43.920497272225433</v>
      </c>
      <c r="AP934">
        <v>-19.574636999999999</v>
      </c>
      <c r="AQ934">
        <v>-43.919919999999998</v>
      </c>
      <c r="AR934">
        <v>64.215298992893679</v>
      </c>
      <c r="AS934" t="s">
        <v>65</v>
      </c>
      <c r="AT934">
        <v>1</v>
      </c>
      <c r="AU934" t="s">
        <v>431</v>
      </c>
      <c r="AV934" t="s">
        <v>432</v>
      </c>
      <c r="AW934" t="s">
        <v>60</v>
      </c>
      <c r="AX934" t="s">
        <v>68</v>
      </c>
      <c r="AY934" t="s">
        <v>69</v>
      </c>
      <c r="AZ934" t="b">
        <v>1</v>
      </c>
    </row>
    <row r="935" spans="1:52" x14ac:dyDescent="0.3">
      <c r="A935" t="s">
        <v>52</v>
      </c>
      <c r="B935" t="s">
        <v>53</v>
      </c>
      <c r="C935" t="s">
        <v>54</v>
      </c>
      <c r="D935" t="s">
        <v>55</v>
      </c>
      <c r="E935" t="s">
        <v>803</v>
      </c>
      <c r="F935" t="s">
        <v>176</v>
      </c>
      <c r="G935" t="s">
        <v>433</v>
      </c>
      <c r="H935" t="s">
        <v>434</v>
      </c>
      <c r="I935" t="s">
        <v>434</v>
      </c>
      <c r="J935" t="s">
        <v>60</v>
      </c>
      <c r="K935" t="s">
        <v>311</v>
      </c>
      <c r="L935" t="s">
        <v>62</v>
      </c>
      <c r="M935" t="s">
        <v>311</v>
      </c>
      <c r="N935" t="s">
        <v>435</v>
      </c>
      <c r="O935" t="s">
        <v>120</v>
      </c>
      <c r="P935">
        <v>-19.563834</v>
      </c>
      <c r="Q935">
        <v>-43.917617</v>
      </c>
      <c r="R935" s="2" t="str">
        <f>HYPERLINK("https://www.google.com/maps?q=-19.5638340,-43.9176170","Abrir no Google Maps")</f>
        <v>Abrir no Google Maps</v>
      </c>
      <c r="S935">
        <v>3</v>
      </c>
      <c r="T935">
        <v>1208.4380275937069</v>
      </c>
      <c r="U935">
        <v>3</v>
      </c>
      <c r="V935">
        <v>0.34902565332762109</v>
      </c>
      <c r="W935">
        <v>1</v>
      </c>
      <c r="X935">
        <v>0.34902565332762109</v>
      </c>
      <c r="Y935">
        <v>5</v>
      </c>
      <c r="Z935">
        <v>1239.357315084522</v>
      </c>
      <c r="AA935">
        <v>2</v>
      </c>
      <c r="AB935">
        <v>3</v>
      </c>
      <c r="AC935">
        <v>7</v>
      </c>
      <c r="AD935">
        <v>26.01</v>
      </c>
      <c r="AE935">
        <v>253</v>
      </c>
      <c r="AF935">
        <v>18</v>
      </c>
      <c r="AG935">
        <v>58</v>
      </c>
      <c r="AH935">
        <v>32</v>
      </c>
      <c r="AI935">
        <v>7.11</v>
      </c>
      <c r="AJ935">
        <v>22.92</v>
      </c>
      <c r="AK935">
        <v>12.65</v>
      </c>
      <c r="AL935">
        <v>-19.563932349999959</v>
      </c>
      <c r="AM935">
        <v>-43.917383104532327</v>
      </c>
      <c r="AN935">
        <v>-19.563932349999959</v>
      </c>
      <c r="AO935">
        <v>-43.917383104532327</v>
      </c>
      <c r="AP935">
        <v>-19.563834</v>
      </c>
      <c r="AQ935">
        <v>-43.917617</v>
      </c>
      <c r="AR935">
        <v>26.86608405010627</v>
      </c>
      <c r="AS935" t="s">
        <v>65</v>
      </c>
      <c r="AT935">
        <v>1</v>
      </c>
      <c r="AU935" t="s">
        <v>436</v>
      </c>
      <c r="AV935" t="s">
        <v>437</v>
      </c>
      <c r="AW935" t="s">
        <v>60</v>
      </c>
      <c r="AX935" t="s">
        <v>68</v>
      </c>
      <c r="AY935" t="s">
        <v>69</v>
      </c>
      <c r="AZ935" t="b">
        <v>1</v>
      </c>
    </row>
    <row r="936" spans="1:52" x14ac:dyDescent="0.3">
      <c r="A936" t="s">
        <v>52</v>
      </c>
      <c r="B936" t="s">
        <v>53</v>
      </c>
      <c r="C936" t="s">
        <v>54</v>
      </c>
      <c r="D936" t="s">
        <v>55</v>
      </c>
      <c r="E936" t="s">
        <v>803</v>
      </c>
      <c r="F936" t="s">
        <v>176</v>
      </c>
      <c r="G936" t="s">
        <v>705</v>
      </c>
      <c r="H936" t="s">
        <v>706</v>
      </c>
      <c r="I936" t="s">
        <v>706</v>
      </c>
      <c r="J936" t="s">
        <v>60</v>
      </c>
      <c r="K936" t="s">
        <v>707</v>
      </c>
      <c r="L936" t="s">
        <v>62</v>
      </c>
      <c r="M936" t="s">
        <v>707</v>
      </c>
      <c r="N936" t="s">
        <v>708</v>
      </c>
      <c r="O936" t="s">
        <v>709</v>
      </c>
      <c r="P936">
        <v>-19.649132000000002</v>
      </c>
      <c r="Q936">
        <v>-43.913184999999999</v>
      </c>
      <c r="R936" s="2" t="str">
        <f>HYPERLINK("https://www.google.com/maps?q=-19.6491320,-43.9131850","Abrir no Google Maps")</f>
        <v>Abrir no Google Maps</v>
      </c>
      <c r="S936">
        <v>3</v>
      </c>
      <c r="T936">
        <v>708.05095277627129</v>
      </c>
      <c r="U936">
        <v>3</v>
      </c>
      <c r="V936">
        <v>0.3535277619183555</v>
      </c>
      <c r="W936">
        <v>1</v>
      </c>
      <c r="X936">
        <v>0.3535277619183555</v>
      </c>
      <c r="Y936">
        <v>4</v>
      </c>
      <c r="Z936">
        <v>786.89435979618963</v>
      </c>
      <c r="AA936">
        <v>2</v>
      </c>
      <c r="AB936">
        <v>3</v>
      </c>
      <c r="AC936">
        <v>7</v>
      </c>
      <c r="AD936">
        <v>26.01</v>
      </c>
      <c r="AE936">
        <v>253</v>
      </c>
      <c r="AF936">
        <v>18</v>
      </c>
      <c r="AG936">
        <v>58</v>
      </c>
      <c r="AH936">
        <v>32</v>
      </c>
      <c r="AI936">
        <v>7.11</v>
      </c>
      <c r="AJ936">
        <v>22.92</v>
      </c>
      <c r="AK936">
        <v>12.65</v>
      </c>
      <c r="AL936">
        <v>-19.649055099999941</v>
      </c>
      <c r="AM936">
        <v>-43.912942827576757</v>
      </c>
      <c r="AN936">
        <v>-19.649055099999941</v>
      </c>
      <c r="AO936">
        <v>-43.912942827576771</v>
      </c>
      <c r="AP936">
        <v>-19.649132000000002</v>
      </c>
      <c r="AQ936">
        <v>-43.913184999999999</v>
      </c>
      <c r="AR936">
        <v>26.793189431239711</v>
      </c>
      <c r="AS936" t="s">
        <v>65</v>
      </c>
      <c r="AT936">
        <v>1</v>
      </c>
      <c r="AU936" t="s">
        <v>710</v>
      </c>
      <c r="AV936" t="s">
        <v>711</v>
      </c>
      <c r="AW936" t="s">
        <v>60</v>
      </c>
      <c r="AX936" t="s">
        <v>68</v>
      </c>
      <c r="AY936" t="s">
        <v>69</v>
      </c>
      <c r="AZ936" t="b">
        <v>1</v>
      </c>
    </row>
    <row r="937" spans="1:52" x14ac:dyDescent="0.3">
      <c r="A937" t="s">
        <v>52</v>
      </c>
      <c r="B937" t="s">
        <v>53</v>
      </c>
      <c r="C937" t="s">
        <v>54</v>
      </c>
      <c r="D937" t="s">
        <v>55</v>
      </c>
      <c r="E937" t="s">
        <v>803</v>
      </c>
      <c r="F937" t="s">
        <v>176</v>
      </c>
      <c r="G937" t="s">
        <v>712</v>
      </c>
      <c r="H937" t="s">
        <v>713</v>
      </c>
      <c r="I937" t="s">
        <v>713</v>
      </c>
      <c r="J937" t="s">
        <v>60</v>
      </c>
      <c r="K937" t="s">
        <v>192</v>
      </c>
      <c r="L937" t="s">
        <v>62</v>
      </c>
      <c r="M937" t="s">
        <v>192</v>
      </c>
      <c r="N937" t="s">
        <v>714</v>
      </c>
      <c r="O937" t="s">
        <v>715</v>
      </c>
      <c r="P937">
        <v>-19.653379999999999</v>
      </c>
      <c r="Q937">
        <v>-43.914634999999997</v>
      </c>
      <c r="R937" s="2" t="str">
        <f>HYPERLINK("https://www.google.com/maps?q=-19.6533800,-43.9146350","Abrir no Google Maps")</f>
        <v>Abrir no Google Maps</v>
      </c>
      <c r="S937">
        <v>3</v>
      </c>
      <c r="T937">
        <v>1209.6845317210091</v>
      </c>
      <c r="U937">
        <v>3</v>
      </c>
      <c r="V937">
        <v>0.35861792823052591</v>
      </c>
      <c r="W937">
        <v>1</v>
      </c>
      <c r="X937">
        <v>0.35861792823052591</v>
      </c>
      <c r="Y937">
        <v>4</v>
      </c>
      <c r="Z937">
        <v>948.79528152345983</v>
      </c>
      <c r="AA937">
        <v>2</v>
      </c>
      <c r="AB937">
        <v>3</v>
      </c>
      <c r="AC937">
        <v>7</v>
      </c>
      <c r="AD937">
        <v>26.01</v>
      </c>
      <c r="AE937">
        <v>253</v>
      </c>
      <c r="AF937">
        <v>18</v>
      </c>
      <c r="AG937">
        <v>58</v>
      </c>
      <c r="AH937">
        <v>32</v>
      </c>
      <c r="AI937">
        <v>7.11</v>
      </c>
      <c r="AJ937">
        <v>22.92</v>
      </c>
      <c r="AK937">
        <v>12.65</v>
      </c>
      <c r="AL937">
        <v>-19.653402249999939</v>
      </c>
      <c r="AM937">
        <v>-43.91489200796137</v>
      </c>
      <c r="AN937">
        <v>-19.653402249999939</v>
      </c>
      <c r="AO937">
        <v>-43.91489200796137</v>
      </c>
      <c r="AP937">
        <v>-19.653379999999999</v>
      </c>
      <c r="AQ937">
        <v>-43.914634999999997</v>
      </c>
      <c r="AR937">
        <v>27.0570338493382</v>
      </c>
      <c r="AS937" t="s">
        <v>65</v>
      </c>
      <c r="AT937">
        <v>1</v>
      </c>
      <c r="AU937" t="s">
        <v>716</v>
      </c>
      <c r="AV937" t="s">
        <v>717</v>
      </c>
      <c r="AW937" t="s">
        <v>60</v>
      </c>
      <c r="AX937" t="s">
        <v>68</v>
      </c>
      <c r="AY937" t="s">
        <v>69</v>
      </c>
      <c r="AZ937" t="b">
        <v>1</v>
      </c>
    </row>
    <row r="938" spans="1:52" x14ac:dyDescent="0.3">
      <c r="A938" t="s">
        <v>52</v>
      </c>
      <c r="B938" t="s">
        <v>53</v>
      </c>
      <c r="C938" t="s">
        <v>54</v>
      </c>
      <c r="D938" t="s">
        <v>55</v>
      </c>
      <c r="E938" t="s">
        <v>803</v>
      </c>
      <c r="F938" t="s">
        <v>176</v>
      </c>
      <c r="G938" t="s">
        <v>438</v>
      </c>
      <c r="H938" t="s">
        <v>439</v>
      </c>
      <c r="I938" t="s">
        <v>439</v>
      </c>
      <c r="J938" t="s">
        <v>60</v>
      </c>
      <c r="K938" t="s">
        <v>199</v>
      </c>
      <c r="L938" t="s">
        <v>62</v>
      </c>
      <c r="M938" t="s">
        <v>199</v>
      </c>
      <c r="N938" t="s">
        <v>440</v>
      </c>
      <c r="O938" t="s">
        <v>120</v>
      </c>
      <c r="P938">
        <v>-19.642907000000001</v>
      </c>
      <c r="Q938">
        <v>-43.912584000000003</v>
      </c>
      <c r="R938" s="2" t="str">
        <f>HYPERLINK("https://www.google.com/maps?q=-19.6429070,-43.9125840","Abrir no Google Maps")</f>
        <v>Abrir no Google Maps</v>
      </c>
      <c r="S938">
        <v>3</v>
      </c>
      <c r="T938">
        <v>0</v>
      </c>
      <c r="U938">
        <v>3</v>
      </c>
      <c r="V938">
        <v>0.3654419584252579</v>
      </c>
      <c r="W938">
        <v>1</v>
      </c>
      <c r="X938">
        <v>0.3654419584252579</v>
      </c>
      <c r="Y938">
        <v>4</v>
      </c>
      <c r="Z938">
        <v>617.66392653629225</v>
      </c>
      <c r="AA938">
        <v>2</v>
      </c>
      <c r="AB938">
        <v>3</v>
      </c>
      <c r="AC938">
        <v>7</v>
      </c>
      <c r="AD938">
        <v>26.01</v>
      </c>
      <c r="AE938">
        <v>253</v>
      </c>
      <c r="AF938">
        <v>18</v>
      </c>
      <c r="AG938">
        <v>58</v>
      </c>
      <c r="AH938">
        <v>32</v>
      </c>
      <c r="AI938">
        <v>7.11</v>
      </c>
      <c r="AJ938">
        <v>22.92</v>
      </c>
      <c r="AK938">
        <v>12.65</v>
      </c>
      <c r="AL938">
        <v>-19.64265969999996</v>
      </c>
      <c r="AM938">
        <v>-43.912763285666202</v>
      </c>
      <c r="AN938">
        <v>-19.64265969999996</v>
      </c>
      <c r="AO938">
        <v>-43.912763285666202</v>
      </c>
      <c r="AP938">
        <v>-19.642907000000001</v>
      </c>
      <c r="AQ938">
        <v>-43.912584000000003</v>
      </c>
      <c r="AR938">
        <v>33.334435483196202</v>
      </c>
      <c r="AS938" t="s">
        <v>65</v>
      </c>
      <c r="AT938">
        <v>1</v>
      </c>
      <c r="AU938" t="s">
        <v>441</v>
      </c>
      <c r="AV938" t="s">
        <v>442</v>
      </c>
      <c r="AW938" t="s">
        <v>60</v>
      </c>
      <c r="AX938" t="s">
        <v>68</v>
      </c>
      <c r="AY938" t="s">
        <v>69</v>
      </c>
      <c r="AZ938" t="b">
        <v>1</v>
      </c>
    </row>
    <row r="939" spans="1:52" x14ac:dyDescent="0.3">
      <c r="A939" t="s">
        <v>52</v>
      </c>
      <c r="B939" t="s">
        <v>53</v>
      </c>
      <c r="C939" t="s">
        <v>54</v>
      </c>
      <c r="D939" t="s">
        <v>55</v>
      </c>
      <c r="E939" t="s">
        <v>803</v>
      </c>
      <c r="F939" t="s">
        <v>176</v>
      </c>
      <c r="G939" t="s">
        <v>443</v>
      </c>
      <c r="H939" t="s">
        <v>444</v>
      </c>
      <c r="I939" t="s">
        <v>444</v>
      </c>
      <c r="J939" t="s">
        <v>60</v>
      </c>
      <c r="K939" t="s">
        <v>445</v>
      </c>
      <c r="L939" t="s">
        <v>62</v>
      </c>
      <c r="M939" t="s">
        <v>445</v>
      </c>
      <c r="N939" t="s">
        <v>446</v>
      </c>
      <c r="O939" t="s">
        <v>447</v>
      </c>
      <c r="P939">
        <v>-19.650062999999999</v>
      </c>
      <c r="Q939">
        <v>-43.878337000000002</v>
      </c>
      <c r="R939" s="2" t="str">
        <f>HYPERLINK("https://www.google.com/maps?q=-19.6500630,-43.8783370","Abrir no Google Maps")</f>
        <v>Abrir no Google Maps</v>
      </c>
      <c r="S939">
        <v>3</v>
      </c>
      <c r="T939">
        <v>839.11860749856135</v>
      </c>
      <c r="U939">
        <v>3</v>
      </c>
      <c r="V939">
        <v>0.3606943145716891</v>
      </c>
      <c r="W939">
        <v>1</v>
      </c>
      <c r="X939">
        <v>0.3606943145716891</v>
      </c>
      <c r="Y939">
        <v>3</v>
      </c>
      <c r="Z939">
        <v>698.86168887476526</v>
      </c>
      <c r="AA939">
        <v>2</v>
      </c>
      <c r="AB939">
        <v>3</v>
      </c>
      <c r="AC939">
        <v>7</v>
      </c>
      <c r="AD939">
        <v>26.01</v>
      </c>
      <c r="AE939">
        <v>253</v>
      </c>
      <c r="AF939">
        <v>18</v>
      </c>
      <c r="AG939">
        <v>58</v>
      </c>
      <c r="AH939">
        <v>32</v>
      </c>
      <c r="AI939">
        <v>7.11</v>
      </c>
      <c r="AJ939">
        <v>22.92</v>
      </c>
      <c r="AK939">
        <v>12.65</v>
      </c>
      <c r="AL939">
        <v>-19.650555399999941</v>
      </c>
      <c r="AM939">
        <v>-43.878603008553611</v>
      </c>
      <c r="AN939">
        <v>-19.650555399999941</v>
      </c>
      <c r="AO939">
        <v>-43.878603008553611</v>
      </c>
      <c r="AP939">
        <v>-19.650062999999999</v>
      </c>
      <c r="AQ939">
        <v>-43.878337000000002</v>
      </c>
      <c r="AR939">
        <v>61.500273251918507</v>
      </c>
      <c r="AS939" t="s">
        <v>65</v>
      </c>
      <c r="AT939">
        <v>1</v>
      </c>
      <c r="AU939" t="s">
        <v>448</v>
      </c>
      <c r="AV939" t="s">
        <v>449</v>
      </c>
      <c r="AW939" t="s">
        <v>60</v>
      </c>
      <c r="AX939" t="s">
        <v>68</v>
      </c>
      <c r="AY939" t="s">
        <v>69</v>
      </c>
      <c r="AZ939" t="b">
        <v>1</v>
      </c>
    </row>
    <row r="940" spans="1:52" x14ac:dyDescent="0.3">
      <c r="A940" t="s">
        <v>52</v>
      </c>
      <c r="B940" t="s">
        <v>53</v>
      </c>
      <c r="C940" t="s">
        <v>54</v>
      </c>
      <c r="D940" t="s">
        <v>55</v>
      </c>
      <c r="E940" t="s">
        <v>803</v>
      </c>
      <c r="F940" t="s">
        <v>176</v>
      </c>
      <c r="G940" t="s">
        <v>324</v>
      </c>
      <c r="H940" t="s">
        <v>325</v>
      </c>
      <c r="I940" t="s">
        <v>325</v>
      </c>
      <c r="J940" t="s">
        <v>60</v>
      </c>
      <c r="K940" t="s">
        <v>326</v>
      </c>
      <c r="L940" t="s">
        <v>62</v>
      </c>
      <c r="M940" t="s">
        <v>326</v>
      </c>
      <c r="N940" t="s">
        <v>327</v>
      </c>
      <c r="O940" t="s">
        <v>328</v>
      </c>
      <c r="P940">
        <v>-19.654454000000001</v>
      </c>
      <c r="Q940">
        <v>-43.874654</v>
      </c>
      <c r="R940" s="2" t="str">
        <f>HYPERLINK("https://www.google.com/maps?q=-19.6544540,-43.8746540","Abrir no Google Maps")</f>
        <v>Abrir no Google Maps</v>
      </c>
      <c r="S940">
        <v>3</v>
      </c>
      <c r="T940">
        <v>461.71515786258828</v>
      </c>
      <c r="U940">
        <v>3</v>
      </c>
      <c r="V940">
        <v>0.36489299597906671</v>
      </c>
      <c r="W940">
        <v>1</v>
      </c>
      <c r="X940">
        <v>0.36489299597906671</v>
      </c>
      <c r="Y940">
        <v>3</v>
      </c>
      <c r="Z940">
        <v>321.42492762576637</v>
      </c>
      <c r="AA940">
        <v>2</v>
      </c>
      <c r="AB940">
        <v>3</v>
      </c>
      <c r="AC940">
        <v>7</v>
      </c>
      <c r="AD940">
        <v>26.01</v>
      </c>
      <c r="AE940">
        <v>253</v>
      </c>
      <c r="AF940">
        <v>18</v>
      </c>
      <c r="AG940">
        <v>58</v>
      </c>
      <c r="AH940">
        <v>32</v>
      </c>
      <c r="AI940">
        <v>7.11</v>
      </c>
      <c r="AJ940">
        <v>22.92</v>
      </c>
      <c r="AK940">
        <v>12.65</v>
      </c>
      <c r="AL940">
        <v>-19.654399599999941</v>
      </c>
      <c r="AM940">
        <v>-43.87457008070222</v>
      </c>
      <c r="AN940">
        <v>-19.654399599999941</v>
      </c>
      <c r="AO940">
        <v>-43.87457008070222</v>
      </c>
      <c r="AP940">
        <v>-19.654454000000001</v>
      </c>
      <c r="AQ940">
        <v>-43.874654</v>
      </c>
      <c r="AR940">
        <v>10.68040226290562</v>
      </c>
      <c r="AS940" t="s">
        <v>65</v>
      </c>
      <c r="AT940">
        <v>1</v>
      </c>
      <c r="AU940" t="s">
        <v>329</v>
      </c>
      <c r="AV940" t="s">
        <v>330</v>
      </c>
      <c r="AW940" t="s">
        <v>60</v>
      </c>
      <c r="AX940" t="s">
        <v>68</v>
      </c>
      <c r="AY940" t="s">
        <v>69</v>
      </c>
      <c r="AZ940" t="b">
        <v>1</v>
      </c>
    </row>
    <row r="941" spans="1:52" x14ac:dyDescent="0.3">
      <c r="A941" t="s">
        <v>52</v>
      </c>
      <c r="B941" t="s">
        <v>53</v>
      </c>
      <c r="C941" t="s">
        <v>54</v>
      </c>
      <c r="D941" t="s">
        <v>55</v>
      </c>
      <c r="E941" t="s">
        <v>803</v>
      </c>
      <c r="F941" t="s">
        <v>176</v>
      </c>
      <c r="G941" t="s">
        <v>457</v>
      </c>
      <c r="H941" t="s">
        <v>458</v>
      </c>
      <c r="I941" t="s">
        <v>458</v>
      </c>
      <c r="J941" t="s">
        <v>60</v>
      </c>
      <c r="K941" t="s">
        <v>286</v>
      </c>
      <c r="L941" t="s">
        <v>62</v>
      </c>
      <c r="M941" t="s">
        <v>286</v>
      </c>
      <c r="N941" t="s">
        <v>459</v>
      </c>
      <c r="O941" t="s">
        <v>408</v>
      </c>
      <c r="P941">
        <v>-19.648675000000001</v>
      </c>
      <c r="Q941">
        <v>-43.876176999999998</v>
      </c>
      <c r="R941" s="2" t="str">
        <f>HYPERLINK("https://www.google.com/maps?q=-19.6486750,-43.8761770","Abrir no Google Maps")</f>
        <v>Abrir no Google Maps</v>
      </c>
      <c r="S941">
        <v>3</v>
      </c>
      <c r="T941">
        <v>696.15049931004592</v>
      </c>
      <c r="U941">
        <v>3</v>
      </c>
      <c r="V941">
        <v>0.35247352857412673</v>
      </c>
      <c r="W941">
        <v>1</v>
      </c>
      <c r="X941">
        <v>0.35247352857412673</v>
      </c>
      <c r="Y941">
        <v>3</v>
      </c>
      <c r="Z941">
        <v>617.40976221624703</v>
      </c>
      <c r="AA941">
        <v>2</v>
      </c>
      <c r="AB941">
        <v>3</v>
      </c>
      <c r="AC941">
        <v>7</v>
      </c>
      <c r="AD941">
        <v>26.01</v>
      </c>
      <c r="AE941">
        <v>253</v>
      </c>
      <c r="AF941">
        <v>18</v>
      </c>
      <c r="AG941">
        <v>58</v>
      </c>
      <c r="AH941">
        <v>32</v>
      </c>
      <c r="AI941">
        <v>7.11</v>
      </c>
      <c r="AJ941">
        <v>22.92</v>
      </c>
      <c r="AK941">
        <v>12.65</v>
      </c>
      <c r="AL941">
        <v>-19.648626649999951</v>
      </c>
      <c r="AM941">
        <v>-43.876233357879343</v>
      </c>
      <c r="AN941">
        <v>-19.648626649999951</v>
      </c>
      <c r="AO941">
        <v>-43.876233357879343</v>
      </c>
      <c r="AP941">
        <v>-19.648675000000001</v>
      </c>
      <c r="AQ941">
        <v>-43.876176999999998</v>
      </c>
      <c r="AR941">
        <v>7.9924470956447653</v>
      </c>
      <c r="AS941" t="s">
        <v>65</v>
      </c>
      <c r="AT941">
        <v>1</v>
      </c>
      <c r="AU941" t="s">
        <v>460</v>
      </c>
      <c r="AV941" t="s">
        <v>461</v>
      </c>
      <c r="AW941" t="s">
        <v>60</v>
      </c>
      <c r="AX941" t="s">
        <v>68</v>
      </c>
      <c r="AY941" t="s">
        <v>69</v>
      </c>
      <c r="AZ941" t="b">
        <v>1</v>
      </c>
    </row>
    <row r="942" spans="1:52" x14ac:dyDescent="0.3">
      <c r="A942" t="s">
        <v>52</v>
      </c>
      <c r="B942" t="s">
        <v>53</v>
      </c>
      <c r="C942" t="s">
        <v>54</v>
      </c>
      <c r="D942" t="s">
        <v>55</v>
      </c>
      <c r="E942" t="s">
        <v>803</v>
      </c>
      <c r="F942" t="s">
        <v>176</v>
      </c>
      <c r="G942" t="s">
        <v>462</v>
      </c>
      <c r="H942" t="s">
        <v>463</v>
      </c>
      <c r="I942" t="s">
        <v>463</v>
      </c>
      <c r="J942" t="s">
        <v>60</v>
      </c>
      <c r="K942" t="s">
        <v>464</v>
      </c>
      <c r="L942" t="s">
        <v>62</v>
      </c>
      <c r="M942" t="s">
        <v>464</v>
      </c>
      <c r="N942" t="s">
        <v>465</v>
      </c>
      <c r="O942" t="s">
        <v>414</v>
      </c>
      <c r="P942">
        <v>-19.655408000000001</v>
      </c>
      <c r="Q942">
        <v>-43.862772999999997</v>
      </c>
      <c r="R942" s="2" t="str">
        <f>HYPERLINK("https://www.google.com/maps?q=-19.6554080,-43.8627730","Abrir no Google Maps")</f>
        <v>Abrir no Google Maps</v>
      </c>
      <c r="S942">
        <v>3</v>
      </c>
      <c r="T942">
        <v>877.50781603676592</v>
      </c>
      <c r="U942">
        <v>3</v>
      </c>
      <c r="V942">
        <v>0.365603970232738</v>
      </c>
      <c r="W942">
        <v>1</v>
      </c>
      <c r="X942">
        <v>0.365603970232738</v>
      </c>
      <c r="Y942">
        <v>3</v>
      </c>
      <c r="Z942">
        <v>1005.9680098732809</v>
      </c>
      <c r="AA942">
        <v>2</v>
      </c>
      <c r="AB942">
        <v>3</v>
      </c>
      <c r="AC942">
        <v>7</v>
      </c>
      <c r="AD942">
        <v>26.01</v>
      </c>
      <c r="AE942">
        <v>253</v>
      </c>
      <c r="AF942">
        <v>18</v>
      </c>
      <c r="AG942">
        <v>58</v>
      </c>
      <c r="AH942">
        <v>32</v>
      </c>
      <c r="AI942">
        <v>7.11</v>
      </c>
      <c r="AJ942">
        <v>22.92</v>
      </c>
      <c r="AK942">
        <v>12.65</v>
      </c>
      <c r="AL942">
        <v>-19.655455099999951</v>
      </c>
      <c r="AM942">
        <v>-43.863149342001513</v>
      </c>
      <c r="AN942">
        <v>-19.655455099999951</v>
      </c>
      <c r="AO942">
        <v>-43.863149342001513</v>
      </c>
      <c r="AP942">
        <v>-19.655408000000001</v>
      </c>
      <c r="AQ942">
        <v>-43.862772999999997</v>
      </c>
      <c r="AR942">
        <v>39.800175805630573</v>
      </c>
      <c r="AS942" t="s">
        <v>65</v>
      </c>
      <c r="AT942">
        <v>1</v>
      </c>
      <c r="AU942" t="s">
        <v>466</v>
      </c>
      <c r="AV942" t="s">
        <v>467</v>
      </c>
      <c r="AW942" t="s">
        <v>60</v>
      </c>
      <c r="AX942" t="s">
        <v>68</v>
      </c>
      <c r="AY942" t="s">
        <v>69</v>
      </c>
      <c r="AZ942" t="b">
        <v>1</v>
      </c>
    </row>
    <row r="943" spans="1:52" x14ac:dyDescent="0.3">
      <c r="A943" t="s">
        <v>52</v>
      </c>
      <c r="B943" t="s">
        <v>53</v>
      </c>
      <c r="C943" t="s">
        <v>54</v>
      </c>
      <c r="D943" t="s">
        <v>55</v>
      </c>
      <c r="E943" t="s">
        <v>803</v>
      </c>
      <c r="F943" t="s">
        <v>176</v>
      </c>
      <c r="G943" t="s">
        <v>468</v>
      </c>
      <c r="H943" t="s">
        <v>469</v>
      </c>
      <c r="I943" t="s">
        <v>469</v>
      </c>
      <c r="J943" t="s">
        <v>60</v>
      </c>
      <c r="K943" t="s">
        <v>326</v>
      </c>
      <c r="L943" t="s">
        <v>62</v>
      </c>
      <c r="M943" t="s">
        <v>326</v>
      </c>
      <c r="N943" t="s">
        <v>470</v>
      </c>
      <c r="O943" t="s">
        <v>471</v>
      </c>
      <c r="P943">
        <v>-19.655975999999999</v>
      </c>
      <c r="Q943">
        <v>-43.870057000000003</v>
      </c>
      <c r="R943" s="2" t="str">
        <f>HYPERLINK("https://www.google.com/maps?q=-19.6559760,-43.8700570","Abrir no Google Maps")</f>
        <v>Abrir no Google Maps</v>
      </c>
      <c r="S943">
        <v>3</v>
      </c>
      <c r="T943">
        <v>409.25016374145417</v>
      </c>
      <c r="U943">
        <v>3</v>
      </c>
      <c r="V943">
        <v>0.35807889161381129</v>
      </c>
      <c r="W943">
        <v>1</v>
      </c>
      <c r="X943">
        <v>0.35807889161381129</v>
      </c>
      <c r="Y943">
        <v>3</v>
      </c>
      <c r="Z943">
        <v>484.59511175905197</v>
      </c>
      <c r="AA943">
        <v>2</v>
      </c>
      <c r="AB943">
        <v>3</v>
      </c>
      <c r="AC943">
        <v>7</v>
      </c>
      <c r="AD943">
        <v>26.01</v>
      </c>
      <c r="AE943">
        <v>253</v>
      </c>
      <c r="AF943">
        <v>18</v>
      </c>
      <c r="AG943">
        <v>58</v>
      </c>
      <c r="AH943">
        <v>32</v>
      </c>
      <c r="AI943">
        <v>7.11</v>
      </c>
      <c r="AJ943">
        <v>22.92</v>
      </c>
      <c r="AK943">
        <v>12.65</v>
      </c>
      <c r="AL943">
        <v>-19.655869499999969</v>
      </c>
      <c r="AM943">
        <v>-43.870040006843681</v>
      </c>
      <c r="AN943">
        <v>-19.655869499999969</v>
      </c>
      <c r="AO943">
        <v>-43.870040006843681</v>
      </c>
      <c r="AP943">
        <v>-19.655975999999999</v>
      </c>
      <c r="AQ943">
        <v>-43.870057000000003</v>
      </c>
      <c r="AR943">
        <v>11.98867552929476</v>
      </c>
      <c r="AS943" t="s">
        <v>65</v>
      </c>
      <c r="AT943">
        <v>1</v>
      </c>
      <c r="AU943" t="s">
        <v>472</v>
      </c>
      <c r="AV943" t="s">
        <v>473</v>
      </c>
      <c r="AW943" t="s">
        <v>60</v>
      </c>
      <c r="AX943" t="s">
        <v>68</v>
      </c>
      <c r="AY943" t="s">
        <v>69</v>
      </c>
      <c r="AZ943" t="b">
        <v>1</v>
      </c>
    </row>
    <row r="944" spans="1:52" x14ac:dyDescent="0.3">
      <c r="A944" t="s">
        <v>52</v>
      </c>
      <c r="B944" t="s">
        <v>53</v>
      </c>
      <c r="C944" t="s">
        <v>54</v>
      </c>
      <c r="D944" t="s">
        <v>55</v>
      </c>
      <c r="E944" t="s">
        <v>803</v>
      </c>
      <c r="F944" t="s">
        <v>176</v>
      </c>
      <c r="G944" t="s">
        <v>474</v>
      </c>
      <c r="H944" t="s">
        <v>475</v>
      </c>
      <c r="I944" t="s">
        <v>475</v>
      </c>
      <c r="J944" t="s">
        <v>60</v>
      </c>
      <c r="K944" t="s">
        <v>326</v>
      </c>
      <c r="L944" t="s">
        <v>62</v>
      </c>
      <c r="M944" t="s">
        <v>326</v>
      </c>
      <c r="N944" t="s">
        <v>476</v>
      </c>
      <c r="O944" t="s">
        <v>477</v>
      </c>
      <c r="P944">
        <v>-19.658083000000001</v>
      </c>
      <c r="Q944">
        <v>-43.866957999999997</v>
      </c>
      <c r="R944" s="2" t="str">
        <f>HYPERLINK("https://www.google.com/maps?q=-19.6580830,-43.8669580","Abrir no Google Maps")</f>
        <v>Abrir no Google Maps</v>
      </c>
      <c r="S944">
        <v>3</v>
      </c>
      <c r="T944">
        <v>753.45055811539748</v>
      </c>
      <c r="U944">
        <v>3</v>
      </c>
      <c r="V944">
        <v>0.36105688668847818</v>
      </c>
      <c r="W944">
        <v>1</v>
      </c>
      <c r="X944">
        <v>0.36105688668847818</v>
      </c>
      <c r="Y944">
        <v>3</v>
      </c>
      <c r="Z944">
        <v>808.47816984050394</v>
      </c>
      <c r="AA944">
        <v>2</v>
      </c>
      <c r="AB944">
        <v>3</v>
      </c>
      <c r="AC944">
        <v>7</v>
      </c>
      <c r="AD944">
        <v>26.01</v>
      </c>
      <c r="AE944">
        <v>253</v>
      </c>
      <c r="AF944">
        <v>18</v>
      </c>
      <c r="AG944">
        <v>58</v>
      </c>
      <c r="AH944">
        <v>32</v>
      </c>
      <c r="AI944">
        <v>7.11</v>
      </c>
      <c r="AJ944">
        <v>22.92</v>
      </c>
      <c r="AK944">
        <v>12.65</v>
      </c>
      <c r="AL944">
        <v>-19.658034899999929</v>
      </c>
      <c r="AM944">
        <v>-43.867024921196148</v>
      </c>
      <c r="AN944">
        <v>-19.658034899999929</v>
      </c>
      <c r="AO944">
        <v>-43.867024921196148</v>
      </c>
      <c r="AP944">
        <v>-19.658083000000001</v>
      </c>
      <c r="AQ944">
        <v>-43.866957999999997</v>
      </c>
      <c r="AR944">
        <v>8.8253920204286462</v>
      </c>
      <c r="AS944" t="s">
        <v>65</v>
      </c>
      <c r="AT944">
        <v>1</v>
      </c>
      <c r="AU944" t="s">
        <v>478</v>
      </c>
      <c r="AV944" t="s">
        <v>349</v>
      </c>
      <c r="AW944" t="s">
        <v>60</v>
      </c>
      <c r="AX944" t="s">
        <v>68</v>
      </c>
      <c r="AY944" t="s">
        <v>69</v>
      </c>
      <c r="AZ944" t="b">
        <v>1</v>
      </c>
    </row>
    <row r="945" spans="1:52" x14ac:dyDescent="0.3">
      <c r="A945" t="s">
        <v>52</v>
      </c>
      <c r="B945" t="s">
        <v>53</v>
      </c>
      <c r="C945" t="s">
        <v>54</v>
      </c>
      <c r="D945" t="s">
        <v>55</v>
      </c>
      <c r="E945" t="s">
        <v>803</v>
      </c>
      <c r="F945" t="s">
        <v>176</v>
      </c>
      <c r="G945" t="s">
        <v>484</v>
      </c>
      <c r="H945" t="s">
        <v>485</v>
      </c>
      <c r="I945" t="s">
        <v>485</v>
      </c>
      <c r="J945" t="s">
        <v>60</v>
      </c>
      <c r="K945" t="s">
        <v>486</v>
      </c>
      <c r="L945" t="s">
        <v>62</v>
      </c>
      <c r="M945" t="s">
        <v>486</v>
      </c>
      <c r="N945" t="s">
        <v>487</v>
      </c>
      <c r="O945" t="s">
        <v>488</v>
      </c>
      <c r="P945">
        <v>-19.599471999999999</v>
      </c>
      <c r="Q945">
        <v>-43.904423999999999</v>
      </c>
      <c r="R945" s="2" t="str">
        <f>HYPERLINK("https://www.google.com/maps?q=-19.5994720,-43.9044240","Abrir no Google Maps")</f>
        <v>Abrir no Google Maps</v>
      </c>
      <c r="S945">
        <v>3</v>
      </c>
      <c r="T945">
        <v>0</v>
      </c>
      <c r="U945">
        <v>3</v>
      </c>
      <c r="V945">
        <v>0.35250682626585911</v>
      </c>
      <c r="W945">
        <v>1</v>
      </c>
      <c r="X945">
        <v>0.35250682626585911</v>
      </c>
      <c r="Y945">
        <v>2</v>
      </c>
      <c r="Z945">
        <v>112.207711482489</v>
      </c>
      <c r="AA945">
        <v>2</v>
      </c>
      <c r="AB945">
        <v>3</v>
      </c>
      <c r="AC945">
        <v>7</v>
      </c>
      <c r="AD945">
        <v>26.01</v>
      </c>
      <c r="AE945">
        <v>253</v>
      </c>
      <c r="AF945">
        <v>18</v>
      </c>
      <c r="AG945">
        <v>58</v>
      </c>
      <c r="AH945">
        <v>32</v>
      </c>
      <c r="AI945">
        <v>7.11</v>
      </c>
      <c r="AJ945">
        <v>22.92</v>
      </c>
      <c r="AK945">
        <v>12.65</v>
      </c>
      <c r="AL945">
        <v>-19.599417149999969</v>
      </c>
      <c r="AM945">
        <v>-43.904309145074677</v>
      </c>
      <c r="AN945">
        <v>-19.599417149999969</v>
      </c>
      <c r="AO945">
        <v>-43.904309145074677</v>
      </c>
      <c r="AP945">
        <v>-19.599471999999999</v>
      </c>
      <c r="AQ945">
        <v>-43.904423999999999</v>
      </c>
      <c r="AR945">
        <v>13.50409975769734</v>
      </c>
      <c r="AS945" t="s">
        <v>65</v>
      </c>
      <c r="AT945">
        <v>1</v>
      </c>
      <c r="AU945" t="s">
        <v>489</v>
      </c>
      <c r="AV945" t="s">
        <v>490</v>
      </c>
      <c r="AW945" t="s">
        <v>60</v>
      </c>
      <c r="AX945" t="s">
        <v>68</v>
      </c>
      <c r="AY945" t="s">
        <v>69</v>
      </c>
      <c r="AZ945" t="b">
        <v>1</v>
      </c>
    </row>
    <row r="946" spans="1:52" x14ac:dyDescent="0.3">
      <c r="A946" t="s">
        <v>52</v>
      </c>
      <c r="B946" t="s">
        <v>53</v>
      </c>
      <c r="C946" t="s">
        <v>54</v>
      </c>
      <c r="D946" t="s">
        <v>55</v>
      </c>
      <c r="E946" t="s">
        <v>803</v>
      </c>
      <c r="F946" t="s">
        <v>176</v>
      </c>
      <c r="G946" t="s">
        <v>500</v>
      </c>
      <c r="H946" t="s">
        <v>501</v>
      </c>
      <c r="I946" t="s">
        <v>501</v>
      </c>
      <c r="J946" t="s">
        <v>60</v>
      </c>
      <c r="K946" t="s">
        <v>164</v>
      </c>
      <c r="L946" t="s">
        <v>62</v>
      </c>
      <c r="M946" t="s">
        <v>164</v>
      </c>
      <c r="N946" t="s">
        <v>502</v>
      </c>
      <c r="O946" t="s">
        <v>503</v>
      </c>
      <c r="P946">
        <v>-19.665816</v>
      </c>
      <c r="Q946">
        <v>-43.886322999999997</v>
      </c>
      <c r="R946" s="2" t="str">
        <f>HYPERLINK("https://www.google.com/maps?q=-19.6658160,-43.8863230","Abrir no Google Maps")</f>
        <v>Abrir no Google Maps</v>
      </c>
      <c r="S946">
        <v>3</v>
      </c>
      <c r="T946">
        <v>1149.957610345353</v>
      </c>
      <c r="U946">
        <v>3</v>
      </c>
      <c r="V946">
        <v>0.34761220278513338</v>
      </c>
      <c r="W946">
        <v>1</v>
      </c>
      <c r="X946">
        <v>0.34761220278513338</v>
      </c>
      <c r="Y946">
        <v>1</v>
      </c>
      <c r="Z946">
        <v>381.605286477493</v>
      </c>
      <c r="AA946">
        <v>2</v>
      </c>
      <c r="AB946">
        <v>3</v>
      </c>
      <c r="AC946">
        <v>7</v>
      </c>
      <c r="AD946">
        <v>26.01</v>
      </c>
      <c r="AE946">
        <v>253</v>
      </c>
      <c r="AF946">
        <v>18</v>
      </c>
      <c r="AG946">
        <v>58</v>
      </c>
      <c r="AH946">
        <v>32</v>
      </c>
      <c r="AI946">
        <v>7.11</v>
      </c>
      <c r="AJ946">
        <v>22.92</v>
      </c>
      <c r="AK946">
        <v>12.65</v>
      </c>
      <c r="AL946">
        <v>-19.665844049999951</v>
      </c>
      <c r="AM946">
        <v>-43.886344205728712</v>
      </c>
      <c r="AN946">
        <v>-19.665844049999951</v>
      </c>
      <c r="AO946">
        <v>-43.886344205728712</v>
      </c>
      <c r="AP946">
        <v>-19.665816</v>
      </c>
      <c r="AQ946">
        <v>-43.886322999999997</v>
      </c>
      <c r="AR946">
        <v>3.8329604058735098</v>
      </c>
      <c r="AS946" t="s">
        <v>65</v>
      </c>
      <c r="AT946">
        <v>1</v>
      </c>
      <c r="AU946" t="s">
        <v>504</v>
      </c>
      <c r="AV946" t="s">
        <v>505</v>
      </c>
      <c r="AW946" t="s">
        <v>60</v>
      </c>
      <c r="AX946" t="s">
        <v>68</v>
      </c>
      <c r="AY946" t="s">
        <v>69</v>
      </c>
      <c r="AZ946" t="b">
        <v>1</v>
      </c>
    </row>
    <row r="947" spans="1:52" x14ac:dyDescent="0.3">
      <c r="A947" t="s">
        <v>52</v>
      </c>
      <c r="B947" t="s">
        <v>53</v>
      </c>
      <c r="C947" t="s">
        <v>54</v>
      </c>
      <c r="D947" t="s">
        <v>55</v>
      </c>
      <c r="E947" t="s">
        <v>803</v>
      </c>
      <c r="F947" t="s">
        <v>512</v>
      </c>
      <c r="G947" t="s">
        <v>58</v>
      </c>
      <c r="H947" t="s">
        <v>59</v>
      </c>
      <c r="I947" t="s">
        <v>59</v>
      </c>
      <c r="J947" t="s">
        <v>60</v>
      </c>
      <c r="K947" t="s">
        <v>61</v>
      </c>
      <c r="L947" t="s">
        <v>62</v>
      </c>
      <c r="M947" t="s">
        <v>61</v>
      </c>
      <c r="N947" t="s">
        <v>63</v>
      </c>
      <c r="O947" t="s">
        <v>64</v>
      </c>
      <c r="P947">
        <v>-19.631502000000001</v>
      </c>
      <c r="Q947">
        <v>-43.910241999999997</v>
      </c>
      <c r="R947" s="2" t="str">
        <f>HYPERLINK("https://www.google.com/maps?q=-19.6315020,-43.9102420","Abrir no Google Maps")</f>
        <v>Abrir no Google Maps</v>
      </c>
      <c r="S947">
        <v>4</v>
      </c>
      <c r="T947">
        <v>789.20099406682743</v>
      </c>
      <c r="U947">
        <v>4</v>
      </c>
      <c r="V947">
        <v>0.37728660618894111</v>
      </c>
      <c r="W947">
        <v>1</v>
      </c>
      <c r="X947">
        <v>0.37728660618894111</v>
      </c>
      <c r="Y947">
        <v>10</v>
      </c>
      <c r="Z947">
        <v>691.44930074509864</v>
      </c>
      <c r="AA947">
        <v>2</v>
      </c>
      <c r="AB947">
        <v>3</v>
      </c>
      <c r="AC947">
        <v>7</v>
      </c>
      <c r="AD947">
        <v>26.01</v>
      </c>
      <c r="AE947">
        <v>253</v>
      </c>
      <c r="AF947">
        <v>18</v>
      </c>
      <c r="AG947">
        <v>58</v>
      </c>
      <c r="AH947">
        <v>32</v>
      </c>
      <c r="AI947">
        <v>7.11</v>
      </c>
      <c r="AJ947">
        <v>22.92</v>
      </c>
      <c r="AK947">
        <v>12.65</v>
      </c>
      <c r="AL947">
        <v>-19.631719749999949</v>
      </c>
      <c r="AM947">
        <v>-43.910102324517517</v>
      </c>
      <c r="AN947">
        <v>-19.631719749999949</v>
      </c>
      <c r="AO947">
        <v>-43.910102324517517</v>
      </c>
      <c r="AP947">
        <v>-19.631502000000001</v>
      </c>
      <c r="AQ947">
        <v>-43.910241999999997</v>
      </c>
      <c r="AR947">
        <v>28.320416429206599</v>
      </c>
      <c r="AS947" t="s">
        <v>65</v>
      </c>
      <c r="AT947">
        <v>1</v>
      </c>
      <c r="AU947" t="s">
        <v>66</v>
      </c>
      <c r="AV947" t="s">
        <v>67</v>
      </c>
      <c r="AW947" t="s">
        <v>60</v>
      </c>
      <c r="AX947" t="s">
        <v>68</v>
      </c>
      <c r="AY947" t="s">
        <v>69</v>
      </c>
      <c r="AZ947" t="b">
        <v>1</v>
      </c>
    </row>
    <row r="948" spans="1:52" x14ac:dyDescent="0.3">
      <c r="A948" t="s">
        <v>52</v>
      </c>
      <c r="B948" t="s">
        <v>53</v>
      </c>
      <c r="C948" t="s">
        <v>54</v>
      </c>
      <c r="D948" t="s">
        <v>55</v>
      </c>
      <c r="E948" t="s">
        <v>803</v>
      </c>
      <c r="F948" t="s">
        <v>512</v>
      </c>
      <c r="G948" t="s">
        <v>70</v>
      </c>
      <c r="H948" t="s">
        <v>71</v>
      </c>
      <c r="I948" t="s">
        <v>71</v>
      </c>
      <c r="J948" t="s">
        <v>60</v>
      </c>
      <c r="K948" t="s">
        <v>72</v>
      </c>
      <c r="L948" t="s">
        <v>62</v>
      </c>
      <c r="M948" t="s">
        <v>72</v>
      </c>
      <c r="N948" t="s">
        <v>73</v>
      </c>
      <c r="O948" t="s">
        <v>74</v>
      </c>
      <c r="P948">
        <v>-19.632581999999999</v>
      </c>
      <c r="Q948">
        <v>-43.902416000000002</v>
      </c>
      <c r="R948" s="2" t="str">
        <f>HYPERLINK("https://www.google.com/maps?q=-19.6325820,-43.9024160","Abrir no Google Maps")</f>
        <v>Abrir no Google Maps</v>
      </c>
      <c r="S948">
        <v>4</v>
      </c>
      <c r="T948">
        <v>0</v>
      </c>
      <c r="U948">
        <v>4</v>
      </c>
      <c r="V948">
        <v>0.42437076149204261</v>
      </c>
      <c r="W948">
        <v>1</v>
      </c>
      <c r="X948">
        <v>0.42437076149204261</v>
      </c>
      <c r="Y948">
        <v>10</v>
      </c>
      <c r="Z948">
        <v>146.6968158874696</v>
      </c>
      <c r="AA948">
        <v>2</v>
      </c>
      <c r="AB948">
        <v>3</v>
      </c>
      <c r="AC948">
        <v>7</v>
      </c>
      <c r="AD948">
        <v>26.01</v>
      </c>
      <c r="AE948">
        <v>253</v>
      </c>
      <c r="AF948">
        <v>18</v>
      </c>
      <c r="AG948">
        <v>58</v>
      </c>
      <c r="AH948">
        <v>32</v>
      </c>
      <c r="AI948">
        <v>7.11</v>
      </c>
      <c r="AJ948">
        <v>22.92</v>
      </c>
      <c r="AK948">
        <v>12.65</v>
      </c>
      <c r="AL948">
        <v>-19.63271449999996</v>
      </c>
      <c r="AM948">
        <v>-43.902649897389402</v>
      </c>
      <c r="AN948">
        <v>-19.63271449999996</v>
      </c>
      <c r="AO948">
        <v>-43.902649897389402</v>
      </c>
      <c r="AP948">
        <v>-19.632581999999999</v>
      </c>
      <c r="AQ948">
        <v>-43.902416000000002</v>
      </c>
      <c r="AR948">
        <v>28.617753432996459</v>
      </c>
      <c r="AS948" t="s">
        <v>65</v>
      </c>
      <c r="AT948">
        <v>1</v>
      </c>
      <c r="AU948" t="s">
        <v>75</v>
      </c>
      <c r="AV948" t="s">
        <v>76</v>
      </c>
      <c r="AW948" t="s">
        <v>60</v>
      </c>
      <c r="AX948" t="s">
        <v>68</v>
      </c>
      <c r="AY948" t="s">
        <v>69</v>
      </c>
      <c r="AZ948" t="b">
        <v>1</v>
      </c>
    </row>
    <row r="949" spans="1:52" x14ac:dyDescent="0.3">
      <c r="A949" t="s">
        <v>52</v>
      </c>
      <c r="B949" t="s">
        <v>53</v>
      </c>
      <c r="C949" t="s">
        <v>54</v>
      </c>
      <c r="D949" t="s">
        <v>55</v>
      </c>
      <c r="E949" t="s">
        <v>803</v>
      </c>
      <c r="F949" t="s">
        <v>512</v>
      </c>
      <c r="G949" t="s">
        <v>77</v>
      </c>
      <c r="H949" t="s">
        <v>78</v>
      </c>
      <c r="I949" t="s">
        <v>78</v>
      </c>
      <c r="J949" t="s">
        <v>60</v>
      </c>
      <c r="K949" t="s">
        <v>79</v>
      </c>
      <c r="L949" t="s">
        <v>62</v>
      </c>
      <c r="M949" t="s">
        <v>79</v>
      </c>
      <c r="N949" t="s">
        <v>80</v>
      </c>
      <c r="O949" t="s">
        <v>81</v>
      </c>
      <c r="P949">
        <v>-19.632463999999999</v>
      </c>
      <c r="Q949">
        <v>-43.904927999999998</v>
      </c>
      <c r="R949" s="2" t="str">
        <f>HYPERLINK("https://www.google.com/maps?q=-19.6324640,-43.9049280","Abrir no Google Maps")</f>
        <v>Abrir no Google Maps</v>
      </c>
      <c r="S949">
        <v>4</v>
      </c>
      <c r="T949">
        <v>244.1735197453369</v>
      </c>
      <c r="U949">
        <v>4</v>
      </c>
      <c r="V949">
        <v>0.41544195336657441</v>
      </c>
      <c r="W949">
        <v>1</v>
      </c>
      <c r="X949">
        <v>0.41544195336657441</v>
      </c>
      <c r="Y949">
        <v>10</v>
      </c>
      <c r="Z949">
        <v>287.26068152447448</v>
      </c>
      <c r="AA949">
        <v>2</v>
      </c>
      <c r="AB949">
        <v>3</v>
      </c>
      <c r="AC949">
        <v>7</v>
      </c>
      <c r="AD949">
        <v>26.01</v>
      </c>
      <c r="AE949">
        <v>253</v>
      </c>
      <c r="AF949">
        <v>18</v>
      </c>
      <c r="AG949">
        <v>58</v>
      </c>
      <c r="AH949">
        <v>32</v>
      </c>
      <c r="AI949">
        <v>7.11</v>
      </c>
      <c r="AJ949">
        <v>22.92</v>
      </c>
      <c r="AK949">
        <v>12.65</v>
      </c>
      <c r="AL949">
        <v>-19.63247099999996</v>
      </c>
      <c r="AM949">
        <v>-43.904964174285787</v>
      </c>
      <c r="AN949">
        <v>-19.63247099999996</v>
      </c>
      <c r="AO949">
        <v>-43.904964174285787</v>
      </c>
      <c r="AP949">
        <v>-19.632463999999999</v>
      </c>
      <c r="AQ949">
        <v>-43.904927999999998</v>
      </c>
      <c r="AR949">
        <v>3.8720457500200469</v>
      </c>
      <c r="AS949" t="s">
        <v>65</v>
      </c>
      <c r="AT949">
        <v>1</v>
      </c>
      <c r="AU949" t="s">
        <v>82</v>
      </c>
      <c r="AV949" t="s">
        <v>83</v>
      </c>
      <c r="AW949" t="s">
        <v>60</v>
      </c>
      <c r="AX949" t="s">
        <v>68</v>
      </c>
      <c r="AY949" t="s">
        <v>69</v>
      </c>
      <c r="AZ949" t="b">
        <v>1</v>
      </c>
    </row>
    <row r="950" spans="1:52" x14ac:dyDescent="0.3">
      <c r="A950" t="s">
        <v>52</v>
      </c>
      <c r="B950" t="s">
        <v>53</v>
      </c>
      <c r="C950" t="s">
        <v>54</v>
      </c>
      <c r="D950" t="s">
        <v>55</v>
      </c>
      <c r="E950" t="s">
        <v>803</v>
      </c>
      <c r="F950" t="s">
        <v>512</v>
      </c>
      <c r="G950" t="s">
        <v>97</v>
      </c>
      <c r="H950" t="s">
        <v>98</v>
      </c>
      <c r="I950" t="s">
        <v>98</v>
      </c>
      <c r="J950" t="s">
        <v>60</v>
      </c>
      <c r="K950" t="s">
        <v>99</v>
      </c>
      <c r="L950" t="s">
        <v>62</v>
      </c>
      <c r="M950" t="s">
        <v>99</v>
      </c>
      <c r="N950" t="s">
        <v>100</v>
      </c>
      <c r="O950" t="s">
        <v>101</v>
      </c>
      <c r="P950">
        <v>-19.629822000000001</v>
      </c>
      <c r="Q950">
        <v>-43.905341</v>
      </c>
      <c r="R950" s="2" t="str">
        <f>HYPERLINK("https://www.google.com/maps?q=-19.6298220,-43.9053410","Abrir no Google Maps")</f>
        <v>Abrir no Google Maps</v>
      </c>
      <c r="S950">
        <v>4</v>
      </c>
      <c r="T950">
        <v>441.30597341744129</v>
      </c>
      <c r="U950">
        <v>4</v>
      </c>
      <c r="V950">
        <v>0.38027279176968931</v>
      </c>
      <c r="W950">
        <v>1</v>
      </c>
      <c r="X950">
        <v>0.38027279176968931</v>
      </c>
      <c r="Y950">
        <v>10</v>
      </c>
      <c r="Z950">
        <v>513.56493751010987</v>
      </c>
      <c r="AA950">
        <v>2</v>
      </c>
      <c r="AB950">
        <v>3</v>
      </c>
      <c r="AC950">
        <v>7</v>
      </c>
      <c r="AD950">
        <v>26.01</v>
      </c>
      <c r="AE950">
        <v>253</v>
      </c>
      <c r="AF950">
        <v>18</v>
      </c>
      <c r="AG950">
        <v>58</v>
      </c>
      <c r="AH950">
        <v>32</v>
      </c>
      <c r="AI950">
        <v>7.11</v>
      </c>
      <c r="AJ950">
        <v>22.92</v>
      </c>
      <c r="AK950">
        <v>12.65</v>
      </c>
      <c r="AL950">
        <v>-19.629671599999941</v>
      </c>
      <c r="AM950">
        <v>-43.905369597920988</v>
      </c>
      <c r="AN950">
        <v>-19.629671599999931</v>
      </c>
      <c r="AO950">
        <v>-43.905369597920988</v>
      </c>
      <c r="AP950">
        <v>-19.629822000000001</v>
      </c>
      <c r="AQ950">
        <v>-43.905341</v>
      </c>
      <c r="AR950">
        <v>17.008917699186132</v>
      </c>
      <c r="AS950" t="s">
        <v>65</v>
      </c>
      <c r="AT950">
        <v>1</v>
      </c>
      <c r="AU950" t="s">
        <v>102</v>
      </c>
      <c r="AV950" t="s">
        <v>103</v>
      </c>
      <c r="AW950" t="s">
        <v>60</v>
      </c>
      <c r="AX950" t="s">
        <v>68</v>
      </c>
      <c r="AY950" t="s">
        <v>69</v>
      </c>
      <c r="AZ950" t="b">
        <v>1</v>
      </c>
    </row>
    <row r="951" spans="1:52" x14ac:dyDescent="0.3">
      <c r="A951" t="s">
        <v>52</v>
      </c>
      <c r="B951" t="s">
        <v>53</v>
      </c>
      <c r="C951" t="s">
        <v>54</v>
      </c>
      <c r="D951" t="s">
        <v>55</v>
      </c>
      <c r="E951" t="s">
        <v>803</v>
      </c>
      <c r="F951" t="s">
        <v>512</v>
      </c>
      <c r="G951" t="s">
        <v>84</v>
      </c>
      <c r="H951" t="s">
        <v>85</v>
      </c>
      <c r="I951" t="s">
        <v>85</v>
      </c>
      <c r="J951" t="s">
        <v>60</v>
      </c>
      <c r="K951" t="s">
        <v>86</v>
      </c>
      <c r="L951" t="s">
        <v>62</v>
      </c>
      <c r="M951" t="s">
        <v>86</v>
      </c>
      <c r="N951" t="s">
        <v>87</v>
      </c>
      <c r="O951" t="s">
        <v>88</v>
      </c>
      <c r="P951">
        <v>-19.629436999999999</v>
      </c>
      <c r="Q951">
        <v>-43.910398999999998</v>
      </c>
      <c r="R951" s="2" t="str">
        <f>HYPERLINK("https://www.google.com/maps?q=-19.6294370,-43.9103990","Abrir no Google Maps")</f>
        <v>Abrir no Google Maps</v>
      </c>
      <c r="S951">
        <v>4</v>
      </c>
      <c r="T951">
        <v>888.82060643108082</v>
      </c>
      <c r="U951">
        <v>3</v>
      </c>
      <c r="V951">
        <v>0.36010756283401868</v>
      </c>
      <c r="W951">
        <v>1</v>
      </c>
      <c r="X951">
        <v>0.36010756283401868</v>
      </c>
      <c r="Y951">
        <v>10</v>
      </c>
      <c r="Z951">
        <v>867.42797341651737</v>
      </c>
      <c r="AA951">
        <v>2</v>
      </c>
      <c r="AB951">
        <v>3</v>
      </c>
      <c r="AC951">
        <v>7</v>
      </c>
      <c r="AD951">
        <v>26.01</v>
      </c>
      <c r="AE951">
        <v>253</v>
      </c>
      <c r="AF951">
        <v>18</v>
      </c>
      <c r="AG951">
        <v>58</v>
      </c>
      <c r="AH951">
        <v>32</v>
      </c>
      <c r="AI951">
        <v>7.11</v>
      </c>
      <c r="AJ951">
        <v>22.92</v>
      </c>
      <c r="AK951">
        <v>12.65</v>
      </c>
      <c r="AL951">
        <v>-19.62934694999996</v>
      </c>
      <c r="AM951">
        <v>-43.910344699357317</v>
      </c>
      <c r="AN951">
        <v>-19.62934694999996</v>
      </c>
      <c r="AO951">
        <v>-43.910344699357331</v>
      </c>
      <c r="AP951">
        <v>-19.629436999999999</v>
      </c>
      <c r="AQ951">
        <v>-43.910398999999998</v>
      </c>
      <c r="AR951">
        <v>11.52837377953678</v>
      </c>
      <c r="AS951" t="s">
        <v>65</v>
      </c>
      <c r="AT951">
        <v>1</v>
      </c>
      <c r="AU951" t="s">
        <v>89</v>
      </c>
      <c r="AV951" t="s">
        <v>90</v>
      </c>
      <c r="AW951" t="s">
        <v>60</v>
      </c>
      <c r="AX951" t="s">
        <v>68</v>
      </c>
      <c r="AY951" t="s">
        <v>69</v>
      </c>
      <c r="AZ951" t="b">
        <v>1</v>
      </c>
    </row>
    <row r="952" spans="1:52" x14ac:dyDescent="0.3">
      <c r="A952" t="s">
        <v>52</v>
      </c>
      <c r="B952" t="s">
        <v>53</v>
      </c>
      <c r="C952" t="s">
        <v>54</v>
      </c>
      <c r="D952" t="s">
        <v>55</v>
      </c>
      <c r="E952" t="s">
        <v>803</v>
      </c>
      <c r="F952" t="s">
        <v>512</v>
      </c>
      <c r="G952" t="s">
        <v>91</v>
      </c>
      <c r="H952" t="s">
        <v>92</v>
      </c>
      <c r="I952" t="s">
        <v>92</v>
      </c>
      <c r="J952" t="s">
        <v>60</v>
      </c>
      <c r="K952" t="s">
        <v>86</v>
      </c>
      <c r="L952" t="s">
        <v>62</v>
      </c>
      <c r="M952" t="s">
        <v>86</v>
      </c>
      <c r="N952" t="s">
        <v>93</v>
      </c>
      <c r="O952" t="s">
        <v>94</v>
      </c>
      <c r="P952">
        <v>-19.630676999999999</v>
      </c>
      <c r="Q952">
        <v>-43.907255999999997</v>
      </c>
      <c r="R952" s="2" t="str">
        <f>HYPERLINK("https://www.google.com/maps?q=-19.6306770,-43.9072560","Abrir no Google Maps")</f>
        <v>Abrir no Google Maps</v>
      </c>
      <c r="S952">
        <v>4</v>
      </c>
      <c r="T952">
        <v>545.39374622597825</v>
      </c>
      <c r="U952">
        <v>3</v>
      </c>
      <c r="V952">
        <v>0.36465421761474381</v>
      </c>
      <c r="W952">
        <v>1</v>
      </c>
      <c r="X952">
        <v>0.36465421761474381</v>
      </c>
      <c r="Y952">
        <v>10</v>
      </c>
      <c r="Z952">
        <v>559.94033759457182</v>
      </c>
      <c r="AA952">
        <v>2</v>
      </c>
      <c r="AB952">
        <v>3</v>
      </c>
      <c r="AC952">
        <v>7</v>
      </c>
      <c r="AD952">
        <v>26.01</v>
      </c>
      <c r="AE952">
        <v>253</v>
      </c>
      <c r="AF952">
        <v>18</v>
      </c>
      <c r="AG952">
        <v>58</v>
      </c>
      <c r="AH952">
        <v>32</v>
      </c>
      <c r="AI952">
        <v>7.11</v>
      </c>
      <c r="AJ952">
        <v>22.92</v>
      </c>
      <c r="AK952">
        <v>12.65</v>
      </c>
      <c r="AL952">
        <v>-19.630448649999941</v>
      </c>
      <c r="AM952">
        <v>-43.907268502495313</v>
      </c>
      <c r="AN952">
        <v>-19.630448649999941</v>
      </c>
      <c r="AO952">
        <v>-43.907268502495313</v>
      </c>
      <c r="AP952">
        <v>-19.630676999999999</v>
      </c>
      <c r="AQ952">
        <v>-43.907255999999997</v>
      </c>
      <c r="AR952">
        <v>25.453700276562468</v>
      </c>
      <c r="AS952" t="s">
        <v>65</v>
      </c>
      <c r="AT952">
        <v>1</v>
      </c>
      <c r="AU952" t="s">
        <v>95</v>
      </c>
      <c r="AV952" t="s">
        <v>96</v>
      </c>
      <c r="AW952" t="s">
        <v>60</v>
      </c>
      <c r="AX952" t="s">
        <v>68</v>
      </c>
      <c r="AY952" t="s">
        <v>69</v>
      </c>
      <c r="AZ952" t="b">
        <v>1</v>
      </c>
    </row>
    <row r="953" spans="1:52" x14ac:dyDescent="0.3">
      <c r="A953" t="s">
        <v>52</v>
      </c>
      <c r="B953" t="s">
        <v>53</v>
      </c>
      <c r="C953" t="s">
        <v>54</v>
      </c>
      <c r="D953" t="s">
        <v>55</v>
      </c>
      <c r="E953" t="s">
        <v>803</v>
      </c>
      <c r="F953" t="s">
        <v>512</v>
      </c>
      <c r="G953" t="s">
        <v>513</v>
      </c>
      <c r="H953" t="s">
        <v>514</v>
      </c>
      <c r="I953" t="s">
        <v>514</v>
      </c>
      <c r="J953" t="s">
        <v>60</v>
      </c>
      <c r="K953" t="s">
        <v>185</v>
      </c>
      <c r="L953" t="s">
        <v>62</v>
      </c>
      <c r="M953" t="s">
        <v>185</v>
      </c>
      <c r="N953" t="s">
        <v>515</v>
      </c>
      <c r="O953" t="s">
        <v>516</v>
      </c>
      <c r="P953">
        <v>-19.63184</v>
      </c>
      <c r="Q953">
        <v>-43.899625999999998</v>
      </c>
      <c r="R953" s="2" t="str">
        <f>HYPERLINK("https://www.google.com/maps?q=-19.6318400,-43.8996260","Abrir no Google Maps")</f>
        <v>Abrir no Google Maps</v>
      </c>
      <c r="S953">
        <v>4</v>
      </c>
      <c r="T953">
        <v>317.05369638212568</v>
      </c>
      <c r="U953">
        <v>2</v>
      </c>
      <c r="V953">
        <v>0.3684926899759442</v>
      </c>
      <c r="W953">
        <v>0.85</v>
      </c>
      <c r="X953">
        <v>0.31321878647955248</v>
      </c>
      <c r="Y953">
        <v>10</v>
      </c>
      <c r="Z953">
        <v>467.39112963581732</v>
      </c>
      <c r="AA953">
        <v>2</v>
      </c>
      <c r="AB953">
        <v>3</v>
      </c>
      <c r="AC953">
        <v>7</v>
      </c>
      <c r="AD953">
        <v>26.01</v>
      </c>
      <c r="AE953">
        <v>253</v>
      </c>
      <c r="AF953">
        <v>18</v>
      </c>
      <c r="AG953">
        <v>58</v>
      </c>
      <c r="AH953">
        <v>32</v>
      </c>
      <c r="AI953">
        <v>7.11</v>
      </c>
      <c r="AJ953">
        <v>22.92</v>
      </c>
      <c r="AK953">
        <v>12.65</v>
      </c>
      <c r="AL953">
        <v>-19.631819699999941</v>
      </c>
      <c r="AM953">
        <v>-43.89977767057065</v>
      </c>
      <c r="AN953">
        <v>-19.631819699999941</v>
      </c>
      <c r="AO953">
        <v>-43.89977767057065</v>
      </c>
      <c r="AP953">
        <v>-19.63184</v>
      </c>
      <c r="AQ953">
        <v>-43.899625999999998</v>
      </c>
      <c r="AR953">
        <v>16.062279375806241</v>
      </c>
      <c r="AS953" t="s">
        <v>65</v>
      </c>
      <c r="AT953">
        <v>1</v>
      </c>
      <c r="AU953" t="s">
        <v>517</v>
      </c>
      <c r="AV953" t="s">
        <v>518</v>
      </c>
      <c r="AW953" t="s">
        <v>60</v>
      </c>
      <c r="AX953" t="s">
        <v>68</v>
      </c>
      <c r="AY953" t="s">
        <v>69</v>
      </c>
      <c r="AZ953" t="b">
        <v>1</v>
      </c>
    </row>
    <row r="954" spans="1:52" x14ac:dyDescent="0.3">
      <c r="A954" t="s">
        <v>52</v>
      </c>
      <c r="B954" t="s">
        <v>53</v>
      </c>
      <c r="C954" t="s">
        <v>54</v>
      </c>
      <c r="D954" t="s">
        <v>55</v>
      </c>
      <c r="E954" t="s">
        <v>803</v>
      </c>
      <c r="F954" t="s">
        <v>512</v>
      </c>
      <c r="G954" t="s">
        <v>519</v>
      </c>
      <c r="H954" t="s">
        <v>520</v>
      </c>
      <c r="I954" t="s">
        <v>520</v>
      </c>
      <c r="J954" t="s">
        <v>60</v>
      </c>
      <c r="K954" t="s">
        <v>72</v>
      </c>
      <c r="L954" t="s">
        <v>62</v>
      </c>
      <c r="M954" t="s">
        <v>72</v>
      </c>
      <c r="N954" t="s">
        <v>521</v>
      </c>
      <c r="O954" t="s">
        <v>522</v>
      </c>
      <c r="P954">
        <v>-19.634713000000001</v>
      </c>
      <c r="Q954">
        <v>-43.908909999999999</v>
      </c>
      <c r="R954" s="2" t="str">
        <f>HYPERLINK("https://www.google.com/maps?q=-19.6347130,-43.9089100","Abrir no Google Maps")</f>
        <v>Abrir no Google Maps</v>
      </c>
      <c r="S954">
        <v>4</v>
      </c>
      <c r="T954">
        <v>700.74700083720154</v>
      </c>
      <c r="U954">
        <v>2</v>
      </c>
      <c r="V954">
        <v>0.37228807740470787</v>
      </c>
      <c r="W954">
        <v>0.85</v>
      </c>
      <c r="X954">
        <v>0.31644486579400172</v>
      </c>
      <c r="Y954">
        <v>10</v>
      </c>
      <c r="Z954">
        <v>557.86159429038207</v>
      </c>
      <c r="AA954">
        <v>2</v>
      </c>
      <c r="AB954">
        <v>3</v>
      </c>
      <c r="AC954">
        <v>7</v>
      </c>
      <c r="AD954">
        <v>26.01</v>
      </c>
      <c r="AE954">
        <v>253</v>
      </c>
      <c r="AF954">
        <v>18</v>
      </c>
      <c r="AG954">
        <v>58</v>
      </c>
      <c r="AH954">
        <v>32</v>
      </c>
      <c r="AI954">
        <v>7.11</v>
      </c>
      <c r="AJ954">
        <v>22.92</v>
      </c>
      <c r="AK954">
        <v>12.65</v>
      </c>
      <c r="AL954">
        <v>-19.634626949999959</v>
      </c>
      <c r="AM954">
        <v>-43.909020333181857</v>
      </c>
      <c r="AN954">
        <v>-19.634626949999959</v>
      </c>
      <c r="AO954">
        <v>-43.909020333181857</v>
      </c>
      <c r="AP954">
        <v>-19.634713000000001</v>
      </c>
      <c r="AQ954">
        <v>-43.908909999999999</v>
      </c>
      <c r="AR954">
        <v>15.01933861967664</v>
      </c>
      <c r="AS954" t="s">
        <v>65</v>
      </c>
      <c r="AT954">
        <v>1</v>
      </c>
      <c r="AU954" t="s">
        <v>523</v>
      </c>
      <c r="AV954" t="s">
        <v>524</v>
      </c>
      <c r="AW954" t="s">
        <v>60</v>
      </c>
      <c r="AX954" t="s">
        <v>68</v>
      </c>
      <c r="AY954" t="s">
        <v>69</v>
      </c>
      <c r="AZ954" t="b">
        <v>1</v>
      </c>
    </row>
    <row r="955" spans="1:52" x14ac:dyDescent="0.3">
      <c r="A955" t="s">
        <v>52</v>
      </c>
      <c r="B955" t="s">
        <v>53</v>
      </c>
      <c r="C955" t="s">
        <v>54</v>
      </c>
      <c r="D955" t="s">
        <v>55</v>
      </c>
      <c r="E955" t="s">
        <v>803</v>
      </c>
      <c r="F955" t="s">
        <v>512</v>
      </c>
      <c r="G955" t="s">
        <v>388</v>
      </c>
      <c r="H955" t="s">
        <v>389</v>
      </c>
      <c r="I955" t="s">
        <v>389</v>
      </c>
      <c r="J955" t="s">
        <v>60</v>
      </c>
      <c r="K955" t="s">
        <v>185</v>
      </c>
      <c r="L955" t="s">
        <v>62</v>
      </c>
      <c r="M955" t="s">
        <v>185</v>
      </c>
      <c r="N955" t="s">
        <v>390</v>
      </c>
      <c r="O955" t="s">
        <v>391</v>
      </c>
      <c r="P955">
        <v>-19.628802</v>
      </c>
      <c r="Q955">
        <v>-43.891649000000001</v>
      </c>
      <c r="R955" s="2" t="str">
        <f>HYPERLINK("https://www.google.com/maps?q=-19.6288020,-43.8916490","Abrir no Google Maps")</f>
        <v>Abrir no Google Maps</v>
      </c>
      <c r="S955">
        <v>3</v>
      </c>
      <c r="T955">
        <v>0</v>
      </c>
      <c r="U955">
        <v>4</v>
      </c>
      <c r="V955">
        <v>0.43727747158418329</v>
      </c>
      <c r="W955">
        <v>0.85</v>
      </c>
      <c r="X955">
        <v>0.37168585084655581</v>
      </c>
      <c r="Y955">
        <v>18</v>
      </c>
      <c r="Z955">
        <v>117.5064585283839</v>
      </c>
      <c r="AA955">
        <v>2</v>
      </c>
      <c r="AB955">
        <v>3</v>
      </c>
      <c r="AC955">
        <v>7</v>
      </c>
      <c r="AD955">
        <v>26.01</v>
      </c>
      <c r="AE955">
        <v>253</v>
      </c>
      <c r="AF955">
        <v>18</v>
      </c>
      <c r="AG955">
        <v>58</v>
      </c>
      <c r="AH955">
        <v>32</v>
      </c>
      <c r="AI955">
        <v>7.11</v>
      </c>
      <c r="AJ955">
        <v>22.92</v>
      </c>
      <c r="AK955">
        <v>12.65</v>
      </c>
      <c r="AL955">
        <v>-19.628865499999961</v>
      </c>
      <c r="AM955">
        <v>-43.891662391334172</v>
      </c>
      <c r="AN955">
        <v>-19.628865499999961</v>
      </c>
      <c r="AO955">
        <v>-43.891662391334172</v>
      </c>
      <c r="AP955">
        <v>-19.628802</v>
      </c>
      <c r="AQ955">
        <v>-43.891649000000001</v>
      </c>
      <c r="AR955">
        <v>7.2069201904448459</v>
      </c>
      <c r="AS955" t="s">
        <v>65</v>
      </c>
      <c r="AT955">
        <v>1</v>
      </c>
      <c r="AU955" t="s">
        <v>392</v>
      </c>
      <c r="AV955" t="s">
        <v>393</v>
      </c>
      <c r="AW955" t="s">
        <v>60</v>
      </c>
      <c r="AX955" t="s">
        <v>68</v>
      </c>
      <c r="AY955" t="s">
        <v>69</v>
      </c>
      <c r="AZ955" t="b">
        <v>1</v>
      </c>
    </row>
    <row r="956" spans="1:52" x14ac:dyDescent="0.3">
      <c r="A956" t="s">
        <v>52</v>
      </c>
      <c r="B956" t="s">
        <v>53</v>
      </c>
      <c r="C956" t="s">
        <v>54</v>
      </c>
      <c r="D956" t="s">
        <v>55</v>
      </c>
      <c r="E956" t="s">
        <v>803</v>
      </c>
      <c r="F956" t="s">
        <v>512</v>
      </c>
      <c r="G956" t="s">
        <v>284</v>
      </c>
      <c r="H956" t="s">
        <v>285</v>
      </c>
      <c r="I956" t="s">
        <v>285</v>
      </c>
      <c r="J956" t="s">
        <v>60</v>
      </c>
      <c r="K956" t="s">
        <v>286</v>
      </c>
      <c r="L956" t="s">
        <v>62</v>
      </c>
      <c r="M956" t="s">
        <v>286</v>
      </c>
      <c r="N956" t="s">
        <v>287</v>
      </c>
      <c r="O956" t="s">
        <v>288</v>
      </c>
      <c r="P956">
        <v>-19.639790000000001</v>
      </c>
      <c r="Q956">
        <v>-43.882798999999999</v>
      </c>
      <c r="R956" s="2" t="str">
        <f>HYPERLINK("https://www.google.com/maps?q=-19.6397900,-43.8827990","Abrir no Google Maps")</f>
        <v>Abrir no Google Maps</v>
      </c>
      <c r="S956">
        <v>3</v>
      </c>
      <c r="T956">
        <v>242.7052058134478</v>
      </c>
      <c r="U956">
        <v>4</v>
      </c>
      <c r="V956">
        <v>0.37211533158060989</v>
      </c>
      <c r="W956">
        <v>1</v>
      </c>
      <c r="X956">
        <v>0.37211533158060989</v>
      </c>
      <c r="Y956">
        <v>10</v>
      </c>
      <c r="Z956">
        <v>187.2088809462339</v>
      </c>
      <c r="AA956">
        <v>2</v>
      </c>
      <c r="AB956">
        <v>3</v>
      </c>
      <c r="AC956">
        <v>7</v>
      </c>
      <c r="AD956">
        <v>26.01</v>
      </c>
      <c r="AE956">
        <v>253</v>
      </c>
      <c r="AF956">
        <v>18</v>
      </c>
      <c r="AG956">
        <v>58</v>
      </c>
      <c r="AH956">
        <v>32</v>
      </c>
      <c r="AI956">
        <v>7.11</v>
      </c>
      <c r="AJ956">
        <v>22.92</v>
      </c>
      <c r="AK956">
        <v>12.65</v>
      </c>
      <c r="AL956">
        <v>-19.639855599999951</v>
      </c>
      <c r="AM956">
        <v>-43.882909745178452</v>
      </c>
      <c r="AN956">
        <v>-19.639855599999951</v>
      </c>
      <c r="AO956">
        <v>-43.882909745178452</v>
      </c>
      <c r="AP956">
        <v>-19.639790000000001</v>
      </c>
      <c r="AQ956">
        <v>-43.882798999999999</v>
      </c>
      <c r="AR956">
        <v>13.716486068571211</v>
      </c>
      <c r="AS956" t="s">
        <v>65</v>
      </c>
      <c r="AT956">
        <v>1</v>
      </c>
      <c r="AU956" t="s">
        <v>289</v>
      </c>
      <c r="AV956" t="s">
        <v>290</v>
      </c>
      <c r="AW956" t="s">
        <v>60</v>
      </c>
      <c r="AX956" t="s">
        <v>68</v>
      </c>
      <c r="AY956" t="s">
        <v>69</v>
      </c>
      <c r="AZ956" t="b">
        <v>1</v>
      </c>
    </row>
    <row r="957" spans="1:52" x14ac:dyDescent="0.3">
      <c r="A957" t="s">
        <v>52</v>
      </c>
      <c r="B957" t="s">
        <v>53</v>
      </c>
      <c r="C957" t="s">
        <v>54</v>
      </c>
      <c r="D957" t="s">
        <v>55</v>
      </c>
      <c r="E957" t="s">
        <v>803</v>
      </c>
      <c r="F957" t="s">
        <v>512</v>
      </c>
      <c r="G957" t="s">
        <v>291</v>
      </c>
      <c r="H957" t="s">
        <v>292</v>
      </c>
      <c r="I957" t="s">
        <v>292</v>
      </c>
      <c r="J957" t="s">
        <v>60</v>
      </c>
      <c r="K957" t="s">
        <v>286</v>
      </c>
      <c r="L957" t="s">
        <v>62</v>
      </c>
      <c r="M957" t="s">
        <v>286</v>
      </c>
      <c r="N957" t="s">
        <v>293</v>
      </c>
      <c r="O957" t="s">
        <v>294</v>
      </c>
      <c r="P957">
        <v>-19.640333999999999</v>
      </c>
      <c r="Q957">
        <v>-43.880004999999997</v>
      </c>
      <c r="R957" s="2" t="str">
        <f>HYPERLINK("https://www.google.com/maps?q=-19.6403340,-43.8800050","Abrir no Google Maps")</f>
        <v>Abrir no Google Maps</v>
      </c>
      <c r="S957">
        <v>3</v>
      </c>
      <c r="T957">
        <v>276.80943817309782</v>
      </c>
      <c r="U957">
        <v>4</v>
      </c>
      <c r="V957">
        <v>0.38714443647173941</v>
      </c>
      <c r="W957">
        <v>1</v>
      </c>
      <c r="X957">
        <v>0.38714443647173941</v>
      </c>
      <c r="Y957">
        <v>10</v>
      </c>
      <c r="Z957">
        <v>361.98332038983392</v>
      </c>
      <c r="AA957">
        <v>2</v>
      </c>
      <c r="AB957">
        <v>3</v>
      </c>
      <c r="AC957">
        <v>7</v>
      </c>
      <c r="AD957">
        <v>26.01</v>
      </c>
      <c r="AE957">
        <v>253</v>
      </c>
      <c r="AF957">
        <v>18</v>
      </c>
      <c r="AG957">
        <v>58</v>
      </c>
      <c r="AH957">
        <v>32</v>
      </c>
      <c r="AI957">
        <v>7.11</v>
      </c>
      <c r="AJ957">
        <v>22.92</v>
      </c>
      <c r="AK957">
        <v>12.65</v>
      </c>
      <c r="AL957">
        <v>-19.640260249999951</v>
      </c>
      <c r="AM957">
        <v>-43.880090474326408</v>
      </c>
      <c r="AN957">
        <v>-19.640260249999951</v>
      </c>
      <c r="AO957">
        <v>-43.880090474326408</v>
      </c>
      <c r="AP957">
        <v>-19.640333999999999</v>
      </c>
      <c r="AQ957">
        <v>-43.880004999999997</v>
      </c>
      <c r="AR957">
        <v>12.153556195359609</v>
      </c>
      <c r="AS957" t="s">
        <v>65</v>
      </c>
      <c r="AT957">
        <v>1</v>
      </c>
      <c r="AU957" t="s">
        <v>295</v>
      </c>
      <c r="AV957" t="s">
        <v>296</v>
      </c>
      <c r="AW957" t="s">
        <v>60</v>
      </c>
      <c r="AX957" t="s">
        <v>68</v>
      </c>
      <c r="AY957" t="s">
        <v>69</v>
      </c>
      <c r="AZ957" t="b">
        <v>1</v>
      </c>
    </row>
    <row r="958" spans="1:52" x14ac:dyDescent="0.3">
      <c r="A958" t="s">
        <v>52</v>
      </c>
      <c r="B958" t="s">
        <v>53</v>
      </c>
      <c r="C958" t="s">
        <v>54</v>
      </c>
      <c r="D958" t="s">
        <v>55</v>
      </c>
      <c r="E958" t="s">
        <v>803</v>
      </c>
      <c r="F958" t="s">
        <v>512</v>
      </c>
      <c r="G958" t="s">
        <v>405</v>
      </c>
      <c r="H958" t="s">
        <v>406</v>
      </c>
      <c r="I958" t="s">
        <v>406</v>
      </c>
      <c r="J958" t="s">
        <v>60</v>
      </c>
      <c r="K958" t="s">
        <v>286</v>
      </c>
      <c r="L958" t="s">
        <v>62</v>
      </c>
      <c r="M958" t="s">
        <v>286</v>
      </c>
      <c r="N958" t="s">
        <v>407</v>
      </c>
      <c r="O958" t="s">
        <v>408</v>
      </c>
      <c r="P958">
        <v>-19.646345</v>
      </c>
      <c r="Q958">
        <v>-43.882294999999999</v>
      </c>
      <c r="R958" s="2" t="str">
        <f>HYPERLINK("https://www.google.com/maps?q=-19.6463450,-43.8822950","Abrir no Google Maps")</f>
        <v>Abrir no Google Maps</v>
      </c>
      <c r="S958">
        <v>3</v>
      </c>
      <c r="T958">
        <v>450.3180538635894</v>
      </c>
      <c r="U958">
        <v>4</v>
      </c>
      <c r="V958">
        <v>0.37542265446427769</v>
      </c>
      <c r="W958">
        <v>1</v>
      </c>
      <c r="X958">
        <v>0.37542265446427769</v>
      </c>
      <c r="Y958">
        <v>10</v>
      </c>
      <c r="Z958">
        <v>349.23341775902583</v>
      </c>
      <c r="AA958">
        <v>2</v>
      </c>
      <c r="AB958">
        <v>3</v>
      </c>
      <c r="AC958">
        <v>7</v>
      </c>
      <c r="AD958">
        <v>26.01</v>
      </c>
      <c r="AE958">
        <v>253</v>
      </c>
      <c r="AF958">
        <v>18</v>
      </c>
      <c r="AG958">
        <v>58</v>
      </c>
      <c r="AH958">
        <v>32</v>
      </c>
      <c r="AI958">
        <v>7.11</v>
      </c>
      <c r="AJ958">
        <v>22.92</v>
      </c>
      <c r="AK958">
        <v>12.65</v>
      </c>
      <c r="AL958">
        <v>-19.646391649999941</v>
      </c>
      <c r="AM958">
        <v>-43.882007396993302</v>
      </c>
      <c r="AN958">
        <v>-19.646391649999941</v>
      </c>
      <c r="AO958">
        <v>-43.882007396993302</v>
      </c>
      <c r="AP958">
        <v>-19.646345</v>
      </c>
      <c r="AQ958">
        <v>-43.882294999999999</v>
      </c>
      <c r="AR958">
        <v>30.596105513395301</v>
      </c>
      <c r="AS958" t="s">
        <v>65</v>
      </c>
      <c r="AT958">
        <v>1</v>
      </c>
      <c r="AU958" t="s">
        <v>409</v>
      </c>
      <c r="AV958" t="s">
        <v>410</v>
      </c>
      <c r="AW958" t="s">
        <v>60</v>
      </c>
      <c r="AX958" t="s">
        <v>68</v>
      </c>
      <c r="AY958" t="s">
        <v>69</v>
      </c>
      <c r="AZ958" t="b">
        <v>1</v>
      </c>
    </row>
    <row r="959" spans="1:52" x14ac:dyDescent="0.3">
      <c r="A959" t="s">
        <v>52</v>
      </c>
      <c r="B959" t="s">
        <v>53</v>
      </c>
      <c r="C959" t="s">
        <v>54</v>
      </c>
      <c r="D959" t="s">
        <v>55</v>
      </c>
      <c r="E959" t="s">
        <v>803</v>
      </c>
      <c r="F959" t="s">
        <v>512</v>
      </c>
      <c r="G959" t="s">
        <v>394</v>
      </c>
      <c r="H959" t="s">
        <v>395</v>
      </c>
      <c r="I959" t="s">
        <v>395</v>
      </c>
      <c r="J959" t="s">
        <v>60</v>
      </c>
      <c r="K959" t="s">
        <v>286</v>
      </c>
      <c r="L959" t="s">
        <v>62</v>
      </c>
      <c r="M959" t="s">
        <v>286</v>
      </c>
      <c r="N959" t="s">
        <v>396</v>
      </c>
      <c r="O959" t="s">
        <v>88</v>
      </c>
      <c r="P959">
        <v>-19.636932999999999</v>
      </c>
      <c r="Q959">
        <v>-43.882691999999999</v>
      </c>
      <c r="R959" s="2" t="str">
        <f>HYPERLINK("https://www.google.com/maps?q=-19.6369330,-43.8826920","Abrir no Google Maps")</f>
        <v>Abrir no Google Maps</v>
      </c>
      <c r="S959">
        <v>3</v>
      </c>
      <c r="T959">
        <v>523.52675813688109</v>
      </c>
      <c r="U959">
        <v>3</v>
      </c>
      <c r="V959">
        <v>0.36074612860884531</v>
      </c>
      <c r="W959">
        <v>1</v>
      </c>
      <c r="X959">
        <v>0.36074612860884531</v>
      </c>
      <c r="Y959">
        <v>10</v>
      </c>
      <c r="Z959">
        <v>372.58135532659509</v>
      </c>
      <c r="AA959">
        <v>2</v>
      </c>
      <c r="AB959">
        <v>3</v>
      </c>
      <c r="AC959">
        <v>7</v>
      </c>
      <c r="AD959">
        <v>26.01</v>
      </c>
      <c r="AE959">
        <v>253</v>
      </c>
      <c r="AF959">
        <v>18</v>
      </c>
      <c r="AG959">
        <v>58</v>
      </c>
      <c r="AH959">
        <v>32</v>
      </c>
      <c r="AI959">
        <v>7.11</v>
      </c>
      <c r="AJ959">
        <v>22.92</v>
      </c>
      <c r="AK959">
        <v>12.65</v>
      </c>
      <c r="AL959">
        <v>-19.637159949999951</v>
      </c>
      <c r="AM959">
        <v>-43.882643289441461</v>
      </c>
      <c r="AN959">
        <v>-19.637159949999951</v>
      </c>
      <c r="AO959">
        <v>-43.882643289441461</v>
      </c>
      <c r="AP959">
        <v>-19.636932999999999</v>
      </c>
      <c r="AQ959">
        <v>-43.882691999999999</v>
      </c>
      <c r="AR959">
        <v>25.775099947452478</v>
      </c>
      <c r="AS959" t="s">
        <v>65</v>
      </c>
      <c r="AT959">
        <v>1</v>
      </c>
      <c r="AU959" t="s">
        <v>397</v>
      </c>
      <c r="AV959" t="s">
        <v>398</v>
      </c>
      <c r="AW959" t="s">
        <v>60</v>
      </c>
      <c r="AX959" t="s">
        <v>68</v>
      </c>
      <c r="AY959" t="s">
        <v>69</v>
      </c>
      <c r="AZ959" t="b">
        <v>1</v>
      </c>
    </row>
    <row r="960" spans="1:52" x14ac:dyDescent="0.3">
      <c r="A960" t="s">
        <v>52</v>
      </c>
      <c r="B960" t="s">
        <v>53</v>
      </c>
      <c r="C960" t="s">
        <v>54</v>
      </c>
      <c r="D960" t="s">
        <v>55</v>
      </c>
      <c r="E960" t="s">
        <v>803</v>
      </c>
      <c r="F960" t="s">
        <v>512</v>
      </c>
      <c r="G960" t="s">
        <v>399</v>
      </c>
      <c r="H960" t="s">
        <v>400</v>
      </c>
      <c r="I960" t="s">
        <v>400</v>
      </c>
      <c r="J960" t="s">
        <v>60</v>
      </c>
      <c r="K960" t="s">
        <v>286</v>
      </c>
      <c r="L960" t="s">
        <v>62</v>
      </c>
      <c r="M960" t="s">
        <v>286</v>
      </c>
      <c r="N960" t="s">
        <v>401</v>
      </c>
      <c r="O960" t="s">
        <v>402</v>
      </c>
      <c r="P960">
        <v>-19.639906</v>
      </c>
      <c r="Q960">
        <v>-43.886059000000003</v>
      </c>
      <c r="R960" s="2" t="str">
        <f>HYPERLINK("https://www.google.com/maps?q=-19.6399060,-43.8860590","Abrir no Google Maps")</f>
        <v>Abrir no Google Maps</v>
      </c>
      <c r="S960">
        <v>3</v>
      </c>
      <c r="T960">
        <v>256.0748811302048</v>
      </c>
      <c r="U960">
        <v>3</v>
      </c>
      <c r="V960">
        <v>0.35292136479488789</v>
      </c>
      <c r="W960">
        <v>1</v>
      </c>
      <c r="X960">
        <v>0.35292136479488789</v>
      </c>
      <c r="Y960">
        <v>10</v>
      </c>
      <c r="Z960">
        <v>205.06236700857289</v>
      </c>
      <c r="AA960">
        <v>2</v>
      </c>
      <c r="AB960">
        <v>3</v>
      </c>
      <c r="AC960">
        <v>7</v>
      </c>
      <c r="AD960">
        <v>26.01</v>
      </c>
      <c r="AE960">
        <v>253</v>
      </c>
      <c r="AF960">
        <v>18</v>
      </c>
      <c r="AG960">
        <v>58</v>
      </c>
      <c r="AH960">
        <v>32</v>
      </c>
      <c r="AI960">
        <v>7.11</v>
      </c>
      <c r="AJ960">
        <v>22.92</v>
      </c>
      <c r="AK960">
        <v>12.65</v>
      </c>
      <c r="AL960">
        <v>-19.639789499999949</v>
      </c>
      <c r="AM960">
        <v>-43.885737855031408</v>
      </c>
      <c r="AN960">
        <v>-19.639789499999949</v>
      </c>
      <c r="AO960">
        <v>-43.885737855031408</v>
      </c>
      <c r="AP960">
        <v>-19.639906</v>
      </c>
      <c r="AQ960">
        <v>-43.886059000000003</v>
      </c>
      <c r="AR960">
        <v>36.081349702130403</v>
      </c>
      <c r="AS960" t="s">
        <v>65</v>
      </c>
      <c r="AT960">
        <v>1</v>
      </c>
      <c r="AU960" t="s">
        <v>403</v>
      </c>
      <c r="AV960" t="s">
        <v>404</v>
      </c>
      <c r="AW960" t="s">
        <v>60</v>
      </c>
      <c r="AX960" t="s">
        <v>68</v>
      </c>
      <c r="AY960" t="s">
        <v>69</v>
      </c>
      <c r="AZ960" t="b">
        <v>1</v>
      </c>
    </row>
    <row r="961" spans="1:52" x14ac:dyDescent="0.3">
      <c r="A961" t="s">
        <v>52</v>
      </c>
      <c r="B961" t="s">
        <v>53</v>
      </c>
      <c r="C961" t="s">
        <v>54</v>
      </c>
      <c r="D961" t="s">
        <v>55</v>
      </c>
      <c r="E961" t="s">
        <v>803</v>
      </c>
      <c r="F961" t="s">
        <v>512</v>
      </c>
      <c r="G961" t="s">
        <v>411</v>
      </c>
      <c r="H961" t="s">
        <v>412</v>
      </c>
      <c r="I961" t="s">
        <v>412</v>
      </c>
      <c r="J961" t="s">
        <v>60</v>
      </c>
      <c r="K961" t="s">
        <v>179</v>
      </c>
      <c r="L961" t="s">
        <v>62</v>
      </c>
      <c r="M961" t="s">
        <v>179</v>
      </c>
      <c r="N961" t="s">
        <v>413</v>
      </c>
      <c r="O961" t="s">
        <v>414</v>
      </c>
      <c r="P961">
        <v>-19.650079000000002</v>
      </c>
      <c r="Q961">
        <v>-43.884253999999999</v>
      </c>
      <c r="R961" s="2" t="str">
        <f>HYPERLINK("https://www.google.com/maps?q=-19.6500790,-43.8842540","Abrir no Google Maps")</f>
        <v>Abrir no Google Maps</v>
      </c>
      <c r="S961">
        <v>3</v>
      </c>
      <c r="T961">
        <v>797.21430129715498</v>
      </c>
      <c r="U961">
        <v>3</v>
      </c>
      <c r="V961">
        <v>0.35761294340566319</v>
      </c>
      <c r="W961">
        <v>1</v>
      </c>
      <c r="X961">
        <v>0.35761294340566319</v>
      </c>
      <c r="Y961">
        <v>10</v>
      </c>
      <c r="Z961">
        <v>774.04145012702554</v>
      </c>
      <c r="AA961">
        <v>2</v>
      </c>
      <c r="AB961">
        <v>3</v>
      </c>
      <c r="AC961">
        <v>7</v>
      </c>
      <c r="AD961">
        <v>26.01</v>
      </c>
      <c r="AE961">
        <v>253</v>
      </c>
      <c r="AF961">
        <v>18</v>
      </c>
      <c r="AG961">
        <v>58</v>
      </c>
      <c r="AH961">
        <v>32</v>
      </c>
      <c r="AI961">
        <v>7.11</v>
      </c>
      <c r="AJ961">
        <v>22.92</v>
      </c>
      <c r="AK961">
        <v>12.65</v>
      </c>
      <c r="AL961">
        <v>-19.649199399999961</v>
      </c>
      <c r="AM961">
        <v>-43.883888390043637</v>
      </c>
      <c r="AN961">
        <v>-19.649199399999961</v>
      </c>
      <c r="AO961">
        <v>-43.883888390043637</v>
      </c>
      <c r="AP961">
        <v>-19.650079000000002</v>
      </c>
      <c r="AQ961">
        <v>-43.884253999999999</v>
      </c>
      <c r="AR961">
        <v>105.1518915696123</v>
      </c>
      <c r="AS961" t="s">
        <v>65</v>
      </c>
      <c r="AT961">
        <v>1</v>
      </c>
      <c r="AU961" t="s">
        <v>415</v>
      </c>
      <c r="AV961" t="s">
        <v>416</v>
      </c>
      <c r="AW961" t="s">
        <v>60</v>
      </c>
      <c r="AX961" t="s">
        <v>68</v>
      </c>
      <c r="AY961" t="s">
        <v>69</v>
      </c>
      <c r="AZ961" t="b">
        <v>1</v>
      </c>
    </row>
    <row r="962" spans="1:52" x14ac:dyDescent="0.3">
      <c r="A962" t="s">
        <v>52</v>
      </c>
      <c r="B962" t="s">
        <v>53</v>
      </c>
      <c r="C962" t="s">
        <v>54</v>
      </c>
      <c r="D962" t="s">
        <v>55</v>
      </c>
      <c r="E962" t="s">
        <v>803</v>
      </c>
      <c r="F962" t="s">
        <v>512</v>
      </c>
      <c r="G962" t="s">
        <v>525</v>
      </c>
      <c r="H962" t="s">
        <v>526</v>
      </c>
      <c r="I962" t="s">
        <v>526</v>
      </c>
      <c r="J962" t="s">
        <v>60</v>
      </c>
      <c r="K962" t="s">
        <v>286</v>
      </c>
      <c r="L962" t="s">
        <v>62</v>
      </c>
      <c r="M962" t="s">
        <v>286</v>
      </c>
      <c r="N962" t="s">
        <v>527</v>
      </c>
      <c r="O962" t="s">
        <v>113</v>
      </c>
      <c r="P962">
        <v>-19.629049999999999</v>
      </c>
      <c r="Q962">
        <v>-43.887543000000001</v>
      </c>
      <c r="R962" s="2" t="str">
        <f>HYPERLINK("https://www.google.com/maps?q=-19.6290500,-43.8875430","Abrir no Google Maps")</f>
        <v>Abrir no Google Maps</v>
      </c>
      <c r="S962">
        <v>3</v>
      </c>
      <c r="T962">
        <v>420.9244758141914</v>
      </c>
      <c r="U962">
        <v>2</v>
      </c>
      <c r="V962">
        <v>0.37729863915621231</v>
      </c>
      <c r="W962">
        <v>0.85</v>
      </c>
      <c r="X962">
        <v>0.32070384328278051</v>
      </c>
      <c r="Y962">
        <v>18</v>
      </c>
      <c r="Z962">
        <v>298.16529694300579</v>
      </c>
      <c r="AA962">
        <v>2</v>
      </c>
      <c r="AB962">
        <v>3</v>
      </c>
      <c r="AC962">
        <v>7</v>
      </c>
      <c r="AD962">
        <v>26.01</v>
      </c>
      <c r="AE962">
        <v>253</v>
      </c>
      <c r="AF962">
        <v>18</v>
      </c>
      <c r="AG962">
        <v>58</v>
      </c>
      <c r="AH962">
        <v>32</v>
      </c>
      <c r="AI962">
        <v>7.11</v>
      </c>
      <c r="AJ962">
        <v>22.92</v>
      </c>
      <c r="AK962">
        <v>12.65</v>
      </c>
      <c r="AL962">
        <v>-19.62914789999996</v>
      </c>
      <c r="AM962">
        <v>-43.887659532387332</v>
      </c>
      <c r="AN962">
        <v>-19.62914789999996</v>
      </c>
      <c r="AO962">
        <v>-43.887659532387332</v>
      </c>
      <c r="AP962">
        <v>-19.629049999999999</v>
      </c>
      <c r="AQ962">
        <v>-43.887543000000001</v>
      </c>
      <c r="AR962">
        <v>16.372645779361299</v>
      </c>
      <c r="AS962" t="s">
        <v>65</v>
      </c>
      <c r="AT962">
        <v>1</v>
      </c>
      <c r="AU962" t="s">
        <v>528</v>
      </c>
      <c r="AV962" t="s">
        <v>529</v>
      </c>
      <c r="AW962" t="s">
        <v>60</v>
      </c>
      <c r="AX962" t="s">
        <v>68</v>
      </c>
      <c r="AY962" t="s">
        <v>69</v>
      </c>
      <c r="AZ962" t="b">
        <v>1</v>
      </c>
    </row>
    <row r="963" spans="1:52" x14ac:dyDescent="0.3">
      <c r="A963" t="s">
        <v>52</v>
      </c>
      <c r="B963" t="s">
        <v>53</v>
      </c>
      <c r="C963" t="s">
        <v>54</v>
      </c>
      <c r="D963" t="s">
        <v>55</v>
      </c>
      <c r="E963" t="s">
        <v>803</v>
      </c>
      <c r="F963" t="s">
        <v>512</v>
      </c>
      <c r="G963" t="s">
        <v>530</v>
      </c>
      <c r="H963" t="s">
        <v>531</v>
      </c>
      <c r="I963" t="s">
        <v>531</v>
      </c>
      <c r="J963" t="s">
        <v>60</v>
      </c>
      <c r="K963" t="s">
        <v>185</v>
      </c>
      <c r="L963" t="s">
        <v>62</v>
      </c>
      <c r="M963" t="s">
        <v>185</v>
      </c>
      <c r="N963" t="s">
        <v>532</v>
      </c>
      <c r="O963" t="s">
        <v>533</v>
      </c>
      <c r="P963">
        <v>-19.625264000000001</v>
      </c>
      <c r="Q963">
        <v>-43.889451000000001</v>
      </c>
      <c r="R963" s="2" t="str">
        <f>HYPERLINK("https://www.google.com/maps?q=-19.6252640,-43.8894510","Abrir no Google Maps")</f>
        <v>Abrir no Google Maps</v>
      </c>
      <c r="S963">
        <v>3</v>
      </c>
      <c r="T963">
        <v>466.11340370665903</v>
      </c>
      <c r="U963">
        <v>2</v>
      </c>
      <c r="V963">
        <v>0.40834447478927988</v>
      </c>
      <c r="W963">
        <v>0.85</v>
      </c>
      <c r="X963">
        <v>0.3470928035708879</v>
      </c>
      <c r="Y963">
        <v>18</v>
      </c>
      <c r="Z963">
        <v>320.77337440837812</v>
      </c>
      <c r="AA963">
        <v>2</v>
      </c>
      <c r="AB963">
        <v>3</v>
      </c>
      <c r="AC963">
        <v>7</v>
      </c>
      <c r="AD963">
        <v>26.01</v>
      </c>
      <c r="AE963">
        <v>253</v>
      </c>
      <c r="AF963">
        <v>18</v>
      </c>
      <c r="AG963">
        <v>58</v>
      </c>
      <c r="AH963">
        <v>32</v>
      </c>
      <c r="AI963">
        <v>7.11</v>
      </c>
      <c r="AJ963">
        <v>22.92</v>
      </c>
      <c r="AK963">
        <v>12.65</v>
      </c>
      <c r="AL963">
        <v>-19.62516189999997</v>
      </c>
      <c r="AM963">
        <v>-43.88954614566876</v>
      </c>
      <c r="AN963">
        <v>-19.62516189999997</v>
      </c>
      <c r="AO963">
        <v>-43.88954614566876</v>
      </c>
      <c r="AP963">
        <v>-19.625264000000001</v>
      </c>
      <c r="AQ963">
        <v>-43.889451000000001</v>
      </c>
      <c r="AR963">
        <v>15.12310549834147</v>
      </c>
      <c r="AS963" t="s">
        <v>65</v>
      </c>
      <c r="AT963">
        <v>1</v>
      </c>
      <c r="AU963" t="s">
        <v>534</v>
      </c>
      <c r="AV963" t="s">
        <v>535</v>
      </c>
      <c r="AW963" t="s">
        <v>60</v>
      </c>
      <c r="AX963" t="s">
        <v>68</v>
      </c>
      <c r="AY963" t="s">
        <v>69</v>
      </c>
      <c r="AZ963" t="b">
        <v>1</v>
      </c>
    </row>
    <row r="964" spans="1:52" x14ac:dyDescent="0.3">
      <c r="A964" t="s">
        <v>52</v>
      </c>
      <c r="B964" t="s">
        <v>53</v>
      </c>
      <c r="C964" t="s">
        <v>54</v>
      </c>
      <c r="D964" t="s">
        <v>55</v>
      </c>
      <c r="E964" t="s">
        <v>803</v>
      </c>
      <c r="F964" t="s">
        <v>512</v>
      </c>
      <c r="G964" t="s">
        <v>536</v>
      </c>
      <c r="H964" t="s">
        <v>537</v>
      </c>
      <c r="I964" t="s">
        <v>537</v>
      </c>
      <c r="J964" t="s">
        <v>60</v>
      </c>
      <c r="K964" t="s">
        <v>185</v>
      </c>
      <c r="L964" t="s">
        <v>62</v>
      </c>
      <c r="M964" t="s">
        <v>185</v>
      </c>
      <c r="N964" t="s">
        <v>538</v>
      </c>
      <c r="O964" t="s">
        <v>408</v>
      </c>
      <c r="P964">
        <v>-19.630147999999998</v>
      </c>
      <c r="Q964">
        <v>-43.893844000000001</v>
      </c>
      <c r="R964" s="2" t="str">
        <f>HYPERLINK("https://www.google.com/maps?q=-19.6301480,-43.8938440","Abrir no Google Maps")</f>
        <v>Abrir no Google Maps</v>
      </c>
      <c r="S964">
        <v>3</v>
      </c>
      <c r="T964">
        <v>262.94285160220159</v>
      </c>
      <c r="U964">
        <v>2</v>
      </c>
      <c r="V964">
        <v>0.39564436673545827</v>
      </c>
      <c r="W964">
        <v>0.85</v>
      </c>
      <c r="X964">
        <v>0.3362977117251395</v>
      </c>
      <c r="Y964">
        <v>18</v>
      </c>
      <c r="Z964">
        <v>351.25774094845309</v>
      </c>
      <c r="AA964">
        <v>2</v>
      </c>
      <c r="AB964">
        <v>3</v>
      </c>
      <c r="AC964">
        <v>7</v>
      </c>
      <c r="AD964">
        <v>26.01</v>
      </c>
      <c r="AE964">
        <v>253</v>
      </c>
      <c r="AF964">
        <v>18</v>
      </c>
      <c r="AG964">
        <v>58</v>
      </c>
      <c r="AH964">
        <v>32</v>
      </c>
      <c r="AI964">
        <v>7.11</v>
      </c>
      <c r="AJ964">
        <v>22.92</v>
      </c>
      <c r="AK964">
        <v>12.65</v>
      </c>
      <c r="AL964">
        <v>-19.630177599999939</v>
      </c>
      <c r="AM964">
        <v>-43.893752755034278</v>
      </c>
      <c r="AN964">
        <v>-19.630177599999939</v>
      </c>
      <c r="AO964">
        <v>-43.893752755034278</v>
      </c>
      <c r="AP964">
        <v>-19.630147999999998</v>
      </c>
      <c r="AQ964">
        <v>-43.893844000000001</v>
      </c>
      <c r="AR964">
        <v>10.1185927114604</v>
      </c>
      <c r="AS964" t="s">
        <v>65</v>
      </c>
      <c r="AT964">
        <v>1</v>
      </c>
      <c r="AU964" t="s">
        <v>539</v>
      </c>
      <c r="AV964" t="s">
        <v>540</v>
      </c>
      <c r="AW964" t="s">
        <v>60</v>
      </c>
      <c r="AX964" t="s">
        <v>68</v>
      </c>
      <c r="AY964" t="s">
        <v>69</v>
      </c>
      <c r="AZ964" t="b">
        <v>1</v>
      </c>
    </row>
    <row r="965" spans="1:52" x14ac:dyDescent="0.3">
      <c r="A965" t="s">
        <v>52</v>
      </c>
      <c r="B965" t="s">
        <v>53</v>
      </c>
      <c r="C965" t="s">
        <v>54</v>
      </c>
      <c r="D965" t="s">
        <v>55</v>
      </c>
      <c r="E965" t="s">
        <v>803</v>
      </c>
      <c r="F965" t="s">
        <v>512</v>
      </c>
      <c r="G965" t="s">
        <v>541</v>
      </c>
      <c r="H965" t="s">
        <v>542</v>
      </c>
      <c r="I965" t="s">
        <v>542</v>
      </c>
      <c r="J965" t="s">
        <v>60</v>
      </c>
      <c r="K965" t="s">
        <v>445</v>
      </c>
      <c r="L965" t="s">
        <v>62</v>
      </c>
      <c r="M965" t="s">
        <v>445</v>
      </c>
      <c r="N965" t="s">
        <v>543</v>
      </c>
      <c r="O965" t="s">
        <v>328</v>
      </c>
      <c r="P965">
        <v>-19.642263</v>
      </c>
      <c r="Q965">
        <v>-43.881428999999997</v>
      </c>
      <c r="R965" s="2" t="str">
        <f>HYPERLINK("https://www.google.com/maps?q=-19.6422630,-43.8814290","Abrir no Google Maps")</f>
        <v>Abrir no Google Maps</v>
      </c>
      <c r="S965">
        <v>3</v>
      </c>
      <c r="T965">
        <v>0</v>
      </c>
      <c r="U965">
        <v>2</v>
      </c>
      <c r="V965">
        <v>0.36166568051000658</v>
      </c>
      <c r="W965">
        <v>0.85</v>
      </c>
      <c r="X965">
        <v>0.30741582843350562</v>
      </c>
      <c r="Y965">
        <v>10</v>
      </c>
      <c r="Z965">
        <v>162.4764384685345</v>
      </c>
      <c r="AA965">
        <v>2</v>
      </c>
      <c r="AB965">
        <v>3</v>
      </c>
      <c r="AC965">
        <v>7</v>
      </c>
      <c r="AD965">
        <v>26.01</v>
      </c>
      <c r="AE965">
        <v>253</v>
      </c>
      <c r="AF965">
        <v>18</v>
      </c>
      <c r="AG965">
        <v>58</v>
      </c>
      <c r="AH965">
        <v>32</v>
      </c>
      <c r="AI965">
        <v>7.11</v>
      </c>
      <c r="AJ965">
        <v>22.92</v>
      </c>
      <c r="AK965">
        <v>12.65</v>
      </c>
      <c r="AL965">
        <v>-19.642346249999949</v>
      </c>
      <c r="AM965">
        <v>-43.881546938715289</v>
      </c>
      <c r="AN965">
        <v>-19.642346249999939</v>
      </c>
      <c r="AO965">
        <v>-43.881546938715289</v>
      </c>
      <c r="AP965">
        <v>-19.642263</v>
      </c>
      <c r="AQ965">
        <v>-43.881428999999997</v>
      </c>
      <c r="AR965">
        <v>15.45239906956777</v>
      </c>
      <c r="AS965" t="s">
        <v>65</v>
      </c>
      <c r="AT965">
        <v>1</v>
      </c>
      <c r="AU965" t="s">
        <v>544</v>
      </c>
      <c r="AV965" t="s">
        <v>545</v>
      </c>
      <c r="AW965" t="s">
        <v>60</v>
      </c>
      <c r="AX965" t="s">
        <v>68</v>
      </c>
      <c r="AY965" t="s">
        <v>69</v>
      </c>
      <c r="AZ965" t="b">
        <v>1</v>
      </c>
    </row>
    <row r="966" spans="1:52" x14ac:dyDescent="0.3">
      <c r="A966" t="s">
        <v>52</v>
      </c>
      <c r="B966" t="s">
        <v>53</v>
      </c>
      <c r="C966" t="s">
        <v>54</v>
      </c>
      <c r="D966" t="s">
        <v>55</v>
      </c>
      <c r="E966" t="s">
        <v>803</v>
      </c>
      <c r="F966" t="s">
        <v>512</v>
      </c>
      <c r="G966" t="s">
        <v>552</v>
      </c>
      <c r="H966" t="s">
        <v>553</v>
      </c>
      <c r="I966" t="s">
        <v>553</v>
      </c>
      <c r="J966" t="s">
        <v>60</v>
      </c>
      <c r="K966" t="s">
        <v>445</v>
      </c>
      <c r="L966" t="s">
        <v>62</v>
      </c>
      <c r="M966" t="s">
        <v>445</v>
      </c>
      <c r="N966" t="s">
        <v>554</v>
      </c>
      <c r="O966" t="s">
        <v>207</v>
      </c>
      <c r="P966">
        <v>-19.641549999999999</v>
      </c>
      <c r="Q966">
        <v>-43.873263999999999</v>
      </c>
      <c r="R966" s="2" t="str">
        <f>HYPERLINK("https://www.google.com/maps?q=-19.6415500,-43.8732640","Abrir no Google Maps")</f>
        <v>Abrir no Google Maps</v>
      </c>
      <c r="S966">
        <v>3</v>
      </c>
      <c r="T966">
        <v>879.45465995735231</v>
      </c>
      <c r="U966">
        <v>2</v>
      </c>
      <c r="V966">
        <v>0.37223740698551838</v>
      </c>
      <c r="W966">
        <v>0.85</v>
      </c>
      <c r="X966">
        <v>0.31640179593769058</v>
      </c>
      <c r="Y966">
        <v>10</v>
      </c>
      <c r="Z966">
        <v>830.70905214077095</v>
      </c>
      <c r="AA966">
        <v>2</v>
      </c>
      <c r="AB966">
        <v>3</v>
      </c>
      <c r="AC966">
        <v>7</v>
      </c>
      <c r="AD966">
        <v>26.01</v>
      </c>
      <c r="AE966">
        <v>253</v>
      </c>
      <c r="AF966">
        <v>18</v>
      </c>
      <c r="AG966">
        <v>58</v>
      </c>
      <c r="AH966">
        <v>32</v>
      </c>
      <c r="AI966">
        <v>7.11</v>
      </c>
      <c r="AJ966">
        <v>22.92</v>
      </c>
      <c r="AK966">
        <v>12.65</v>
      </c>
      <c r="AL966">
        <v>-19.641459949999959</v>
      </c>
      <c r="AM966">
        <v>-43.873212145688711</v>
      </c>
      <c r="AN966">
        <v>-19.641459949999959</v>
      </c>
      <c r="AO966">
        <v>-43.873212145688711</v>
      </c>
      <c r="AP966">
        <v>-19.641549999999999</v>
      </c>
      <c r="AQ966">
        <v>-43.873263999999999</v>
      </c>
      <c r="AR966">
        <v>11.40368340137019</v>
      </c>
      <c r="AS966" t="s">
        <v>65</v>
      </c>
      <c r="AT966">
        <v>1</v>
      </c>
      <c r="AU966" t="s">
        <v>555</v>
      </c>
      <c r="AV966" t="s">
        <v>556</v>
      </c>
      <c r="AW966" t="s">
        <v>60</v>
      </c>
      <c r="AX966" t="s">
        <v>68</v>
      </c>
      <c r="AY966" t="s">
        <v>69</v>
      </c>
      <c r="AZ966" t="b">
        <v>1</v>
      </c>
    </row>
    <row r="967" spans="1:52" x14ac:dyDescent="0.3">
      <c r="A967" t="s">
        <v>52</v>
      </c>
      <c r="B967" t="s">
        <v>53</v>
      </c>
      <c r="C967" t="s">
        <v>54</v>
      </c>
      <c r="D967" t="s">
        <v>55</v>
      </c>
      <c r="E967" t="s">
        <v>803</v>
      </c>
      <c r="F967" t="s">
        <v>512</v>
      </c>
      <c r="G967" t="s">
        <v>557</v>
      </c>
      <c r="H967" t="s">
        <v>558</v>
      </c>
      <c r="I967" t="s">
        <v>558</v>
      </c>
      <c r="J967" t="s">
        <v>60</v>
      </c>
      <c r="K967" t="s">
        <v>445</v>
      </c>
      <c r="L967" t="s">
        <v>62</v>
      </c>
      <c r="M967" t="s">
        <v>445</v>
      </c>
      <c r="N967" t="s">
        <v>559</v>
      </c>
      <c r="O967" t="s">
        <v>560</v>
      </c>
      <c r="P967">
        <v>-19.641839000000001</v>
      </c>
      <c r="Q967">
        <v>-43.876227</v>
      </c>
      <c r="R967" s="2" t="str">
        <f>HYPERLINK("https://www.google.com/maps?q=-19.6418390,-43.8762270","Abrir no Google Maps")</f>
        <v>Abrir no Google Maps</v>
      </c>
      <c r="S967">
        <v>3</v>
      </c>
      <c r="T967">
        <v>564.50471877254449</v>
      </c>
      <c r="U967">
        <v>2</v>
      </c>
      <c r="V967">
        <v>0.37544128127987381</v>
      </c>
      <c r="W967">
        <v>0.85</v>
      </c>
      <c r="X967">
        <v>0.31912508908789272</v>
      </c>
      <c r="Y967">
        <v>10</v>
      </c>
      <c r="Z967">
        <v>490.40238336341412</v>
      </c>
      <c r="AA967">
        <v>2</v>
      </c>
      <c r="AB967">
        <v>3</v>
      </c>
      <c r="AC967">
        <v>7</v>
      </c>
      <c r="AD967">
        <v>26.01</v>
      </c>
      <c r="AE967">
        <v>253</v>
      </c>
      <c r="AF967">
        <v>18</v>
      </c>
      <c r="AG967">
        <v>58</v>
      </c>
      <c r="AH967">
        <v>32</v>
      </c>
      <c r="AI967">
        <v>7.11</v>
      </c>
      <c r="AJ967">
        <v>22.92</v>
      </c>
      <c r="AK967">
        <v>12.65</v>
      </c>
      <c r="AL967">
        <v>-19.641880699999941</v>
      </c>
      <c r="AM967">
        <v>-43.876185869580858</v>
      </c>
      <c r="AN967">
        <v>-19.641880699999941</v>
      </c>
      <c r="AO967">
        <v>-43.876185869580858</v>
      </c>
      <c r="AP967">
        <v>-19.641839000000001</v>
      </c>
      <c r="AQ967">
        <v>-43.876227</v>
      </c>
      <c r="AR967">
        <v>6.3359121862683301</v>
      </c>
      <c r="AS967" t="s">
        <v>65</v>
      </c>
      <c r="AT967">
        <v>1</v>
      </c>
      <c r="AU967" t="s">
        <v>561</v>
      </c>
      <c r="AV967" t="s">
        <v>562</v>
      </c>
      <c r="AW967" t="s">
        <v>60</v>
      </c>
      <c r="AX967" t="s">
        <v>68</v>
      </c>
      <c r="AY967" t="s">
        <v>69</v>
      </c>
      <c r="AZ967" t="b">
        <v>1</v>
      </c>
    </row>
    <row r="968" spans="1:52" x14ac:dyDescent="0.3">
      <c r="A968" t="s">
        <v>52</v>
      </c>
      <c r="B968" t="s">
        <v>53</v>
      </c>
      <c r="C968" t="s">
        <v>54</v>
      </c>
      <c r="D968" t="s">
        <v>55</v>
      </c>
      <c r="E968" t="s">
        <v>803</v>
      </c>
      <c r="F968" t="s">
        <v>512</v>
      </c>
      <c r="G968" t="s">
        <v>563</v>
      </c>
      <c r="H968" t="s">
        <v>564</v>
      </c>
      <c r="I968" t="s">
        <v>564</v>
      </c>
      <c r="J968" t="s">
        <v>60</v>
      </c>
      <c r="K968" t="s">
        <v>445</v>
      </c>
      <c r="L968" t="s">
        <v>62</v>
      </c>
      <c r="M968" t="s">
        <v>445</v>
      </c>
      <c r="N968" t="s">
        <v>565</v>
      </c>
      <c r="O968" t="s">
        <v>566</v>
      </c>
      <c r="P968">
        <v>-19.645859000000002</v>
      </c>
      <c r="Q968">
        <v>-43.878008000000001</v>
      </c>
      <c r="R968" s="2" t="str">
        <f>HYPERLINK("https://www.google.com/maps?q=-19.6458590,-43.8780080","Abrir no Google Maps")</f>
        <v>Abrir no Google Maps</v>
      </c>
      <c r="S968">
        <v>3</v>
      </c>
      <c r="T968">
        <v>535.60651658514928</v>
      </c>
      <c r="U968">
        <v>2</v>
      </c>
      <c r="V968">
        <v>0.36313905808555669</v>
      </c>
      <c r="W968">
        <v>0.85</v>
      </c>
      <c r="X968">
        <v>0.30866819937272322</v>
      </c>
      <c r="Y968">
        <v>10</v>
      </c>
      <c r="Z968">
        <v>356.77070476702067</v>
      </c>
      <c r="AA968">
        <v>2</v>
      </c>
      <c r="AB968">
        <v>3</v>
      </c>
      <c r="AC968">
        <v>7</v>
      </c>
      <c r="AD968">
        <v>26.01</v>
      </c>
      <c r="AE968">
        <v>253</v>
      </c>
      <c r="AF968">
        <v>18</v>
      </c>
      <c r="AG968">
        <v>58</v>
      </c>
      <c r="AH968">
        <v>32</v>
      </c>
      <c r="AI968">
        <v>7.11</v>
      </c>
      <c r="AJ968">
        <v>22.92</v>
      </c>
      <c r="AK968">
        <v>12.65</v>
      </c>
      <c r="AL968">
        <v>-19.645894599999959</v>
      </c>
      <c r="AM968">
        <v>-43.878073476665591</v>
      </c>
      <c r="AN968">
        <v>-19.645894599999959</v>
      </c>
      <c r="AO968">
        <v>-43.878073476665591</v>
      </c>
      <c r="AP968">
        <v>-19.645859000000002</v>
      </c>
      <c r="AQ968">
        <v>-43.878008000000001</v>
      </c>
      <c r="AR968">
        <v>7.9263849189726594</v>
      </c>
      <c r="AS968" t="s">
        <v>65</v>
      </c>
      <c r="AT968">
        <v>1</v>
      </c>
      <c r="AU968" t="s">
        <v>567</v>
      </c>
      <c r="AV968" t="s">
        <v>568</v>
      </c>
      <c r="AW968" t="s">
        <v>60</v>
      </c>
      <c r="AX968" t="s">
        <v>68</v>
      </c>
      <c r="AY968" t="s">
        <v>69</v>
      </c>
      <c r="AZ968" t="b">
        <v>1</v>
      </c>
    </row>
    <row r="969" spans="1:52" x14ac:dyDescent="0.3">
      <c r="A969" t="s">
        <v>52</v>
      </c>
      <c r="B969" t="s">
        <v>53</v>
      </c>
      <c r="C969" t="s">
        <v>54</v>
      </c>
      <c r="D969" t="s">
        <v>55</v>
      </c>
      <c r="E969" t="s">
        <v>803</v>
      </c>
      <c r="F969" t="s">
        <v>512</v>
      </c>
      <c r="G969" t="s">
        <v>569</v>
      </c>
      <c r="H969" t="s">
        <v>570</v>
      </c>
      <c r="I969" t="s">
        <v>570</v>
      </c>
      <c r="J969" t="s">
        <v>60</v>
      </c>
      <c r="K969" t="s">
        <v>445</v>
      </c>
      <c r="L969" t="s">
        <v>62</v>
      </c>
      <c r="M969" t="s">
        <v>445</v>
      </c>
      <c r="N969" t="s">
        <v>571</v>
      </c>
      <c r="O969" t="s">
        <v>572</v>
      </c>
      <c r="P969">
        <v>-19.646602999999999</v>
      </c>
      <c r="Q969">
        <v>-43.879826000000001</v>
      </c>
      <c r="R969" s="2" t="str">
        <f>HYPERLINK("https://www.google.com/maps?q=-19.6466030,-43.8798260","Abrir no Google Maps")</f>
        <v>Abrir no Google Maps</v>
      </c>
      <c r="S969">
        <v>3</v>
      </c>
      <c r="T969">
        <v>497.89126003830972</v>
      </c>
      <c r="U969">
        <v>2</v>
      </c>
      <c r="V969">
        <v>0.35275781679070289</v>
      </c>
      <c r="W969">
        <v>0.85</v>
      </c>
      <c r="X969">
        <v>0.29984414427209738</v>
      </c>
      <c r="Y969">
        <v>10</v>
      </c>
      <c r="Z969">
        <v>228.69190976735251</v>
      </c>
      <c r="AA969">
        <v>2</v>
      </c>
      <c r="AB969">
        <v>3</v>
      </c>
      <c r="AC969">
        <v>7</v>
      </c>
      <c r="AD969">
        <v>26.01</v>
      </c>
      <c r="AE969">
        <v>253</v>
      </c>
      <c r="AF969">
        <v>18</v>
      </c>
      <c r="AG969">
        <v>58</v>
      </c>
      <c r="AH969">
        <v>32</v>
      </c>
      <c r="AI969">
        <v>7.11</v>
      </c>
      <c r="AJ969">
        <v>22.92</v>
      </c>
      <c r="AK969">
        <v>12.65</v>
      </c>
      <c r="AL969">
        <v>-19.646577499999982</v>
      </c>
      <c r="AM969">
        <v>-43.879934131171261</v>
      </c>
      <c r="AN969">
        <v>-19.646577499999971</v>
      </c>
      <c r="AO969">
        <v>-43.879934131171261</v>
      </c>
      <c r="AP969">
        <v>-19.646602999999999</v>
      </c>
      <c r="AQ969">
        <v>-43.879826000000001</v>
      </c>
      <c r="AR969">
        <v>11.68641198848764</v>
      </c>
      <c r="AS969" t="s">
        <v>65</v>
      </c>
      <c r="AT969">
        <v>1</v>
      </c>
      <c r="AU969" t="s">
        <v>573</v>
      </c>
      <c r="AV969" t="s">
        <v>574</v>
      </c>
      <c r="AW969" t="s">
        <v>60</v>
      </c>
      <c r="AX969" t="s">
        <v>68</v>
      </c>
      <c r="AY969" t="s">
        <v>69</v>
      </c>
      <c r="AZ969" t="b">
        <v>1</v>
      </c>
    </row>
    <row r="970" spans="1:52" x14ac:dyDescent="0.3">
      <c r="A970" t="s">
        <v>52</v>
      </c>
      <c r="B970" t="s">
        <v>53</v>
      </c>
      <c r="C970" t="s">
        <v>54</v>
      </c>
      <c r="D970" t="s">
        <v>55</v>
      </c>
      <c r="E970" t="s">
        <v>803</v>
      </c>
      <c r="F970" t="s">
        <v>512</v>
      </c>
      <c r="G970" t="s">
        <v>575</v>
      </c>
      <c r="H970" t="s">
        <v>576</v>
      </c>
      <c r="I970" t="s">
        <v>576</v>
      </c>
      <c r="J970" t="s">
        <v>60</v>
      </c>
      <c r="K970" t="s">
        <v>445</v>
      </c>
      <c r="L970" t="s">
        <v>62</v>
      </c>
      <c r="M970" t="s">
        <v>445</v>
      </c>
      <c r="N970" t="s">
        <v>577</v>
      </c>
      <c r="O970" t="s">
        <v>214</v>
      </c>
      <c r="P970">
        <v>-19.639865</v>
      </c>
      <c r="Q970">
        <v>-43.877858000000003</v>
      </c>
      <c r="R970" s="2" t="str">
        <f>HYPERLINK("https://www.google.com/maps?q=-19.6398650,-43.8778580","Abrir no Google Maps")</f>
        <v>Abrir no Google Maps</v>
      </c>
      <c r="S970">
        <v>3</v>
      </c>
      <c r="T970">
        <v>497.47318171010488</v>
      </c>
      <c r="U970">
        <v>2</v>
      </c>
      <c r="V970">
        <v>0.36994167458029409</v>
      </c>
      <c r="W970">
        <v>0.85</v>
      </c>
      <c r="X970">
        <v>0.31445042339325002</v>
      </c>
      <c r="Y970">
        <v>10</v>
      </c>
      <c r="Z970">
        <v>547.08184956634818</v>
      </c>
      <c r="AA970">
        <v>2</v>
      </c>
      <c r="AB970">
        <v>3</v>
      </c>
      <c r="AC970">
        <v>7</v>
      </c>
      <c r="AD970">
        <v>26.01</v>
      </c>
      <c r="AE970">
        <v>253</v>
      </c>
      <c r="AF970">
        <v>18</v>
      </c>
      <c r="AG970">
        <v>58</v>
      </c>
      <c r="AH970">
        <v>32</v>
      </c>
      <c r="AI970">
        <v>7.11</v>
      </c>
      <c r="AJ970">
        <v>22.92</v>
      </c>
      <c r="AK970">
        <v>12.65</v>
      </c>
      <c r="AL970">
        <v>-19.639907499999961</v>
      </c>
      <c r="AM970">
        <v>-43.877561677180587</v>
      </c>
      <c r="AN970">
        <v>-19.639907499999961</v>
      </c>
      <c r="AO970">
        <v>-43.877561677180587</v>
      </c>
      <c r="AP970">
        <v>-19.639865</v>
      </c>
      <c r="AQ970">
        <v>-43.877858000000003</v>
      </c>
      <c r="AR970">
        <v>31.4257813556037</v>
      </c>
      <c r="AS970" t="s">
        <v>65</v>
      </c>
      <c r="AT970">
        <v>1</v>
      </c>
      <c r="AU970" t="s">
        <v>578</v>
      </c>
      <c r="AV970" t="s">
        <v>579</v>
      </c>
      <c r="AW970" t="s">
        <v>60</v>
      </c>
      <c r="AX970" t="s">
        <v>68</v>
      </c>
      <c r="AY970" t="s">
        <v>69</v>
      </c>
      <c r="AZ970" t="b">
        <v>1</v>
      </c>
    </row>
    <row r="971" spans="1:52" x14ac:dyDescent="0.3">
      <c r="A971" t="s">
        <v>52</v>
      </c>
      <c r="B971" t="s">
        <v>53</v>
      </c>
      <c r="C971" t="s">
        <v>54</v>
      </c>
      <c r="D971" t="s">
        <v>55</v>
      </c>
      <c r="E971" t="s">
        <v>803</v>
      </c>
      <c r="F971" t="s">
        <v>512</v>
      </c>
      <c r="G971" t="s">
        <v>546</v>
      </c>
      <c r="H971" t="s">
        <v>547</v>
      </c>
      <c r="I971" t="s">
        <v>547</v>
      </c>
      <c r="J971" t="s">
        <v>60</v>
      </c>
      <c r="K971" t="s">
        <v>445</v>
      </c>
      <c r="L971" t="s">
        <v>62</v>
      </c>
      <c r="M971" t="s">
        <v>445</v>
      </c>
      <c r="N971" t="s">
        <v>548</v>
      </c>
      <c r="O971" t="s">
        <v>549</v>
      </c>
      <c r="P971">
        <v>-19.642752999999999</v>
      </c>
      <c r="Q971">
        <v>-43.879080999999999</v>
      </c>
      <c r="R971" s="2" t="str">
        <f>HYPERLINK("https://www.google.com/maps?q=-19.6427530,-43.8790810","Abrir no Google Maps")</f>
        <v>Abrir no Google Maps</v>
      </c>
      <c r="S971">
        <v>3</v>
      </c>
      <c r="T971">
        <v>256.19518367376457</v>
      </c>
      <c r="U971">
        <v>1</v>
      </c>
      <c r="V971">
        <v>0.3397812748412925</v>
      </c>
      <c r="W971">
        <v>0.85</v>
      </c>
      <c r="X971">
        <v>0.28881408361509858</v>
      </c>
      <c r="Y971">
        <v>10</v>
      </c>
      <c r="Z971">
        <v>192.73978446408199</v>
      </c>
      <c r="AA971">
        <v>2</v>
      </c>
      <c r="AB971">
        <v>3</v>
      </c>
      <c r="AC971">
        <v>7</v>
      </c>
      <c r="AD971">
        <v>26.01</v>
      </c>
      <c r="AE971">
        <v>253</v>
      </c>
      <c r="AF971">
        <v>18</v>
      </c>
      <c r="AG971">
        <v>58</v>
      </c>
      <c r="AH971">
        <v>32</v>
      </c>
      <c r="AI971">
        <v>7.11</v>
      </c>
      <c r="AJ971">
        <v>22.92</v>
      </c>
      <c r="AK971">
        <v>12.65</v>
      </c>
      <c r="AL971">
        <v>-19.642703749999949</v>
      </c>
      <c r="AM971">
        <v>-43.879132974738582</v>
      </c>
      <c r="AN971">
        <v>-19.642703749999949</v>
      </c>
      <c r="AO971">
        <v>-43.879132974738582</v>
      </c>
      <c r="AP971">
        <v>-19.642752999999999</v>
      </c>
      <c r="AQ971">
        <v>-43.879080999999999</v>
      </c>
      <c r="AR971">
        <v>7.7298757823687696</v>
      </c>
      <c r="AS971" t="s">
        <v>65</v>
      </c>
      <c r="AT971">
        <v>1</v>
      </c>
      <c r="AU971" t="s">
        <v>550</v>
      </c>
      <c r="AV971" t="s">
        <v>551</v>
      </c>
      <c r="AW971" t="s">
        <v>60</v>
      </c>
      <c r="AX971" t="s">
        <v>68</v>
      </c>
      <c r="AY971" t="s">
        <v>69</v>
      </c>
      <c r="AZ971" t="b">
        <v>1</v>
      </c>
    </row>
    <row r="972" spans="1:52" x14ac:dyDescent="0.3">
      <c r="A972" t="s">
        <v>52</v>
      </c>
      <c r="B972" t="s">
        <v>53</v>
      </c>
      <c r="C972" t="s">
        <v>54</v>
      </c>
      <c r="D972" t="s">
        <v>55</v>
      </c>
      <c r="E972" t="s">
        <v>803</v>
      </c>
      <c r="F972" t="s">
        <v>512</v>
      </c>
      <c r="G972" t="s">
        <v>580</v>
      </c>
      <c r="H972" t="s">
        <v>581</v>
      </c>
      <c r="I972" t="s">
        <v>581</v>
      </c>
      <c r="J972" t="s">
        <v>60</v>
      </c>
      <c r="K972" t="s">
        <v>179</v>
      </c>
      <c r="L972" t="s">
        <v>62</v>
      </c>
      <c r="M972" t="s">
        <v>179</v>
      </c>
      <c r="N972" t="s">
        <v>582</v>
      </c>
      <c r="O972" t="s">
        <v>583</v>
      </c>
      <c r="P972">
        <v>-19.651917999999998</v>
      </c>
      <c r="Q972">
        <v>-43.888081</v>
      </c>
      <c r="R972" s="2" t="str">
        <f>HYPERLINK("https://www.google.com/maps?q=-19.6519180,-43.8880810","Abrir no Google Maps")</f>
        <v>Abrir no Google Maps</v>
      </c>
      <c r="S972">
        <v>3</v>
      </c>
      <c r="T972">
        <v>1192.758363020145</v>
      </c>
      <c r="U972">
        <v>1</v>
      </c>
      <c r="V972">
        <v>0.3489488993205726</v>
      </c>
      <c r="W972">
        <v>0.85</v>
      </c>
      <c r="X972">
        <v>0.29660656442248667</v>
      </c>
      <c r="Y972">
        <v>10</v>
      </c>
      <c r="Z972">
        <v>1164.020417046748</v>
      </c>
      <c r="AA972">
        <v>2</v>
      </c>
      <c r="AB972">
        <v>3</v>
      </c>
      <c r="AC972">
        <v>7</v>
      </c>
      <c r="AD972">
        <v>26.01</v>
      </c>
      <c r="AE972">
        <v>253</v>
      </c>
      <c r="AF972">
        <v>18</v>
      </c>
      <c r="AG972">
        <v>58</v>
      </c>
      <c r="AH972">
        <v>32</v>
      </c>
      <c r="AI972">
        <v>7.11</v>
      </c>
      <c r="AJ972">
        <v>22.92</v>
      </c>
      <c r="AK972">
        <v>12.65</v>
      </c>
      <c r="AL972">
        <v>-19.65182809999996</v>
      </c>
      <c r="AM972">
        <v>-43.887955347266519</v>
      </c>
      <c r="AN972">
        <v>-19.65182809999996</v>
      </c>
      <c r="AO972">
        <v>-43.887955347266519</v>
      </c>
      <c r="AP972">
        <v>-19.651917999999998</v>
      </c>
      <c r="AQ972">
        <v>-43.888081</v>
      </c>
      <c r="AR972">
        <v>16.543262936495491</v>
      </c>
      <c r="AS972" t="s">
        <v>65</v>
      </c>
      <c r="AT972">
        <v>1</v>
      </c>
      <c r="AU972" t="s">
        <v>584</v>
      </c>
      <c r="AV972" t="s">
        <v>585</v>
      </c>
      <c r="AW972" t="s">
        <v>60</v>
      </c>
      <c r="AX972" t="s">
        <v>68</v>
      </c>
      <c r="AY972" t="s">
        <v>69</v>
      </c>
      <c r="AZ972" t="b">
        <v>1</v>
      </c>
    </row>
    <row r="973" spans="1:52" x14ac:dyDescent="0.3">
      <c r="A973" t="s">
        <v>52</v>
      </c>
      <c r="B973" t="s">
        <v>53</v>
      </c>
      <c r="C973" t="s">
        <v>54</v>
      </c>
      <c r="D973" t="s">
        <v>55</v>
      </c>
      <c r="E973" t="s">
        <v>803</v>
      </c>
      <c r="F973" t="s">
        <v>512</v>
      </c>
      <c r="G973" t="s">
        <v>586</v>
      </c>
      <c r="H973" t="s">
        <v>587</v>
      </c>
      <c r="I973" t="s">
        <v>587</v>
      </c>
      <c r="J973" t="s">
        <v>60</v>
      </c>
      <c r="K973" t="s">
        <v>286</v>
      </c>
      <c r="L973" t="s">
        <v>62</v>
      </c>
      <c r="M973" t="s">
        <v>286</v>
      </c>
      <c r="N973" t="s">
        <v>588</v>
      </c>
      <c r="O973" t="s">
        <v>589</v>
      </c>
      <c r="P973">
        <v>-19.638362999999998</v>
      </c>
      <c r="Q973">
        <v>-43.887081000000002</v>
      </c>
      <c r="R973" s="2" t="str">
        <f>HYPERLINK("https://www.google.com/maps?q=-19.6383630,-43.8870810","Abrir no Google Maps")</f>
        <v>Abrir no Google Maps</v>
      </c>
      <c r="S973">
        <v>3</v>
      </c>
      <c r="T973">
        <v>521.16909902210193</v>
      </c>
      <c r="U973">
        <v>1</v>
      </c>
      <c r="V973">
        <v>0.34947182410912792</v>
      </c>
      <c r="W973">
        <v>0.85</v>
      </c>
      <c r="X973">
        <v>0.29705105049275871</v>
      </c>
      <c r="Y973">
        <v>10</v>
      </c>
      <c r="Z973">
        <v>416.66355243950221</v>
      </c>
      <c r="AA973">
        <v>2</v>
      </c>
      <c r="AB973">
        <v>3</v>
      </c>
      <c r="AC973">
        <v>7</v>
      </c>
      <c r="AD973">
        <v>26.01</v>
      </c>
      <c r="AE973">
        <v>253</v>
      </c>
      <c r="AF973">
        <v>18</v>
      </c>
      <c r="AG973">
        <v>58</v>
      </c>
      <c r="AH973">
        <v>32</v>
      </c>
      <c r="AI973">
        <v>7.11</v>
      </c>
      <c r="AJ973">
        <v>22.92</v>
      </c>
      <c r="AK973">
        <v>12.65</v>
      </c>
      <c r="AL973">
        <v>-19.638074649999961</v>
      </c>
      <c r="AM973">
        <v>-43.887517684870552</v>
      </c>
      <c r="AN973">
        <v>-19.638074649999961</v>
      </c>
      <c r="AO973">
        <v>-43.887517684870552</v>
      </c>
      <c r="AP973">
        <v>-19.638362999999998</v>
      </c>
      <c r="AQ973">
        <v>-43.887081000000002</v>
      </c>
      <c r="AR973">
        <v>55.915550702564907</v>
      </c>
      <c r="AS973" t="s">
        <v>65</v>
      </c>
      <c r="AT973">
        <v>1</v>
      </c>
      <c r="AU973" t="s">
        <v>590</v>
      </c>
      <c r="AV973" t="s">
        <v>591</v>
      </c>
      <c r="AW973" t="s">
        <v>60</v>
      </c>
      <c r="AX973" t="s">
        <v>68</v>
      </c>
      <c r="AY973" t="s">
        <v>69</v>
      </c>
      <c r="AZ973" t="b">
        <v>1</v>
      </c>
    </row>
    <row r="974" spans="1:52" x14ac:dyDescent="0.3">
      <c r="A974" t="s">
        <v>52</v>
      </c>
      <c r="B974" t="s">
        <v>53</v>
      </c>
      <c r="C974" t="s">
        <v>54</v>
      </c>
      <c r="D974" t="s">
        <v>55</v>
      </c>
      <c r="E974" t="s">
        <v>803</v>
      </c>
      <c r="F974" t="s">
        <v>512</v>
      </c>
      <c r="G974" t="s">
        <v>602</v>
      </c>
      <c r="H974" t="s">
        <v>603</v>
      </c>
      <c r="I974" t="s">
        <v>603</v>
      </c>
      <c r="J974" t="s">
        <v>60</v>
      </c>
      <c r="K974" t="s">
        <v>185</v>
      </c>
      <c r="L974" t="s">
        <v>62</v>
      </c>
      <c r="M974" t="s">
        <v>185</v>
      </c>
      <c r="N974" t="s">
        <v>604</v>
      </c>
      <c r="O974" t="s">
        <v>341</v>
      </c>
      <c r="P974">
        <v>-19.624801999999999</v>
      </c>
      <c r="Q974">
        <v>-43.891128999999999</v>
      </c>
      <c r="R974" s="2" t="str">
        <f>HYPERLINK("https://www.google.com/maps?q=-19.6248020,-43.8911290","Abrir no Google Maps")</f>
        <v>Abrir no Google Maps</v>
      </c>
      <c r="S974">
        <v>1</v>
      </c>
      <c r="T974">
        <v>340.53720321500958</v>
      </c>
      <c r="U974">
        <v>3</v>
      </c>
      <c r="V974">
        <v>0.4089313588876704</v>
      </c>
      <c r="W974">
        <v>0.85</v>
      </c>
      <c r="X974">
        <v>0.34759165505451978</v>
      </c>
      <c r="Y974">
        <v>18</v>
      </c>
      <c r="Z974">
        <v>362.68114540183888</v>
      </c>
      <c r="AA974">
        <v>2</v>
      </c>
      <c r="AB974">
        <v>3</v>
      </c>
      <c r="AC974">
        <v>7</v>
      </c>
      <c r="AD974">
        <v>26.01</v>
      </c>
      <c r="AE974">
        <v>253</v>
      </c>
      <c r="AF974">
        <v>18</v>
      </c>
      <c r="AG974">
        <v>58</v>
      </c>
      <c r="AH974">
        <v>32</v>
      </c>
      <c r="AI974">
        <v>7.11</v>
      </c>
      <c r="AJ974">
        <v>22.92</v>
      </c>
      <c r="AK974">
        <v>12.65</v>
      </c>
      <c r="AL974">
        <v>-19.625033299999959</v>
      </c>
      <c r="AM974">
        <v>-43.891084256403538</v>
      </c>
      <c r="AN974">
        <v>-19.625033299999959</v>
      </c>
      <c r="AO974">
        <v>-43.891084256403538</v>
      </c>
      <c r="AP974">
        <v>-19.624801999999999</v>
      </c>
      <c r="AQ974">
        <v>-43.891128999999999</v>
      </c>
      <c r="AR974">
        <v>26.172240371022362</v>
      </c>
      <c r="AS974" t="s">
        <v>65</v>
      </c>
      <c r="AT974">
        <v>1</v>
      </c>
      <c r="AU974" t="s">
        <v>605</v>
      </c>
      <c r="AV974" t="s">
        <v>606</v>
      </c>
      <c r="AW974" t="s">
        <v>60</v>
      </c>
      <c r="AX974" t="s">
        <v>68</v>
      </c>
      <c r="AY974" t="s">
        <v>69</v>
      </c>
      <c r="AZ974" t="b">
        <v>1</v>
      </c>
    </row>
    <row r="975" spans="1:52" x14ac:dyDescent="0.3">
      <c r="A975" t="s">
        <v>52</v>
      </c>
      <c r="B975" t="s">
        <v>53</v>
      </c>
      <c r="C975" t="s">
        <v>54</v>
      </c>
      <c r="D975" t="s">
        <v>55</v>
      </c>
      <c r="E975" t="s">
        <v>803</v>
      </c>
      <c r="F975" t="s">
        <v>512</v>
      </c>
      <c r="G975" t="s">
        <v>592</v>
      </c>
      <c r="H975" t="s">
        <v>593</v>
      </c>
      <c r="I975" t="s">
        <v>593</v>
      </c>
      <c r="J975" t="s">
        <v>60</v>
      </c>
      <c r="K975" t="s">
        <v>445</v>
      </c>
      <c r="L975" t="s">
        <v>62</v>
      </c>
      <c r="M975" t="s">
        <v>445</v>
      </c>
      <c r="N975" t="s">
        <v>594</v>
      </c>
      <c r="O975" t="s">
        <v>477</v>
      </c>
      <c r="P975">
        <v>-19.640709000000001</v>
      </c>
      <c r="Q975">
        <v>-43.868687999999999</v>
      </c>
      <c r="R975" s="2" t="str">
        <f>HYPERLINK("https://www.google.com/maps?q=-19.6407090,-43.8686880","Abrir no Google Maps")</f>
        <v>Abrir no Google Maps</v>
      </c>
      <c r="S975">
        <v>1</v>
      </c>
      <c r="T975">
        <v>1174.9679995958841</v>
      </c>
      <c r="U975">
        <v>3</v>
      </c>
      <c r="V975">
        <v>0.35827736828693763</v>
      </c>
      <c r="W975">
        <v>1</v>
      </c>
      <c r="X975">
        <v>0.35827736828693763</v>
      </c>
      <c r="Y975">
        <v>10</v>
      </c>
      <c r="Z975">
        <v>1230.8029594060461</v>
      </c>
      <c r="AA975">
        <v>2</v>
      </c>
      <c r="AB975">
        <v>3</v>
      </c>
      <c r="AC975">
        <v>7</v>
      </c>
      <c r="AD975">
        <v>26.01</v>
      </c>
      <c r="AE975">
        <v>253</v>
      </c>
      <c r="AF975">
        <v>18</v>
      </c>
      <c r="AG975">
        <v>58</v>
      </c>
      <c r="AH975">
        <v>32</v>
      </c>
      <c r="AI975">
        <v>7.11</v>
      </c>
      <c r="AJ975">
        <v>22.92</v>
      </c>
      <c r="AK975">
        <v>12.65</v>
      </c>
      <c r="AL975">
        <v>-19.641057949999979</v>
      </c>
      <c r="AM975">
        <v>-43.868800137485707</v>
      </c>
      <c r="AN975">
        <v>-19.641057949999979</v>
      </c>
      <c r="AO975">
        <v>-43.868800137485707</v>
      </c>
      <c r="AP975">
        <v>-19.640709000000001</v>
      </c>
      <c r="AQ975">
        <v>-43.868687999999999</v>
      </c>
      <c r="AR975">
        <v>40.585293798071682</v>
      </c>
      <c r="AS975" t="s">
        <v>65</v>
      </c>
      <c r="AT975">
        <v>1</v>
      </c>
      <c r="AU975" t="s">
        <v>595</v>
      </c>
      <c r="AV975" t="s">
        <v>596</v>
      </c>
      <c r="AW975" t="s">
        <v>60</v>
      </c>
      <c r="AX975" t="s">
        <v>68</v>
      </c>
      <c r="AY975" t="s">
        <v>69</v>
      </c>
      <c r="AZ975" t="b">
        <v>1</v>
      </c>
    </row>
    <row r="976" spans="1:52" x14ac:dyDescent="0.3">
      <c r="A976" t="s">
        <v>52</v>
      </c>
      <c r="B976" t="s">
        <v>53</v>
      </c>
      <c r="C976" t="s">
        <v>54</v>
      </c>
      <c r="D976" t="s">
        <v>55</v>
      </c>
      <c r="E976" t="s">
        <v>803</v>
      </c>
      <c r="F976" t="s">
        <v>512</v>
      </c>
      <c r="G976" t="s">
        <v>597</v>
      </c>
      <c r="H976" t="s">
        <v>598</v>
      </c>
      <c r="I976" t="s">
        <v>598</v>
      </c>
      <c r="J976" t="s">
        <v>60</v>
      </c>
      <c r="K976" t="s">
        <v>445</v>
      </c>
      <c r="L976" t="s">
        <v>62</v>
      </c>
      <c r="M976" t="s">
        <v>445</v>
      </c>
      <c r="N976" t="s">
        <v>599</v>
      </c>
      <c r="O976" t="s">
        <v>391</v>
      </c>
      <c r="P976">
        <v>-19.637060999999999</v>
      </c>
      <c r="Q976">
        <v>-43.871026000000001</v>
      </c>
      <c r="R976" s="2" t="str">
        <f>HYPERLINK("https://www.google.com/maps?q=-19.6370610,-43.8710260","Abrir no Google Maps")</f>
        <v>Abrir no Google Maps</v>
      </c>
      <c r="S976">
        <v>1</v>
      </c>
      <c r="T976">
        <v>737.61884389282102</v>
      </c>
      <c r="U976">
        <v>3</v>
      </c>
      <c r="V976">
        <v>0.36003404869957911</v>
      </c>
      <c r="W976">
        <v>1</v>
      </c>
      <c r="X976">
        <v>0.36003404869957911</v>
      </c>
      <c r="Y976">
        <v>10</v>
      </c>
      <c r="Z976">
        <v>1331.4501394006061</v>
      </c>
      <c r="AA976">
        <v>2</v>
      </c>
      <c r="AB976">
        <v>3</v>
      </c>
      <c r="AC976">
        <v>7</v>
      </c>
      <c r="AD976">
        <v>26.01</v>
      </c>
      <c r="AE976">
        <v>253</v>
      </c>
      <c r="AF976">
        <v>18</v>
      </c>
      <c r="AG976">
        <v>58</v>
      </c>
      <c r="AH976">
        <v>32</v>
      </c>
      <c r="AI976">
        <v>7.11</v>
      </c>
      <c r="AJ976">
        <v>22.92</v>
      </c>
      <c r="AK976">
        <v>12.65</v>
      </c>
      <c r="AL976">
        <v>-19.637111899999951</v>
      </c>
      <c r="AM976">
        <v>-43.870888931681193</v>
      </c>
      <c r="AN976">
        <v>-19.637111899999951</v>
      </c>
      <c r="AO976">
        <v>-43.870888931681193</v>
      </c>
      <c r="AP976">
        <v>-19.637060999999999</v>
      </c>
      <c r="AQ976">
        <v>-43.871026000000001</v>
      </c>
      <c r="AR976">
        <v>15.44770924391884</v>
      </c>
      <c r="AS976" t="s">
        <v>65</v>
      </c>
      <c r="AT976">
        <v>1</v>
      </c>
      <c r="AU976" t="s">
        <v>600</v>
      </c>
      <c r="AV976" t="s">
        <v>601</v>
      </c>
      <c r="AW976" t="s">
        <v>60</v>
      </c>
      <c r="AX976" t="s">
        <v>68</v>
      </c>
      <c r="AY976" t="s">
        <v>69</v>
      </c>
      <c r="AZ976" t="b">
        <v>1</v>
      </c>
    </row>
    <row r="977" spans="1:52" x14ac:dyDescent="0.3">
      <c r="A977" t="s">
        <v>52</v>
      </c>
      <c r="B977" t="s">
        <v>53</v>
      </c>
      <c r="C977" t="s">
        <v>54</v>
      </c>
      <c r="D977" t="s">
        <v>55</v>
      </c>
      <c r="E977" t="s">
        <v>803</v>
      </c>
      <c r="F977" t="s">
        <v>512</v>
      </c>
      <c r="G977" t="s">
        <v>123</v>
      </c>
      <c r="H977" t="s">
        <v>607</v>
      </c>
      <c r="I977" t="s">
        <v>607</v>
      </c>
      <c r="J977" t="s">
        <v>60</v>
      </c>
      <c r="K977" t="s">
        <v>333</v>
      </c>
      <c r="L977" t="s">
        <v>62</v>
      </c>
      <c r="M977" t="s">
        <v>333</v>
      </c>
      <c r="N977" t="s">
        <v>125</v>
      </c>
      <c r="O977" t="s">
        <v>608</v>
      </c>
      <c r="P977">
        <v>-19.636002999999999</v>
      </c>
      <c r="Q977">
        <v>-43.908445</v>
      </c>
      <c r="R977" s="2" t="str">
        <f>HYPERLINK("https://www.google.com/maps?q=-19.6360030,-43.9084450","Abrir no Google Maps")</f>
        <v>Abrir no Google Maps</v>
      </c>
      <c r="S977">
        <v>1</v>
      </c>
      <c r="T977">
        <v>612.64850802557942</v>
      </c>
      <c r="U977">
        <v>2</v>
      </c>
      <c r="V977">
        <v>0.40119393002858461</v>
      </c>
      <c r="W977">
        <v>0.85</v>
      </c>
      <c r="X977">
        <v>0.34101484052429692</v>
      </c>
      <c r="Y977">
        <v>10</v>
      </c>
      <c r="Z977">
        <v>606.91793961222209</v>
      </c>
      <c r="AA977">
        <v>2</v>
      </c>
      <c r="AB977">
        <v>3</v>
      </c>
      <c r="AC977">
        <v>7</v>
      </c>
      <c r="AD977">
        <v>26.01</v>
      </c>
      <c r="AE977">
        <v>253</v>
      </c>
      <c r="AF977">
        <v>18</v>
      </c>
      <c r="AG977">
        <v>58</v>
      </c>
      <c r="AH977">
        <v>32</v>
      </c>
      <c r="AI977">
        <v>7.11</v>
      </c>
      <c r="AJ977">
        <v>22.92</v>
      </c>
      <c r="AK977">
        <v>12.65</v>
      </c>
      <c r="AL977">
        <v>-19.63618049999997</v>
      </c>
      <c r="AM977">
        <v>-43.908471095478113</v>
      </c>
      <c r="AN977">
        <v>-19.63618049999997</v>
      </c>
      <c r="AO977">
        <v>-43.908471095478113</v>
      </c>
      <c r="AP977">
        <v>-19.636002999999999</v>
      </c>
      <c r="AQ977">
        <v>-43.908445</v>
      </c>
      <c r="AR977">
        <v>19.947824476218141</v>
      </c>
      <c r="AS977" t="s">
        <v>65</v>
      </c>
      <c r="AT977">
        <v>1</v>
      </c>
      <c r="AU977" t="s">
        <v>609</v>
      </c>
      <c r="AV977" t="s">
        <v>610</v>
      </c>
      <c r="AW977" t="s">
        <v>60</v>
      </c>
      <c r="AX977" t="s">
        <v>68</v>
      </c>
      <c r="AY977" t="s">
        <v>69</v>
      </c>
      <c r="AZ977" t="b">
        <v>1</v>
      </c>
    </row>
    <row r="978" spans="1:52" x14ac:dyDescent="0.3">
      <c r="A978" t="s">
        <v>52</v>
      </c>
      <c r="B978" t="s">
        <v>53</v>
      </c>
      <c r="C978" t="s">
        <v>54</v>
      </c>
      <c r="D978" t="s">
        <v>55</v>
      </c>
      <c r="E978" t="s">
        <v>803</v>
      </c>
      <c r="F978" t="s">
        <v>512</v>
      </c>
      <c r="G978" t="s">
        <v>611</v>
      </c>
      <c r="H978" t="s">
        <v>612</v>
      </c>
      <c r="I978" t="s">
        <v>612</v>
      </c>
      <c r="J978" t="s">
        <v>60</v>
      </c>
      <c r="K978" t="s">
        <v>445</v>
      </c>
      <c r="L978" t="s">
        <v>62</v>
      </c>
      <c r="M978" t="s">
        <v>445</v>
      </c>
      <c r="N978" t="s">
        <v>613</v>
      </c>
      <c r="O978" t="s">
        <v>94</v>
      </c>
      <c r="P978">
        <v>-19.639271999999998</v>
      </c>
      <c r="Q978">
        <v>-43.875624000000002</v>
      </c>
      <c r="R978" s="2" t="str">
        <f>HYPERLINK("https://www.google.com/maps?q=-19.6392720,-43.8756240","Abrir no Google Maps")</f>
        <v>Abrir no Google Maps</v>
      </c>
      <c r="S978">
        <v>1</v>
      </c>
      <c r="T978">
        <v>618.4798639458262</v>
      </c>
      <c r="U978">
        <v>2</v>
      </c>
      <c r="V978">
        <v>0.3702684706535892</v>
      </c>
      <c r="W978">
        <v>0.85</v>
      </c>
      <c r="X978">
        <v>0.3147282000555508</v>
      </c>
      <c r="Y978">
        <v>10</v>
      </c>
      <c r="Z978">
        <v>724.62991660382431</v>
      </c>
      <c r="AA978">
        <v>2</v>
      </c>
      <c r="AB978">
        <v>3</v>
      </c>
      <c r="AC978">
        <v>7</v>
      </c>
      <c r="AD978">
        <v>26.01</v>
      </c>
      <c r="AE978">
        <v>253</v>
      </c>
      <c r="AF978">
        <v>18</v>
      </c>
      <c r="AG978">
        <v>58</v>
      </c>
      <c r="AH978">
        <v>32</v>
      </c>
      <c r="AI978">
        <v>7.11</v>
      </c>
      <c r="AJ978">
        <v>22.92</v>
      </c>
      <c r="AK978">
        <v>12.65</v>
      </c>
      <c r="AL978">
        <v>-19.639239899999978</v>
      </c>
      <c r="AM978">
        <v>-43.875497463228079</v>
      </c>
      <c r="AN978">
        <v>-19.639239899999978</v>
      </c>
      <c r="AO978">
        <v>-43.875497463228079</v>
      </c>
      <c r="AP978">
        <v>-19.639271999999998</v>
      </c>
      <c r="AQ978">
        <v>-43.875624000000002</v>
      </c>
      <c r="AR978">
        <v>13.73946951590594</v>
      </c>
      <c r="AS978" t="s">
        <v>65</v>
      </c>
      <c r="AT978">
        <v>1</v>
      </c>
      <c r="AU978" t="s">
        <v>614</v>
      </c>
      <c r="AV978" t="s">
        <v>615</v>
      </c>
      <c r="AW978" t="s">
        <v>60</v>
      </c>
      <c r="AX978" t="s">
        <v>68</v>
      </c>
      <c r="AY978" t="s">
        <v>69</v>
      </c>
      <c r="AZ978" t="b">
        <v>1</v>
      </c>
    </row>
    <row r="979" spans="1:52" x14ac:dyDescent="0.3">
      <c r="A979" t="s">
        <v>52</v>
      </c>
      <c r="B979" t="s">
        <v>53</v>
      </c>
      <c r="C979" t="s">
        <v>54</v>
      </c>
      <c r="D979" t="s">
        <v>55</v>
      </c>
      <c r="E979" t="s">
        <v>804</v>
      </c>
      <c r="F979" t="s">
        <v>57</v>
      </c>
      <c r="G979" t="s">
        <v>70</v>
      </c>
      <c r="H979" t="s">
        <v>71</v>
      </c>
      <c r="I979" t="s">
        <v>71</v>
      </c>
      <c r="J979" t="s">
        <v>60</v>
      </c>
      <c r="K979" t="s">
        <v>72</v>
      </c>
      <c r="L979" t="s">
        <v>62</v>
      </c>
      <c r="M979" t="s">
        <v>72</v>
      </c>
      <c r="N979" t="s">
        <v>73</v>
      </c>
      <c r="O979" t="s">
        <v>74</v>
      </c>
      <c r="P979">
        <v>-19.632581999999999</v>
      </c>
      <c r="Q979">
        <v>-43.902416000000002</v>
      </c>
      <c r="R979" s="2" t="str">
        <f>HYPERLINK("https://www.google.com/maps?q=-19.6325820,-43.9024160","Abrir no Google Maps")</f>
        <v>Abrir no Google Maps</v>
      </c>
      <c r="S979">
        <v>4</v>
      </c>
      <c r="T979">
        <v>0</v>
      </c>
      <c r="U979">
        <v>4</v>
      </c>
      <c r="V979">
        <v>0.47058458996075192</v>
      </c>
      <c r="W979">
        <v>1</v>
      </c>
      <c r="X979">
        <v>0.47058458996075192</v>
      </c>
      <c r="Y979">
        <v>10</v>
      </c>
      <c r="Z979">
        <v>146.6968158874696</v>
      </c>
      <c r="AA979">
        <v>2</v>
      </c>
      <c r="AB979">
        <v>3</v>
      </c>
      <c r="AC979">
        <v>7</v>
      </c>
      <c r="AD979">
        <v>26.28</v>
      </c>
      <c r="AE979">
        <v>253</v>
      </c>
      <c r="AF979">
        <v>15</v>
      </c>
      <c r="AG979">
        <v>65</v>
      </c>
      <c r="AH979">
        <v>32</v>
      </c>
      <c r="AI979">
        <v>5.93</v>
      </c>
      <c r="AJ979">
        <v>25.69</v>
      </c>
      <c r="AK979">
        <v>12.65</v>
      </c>
      <c r="AL979">
        <v>-19.63271449999996</v>
      </c>
      <c r="AM979">
        <v>-43.902649897389402</v>
      </c>
      <c r="AN979">
        <v>-19.63271449999996</v>
      </c>
      <c r="AO979">
        <v>-43.902649897389402</v>
      </c>
      <c r="AP979">
        <v>-19.632581999999999</v>
      </c>
      <c r="AQ979">
        <v>-43.902416000000002</v>
      </c>
      <c r="AR979">
        <v>28.617753432996459</v>
      </c>
      <c r="AS979" t="s">
        <v>65</v>
      </c>
      <c r="AT979">
        <v>1</v>
      </c>
      <c r="AU979" t="s">
        <v>75</v>
      </c>
      <c r="AV979" t="s">
        <v>76</v>
      </c>
      <c r="AW979" t="s">
        <v>60</v>
      </c>
      <c r="AX979" t="s">
        <v>68</v>
      </c>
      <c r="AY979" t="s">
        <v>69</v>
      </c>
      <c r="AZ979" t="b">
        <v>1</v>
      </c>
    </row>
    <row r="980" spans="1:52" x14ac:dyDescent="0.3">
      <c r="A980" t="s">
        <v>52</v>
      </c>
      <c r="B980" t="s">
        <v>53</v>
      </c>
      <c r="C980" t="s">
        <v>54</v>
      </c>
      <c r="D980" t="s">
        <v>55</v>
      </c>
      <c r="E980" t="s">
        <v>804</v>
      </c>
      <c r="F980" t="s">
        <v>57</v>
      </c>
      <c r="G980" t="s">
        <v>77</v>
      </c>
      <c r="H980" t="s">
        <v>78</v>
      </c>
      <c r="I980" t="s">
        <v>78</v>
      </c>
      <c r="J980" t="s">
        <v>60</v>
      </c>
      <c r="K980" t="s">
        <v>79</v>
      </c>
      <c r="L980" t="s">
        <v>62</v>
      </c>
      <c r="M980" t="s">
        <v>79</v>
      </c>
      <c r="N980" t="s">
        <v>80</v>
      </c>
      <c r="O980" t="s">
        <v>81</v>
      </c>
      <c r="P980">
        <v>-19.632463999999999</v>
      </c>
      <c r="Q980">
        <v>-43.904927999999998</v>
      </c>
      <c r="R980" s="2" t="str">
        <f>HYPERLINK("https://www.google.com/maps?q=-19.6324640,-43.9049280","Abrir no Google Maps")</f>
        <v>Abrir no Google Maps</v>
      </c>
      <c r="S980">
        <v>4</v>
      </c>
      <c r="T980">
        <v>244.1735197453369</v>
      </c>
      <c r="U980">
        <v>4</v>
      </c>
      <c r="V980">
        <v>0.41159928878906982</v>
      </c>
      <c r="W980">
        <v>1</v>
      </c>
      <c r="X980">
        <v>0.41159928878906982</v>
      </c>
      <c r="Y980">
        <v>10</v>
      </c>
      <c r="Z980">
        <v>287.26068152447448</v>
      </c>
      <c r="AA980">
        <v>2</v>
      </c>
      <c r="AB980">
        <v>3</v>
      </c>
      <c r="AC980">
        <v>7</v>
      </c>
      <c r="AD980">
        <v>26.28</v>
      </c>
      <c r="AE980">
        <v>253</v>
      </c>
      <c r="AF980">
        <v>15</v>
      </c>
      <c r="AG980">
        <v>65</v>
      </c>
      <c r="AH980">
        <v>32</v>
      </c>
      <c r="AI980">
        <v>5.93</v>
      </c>
      <c r="AJ980">
        <v>25.69</v>
      </c>
      <c r="AK980">
        <v>12.65</v>
      </c>
      <c r="AL980">
        <v>-19.63247099999996</v>
      </c>
      <c r="AM980">
        <v>-43.904964174285787</v>
      </c>
      <c r="AN980">
        <v>-19.63247099999996</v>
      </c>
      <c r="AO980">
        <v>-43.904964174285787</v>
      </c>
      <c r="AP980">
        <v>-19.632463999999999</v>
      </c>
      <c r="AQ980">
        <v>-43.904927999999998</v>
      </c>
      <c r="AR980">
        <v>3.8720457500200469</v>
      </c>
      <c r="AS980" t="s">
        <v>65</v>
      </c>
      <c r="AT980">
        <v>1</v>
      </c>
      <c r="AU980" t="s">
        <v>82</v>
      </c>
      <c r="AV980" t="s">
        <v>83</v>
      </c>
      <c r="AW980" t="s">
        <v>60</v>
      </c>
      <c r="AX980" t="s">
        <v>68</v>
      </c>
      <c r="AY980" t="s">
        <v>69</v>
      </c>
      <c r="AZ980" t="b">
        <v>1</v>
      </c>
    </row>
    <row r="981" spans="1:52" x14ac:dyDescent="0.3">
      <c r="A981" t="s">
        <v>52</v>
      </c>
      <c r="B981" t="s">
        <v>53</v>
      </c>
      <c r="C981" t="s">
        <v>54</v>
      </c>
      <c r="D981" t="s">
        <v>55</v>
      </c>
      <c r="E981" t="s">
        <v>804</v>
      </c>
      <c r="F981" t="s">
        <v>57</v>
      </c>
      <c r="G981" t="s">
        <v>104</v>
      </c>
      <c r="H981" t="s">
        <v>105</v>
      </c>
      <c r="I981" t="s">
        <v>105</v>
      </c>
      <c r="J981" t="s">
        <v>60</v>
      </c>
      <c r="K981" t="s">
        <v>99</v>
      </c>
      <c r="L981" t="s">
        <v>62</v>
      </c>
      <c r="M981" t="s">
        <v>99</v>
      </c>
      <c r="N981" t="s">
        <v>106</v>
      </c>
      <c r="O981" t="s">
        <v>107</v>
      </c>
      <c r="P981">
        <v>-19.627993</v>
      </c>
      <c r="Q981">
        <v>-43.904820000000001</v>
      </c>
      <c r="R981" s="2" t="str">
        <f>HYPERLINK("https://www.google.com/maps?q=-19.6279930,-43.9048200","Abrir no Google Maps")</f>
        <v>Abrir no Google Maps</v>
      </c>
      <c r="S981">
        <v>4</v>
      </c>
      <c r="T981">
        <v>573.16526621674666</v>
      </c>
      <c r="U981">
        <v>4</v>
      </c>
      <c r="V981">
        <v>0.36142139782742361</v>
      </c>
      <c r="W981">
        <v>1</v>
      </c>
      <c r="X981">
        <v>0.36142139782742361</v>
      </c>
      <c r="Y981">
        <v>7</v>
      </c>
      <c r="Z981">
        <v>659.04372306144853</v>
      </c>
      <c r="AA981">
        <v>2</v>
      </c>
      <c r="AB981">
        <v>3</v>
      </c>
      <c r="AC981">
        <v>7</v>
      </c>
      <c r="AD981">
        <v>26.28</v>
      </c>
      <c r="AE981">
        <v>253</v>
      </c>
      <c r="AF981">
        <v>15</v>
      </c>
      <c r="AG981">
        <v>65</v>
      </c>
      <c r="AH981">
        <v>32</v>
      </c>
      <c r="AI981">
        <v>5.93</v>
      </c>
      <c r="AJ981">
        <v>25.69</v>
      </c>
      <c r="AK981">
        <v>12.65</v>
      </c>
      <c r="AL981">
        <v>-19.627956249999951</v>
      </c>
      <c r="AM981">
        <v>-43.904807634206207</v>
      </c>
      <c r="AN981">
        <v>-19.627956249999951</v>
      </c>
      <c r="AO981">
        <v>-43.904807634206207</v>
      </c>
      <c r="AP981">
        <v>-19.627993</v>
      </c>
      <c r="AQ981">
        <v>-43.904820000000001</v>
      </c>
      <c r="AR981">
        <v>4.291557430205998</v>
      </c>
      <c r="AS981" t="s">
        <v>65</v>
      </c>
      <c r="AT981">
        <v>1</v>
      </c>
      <c r="AU981" t="s">
        <v>108</v>
      </c>
      <c r="AV981" t="s">
        <v>103</v>
      </c>
      <c r="AW981" t="s">
        <v>60</v>
      </c>
      <c r="AX981" t="s">
        <v>68</v>
      </c>
      <c r="AY981" t="s">
        <v>69</v>
      </c>
      <c r="AZ981" t="b">
        <v>1</v>
      </c>
    </row>
    <row r="982" spans="1:52" x14ac:dyDescent="0.3">
      <c r="A982" t="s">
        <v>52</v>
      </c>
      <c r="B982" t="s">
        <v>53</v>
      </c>
      <c r="C982" t="s">
        <v>54</v>
      </c>
      <c r="D982" t="s">
        <v>55</v>
      </c>
      <c r="E982" t="s">
        <v>804</v>
      </c>
      <c r="F982" t="s">
        <v>57</v>
      </c>
      <c r="G982" t="s">
        <v>183</v>
      </c>
      <c r="H982" t="s">
        <v>184</v>
      </c>
      <c r="I982" t="s">
        <v>184</v>
      </c>
      <c r="J982" t="s">
        <v>60</v>
      </c>
      <c r="K982" t="s">
        <v>185</v>
      </c>
      <c r="L982" t="s">
        <v>62</v>
      </c>
      <c r="M982" t="s">
        <v>185</v>
      </c>
      <c r="N982" t="s">
        <v>186</v>
      </c>
      <c r="O982" t="s">
        <v>187</v>
      </c>
      <c r="P982">
        <v>-19.628589000000002</v>
      </c>
      <c r="Q982">
        <v>-43.900232000000003</v>
      </c>
      <c r="R982" s="2" t="str">
        <f>HYPERLINK("https://www.google.com/maps?q=-19.6285890,-43.9002320","Abrir no Google Maps")</f>
        <v>Abrir no Google Maps</v>
      </c>
      <c r="S982">
        <v>4</v>
      </c>
      <c r="T982">
        <v>479.31588622283061</v>
      </c>
      <c r="U982">
        <v>4</v>
      </c>
      <c r="V982">
        <v>0.4612283211156803</v>
      </c>
      <c r="W982">
        <v>0.85</v>
      </c>
      <c r="X982">
        <v>0.39204407294832821</v>
      </c>
      <c r="Y982">
        <v>6</v>
      </c>
      <c r="Z982">
        <v>383.34726345998263</v>
      </c>
      <c r="AA982">
        <v>2</v>
      </c>
      <c r="AB982">
        <v>3</v>
      </c>
      <c r="AC982">
        <v>7</v>
      </c>
      <c r="AD982">
        <v>26.28</v>
      </c>
      <c r="AE982">
        <v>253</v>
      </c>
      <c r="AF982">
        <v>15</v>
      </c>
      <c r="AG982">
        <v>65</v>
      </c>
      <c r="AH982">
        <v>32</v>
      </c>
      <c r="AI982">
        <v>5.93</v>
      </c>
      <c r="AJ982">
        <v>25.69</v>
      </c>
      <c r="AK982">
        <v>12.65</v>
      </c>
      <c r="AL982">
        <v>-19.628813749999949</v>
      </c>
      <c r="AM982">
        <v>-43.90066394563523</v>
      </c>
      <c r="AN982">
        <v>-19.628813749999949</v>
      </c>
      <c r="AO982">
        <v>-43.90066394563523</v>
      </c>
      <c r="AP982">
        <v>-19.628589000000002</v>
      </c>
      <c r="AQ982">
        <v>-43.900232000000003</v>
      </c>
      <c r="AR982">
        <v>51.741071441894853</v>
      </c>
      <c r="AS982" t="s">
        <v>65</v>
      </c>
      <c r="AT982">
        <v>1</v>
      </c>
      <c r="AU982" t="s">
        <v>188</v>
      </c>
      <c r="AV982" t="s">
        <v>189</v>
      </c>
      <c r="AW982" t="s">
        <v>60</v>
      </c>
      <c r="AX982" t="s">
        <v>68</v>
      </c>
      <c r="AY982" t="s">
        <v>69</v>
      </c>
      <c r="AZ982" t="b">
        <v>1</v>
      </c>
    </row>
    <row r="983" spans="1:52" x14ac:dyDescent="0.3">
      <c r="A983" t="s">
        <v>52</v>
      </c>
      <c r="B983" t="s">
        <v>53</v>
      </c>
      <c r="C983" t="s">
        <v>54</v>
      </c>
      <c r="D983" t="s">
        <v>55</v>
      </c>
      <c r="E983" t="s">
        <v>804</v>
      </c>
      <c r="F983" t="s">
        <v>57</v>
      </c>
      <c r="G983" t="s">
        <v>109</v>
      </c>
      <c r="H983" t="s">
        <v>110</v>
      </c>
      <c r="I983" t="s">
        <v>110</v>
      </c>
      <c r="J983" t="s">
        <v>60</v>
      </c>
      <c r="K983" t="s">
        <v>111</v>
      </c>
      <c r="L983" t="s">
        <v>62</v>
      </c>
      <c r="M983" t="s">
        <v>111</v>
      </c>
      <c r="N983" t="s">
        <v>112</v>
      </c>
      <c r="O983" t="s">
        <v>113</v>
      </c>
      <c r="P983">
        <v>-19.654686000000002</v>
      </c>
      <c r="Q983">
        <v>-43.907240000000002</v>
      </c>
      <c r="R983" s="2" t="str">
        <f>HYPERLINK("https://www.google.com/maps?q=-19.6546860,-43.9072400","Abrir no Google Maps")</f>
        <v>Abrir no Google Maps</v>
      </c>
      <c r="S983">
        <v>4</v>
      </c>
      <c r="T983">
        <v>824.24450564548704</v>
      </c>
      <c r="U983">
        <v>4</v>
      </c>
      <c r="V983">
        <v>0.39735811912930979</v>
      </c>
      <c r="W983">
        <v>1</v>
      </c>
      <c r="X983">
        <v>0.39735811912930979</v>
      </c>
      <c r="Y983">
        <v>4</v>
      </c>
      <c r="Z983">
        <v>524.70106879290392</v>
      </c>
      <c r="AA983">
        <v>2</v>
      </c>
      <c r="AB983">
        <v>3</v>
      </c>
      <c r="AC983">
        <v>7</v>
      </c>
      <c r="AD983">
        <v>26.28</v>
      </c>
      <c r="AE983">
        <v>253</v>
      </c>
      <c r="AF983">
        <v>15</v>
      </c>
      <c r="AG983">
        <v>65</v>
      </c>
      <c r="AH983">
        <v>32</v>
      </c>
      <c r="AI983">
        <v>5.93</v>
      </c>
      <c r="AJ983">
        <v>25.69</v>
      </c>
      <c r="AK983">
        <v>12.65</v>
      </c>
      <c r="AL983">
        <v>-19.65511684999996</v>
      </c>
      <c r="AM983">
        <v>-43.905662999837993</v>
      </c>
      <c r="AN983">
        <v>-19.65511684999996</v>
      </c>
      <c r="AO983">
        <v>-43.905662999837993</v>
      </c>
      <c r="AP983">
        <v>-19.654686000000002</v>
      </c>
      <c r="AQ983">
        <v>-43.907240000000002</v>
      </c>
      <c r="AR983">
        <v>172.13969981835351</v>
      </c>
      <c r="AS983" t="s">
        <v>65</v>
      </c>
      <c r="AT983">
        <v>1</v>
      </c>
      <c r="AU983" t="s">
        <v>114</v>
      </c>
      <c r="AV983" t="s">
        <v>115</v>
      </c>
      <c r="AW983" t="s">
        <v>60</v>
      </c>
      <c r="AX983" t="s">
        <v>68</v>
      </c>
      <c r="AY983" t="s">
        <v>69</v>
      </c>
      <c r="AZ983" t="b">
        <v>1</v>
      </c>
    </row>
    <row r="984" spans="1:52" x14ac:dyDescent="0.3">
      <c r="A984" t="s">
        <v>52</v>
      </c>
      <c r="B984" t="s">
        <v>53</v>
      </c>
      <c r="C984" t="s">
        <v>54</v>
      </c>
      <c r="D984" t="s">
        <v>55</v>
      </c>
      <c r="E984" t="s">
        <v>804</v>
      </c>
      <c r="F984" t="s">
        <v>57</v>
      </c>
      <c r="G984" t="s">
        <v>190</v>
      </c>
      <c r="H984" t="s">
        <v>191</v>
      </c>
      <c r="I984" t="s">
        <v>191</v>
      </c>
      <c r="J984" t="s">
        <v>60</v>
      </c>
      <c r="K984" t="s">
        <v>192</v>
      </c>
      <c r="L984" t="s">
        <v>62</v>
      </c>
      <c r="M984" t="s">
        <v>192</v>
      </c>
      <c r="N984" t="s">
        <v>193</v>
      </c>
      <c r="O984" t="s">
        <v>194</v>
      </c>
      <c r="P984">
        <v>-19.654112000000001</v>
      </c>
      <c r="Q984">
        <v>-43.910761999999998</v>
      </c>
      <c r="R984" s="2" t="str">
        <f>HYPERLINK("https://www.google.com/maps?q=-19.6541120,-43.9107620","Abrir no Google Maps")</f>
        <v>Abrir no Google Maps</v>
      </c>
      <c r="S984">
        <v>4</v>
      </c>
      <c r="T984">
        <v>1080.0524626304521</v>
      </c>
      <c r="U984">
        <v>4</v>
      </c>
      <c r="V984">
        <v>0.353322072072072</v>
      </c>
      <c r="W984">
        <v>1</v>
      </c>
      <c r="X984">
        <v>0.353322072072072</v>
      </c>
      <c r="Y984">
        <v>4</v>
      </c>
      <c r="Z984">
        <v>666.99022879086885</v>
      </c>
      <c r="AA984">
        <v>2</v>
      </c>
      <c r="AB984">
        <v>3</v>
      </c>
      <c r="AC984">
        <v>7</v>
      </c>
      <c r="AD984">
        <v>26.28</v>
      </c>
      <c r="AE984">
        <v>253</v>
      </c>
      <c r="AF984">
        <v>15</v>
      </c>
      <c r="AG984">
        <v>65</v>
      </c>
      <c r="AH984">
        <v>32</v>
      </c>
      <c r="AI984">
        <v>5.93</v>
      </c>
      <c r="AJ984">
        <v>25.69</v>
      </c>
      <c r="AK984">
        <v>12.65</v>
      </c>
      <c r="AL984">
        <v>-19.653869149999959</v>
      </c>
      <c r="AM984">
        <v>-43.911142816432779</v>
      </c>
      <c r="AN984">
        <v>-19.653869149999959</v>
      </c>
      <c r="AO984">
        <v>-43.911142816432779</v>
      </c>
      <c r="AP984">
        <v>-19.654112000000001</v>
      </c>
      <c r="AQ984">
        <v>-43.910761999999998</v>
      </c>
      <c r="AR984">
        <v>48.214810864237499</v>
      </c>
      <c r="AS984" t="s">
        <v>65</v>
      </c>
      <c r="AT984">
        <v>1</v>
      </c>
      <c r="AU984" t="s">
        <v>195</v>
      </c>
      <c r="AV984" t="s">
        <v>196</v>
      </c>
      <c r="AW984" t="s">
        <v>60</v>
      </c>
      <c r="AX984" t="s">
        <v>68</v>
      </c>
      <c r="AY984" t="s">
        <v>69</v>
      </c>
      <c r="AZ984" t="b">
        <v>1</v>
      </c>
    </row>
    <row r="985" spans="1:52" x14ac:dyDescent="0.3">
      <c r="A985" t="s">
        <v>52</v>
      </c>
      <c r="B985" t="s">
        <v>53</v>
      </c>
      <c r="C985" t="s">
        <v>54</v>
      </c>
      <c r="D985" t="s">
        <v>55</v>
      </c>
      <c r="E985" t="s">
        <v>804</v>
      </c>
      <c r="F985" t="s">
        <v>57</v>
      </c>
      <c r="G985" t="s">
        <v>116</v>
      </c>
      <c r="H985" t="s">
        <v>117</v>
      </c>
      <c r="I985" t="s">
        <v>117</v>
      </c>
      <c r="J985" t="s">
        <v>60</v>
      </c>
      <c r="K985" t="s">
        <v>118</v>
      </c>
      <c r="L985" t="s">
        <v>62</v>
      </c>
      <c r="M985" t="s">
        <v>118</v>
      </c>
      <c r="N985" t="s">
        <v>119</v>
      </c>
      <c r="O985" t="s">
        <v>120</v>
      </c>
      <c r="P985">
        <v>-19.663869999999999</v>
      </c>
      <c r="Q985">
        <v>-43.904916999999998</v>
      </c>
      <c r="R985" s="2" t="str">
        <f>HYPERLINK("https://www.google.com/maps?q=-19.6638700,-43.9049170","Abrir no Google Maps")</f>
        <v>Abrir no Google Maps</v>
      </c>
      <c r="S985">
        <v>4</v>
      </c>
      <c r="T985">
        <v>0</v>
      </c>
      <c r="U985">
        <v>4</v>
      </c>
      <c r="V985">
        <v>0.4810002251491613</v>
      </c>
      <c r="W985">
        <v>1</v>
      </c>
      <c r="X985">
        <v>0.4810002251491613</v>
      </c>
      <c r="Y985">
        <v>4</v>
      </c>
      <c r="Z985">
        <v>1169.476938179705</v>
      </c>
      <c r="AA985">
        <v>2</v>
      </c>
      <c r="AB985">
        <v>3</v>
      </c>
      <c r="AC985">
        <v>7</v>
      </c>
      <c r="AD985">
        <v>26.28</v>
      </c>
      <c r="AE985">
        <v>253</v>
      </c>
      <c r="AF985">
        <v>15</v>
      </c>
      <c r="AG985">
        <v>65</v>
      </c>
      <c r="AH985">
        <v>32</v>
      </c>
      <c r="AI985">
        <v>5.93</v>
      </c>
      <c r="AJ985">
        <v>25.69</v>
      </c>
      <c r="AK985">
        <v>12.65</v>
      </c>
      <c r="AL985">
        <v>-19.657063599999962</v>
      </c>
      <c r="AM985">
        <v>-43.898074976464507</v>
      </c>
      <c r="AN985">
        <v>-19.657063599999962</v>
      </c>
      <c r="AO985">
        <v>-43.898074976464507</v>
      </c>
      <c r="AP985">
        <v>-19.663869999999999</v>
      </c>
      <c r="AQ985">
        <v>-43.904916999999998</v>
      </c>
      <c r="AR985">
        <v>1043.3426220355029</v>
      </c>
      <c r="AS985" t="s">
        <v>65</v>
      </c>
      <c r="AT985">
        <v>1</v>
      </c>
      <c r="AU985" t="s">
        <v>121</v>
      </c>
      <c r="AV985" t="s">
        <v>122</v>
      </c>
      <c r="AW985" t="s">
        <v>60</v>
      </c>
      <c r="AX985" t="s">
        <v>68</v>
      </c>
      <c r="AY985" t="s">
        <v>69</v>
      </c>
      <c r="AZ985" t="b">
        <v>1</v>
      </c>
    </row>
    <row r="986" spans="1:52" x14ac:dyDescent="0.3">
      <c r="A986" t="s">
        <v>52</v>
      </c>
      <c r="B986" t="s">
        <v>53</v>
      </c>
      <c r="C986" t="s">
        <v>54</v>
      </c>
      <c r="D986" t="s">
        <v>55</v>
      </c>
      <c r="E986" t="s">
        <v>804</v>
      </c>
      <c r="F986" t="s">
        <v>57</v>
      </c>
      <c r="G986" t="s">
        <v>123</v>
      </c>
      <c r="H986" t="s">
        <v>124</v>
      </c>
      <c r="I986" t="s">
        <v>124</v>
      </c>
      <c r="J986" t="s">
        <v>60</v>
      </c>
      <c r="K986" t="s">
        <v>72</v>
      </c>
      <c r="L986" t="s">
        <v>62</v>
      </c>
      <c r="M986" t="s">
        <v>72</v>
      </c>
      <c r="N986" t="s">
        <v>125</v>
      </c>
      <c r="O986" t="s">
        <v>126</v>
      </c>
      <c r="P986">
        <v>-19.634015000000002</v>
      </c>
      <c r="Q986">
        <v>-43.918776000000001</v>
      </c>
      <c r="R986" s="2" t="str">
        <f>HYPERLINK("https://www.google.com/maps?q=-19.6340150,-43.9187760","Abrir no Google Maps")</f>
        <v>Abrir no Google Maps</v>
      </c>
      <c r="S986">
        <v>4</v>
      </c>
      <c r="T986">
        <v>525.62818365919122</v>
      </c>
      <c r="U986">
        <v>4</v>
      </c>
      <c r="V986">
        <v>0.57789736899325939</v>
      </c>
      <c r="W986">
        <v>1</v>
      </c>
      <c r="X986">
        <v>0.57789736899325939</v>
      </c>
      <c r="Y986">
        <v>3</v>
      </c>
      <c r="Z986">
        <v>474.91441433808131</v>
      </c>
      <c r="AA986">
        <v>2</v>
      </c>
      <c r="AB986">
        <v>3</v>
      </c>
      <c r="AC986">
        <v>7</v>
      </c>
      <c r="AD986">
        <v>26.28</v>
      </c>
      <c r="AE986">
        <v>253</v>
      </c>
      <c r="AF986">
        <v>15</v>
      </c>
      <c r="AG986">
        <v>65</v>
      </c>
      <c r="AH986">
        <v>32</v>
      </c>
      <c r="AI986">
        <v>5.93</v>
      </c>
      <c r="AJ986">
        <v>25.69</v>
      </c>
      <c r="AK986">
        <v>12.65</v>
      </c>
      <c r="AL986">
        <v>-19.63405809999994</v>
      </c>
      <c r="AM986">
        <v>-43.919666391328043</v>
      </c>
      <c r="AN986">
        <v>-19.63405809999994</v>
      </c>
      <c r="AO986">
        <v>-43.919666391328029</v>
      </c>
      <c r="AP986">
        <v>-19.634015000000002</v>
      </c>
      <c r="AQ986">
        <v>-43.918776000000001</v>
      </c>
      <c r="AR986">
        <v>93.478621134470259</v>
      </c>
      <c r="AS986" t="s">
        <v>65</v>
      </c>
      <c r="AT986">
        <v>1</v>
      </c>
      <c r="AU986" t="s">
        <v>127</v>
      </c>
      <c r="AV986" t="s">
        <v>128</v>
      </c>
      <c r="AW986" t="s">
        <v>60</v>
      </c>
      <c r="AX986" t="s">
        <v>68</v>
      </c>
      <c r="AY986" t="s">
        <v>69</v>
      </c>
      <c r="AZ986" t="b">
        <v>1</v>
      </c>
    </row>
    <row r="987" spans="1:52" x14ac:dyDescent="0.3">
      <c r="A987" t="s">
        <v>52</v>
      </c>
      <c r="B987" t="s">
        <v>53</v>
      </c>
      <c r="C987" t="s">
        <v>54</v>
      </c>
      <c r="D987" t="s">
        <v>55</v>
      </c>
      <c r="E987" t="s">
        <v>804</v>
      </c>
      <c r="F987" t="s">
        <v>57</v>
      </c>
      <c r="G987" t="s">
        <v>129</v>
      </c>
      <c r="H987" t="s">
        <v>130</v>
      </c>
      <c r="I987" t="s">
        <v>130</v>
      </c>
      <c r="J987" t="s">
        <v>60</v>
      </c>
      <c r="K987" t="s">
        <v>131</v>
      </c>
      <c r="L987" t="s">
        <v>62</v>
      </c>
      <c r="M987" t="s">
        <v>131</v>
      </c>
      <c r="N987" t="s">
        <v>132</v>
      </c>
      <c r="O987" t="s">
        <v>133</v>
      </c>
      <c r="P987">
        <v>-19.632088</v>
      </c>
      <c r="Q987">
        <v>-43.916114999999998</v>
      </c>
      <c r="R987" s="2" t="str">
        <f>HYPERLINK("https://www.google.com/maps?q=-19.6320880,-43.9161150","Abrir no Google Maps")</f>
        <v>Abrir no Google Maps</v>
      </c>
      <c r="S987">
        <v>4</v>
      </c>
      <c r="T987">
        <v>566.5346232632869</v>
      </c>
      <c r="U987">
        <v>4</v>
      </c>
      <c r="V987">
        <v>0.56186708860759493</v>
      </c>
      <c r="W987">
        <v>1</v>
      </c>
      <c r="X987">
        <v>0.56186708860759493</v>
      </c>
      <c r="Y987">
        <v>3</v>
      </c>
      <c r="Z987">
        <v>488.06597434012792</v>
      </c>
      <c r="AA987">
        <v>2</v>
      </c>
      <c r="AB987">
        <v>3</v>
      </c>
      <c r="AC987">
        <v>7</v>
      </c>
      <c r="AD987">
        <v>26.28</v>
      </c>
      <c r="AE987">
        <v>253</v>
      </c>
      <c r="AF987">
        <v>15</v>
      </c>
      <c r="AG987">
        <v>65</v>
      </c>
      <c r="AH987">
        <v>32</v>
      </c>
      <c r="AI987">
        <v>5.93</v>
      </c>
      <c r="AJ987">
        <v>25.69</v>
      </c>
      <c r="AK987">
        <v>12.65</v>
      </c>
      <c r="AL987">
        <v>-19.632034449999939</v>
      </c>
      <c r="AM987">
        <v>-43.916174776913351</v>
      </c>
      <c r="AN987">
        <v>-19.632034449999939</v>
      </c>
      <c r="AO987">
        <v>-43.916174776913351</v>
      </c>
      <c r="AP987">
        <v>-19.632088</v>
      </c>
      <c r="AQ987">
        <v>-43.916114999999998</v>
      </c>
      <c r="AR987">
        <v>8.6497324882263911</v>
      </c>
      <c r="AS987" t="s">
        <v>65</v>
      </c>
      <c r="AT987">
        <v>1</v>
      </c>
      <c r="AU987" t="s">
        <v>134</v>
      </c>
      <c r="AV987" t="s">
        <v>135</v>
      </c>
      <c r="AW987" t="s">
        <v>60</v>
      </c>
      <c r="AX987" t="s">
        <v>68</v>
      </c>
      <c r="AY987" t="s">
        <v>69</v>
      </c>
      <c r="AZ987" t="b">
        <v>1</v>
      </c>
    </row>
    <row r="988" spans="1:52" x14ac:dyDescent="0.3">
      <c r="A988" t="s">
        <v>52</v>
      </c>
      <c r="B988" t="s">
        <v>53</v>
      </c>
      <c r="C988" t="s">
        <v>54</v>
      </c>
      <c r="D988" t="s">
        <v>55</v>
      </c>
      <c r="E988" t="s">
        <v>804</v>
      </c>
      <c r="F988" t="s">
        <v>57</v>
      </c>
      <c r="G988" t="s">
        <v>129</v>
      </c>
      <c r="H988" t="s">
        <v>136</v>
      </c>
      <c r="I988" t="s">
        <v>136</v>
      </c>
      <c r="J988" t="s">
        <v>60</v>
      </c>
      <c r="K988" t="s">
        <v>131</v>
      </c>
      <c r="L988" t="s">
        <v>62</v>
      </c>
      <c r="M988" t="s">
        <v>131</v>
      </c>
      <c r="N988" t="s">
        <v>132</v>
      </c>
      <c r="O988" t="s">
        <v>133</v>
      </c>
      <c r="P988">
        <v>-19.632290999999999</v>
      </c>
      <c r="Q988">
        <v>-43.916542999999997</v>
      </c>
      <c r="R988" s="2" t="str">
        <f>HYPERLINK("https://www.google.com/maps?q=-19.6322910,-43.9165430","Abrir no Google Maps")</f>
        <v>Abrir no Google Maps</v>
      </c>
      <c r="S988">
        <v>4</v>
      </c>
      <c r="T988">
        <v>556.95255545673058</v>
      </c>
      <c r="U988">
        <v>4</v>
      </c>
      <c r="V988">
        <v>0.54953502176493862</v>
      </c>
      <c r="W988">
        <v>1</v>
      </c>
      <c r="X988">
        <v>0.54953502176493862</v>
      </c>
      <c r="Y988">
        <v>3</v>
      </c>
      <c r="Z988">
        <v>479.66756878400719</v>
      </c>
      <c r="AA988">
        <v>2</v>
      </c>
      <c r="AB988">
        <v>3</v>
      </c>
      <c r="AC988">
        <v>7</v>
      </c>
      <c r="AD988">
        <v>26.28</v>
      </c>
      <c r="AE988">
        <v>253</v>
      </c>
      <c r="AF988">
        <v>15</v>
      </c>
      <c r="AG988">
        <v>65</v>
      </c>
      <c r="AH988">
        <v>32</v>
      </c>
      <c r="AI988">
        <v>5.93</v>
      </c>
      <c r="AJ988">
        <v>25.69</v>
      </c>
      <c r="AK988">
        <v>12.65</v>
      </c>
      <c r="AL988">
        <v>-19.63215424999996</v>
      </c>
      <c r="AM988">
        <v>-43.916542189528307</v>
      </c>
      <c r="AN988">
        <v>-19.63215424999996</v>
      </c>
      <c r="AO988">
        <v>-43.916542189528307</v>
      </c>
      <c r="AP988">
        <v>-19.632290999999999</v>
      </c>
      <c r="AQ988">
        <v>-43.916542999999997</v>
      </c>
      <c r="AR988">
        <v>15.22324717984722</v>
      </c>
      <c r="AS988" t="s">
        <v>65</v>
      </c>
      <c r="AT988">
        <v>1</v>
      </c>
      <c r="AU988" t="s">
        <v>137</v>
      </c>
      <c r="AV988" t="s">
        <v>138</v>
      </c>
      <c r="AW988" t="s">
        <v>60</v>
      </c>
      <c r="AX988" t="s">
        <v>68</v>
      </c>
      <c r="AY988" t="s">
        <v>69</v>
      </c>
      <c r="AZ988" t="b">
        <v>1</v>
      </c>
    </row>
    <row r="989" spans="1:52" x14ac:dyDescent="0.3">
      <c r="A989" t="s">
        <v>52</v>
      </c>
      <c r="B989" t="s">
        <v>53</v>
      </c>
      <c r="C989" t="s">
        <v>54</v>
      </c>
      <c r="D989" t="s">
        <v>55</v>
      </c>
      <c r="E989" t="s">
        <v>804</v>
      </c>
      <c r="F989" t="s">
        <v>57</v>
      </c>
      <c r="G989" t="s">
        <v>139</v>
      </c>
      <c r="H989" t="s">
        <v>140</v>
      </c>
      <c r="I989" t="s">
        <v>140</v>
      </c>
      <c r="J989" t="s">
        <v>60</v>
      </c>
      <c r="K989" t="s">
        <v>79</v>
      </c>
      <c r="L989" t="s">
        <v>62</v>
      </c>
      <c r="M989" t="s">
        <v>79</v>
      </c>
      <c r="N989" t="s">
        <v>141</v>
      </c>
      <c r="O989" t="s">
        <v>142</v>
      </c>
      <c r="P989">
        <v>-19.628888</v>
      </c>
      <c r="Q989">
        <v>-43.912554</v>
      </c>
      <c r="R989" s="2" t="str">
        <f>HYPERLINK("https://www.google.com/maps?q=-19.6288880,-43.9125540","Abrir no Google Maps")</f>
        <v>Abrir no Google Maps</v>
      </c>
      <c r="S989">
        <v>4</v>
      </c>
      <c r="T989">
        <v>1013.629555558835</v>
      </c>
      <c r="U989">
        <v>4</v>
      </c>
      <c r="V989">
        <v>0.62870046620046627</v>
      </c>
      <c r="W989">
        <v>0.85</v>
      </c>
      <c r="X989">
        <v>0.53439539627039634</v>
      </c>
      <c r="Y989">
        <v>3</v>
      </c>
      <c r="Z989">
        <v>950.42126394515765</v>
      </c>
      <c r="AA989">
        <v>2</v>
      </c>
      <c r="AB989">
        <v>3</v>
      </c>
      <c r="AC989">
        <v>7</v>
      </c>
      <c r="AD989">
        <v>26.28</v>
      </c>
      <c r="AE989">
        <v>253</v>
      </c>
      <c r="AF989">
        <v>15</v>
      </c>
      <c r="AG989">
        <v>65</v>
      </c>
      <c r="AH989">
        <v>32</v>
      </c>
      <c r="AI989">
        <v>5.93</v>
      </c>
      <c r="AJ989">
        <v>25.69</v>
      </c>
      <c r="AK989">
        <v>12.65</v>
      </c>
      <c r="AL989">
        <v>-19.628472899999959</v>
      </c>
      <c r="AM989">
        <v>-43.912746118821246</v>
      </c>
      <c r="AN989">
        <v>-19.628472899999959</v>
      </c>
      <c r="AO989">
        <v>-43.912746118821246</v>
      </c>
      <c r="AP989">
        <v>-19.628888</v>
      </c>
      <c r="AQ989">
        <v>-43.912554</v>
      </c>
      <c r="AR989">
        <v>50.408750888077009</v>
      </c>
      <c r="AS989" t="s">
        <v>65</v>
      </c>
      <c r="AT989">
        <v>1</v>
      </c>
      <c r="AU989" t="s">
        <v>143</v>
      </c>
      <c r="AV989" t="s">
        <v>144</v>
      </c>
      <c r="AW989" t="s">
        <v>60</v>
      </c>
      <c r="AX989" t="s">
        <v>68</v>
      </c>
      <c r="AY989" t="s">
        <v>69</v>
      </c>
      <c r="AZ989" t="b">
        <v>1</v>
      </c>
    </row>
    <row r="990" spans="1:52" x14ac:dyDescent="0.3">
      <c r="A990" t="s">
        <v>52</v>
      </c>
      <c r="B990" t="s">
        <v>53</v>
      </c>
      <c r="C990" t="s">
        <v>54</v>
      </c>
      <c r="D990" t="s">
        <v>55</v>
      </c>
      <c r="E990" t="s">
        <v>804</v>
      </c>
      <c r="F990" t="s">
        <v>57</v>
      </c>
      <c r="G990" t="s">
        <v>197</v>
      </c>
      <c r="H990" t="s">
        <v>224</v>
      </c>
      <c r="I990" t="s">
        <v>224</v>
      </c>
      <c r="J990" t="s">
        <v>60</v>
      </c>
      <c r="K990" t="s">
        <v>199</v>
      </c>
      <c r="L990" t="s">
        <v>62</v>
      </c>
      <c r="M990" t="s">
        <v>199</v>
      </c>
      <c r="N990" t="s">
        <v>200</v>
      </c>
      <c r="O990" t="s">
        <v>225</v>
      </c>
      <c r="P990">
        <v>-19.637217</v>
      </c>
      <c r="Q990">
        <v>-43.916117</v>
      </c>
      <c r="R990" s="2" t="str">
        <f>HYPERLINK("https://www.google.com/maps?q=-19.6372170,-43.9161170","Abrir no Google Maps")</f>
        <v>Abrir no Google Maps</v>
      </c>
      <c r="S990">
        <v>4</v>
      </c>
      <c r="T990">
        <v>0</v>
      </c>
      <c r="U990">
        <v>4</v>
      </c>
      <c r="V990">
        <v>0.32957019000184468</v>
      </c>
      <c r="W990">
        <v>1</v>
      </c>
      <c r="X990">
        <v>0.32957019000184468</v>
      </c>
      <c r="Y990">
        <v>3</v>
      </c>
      <c r="Z990">
        <v>94.289538231800577</v>
      </c>
      <c r="AA990">
        <v>2</v>
      </c>
      <c r="AB990">
        <v>3</v>
      </c>
      <c r="AC990">
        <v>7</v>
      </c>
      <c r="AD990">
        <v>26.28</v>
      </c>
      <c r="AE990">
        <v>253</v>
      </c>
      <c r="AF990">
        <v>15</v>
      </c>
      <c r="AG990">
        <v>65</v>
      </c>
      <c r="AH990">
        <v>32</v>
      </c>
      <c r="AI990">
        <v>5.93</v>
      </c>
      <c r="AJ990">
        <v>25.69</v>
      </c>
      <c r="AK990">
        <v>12.65</v>
      </c>
      <c r="AL990">
        <v>-19.63714454999996</v>
      </c>
      <c r="AM990">
        <v>-43.915856532303224</v>
      </c>
      <c r="AN990">
        <v>-19.63714454999996</v>
      </c>
      <c r="AO990">
        <v>-43.915856532303224</v>
      </c>
      <c r="AP990">
        <v>-19.637217</v>
      </c>
      <c r="AQ990">
        <v>-43.916117</v>
      </c>
      <c r="AR990">
        <v>28.47493692061667</v>
      </c>
      <c r="AS990" t="s">
        <v>65</v>
      </c>
      <c r="AT990">
        <v>1</v>
      </c>
      <c r="AU990" t="s">
        <v>226</v>
      </c>
      <c r="AV990" t="s">
        <v>227</v>
      </c>
      <c r="AW990" t="s">
        <v>60</v>
      </c>
      <c r="AX990" t="s">
        <v>68</v>
      </c>
      <c r="AY990" t="s">
        <v>69</v>
      </c>
      <c r="AZ990" t="b">
        <v>1</v>
      </c>
    </row>
    <row r="991" spans="1:52" x14ac:dyDescent="0.3">
      <c r="A991" t="s">
        <v>52</v>
      </c>
      <c r="B991" t="s">
        <v>53</v>
      </c>
      <c r="C991" t="s">
        <v>54</v>
      </c>
      <c r="D991" t="s">
        <v>55</v>
      </c>
      <c r="E991" t="s">
        <v>804</v>
      </c>
      <c r="F991" t="s">
        <v>57</v>
      </c>
      <c r="G991" t="s">
        <v>151</v>
      </c>
      <c r="H991" t="s">
        <v>152</v>
      </c>
      <c r="I991" t="s">
        <v>152</v>
      </c>
      <c r="J991" t="s">
        <v>60</v>
      </c>
      <c r="K991" t="s">
        <v>72</v>
      </c>
      <c r="L991" t="s">
        <v>62</v>
      </c>
      <c r="M991" t="s">
        <v>72</v>
      </c>
      <c r="N991" t="s">
        <v>153</v>
      </c>
      <c r="O991" t="s">
        <v>81</v>
      </c>
      <c r="P991">
        <v>-19.635065999999998</v>
      </c>
      <c r="Q991">
        <v>-43.916640000000001</v>
      </c>
      <c r="R991" s="2" t="str">
        <f>HYPERLINK("https://www.google.com/maps?q=-19.6350660,-43.9166400","Abrir no Google Maps")</f>
        <v>Abrir no Google Maps</v>
      </c>
      <c r="S991">
        <v>4</v>
      </c>
      <c r="T991">
        <v>245.09875796292749</v>
      </c>
      <c r="U991">
        <v>4</v>
      </c>
      <c r="V991">
        <v>0.35319486788617888</v>
      </c>
      <c r="W991">
        <v>1</v>
      </c>
      <c r="X991">
        <v>0.35319486788617888</v>
      </c>
      <c r="Y991">
        <v>3</v>
      </c>
      <c r="Z991">
        <v>207.74356419317499</v>
      </c>
      <c r="AA991">
        <v>2</v>
      </c>
      <c r="AB991">
        <v>3</v>
      </c>
      <c r="AC991">
        <v>7</v>
      </c>
      <c r="AD991">
        <v>26.28</v>
      </c>
      <c r="AE991">
        <v>253</v>
      </c>
      <c r="AF991">
        <v>15</v>
      </c>
      <c r="AG991">
        <v>65</v>
      </c>
      <c r="AH991">
        <v>32</v>
      </c>
      <c r="AI991">
        <v>5.93</v>
      </c>
      <c r="AJ991">
        <v>25.69</v>
      </c>
      <c r="AK991">
        <v>12.65</v>
      </c>
      <c r="AL991">
        <v>-19.63505579999995</v>
      </c>
      <c r="AM991">
        <v>-43.916633303072622</v>
      </c>
      <c r="AN991">
        <v>-19.63505579999995</v>
      </c>
      <c r="AO991">
        <v>-43.916633303072622</v>
      </c>
      <c r="AP991">
        <v>-19.635065999999998</v>
      </c>
      <c r="AQ991">
        <v>-43.916640000000001</v>
      </c>
      <c r="AR991">
        <v>1.335026849412978</v>
      </c>
      <c r="AS991" t="s">
        <v>65</v>
      </c>
      <c r="AT991">
        <v>1</v>
      </c>
      <c r="AU991" t="s">
        <v>154</v>
      </c>
      <c r="AV991" t="s">
        <v>155</v>
      </c>
      <c r="AW991" t="s">
        <v>60</v>
      </c>
      <c r="AX991" t="s">
        <v>68</v>
      </c>
      <c r="AY991" t="s">
        <v>69</v>
      </c>
      <c r="AZ991" t="b">
        <v>1</v>
      </c>
    </row>
    <row r="992" spans="1:52" x14ac:dyDescent="0.3">
      <c r="A992" t="s">
        <v>52</v>
      </c>
      <c r="B992" t="s">
        <v>53</v>
      </c>
      <c r="C992" t="s">
        <v>54</v>
      </c>
      <c r="D992" t="s">
        <v>55</v>
      </c>
      <c r="E992" t="s">
        <v>804</v>
      </c>
      <c r="F992" t="s">
        <v>57</v>
      </c>
      <c r="G992" t="s">
        <v>239</v>
      </c>
      <c r="H992" t="s">
        <v>240</v>
      </c>
      <c r="I992" t="s">
        <v>240</v>
      </c>
      <c r="J992" t="s">
        <v>60</v>
      </c>
      <c r="K992" t="s">
        <v>241</v>
      </c>
      <c r="L992" t="s">
        <v>62</v>
      </c>
      <c r="M992" t="s">
        <v>241</v>
      </c>
      <c r="N992" t="s">
        <v>242</v>
      </c>
      <c r="O992" t="s">
        <v>243</v>
      </c>
      <c r="P992">
        <v>-19.64987</v>
      </c>
      <c r="Q992">
        <v>-43.901328999999997</v>
      </c>
      <c r="R992" s="2" t="str">
        <f>HYPERLINK("https://www.google.com/maps?q=-19.6498700,-43.9013290","Abrir no Google Maps")</f>
        <v>Abrir no Google Maps</v>
      </c>
      <c r="S992">
        <v>4</v>
      </c>
      <c r="T992">
        <v>379.88574886534309</v>
      </c>
      <c r="U992">
        <v>4</v>
      </c>
      <c r="V992">
        <v>0.33322966507177032</v>
      </c>
      <c r="W992">
        <v>1</v>
      </c>
      <c r="X992">
        <v>0.33322966507177032</v>
      </c>
      <c r="Y992">
        <v>1</v>
      </c>
      <c r="Z992">
        <v>442.33649591135162</v>
      </c>
      <c r="AA992">
        <v>2</v>
      </c>
      <c r="AB992">
        <v>3</v>
      </c>
      <c r="AC992">
        <v>7</v>
      </c>
      <c r="AD992">
        <v>26.28</v>
      </c>
      <c r="AE992">
        <v>253</v>
      </c>
      <c r="AF992">
        <v>15</v>
      </c>
      <c r="AG992">
        <v>65</v>
      </c>
      <c r="AH992">
        <v>32</v>
      </c>
      <c r="AI992">
        <v>5.93</v>
      </c>
      <c r="AJ992">
        <v>25.69</v>
      </c>
      <c r="AK992">
        <v>12.65</v>
      </c>
      <c r="AL992">
        <v>-19.64971674999995</v>
      </c>
      <c r="AM992">
        <v>-43.901441574655102</v>
      </c>
      <c r="AN992">
        <v>-19.64971674999995</v>
      </c>
      <c r="AO992">
        <v>-43.901441574655102</v>
      </c>
      <c r="AP992">
        <v>-19.64987</v>
      </c>
      <c r="AQ992">
        <v>-43.901328999999997</v>
      </c>
      <c r="AR992">
        <v>20.744262514610401</v>
      </c>
      <c r="AS992" t="s">
        <v>65</v>
      </c>
      <c r="AT992">
        <v>1</v>
      </c>
      <c r="AU992" t="s">
        <v>244</v>
      </c>
      <c r="AV992" t="s">
        <v>245</v>
      </c>
      <c r="AW992" t="s">
        <v>60</v>
      </c>
      <c r="AX992" t="s">
        <v>68</v>
      </c>
      <c r="AY992" t="s">
        <v>69</v>
      </c>
      <c r="AZ992" t="b">
        <v>1</v>
      </c>
    </row>
    <row r="993" spans="1:52" x14ac:dyDescent="0.3">
      <c r="A993" t="s">
        <v>52</v>
      </c>
      <c r="B993" t="s">
        <v>53</v>
      </c>
      <c r="C993" t="s">
        <v>54</v>
      </c>
      <c r="D993" t="s">
        <v>55</v>
      </c>
      <c r="E993" t="s">
        <v>804</v>
      </c>
      <c r="F993" t="s">
        <v>57</v>
      </c>
      <c r="G993" t="s">
        <v>258</v>
      </c>
      <c r="H993" t="s">
        <v>259</v>
      </c>
      <c r="I993" t="s">
        <v>259</v>
      </c>
      <c r="J993" t="s">
        <v>60</v>
      </c>
      <c r="K993" t="s">
        <v>192</v>
      </c>
      <c r="L993" t="s">
        <v>62</v>
      </c>
      <c r="M993" t="s">
        <v>192</v>
      </c>
      <c r="N993" t="s">
        <v>260</v>
      </c>
      <c r="O993" t="s">
        <v>261</v>
      </c>
      <c r="P993">
        <v>-19.651322</v>
      </c>
      <c r="Q993">
        <v>-43.909526999999997</v>
      </c>
      <c r="R993" s="2" t="str">
        <f>HYPERLINK("https://www.google.com/maps?q=-19.6513220,-43.9095270","Abrir no Google Maps")</f>
        <v>Abrir no Google Maps</v>
      </c>
      <c r="S993">
        <v>4</v>
      </c>
      <c r="T993">
        <v>818.75599819160288</v>
      </c>
      <c r="U993">
        <v>4</v>
      </c>
      <c r="V993">
        <v>0.33971684053651258</v>
      </c>
      <c r="W993">
        <v>1</v>
      </c>
      <c r="X993">
        <v>0.33971684053651258</v>
      </c>
      <c r="Y993">
        <v>1</v>
      </c>
      <c r="Z993">
        <v>730.53961508554767</v>
      </c>
      <c r="AA993">
        <v>2</v>
      </c>
      <c r="AB993">
        <v>3</v>
      </c>
      <c r="AC993">
        <v>7</v>
      </c>
      <c r="AD993">
        <v>26.28</v>
      </c>
      <c r="AE993">
        <v>253</v>
      </c>
      <c r="AF993">
        <v>15</v>
      </c>
      <c r="AG993">
        <v>65</v>
      </c>
      <c r="AH993">
        <v>32</v>
      </c>
      <c r="AI993">
        <v>5.93</v>
      </c>
      <c r="AJ993">
        <v>25.69</v>
      </c>
      <c r="AK993">
        <v>12.65</v>
      </c>
      <c r="AL993">
        <v>-19.65143184999997</v>
      </c>
      <c r="AM993">
        <v>-43.910059983056307</v>
      </c>
      <c r="AN993">
        <v>-19.65143184999997</v>
      </c>
      <c r="AO993">
        <v>-43.910059983056307</v>
      </c>
      <c r="AP993">
        <v>-19.651322</v>
      </c>
      <c r="AQ993">
        <v>-43.909526999999997</v>
      </c>
      <c r="AR993">
        <v>57.198416395481701</v>
      </c>
      <c r="AS993" t="s">
        <v>65</v>
      </c>
      <c r="AT993">
        <v>1</v>
      </c>
      <c r="AU993" t="s">
        <v>262</v>
      </c>
      <c r="AV993" t="s">
        <v>263</v>
      </c>
      <c r="AW993" t="s">
        <v>60</v>
      </c>
      <c r="AX993" t="s">
        <v>68</v>
      </c>
      <c r="AY993" t="s">
        <v>69</v>
      </c>
      <c r="AZ993" t="b">
        <v>1</v>
      </c>
    </row>
    <row r="994" spans="1:52" x14ac:dyDescent="0.3">
      <c r="A994" t="s">
        <v>52</v>
      </c>
      <c r="B994" t="s">
        <v>53</v>
      </c>
      <c r="C994" t="s">
        <v>54</v>
      </c>
      <c r="D994" t="s">
        <v>55</v>
      </c>
      <c r="E994" t="s">
        <v>804</v>
      </c>
      <c r="F994" t="s">
        <v>176</v>
      </c>
      <c r="G994" t="s">
        <v>58</v>
      </c>
      <c r="H994" t="s">
        <v>59</v>
      </c>
      <c r="I994" t="s">
        <v>59</v>
      </c>
      <c r="J994" t="s">
        <v>60</v>
      </c>
      <c r="K994" t="s">
        <v>61</v>
      </c>
      <c r="L994" t="s">
        <v>62</v>
      </c>
      <c r="M994" t="s">
        <v>61</v>
      </c>
      <c r="N994" t="s">
        <v>63</v>
      </c>
      <c r="O994" t="s">
        <v>64</v>
      </c>
      <c r="P994">
        <v>-19.631502000000001</v>
      </c>
      <c r="Q994">
        <v>-43.910241999999997</v>
      </c>
      <c r="R994" s="2" t="str">
        <f>HYPERLINK("https://www.google.com/maps?q=-19.6315020,-43.9102420","Abrir no Google Maps")</f>
        <v>Abrir no Google Maps</v>
      </c>
      <c r="S994">
        <v>4</v>
      </c>
      <c r="T994">
        <v>789.20099406682743</v>
      </c>
      <c r="U994">
        <v>3</v>
      </c>
      <c r="V994">
        <v>0.29503162848499043</v>
      </c>
      <c r="W994">
        <v>1</v>
      </c>
      <c r="X994">
        <v>0.29503162848499043</v>
      </c>
      <c r="Y994">
        <v>10</v>
      </c>
      <c r="Z994">
        <v>691.44930074509864</v>
      </c>
      <c r="AA994">
        <v>2</v>
      </c>
      <c r="AB994">
        <v>3</v>
      </c>
      <c r="AC994">
        <v>7</v>
      </c>
      <c r="AD994">
        <v>26.28</v>
      </c>
      <c r="AE994">
        <v>253</v>
      </c>
      <c r="AF994">
        <v>15</v>
      </c>
      <c r="AG994">
        <v>65</v>
      </c>
      <c r="AH994">
        <v>32</v>
      </c>
      <c r="AI994">
        <v>5.93</v>
      </c>
      <c r="AJ994">
        <v>25.69</v>
      </c>
      <c r="AK994">
        <v>12.65</v>
      </c>
      <c r="AL994">
        <v>-19.631719749999949</v>
      </c>
      <c r="AM994">
        <v>-43.910102324517517</v>
      </c>
      <c r="AN994">
        <v>-19.631719749999949</v>
      </c>
      <c r="AO994">
        <v>-43.910102324517517</v>
      </c>
      <c r="AP994">
        <v>-19.631502000000001</v>
      </c>
      <c r="AQ994">
        <v>-43.910241999999997</v>
      </c>
      <c r="AR994">
        <v>28.320416429206599</v>
      </c>
      <c r="AS994" t="s">
        <v>65</v>
      </c>
      <c r="AT994">
        <v>1</v>
      </c>
      <c r="AU994" t="s">
        <v>66</v>
      </c>
      <c r="AV994" t="s">
        <v>67</v>
      </c>
      <c r="AW994" t="s">
        <v>60</v>
      </c>
      <c r="AX994" t="s">
        <v>68</v>
      </c>
      <c r="AY994" t="s">
        <v>69</v>
      </c>
      <c r="AZ994" t="b">
        <v>1</v>
      </c>
    </row>
    <row r="995" spans="1:52" x14ac:dyDescent="0.3">
      <c r="A995" t="s">
        <v>52</v>
      </c>
      <c r="B995" t="s">
        <v>53</v>
      </c>
      <c r="C995" t="s">
        <v>54</v>
      </c>
      <c r="D995" t="s">
        <v>55</v>
      </c>
      <c r="E995" t="s">
        <v>804</v>
      </c>
      <c r="F995" t="s">
        <v>176</v>
      </c>
      <c r="G995" t="s">
        <v>84</v>
      </c>
      <c r="H995" t="s">
        <v>85</v>
      </c>
      <c r="I995" t="s">
        <v>85</v>
      </c>
      <c r="J995" t="s">
        <v>60</v>
      </c>
      <c r="K995" t="s">
        <v>86</v>
      </c>
      <c r="L995" t="s">
        <v>62</v>
      </c>
      <c r="M995" t="s">
        <v>86</v>
      </c>
      <c r="N995" t="s">
        <v>87</v>
      </c>
      <c r="O995" t="s">
        <v>88</v>
      </c>
      <c r="P995">
        <v>-19.629436999999999</v>
      </c>
      <c r="Q995">
        <v>-43.910398999999998</v>
      </c>
      <c r="R995" s="2" t="str">
        <f>HYPERLINK("https://www.google.com/maps?q=-19.6294370,-43.9103990","Abrir no Google Maps")</f>
        <v>Abrir no Google Maps</v>
      </c>
      <c r="S995">
        <v>4</v>
      </c>
      <c r="T995">
        <v>888.82060643108082</v>
      </c>
      <c r="U995">
        <v>3</v>
      </c>
      <c r="V995">
        <v>0.29295086969789441</v>
      </c>
      <c r="W995">
        <v>1</v>
      </c>
      <c r="X995">
        <v>0.29295086969789441</v>
      </c>
      <c r="Y995">
        <v>10</v>
      </c>
      <c r="Z995">
        <v>867.42797341651737</v>
      </c>
      <c r="AA995">
        <v>2</v>
      </c>
      <c r="AB995">
        <v>3</v>
      </c>
      <c r="AC995">
        <v>7</v>
      </c>
      <c r="AD995">
        <v>26.28</v>
      </c>
      <c r="AE995">
        <v>253</v>
      </c>
      <c r="AF995">
        <v>15</v>
      </c>
      <c r="AG995">
        <v>65</v>
      </c>
      <c r="AH995">
        <v>32</v>
      </c>
      <c r="AI995">
        <v>5.93</v>
      </c>
      <c r="AJ995">
        <v>25.69</v>
      </c>
      <c r="AK995">
        <v>12.65</v>
      </c>
      <c r="AL995">
        <v>-19.62934694999996</v>
      </c>
      <c r="AM995">
        <v>-43.910344699357317</v>
      </c>
      <c r="AN995">
        <v>-19.62934694999996</v>
      </c>
      <c r="AO995">
        <v>-43.910344699357331</v>
      </c>
      <c r="AP995">
        <v>-19.629436999999999</v>
      </c>
      <c r="AQ995">
        <v>-43.910398999999998</v>
      </c>
      <c r="AR995">
        <v>11.52837377953678</v>
      </c>
      <c r="AS995" t="s">
        <v>65</v>
      </c>
      <c r="AT995">
        <v>1</v>
      </c>
      <c r="AU995" t="s">
        <v>89</v>
      </c>
      <c r="AV995" t="s">
        <v>90</v>
      </c>
      <c r="AW995" t="s">
        <v>60</v>
      </c>
      <c r="AX995" t="s">
        <v>68</v>
      </c>
      <c r="AY995" t="s">
        <v>69</v>
      </c>
      <c r="AZ995" t="b">
        <v>1</v>
      </c>
    </row>
    <row r="996" spans="1:52" x14ac:dyDescent="0.3">
      <c r="A996" t="s">
        <v>52</v>
      </c>
      <c r="B996" t="s">
        <v>53</v>
      </c>
      <c r="C996" t="s">
        <v>54</v>
      </c>
      <c r="D996" t="s">
        <v>55</v>
      </c>
      <c r="E996" t="s">
        <v>804</v>
      </c>
      <c r="F996" t="s">
        <v>176</v>
      </c>
      <c r="G996" t="s">
        <v>91</v>
      </c>
      <c r="H996" t="s">
        <v>92</v>
      </c>
      <c r="I996" t="s">
        <v>92</v>
      </c>
      <c r="J996" t="s">
        <v>60</v>
      </c>
      <c r="K996" t="s">
        <v>86</v>
      </c>
      <c r="L996" t="s">
        <v>62</v>
      </c>
      <c r="M996" t="s">
        <v>86</v>
      </c>
      <c r="N996" t="s">
        <v>93</v>
      </c>
      <c r="O996" t="s">
        <v>94</v>
      </c>
      <c r="P996">
        <v>-19.630676999999999</v>
      </c>
      <c r="Q996">
        <v>-43.907255999999997</v>
      </c>
      <c r="R996" s="2" t="str">
        <f>HYPERLINK("https://www.google.com/maps?q=-19.6306770,-43.9072560","Abrir no Google Maps")</f>
        <v>Abrir no Google Maps</v>
      </c>
      <c r="S996">
        <v>4</v>
      </c>
      <c r="T996">
        <v>545.39374622597825</v>
      </c>
      <c r="U996">
        <v>3</v>
      </c>
      <c r="V996">
        <v>0.30610845295055811</v>
      </c>
      <c r="W996">
        <v>1</v>
      </c>
      <c r="X996">
        <v>0.30610845295055811</v>
      </c>
      <c r="Y996">
        <v>10</v>
      </c>
      <c r="Z996">
        <v>559.94033759457182</v>
      </c>
      <c r="AA996">
        <v>2</v>
      </c>
      <c r="AB996">
        <v>3</v>
      </c>
      <c r="AC996">
        <v>7</v>
      </c>
      <c r="AD996">
        <v>26.28</v>
      </c>
      <c r="AE996">
        <v>253</v>
      </c>
      <c r="AF996">
        <v>15</v>
      </c>
      <c r="AG996">
        <v>65</v>
      </c>
      <c r="AH996">
        <v>32</v>
      </c>
      <c r="AI996">
        <v>5.93</v>
      </c>
      <c r="AJ996">
        <v>25.69</v>
      </c>
      <c r="AK996">
        <v>12.65</v>
      </c>
      <c r="AL996">
        <v>-19.630448649999941</v>
      </c>
      <c r="AM996">
        <v>-43.907268502495313</v>
      </c>
      <c r="AN996">
        <v>-19.630448649999941</v>
      </c>
      <c r="AO996">
        <v>-43.907268502495313</v>
      </c>
      <c r="AP996">
        <v>-19.630676999999999</v>
      </c>
      <c r="AQ996">
        <v>-43.907255999999997</v>
      </c>
      <c r="AR996">
        <v>25.453700276562468</v>
      </c>
      <c r="AS996" t="s">
        <v>65</v>
      </c>
      <c r="AT996">
        <v>1</v>
      </c>
      <c r="AU996" t="s">
        <v>95</v>
      </c>
      <c r="AV996" t="s">
        <v>96</v>
      </c>
      <c r="AW996" t="s">
        <v>60</v>
      </c>
      <c r="AX996" t="s">
        <v>68</v>
      </c>
      <c r="AY996" t="s">
        <v>69</v>
      </c>
      <c r="AZ996" t="b">
        <v>1</v>
      </c>
    </row>
    <row r="997" spans="1:52" x14ac:dyDescent="0.3">
      <c r="A997" t="s">
        <v>52</v>
      </c>
      <c r="B997" t="s">
        <v>53</v>
      </c>
      <c r="C997" t="s">
        <v>54</v>
      </c>
      <c r="D997" t="s">
        <v>55</v>
      </c>
      <c r="E997" t="s">
        <v>804</v>
      </c>
      <c r="F997" t="s">
        <v>176</v>
      </c>
      <c r="G997" t="s">
        <v>97</v>
      </c>
      <c r="H997" t="s">
        <v>98</v>
      </c>
      <c r="I997" t="s">
        <v>98</v>
      </c>
      <c r="J997" t="s">
        <v>60</v>
      </c>
      <c r="K997" t="s">
        <v>99</v>
      </c>
      <c r="L997" t="s">
        <v>62</v>
      </c>
      <c r="M997" t="s">
        <v>99</v>
      </c>
      <c r="N997" t="s">
        <v>100</v>
      </c>
      <c r="O997" t="s">
        <v>101</v>
      </c>
      <c r="P997">
        <v>-19.629822000000001</v>
      </c>
      <c r="Q997">
        <v>-43.905341</v>
      </c>
      <c r="R997" s="2" t="str">
        <f>HYPERLINK("https://www.google.com/maps?q=-19.6298220,-43.9053410","Abrir no Google Maps")</f>
        <v>Abrir no Google Maps</v>
      </c>
      <c r="S997">
        <v>4</v>
      </c>
      <c r="T997">
        <v>441.30597341744129</v>
      </c>
      <c r="U997">
        <v>3</v>
      </c>
      <c r="V997">
        <v>0.31666503380033301</v>
      </c>
      <c r="W997">
        <v>1</v>
      </c>
      <c r="X997">
        <v>0.31666503380033301</v>
      </c>
      <c r="Y997">
        <v>10</v>
      </c>
      <c r="Z997">
        <v>513.56493751010987</v>
      </c>
      <c r="AA997">
        <v>2</v>
      </c>
      <c r="AB997">
        <v>3</v>
      </c>
      <c r="AC997">
        <v>7</v>
      </c>
      <c r="AD997">
        <v>26.28</v>
      </c>
      <c r="AE997">
        <v>253</v>
      </c>
      <c r="AF997">
        <v>15</v>
      </c>
      <c r="AG997">
        <v>65</v>
      </c>
      <c r="AH997">
        <v>32</v>
      </c>
      <c r="AI997">
        <v>5.93</v>
      </c>
      <c r="AJ997">
        <v>25.69</v>
      </c>
      <c r="AK997">
        <v>12.65</v>
      </c>
      <c r="AL997">
        <v>-19.629671599999941</v>
      </c>
      <c r="AM997">
        <v>-43.905369597920988</v>
      </c>
      <c r="AN997">
        <v>-19.629671599999931</v>
      </c>
      <c r="AO997">
        <v>-43.905369597920988</v>
      </c>
      <c r="AP997">
        <v>-19.629822000000001</v>
      </c>
      <c r="AQ997">
        <v>-43.905341</v>
      </c>
      <c r="AR997">
        <v>17.008917699186132</v>
      </c>
      <c r="AS997" t="s">
        <v>65</v>
      </c>
      <c r="AT997">
        <v>1</v>
      </c>
      <c r="AU997" t="s">
        <v>102</v>
      </c>
      <c r="AV997" t="s">
        <v>103</v>
      </c>
      <c r="AW997" t="s">
        <v>60</v>
      </c>
      <c r="AX997" t="s">
        <v>68</v>
      </c>
      <c r="AY997" t="s">
        <v>69</v>
      </c>
      <c r="AZ997" t="b">
        <v>1</v>
      </c>
    </row>
    <row r="998" spans="1:52" x14ac:dyDescent="0.3">
      <c r="A998" t="s">
        <v>52</v>
      </c>
      <c r="B998" t="s">
        <v>53</v>
      </c>
      <c r="C998" t="s">
        <v>54</v>
      </c>
      <c r="D998" t="s">
        <v>55</v>
      </c>
      <c r="E998" t="s">
        <v>804</v>
      </c>
      <c r="F998" t="s">
        <v>176</v>
      </c>
      <c r="G998" t="s">
        <v>805</v>
      </c>
      <c r="H998" t="s">
        <v>806</v>
      </c>
      <c r="I998" t="s">
        <v>806</v>
      </c>
      <c r="J998" t="s">
        <v>60</v>
      </c>
      <c r="K998" t="s">
        <v>185</v>
      </c>
      <c r="L998" t="s">
        <v>62</v>
      </c>
      <c r="M998" t="s">
        <v>185</v>
      </c>
      <c r="N998" t="s">
        <v>807</v>
      </c>
      <c r="O998" t="s">
        <v>808</v>
      </c>
      <c r="P998">
        <v>-19.627182000000001</v>
      </c>
      <c r="Q998">
        <v>-43.902304999999998</v>
      </c>
      <c r="R998" s="2" t="str">
        <f>HYPERLINK("https://www.google.com/maps?q=-19.6271820,-43.9023050","Abrir no Google Maps")</f>
        <v>Abrir no Google Maps</v>
      </c>
      <c r="S998">
        <v>4</v>
      </c>
      <c r="T998">
        <v>616.79254108479665</v>
      </c>
      <c r="U998">
        <v>3</v>
      </c>
      <c r="V998">
        <v>0.3495268924302789</v>
      </c>
      <c r="W998">
        <v>0.85</v>
      </c>
      <c r="X998">
        <v>0.29709785856573712</v>
      </c>
      <c r="Y998">
        <v>7</v>
      </c>
      <c r="Z998">
        <v>380.94095493365262</v>
      </c>
      <c r="AA998">
        <v>2</v>
      </c>
      <c r="AB998">
        <v>3</v>
      </c>
      <c r="AC998">
        <v>7</v>
      </c>
      <c r="AD998">
        <v>26.28</v>
      </c>
      <c r="AE998">
        <v>253</v>
      </c>
      <c r="AF998">
        <v>15</v>
      </c>
      <c r="AG998">
        <v>65</v>
      </c>
      <c r="AH998">
        <v>32</v>
      </c>
      <c r="AI998">
        <v>5.93</v>
      </c>
      <c r="AJ998">
        <v>25.69</v>
      </c>
      <c r="AK998">
        <v>12.65</v>
      </c>
      <c r="AL998">
        <v>-19.62716294999996</v>
      </c>
      <c r="AM998">
        <v>-43.902133386240209</v>
      </c>
      <c r="AN998">
        <v>-19.62716294999996</v>
      </c>
      <c r="AO998">
        <v>-43.902133386240209</v>
      </c>
      <c r="AP998">
        <v>-19.627182000000001</v>
      </c>
      <c r="AQ998">
        <v>-43.902304999999998</v>
      </c>
      <c r="AR998">
        <v>18.118597424375309</v>
      </c>
      <c r="AS998" t="s">
        <v>65</v>
      </c>
      <c r="AT998">
        <v>1</v>
      </c>
      <c r="AU998" t="s">
        <v>809</v>
      </c>
      <c r="AV998" t="s">
        <v>810</v>
      </c>
      <c r="AW998" t="s">
        <v>60</v>
      </c>
      <c r="AX998" t="s">
        <v>68</v>
      </c>
      <c r="AY998" t="s">
        <v>69</v>
      </c>
      <c r="AZ998" t="b">
        <v>1</v>
      </c>
    </row>
    <row r="999" spans="1:52" x14ac:dyDescent="0.3">
      <c r="A999" t="s">
        <v>52</v>
      </c>
      <c r="B999" t="s">
        <v>53</v>
      </c>
      <c r="C999" t="s">
        <v>54</v>
      </c>
      <c r="D999" t="s">
        <v>55</v>
      </c>
      <c r="E999" t="s">
        <v>804</v>
      </c>
      <c r="F999" t="s">
        <v>176</v>
      </c>
      <c r="G999" t="s">
        <v>177</v>
      </c>
      <c r="H999" t="s">
        <v>178</v>
      </c>
      <c r="I999" t="s">
        <v>178</v>
      </c>
      <c r="J999" t="s">
        <v>60</v>
      </c>
      <c r="K999" t="s">
        <v>179</v>
      </c>
      <c r="L999" t="s">
        <v>62</v>
      </c>
      <c r="M999" t="s">
        <v>179</v>
      </c>
      <c r="N999" t="s">
        <v>180</v>
      </c>
      <c r="O999" t="s">
        <v>120</v>
      </c>
      <c r="P999">
        <v>-19.651526</v>
      </c>
      <c r="Q999">
        <v>-43.891382999999998</v>
      </c>
      <c r="R999" s="2" t="str">
        <f>HYPERLINK("https://www.google.com/maps?q=-19.6515260,-43.8913830","Abrir no Google Maps")</f>
        <v>Abrir no Google Maps</v>
      </c>
      <c r="S999">
        <v>4</v>
      </c>
      <c r="T999">
        <v>925.67779296789433</v>
      </c>
      <c r="U999">
        <v>3</v>
      </c>
      <c r="V999">
        <v>0.3052462526766595</v>
      </c>
      <c r="W999">
        <v>1</v>
      </c>
      <c r="X999">
        <v>0.3052462526766595</v>
      </c>
      <c r="Y999">
        <v>7</v>
      </c>
      <c r="Z999">
        <v>1193.102297436121</v>
      </c>
      <c r="AA999">
        <v>2</v>
      </c>
      <c r="AB999">
        <v>3</v>
      </c>
      <c r="AC999">
        <v>7</v>
      </c>
      <c r="AD999">
        <v>26.28</v>
      </c>
      <c r="AE999">
        <v>253</v>
      </c>
      <c r="AF999">
        <v>15</v>
      </c>
      <c r="AG999">
        <v>65</v>
      </c>
      <c r="AH999">
        <v>32</v>
      </c>
      <c r="AI999">
        <v>5.93</v>
      </c>
      <c r="AJ999">
        <v>25.69</v>
      </c>
      <c r="AK999">
        <v>12.65</v>
      </c>
      <c r="AL999">
        <v>-19.651590199999958</v>
      </c>
      <c r="AM999">
        <v>-43.891399191449963</v>
      </c>
      <c r="AN999">
        <v>-19.651590199999958</v>
      </c>
      <c r="AO999">
        <v>-43.891399191449963</v>
      </c>
      <c r="AP999">
        <v>-19.651526</v>
      </c>
      <c r="AQ999">
        <v>-43.891382999999998</v>
      </c>
      <c r="AR999">
        <v>7.3455622550785931</v>
      </c>
      <c r="AS999" t="s">
        <v>65</v>
      </c>
      <c r="AT999">
        <v>1</v>
      </c>
      <c r="AU999" t="s">
        <v>181</v>
      </c>
      <c r="AV999" t="s">
        <v>182</v>
      </c>
      <c r="AW999" t="s">
        <v>60</v>
      </c>
      <c r="AX999" t="s">
        <v>68</v>
      </c>
      <c r="AY999" t="s">
        <v>69</v>
      </c>
      <c r="AZ999" t="b">
        <v>1</v>
      </c>
    </row>
    <row r="1000" spans="1:52" x14ac:dyDescent="0.3">
      <c r="A1000" t="s">
        <v>52</v>
      </c>
      <c r="B1000" t="s">
        <v>53</v>
      </c>
      <c r="C1000" t="s">
        <v>54</v>
      </c>
      <c r="D1000" t="s">
        <v>55</v>
      </c>
      <c r="E1000" t="s">
        <v>804</v>
      </c>
      <c r="F1000" t="s">
        <v>176</v>
      </c>
      <c r="G1000" t="s">
        <v>811</v>
      </c>
      <c r="H1000" t="s">
        <v>812</v>
      </c>
      <c r="I1000" t="s">
        <v>812</v>
      </c>
      <c r="J1000" t="s">
        <v>60</v>
      </c>
      <c r="K1000" t="s">
        <v>164</v>
      </c>
      <c r="L1000" t="s">
        <v>62</v>
      </c>
      <c r="M1000" t="s">
        <v>164</v>
      </c>
      <c r="N1000" t="s">
        <v>813</v>
      </c>
      <c r="O1000" t="s">
        <v>814</v>
      </c>
      <c r="P1000">
        <v>-19.634674</v>
      </c>
      <c r="Q1000">
        <v>-43.900888000000002</v>
      </c>
      <c r="R1000" s="2" t="str">
        <f>HYPERLINK("https://www.google.com/maps?q=-19.6346740,-43.9008880","Abrir no Google Maps")</f>
        <v>Abrir no Google Maps</v>
      </c>
      <c r="S1000">
        <v>4</v>
      </c>
      <c r="T1000">
        <v>311.85903972102687</v>
      </c>
      <c r="U1000">
        <v>3</v>
      </c>
      <c r="V1000">
        <v>0.37125057989263699</v>
      </c>
      <c r="W1000">
        <v>0.85</v>
      </c>
      <c r="X1000">
        <v>0.31556299290874151</v>
      </c>
      <c r="Y1000">
        <v>4</v>
      </c>
      <c r="Z1000">
        <v>230.52904534963079</v>
      </c>
      <c r="AA1000">
        <v>2</v>
      </c>
      <c r="AB1000">
        <v>3</v>
      </c>
      <c r="AC1000">
        <v>7</v>
      </c>
      <c r="AD1000">
        <v>26.28</v>
      </c>
      <c r="AE1000">
        <v>253</v>
      </c>
      <c r="AF1000">
        <v>15</v>
      </c>
      <c r="AG1000">
        <v>65</v>
      </c>
      <c r="AH1000">
        <v>32</v>
      </c>
      <c r="AI1000">
        <v>5.93</v>
      </c>
      <c r="AJ1000">
        <v>25.69</v>
      </c>
      <c r="AK1000">
        <v>12.65</v>
      </c>
      <c r="AL1000">
        <v>-19.635003349999941</v>
      </c>
      <c r="AM1000">
        <v>-43.900915244132108</v>
      </c>
      <c r="AN1000">
        <v>-19.635003349999941</v>
      </c>
      <c r="AO1000">
        <v>-43.900915244132108</v>
      </c>
      <c r="AP1000">
        <v>-19.634674</v>
      </c>
      <c r="AQ1000">
        <v>-43.900888000000002</v>
      </c>
      <c r="AR1000">
        <v>36.774348521463253</v>
      </c>
      <c r="AS1000" t="s">
        <v>65</v>
      </c>
      <c r="AT1000">
        <v>1</v>
      </c>
      <c r="AU1000" t="s">
        <v>815</v>
      </c>
      <c r="AV1000" t="s">
        <v>816</v>
      </c>
      <c r="AW1000" t="s">
        <v>60</v>
      </c>
      <c r="AX1000" t="s">
        <v>68</v>
      </c>
      <c r="AY1000" t="s">
        <v>69</v>
      </c>
      <c r="AZ1000" t="b">
        <v>1</v>
      </c>
    </row>
    <row r="1001" spans="1:52" x14ac:dyDescent="0.3">
      <c r="A1001" t="s">
        <v>52</v>
      </c>
      <c r="B1001" t="s">
        <v>53</v>
      </c>
      <c r="C1001" t="s">
        <v>54</v>
      </c>
      <c r="D1001" t="s">
        <v>55</v>
      </c>
      <c r="E1001" t="s">
        <v>804</v>
      </c>
      <c r="F1001" t="s">
        <v>176</v>
      </c>
      <c r="G1001" t="s">
        <v>197</v>
      </c>
      <c r="H1001" t="s">
        <v>198</v>
      </c>
      <c r="I1001" t="s">
        <v>198</v>
      </c>
      <c r="J1001" t="s">
        <v>60</v>
      </c>
      <c r="K1001" t="s">
        <v>199</v>
      </c>
      <c r="L1001" t="s">
        <v>62</v>
      </c>
      <c r="M1001" t="s">
        <v>199</v>
      </c>
      <c r="N1001" t="s">
        <v>200</v>
      </c>
      <c r="O1001" t="s">
        <v>201</v>
      </c>
      <c r="P1001">
        <v>-19.639250000000001</v>
      </c>
      <c r="Q1001">
        <v>-43.916449999999998</v>
      </c>
      <c r="R1001" s="2" t="str">
        <f>HYPERLINK("https://www.google.com/maps?q=-19.6392500,-43.9164500","Abrir no Google Maps")</f>
        <v>Abrir no Google Maps</v>
      </c>
      <c r="S1001">
        <v>4</v>
      </c>
      <c r="T1001">
        <v>249.46350881074861</v>
      </c>
      <c r="U1001">
        <v>3</v>
      </c>
      <c r="V1001">
        <v>0.29308166565595312</v>
      </c>
      <c r="W1001">
        <v>1</v>
      </c>
      <c r="X1001">
        <v>0.29308166565595312</v>
      </c>
      <c r="Y1001">
        <v>3</v>
      </c>
      <c r="Z1001">
        <v>267.54148787490578</v>
      </c>
      <c r="AA1001">
        <v>2</v>
      </c>
      <c r="AB1001">
        <v>3</v>
      </c>
      <c r="AC1001">
        <v>7</v>
      </c>
      <c r="AD1001">
        <v>26.28</v>
      </c>
      <c r="AE1001">
        <v>253</v>
      </c>
      <c r="AF1001">
        <v>15</v>
      </c>
      <c r="AG1001">
        <v>65</v>
      </c>
      <c r="AH1001">
        <v>32</v>
      </c>
      <c r="AI1001">
        <v>5.93</v>
      </c>
      <c r="AJ1001">
        <v>25.69</v>
      </c>
      <c r="AK1001">
        <v>12.65</v>
      </c>
      <c r="AL1001">
        <v>-19.639331149999951</v>
      </c>
      <c r="AM1001">
        <v>-43.916434187886892</v>
      </c>
      <c r="AN1001">
        <v>-19.639331149999951</v>
      </c>
      <c r="AO1001">
        <v>-43.916434187886892</v>
      </c>
      <c r="AP1001">
        <v>-19.639250000000001</v>
      </c>
      <c r="AQ1001">
        <v>-43.916449999999998</v>
      </c>
      <c r="AR1001">
        <v>9.1844750188843953</v>
      </c>
      <c r="AS1001" t="s">
        <v>65</v>
      </c>
      <c r="AT1001">
        <v>1</v>
      </c>
      <c r="AU1001" t="s">
        <v>202</v>
      </c>
      <c r="AV1001" t="s">
        <v>203</v>
      </c>
      <c r="AW1001" t="s">
        <v>60</v>
      </c>
      <c r="AX1001" t="s">
        <v>68</v>
      </c>
      <c r="AY1001" t="s">
        <v>69</v>
      </c>
      <c r="AZ1001" t="b">
        <v>1</v>
      </c>
    </row>
    <row r="1002" spans="1:52" x14ac:dyDescent="0.3">
      <c r="A1002" t="s">
        <v>52</v>
      </c>
      <c r="B1002" t="s">
        <v>53</v>
      </c>
      <c r="C1002" t="s">
        <v>54</v>
      </c>
      <c r="D1002" t="s">
        <v>55</v>
      </c>
      <c r="E1002" t="s">
        <v>804</v>
      </c>
      <c r="F1002" t="s">
        <v>176</v>
      </c>
      <c r="G1002" t="s">
        <v>204</v>
      </c>
      <c r="H1002" t="s">
        <v>205</v>
      </c>
      <c r="I1002" t="s">
        <v>205</v>
      </c>
      <c r="J1002" t="s">
        <v>60</v>
      </c>
      <c r="K1002" t="s">
        <v>171</v>
      </c>
      <c r="L1002" t="s">
        <v>62</v>
      </c>
      <c r="M1002" t="s">
        <v>171</v>
      </c>
      <c r="N1002" t="s">
        <v>206</v>
      </c>
      <c r="O1002" t="s">
        <v>207</v>
      </c>
      <c r="P1002">
        <v>-19.674109000000001</v>
      </c>
      <c r="Q1002">
        <v>-43.890711000000003</v>
      </c>
      <c r="R1002" s="2" t="str">
        <f>HYPERLINK("https://www.google.com/maps?q=-19.6741090,-43.8907110","Abrir no Google Maps")</f>
        <v>Abrir no Google Maps</v>
      </c>
      <c r="S1002">
        <v>4</v>
      </c>
      <c r="T1002">
        <v>396.53059443764772</v>
      </c>
      <c r="U1002">
        <v>3</v>
      </c>
      <c r="V1002">
        <v>0.32311474889756031</v>
      </c>
      <c r="W1002">
        <v>1</v>
      </c>
      <c r="X1002">
        <v>0.32311474889756031</v>
      </c>
      <c r="Y1002">
        <v>3</v>
      </c>
      <c r="Z1002">
        <v>499.22520255557538</v>
      </c>
      <c r="AA1002">
        <v>2</v>
      </c>
      <c r="AB1002">
        <v>3</v>
      </c>
      <c r="AC1002">
        <v>7</v>
      </c>
      <c r="AD1002">
        <v>26.28</v>
      </c>
      <c r="AE1002">
        <v>253</v>
      </c>
      <c r="AF1002">
        <v>15</v>
      </c>
      <c r="AG1002">
        <v>65</v>
      </c>
      <c r="AH1002">
        <v>32</v>
      </c>
      <c r="AI1002">
        <v>5.93</v>
      </c>
      <c r="AJ1002">
        <v>25.69</v>
      </c>
      <c r="AK1002">
        <v>12.65</v>
      </c>
      <c r="AL1002">
        <v>-19.67362479999997</v>
      </c>
      <c r="AM1002">
        <v>-43.89068378253377</v>
      </c>
      <c r="AN1002">
        <v>-19.67362479999997</v>
      </c>
      <c r="AO1002">
        <v>-43.89068378253377</v>
      </c>
      <c r="AP1002">
        <v>-19.674109000000001</v>
      </c>
      <c r="AQ1002">
        <v>-43.890711000000003</v>
      </c>
      <c r="AR1002">
        <v>53.976595260276227</v>
      </c>
      <c r="AS1002" t="s">
        <v>65</v>
      </c>
      <c r="AT1002">
        <v>1</v>
      </c>
      <c r="AU1002" t="s">
        <v>208</v>
      </c>
      <c r="AV1002" t="s">
        <v>209</v>
      </c>
      <c r="AW1002" t="s">
        <v>60</v>
      </c>
      <c r="AX1002" t="s">
        <v>68</v>
      </c>
      <c r="AY1002" t="s">
        <v>69</v>
      </c>
      <c r="AZ1002" t="b">
        <v>1</v>
      </c>
    </row>
    <row r="1003" spans="1:52" x14ac:dyDescent="0.3">
      <c r="A1003" t="s">
        <v>52</v>
      </c>
      <c r="B1003" t="s">
        <v>53</v>
      </c>
      <c r="C1003" t="s">
        <v>54</v>
      </c>
      <c r="D1003" t="s">
        <v>55</v>
      </c>
      <c r="E1003" t="s">
        <v>804</v>
      </c>
      <c r="F1003" t="s">
        <v>176</v>
      </c>
      <c r="G1003" t="s">
        <v>210</v>
      </c>
      <c r="H1003" t="s">
        <v>211</v>
      </c>
      <c r="I1003" t="s">
        <v>211</v>
      </c>
      <c r="J1003" t="s">
        <v>60</v>
      </c>
      <c r="K1003" t="s">
        <v>212</v>
      </c>
      <c r="L1003" t="s">
        <v>62</v>
      </c>
      <c r="M1003" t="s">
        <v>212</v>
      </c>
      <c r="N1003" t="s">
        <v>213</v>
      </c>
      <c r="O1003" t="s">
        <v>214</v>
      </c>
      <c r="P1003">
        <v>-19.632814</v>
      </c>
      <c r="Q1003">
        <v>-43.930782000000001</v>
      </c>
      <c r="R1003" s="2" t="str">
        <f>HYPERLINK("https://www.google.com/maps?q=-19.6328140,-43.9307820","Abrir no Google Maps")</f>
        <v>Abrir no Google Maps</v>
      </c>
      <c r="S1003">
        <v>4</v>
      </c>
      <c r="T1003">
        <v>1643.2659380538339</v>
      </c>
      <c r="U1003">
        <v>3</v>
      </c>
      <c r="V1003">
        <v>0.3070112893642305</v>
      </c>
      <c r="W1003">
        <v>1</v>
      </c>
      <c r="X1003">
        <v>0.3070112893642305</v>
      </c>
      <c r="Y1003">
        <v>3</v>
      </c>
      <c r="Z1003">
        <v>1661.7410651481421</v>
      </c>
      <c r="AA1003">
        <v>2</v>
      </c>
      <c r="AB1003">
        <v>3</v>
      </c>
      <c r="AC1003">
        <v>7</v>
      </c>
      <c r="AD1003">
        <v>26.28</v>
      </c>
      <c r="AE1003">
        <v>253</v>
      </c>
      <c r="AF1003">
        <v>15</v>
      </c>
      <c r="AG1003">
        <v>65</v>
      </c>
      <c r="AH1003">
        <v>32</v>
      </c>
      <c r="AI1003">
        <v>5.93</v>
      </c>
      <c r="AJ1003">
        <v>25.69</v>
      </c>
      <c r="AK1003">
        <v>12.65</v>
      </c>
      <c r="AL1003">
        <v>-19.633145799999941</v>
      </c>
      <c r="AM1003">
        <v>-43.930948481999309</v>
      </c>
      <c r="AN1003">
        <v>-19.633145799999941</v>
      </c>
      <c r="AO1003">
        <v>-43.930948481999309</v>
      </c>
      <c r="AP1003">
        <v>-19.632814</v>
      </c>
      <c r="AQ1003">
        <v>-43.930782000000001</v>
      </c>
      <c r="AR1003">
        <v>40.852848555758172</v>
      </c>
      <c r="AS1003" t="s">
        <v>65</v>
      </c>
      <c r="AT1003">
        <v>1</v>
      </c>
      <c r="AU1003" t="s">
        <v>215</v>
      </c>
      <c r="AV1003" t="s">
        <v>216</v>
      </c>
      <c r="AW1003" t="s">
        <v>60</v>
      </c>
      <c r="AX1003" t="s">
        <v>68</v>
      </c>
      <c r="AY1003" t="s">
        <v>69</v>
      </c>
      <c r="AZ1003" t="b">
        <v>1</v>
      </c>
    </row>
    <row r="1004" spans="1:52" x14ac:dyDescent="0.3">
      <c r="A1004" t="s">
        <v>52</v>
      </c>
      <c r="B1004" t="s">
        <v>53</v>
      </c>
      <c r="C1004" t="s">
        <v>54</v>
      </c>
      <c r="D1004" t="s">
        <v>55</v>
      </c>
      <c r="E1004" t="s">
        <v>804</v>
      </c>
      <c r="F1004" t="s">
        <v>176</v>
      </c>
      <c r="G1004" t="s">
        <v>145</v>
      </c>
      <c r="H1004" t="s">
        <v>146</v>
      </c>
      <c r="I1004" t="s">
        <v>146</v>
      </c>
      <c r="J1004" t="s">
        <v>60</v>
      </c>
      <c r="K1004" t="s">
        <v>147</v>
      </c>
      <c r="L1004" t="s">
        <v>62</v>
      </c>
      <c r="M1004" t="s">
        <v>147</v>
      </c>
      <c r="N1004" t="s">
        <v>148</v>
      </c>
      <c r="O1004" t="s">
        <v>81</v>
      </c>
      <c r="P1004">
        <v>-19.629356999999999</v>
      </c>
      <c r="Q1004">
        <v>-43.916857</v>
      </c>
      <c r="R1004" s="2" t="str">
        <f>HYPERLINK("https://www.google.com/maps?q=-19.6293570,-43.9168570","Abrir no Google Maps")</f>
        <v>Abrir no Google Maps</v>
      </c>
      <c r="S1004">
        <v>4</v>
      </c>
      <c r="T1004">
        <v>834.49898564045827</v>
      </c>
      <c r="U1004">
        <v>3</v>
      </c>
      <c r="V1004">
        <v>0.28886122813736759</v>
      </c>
      <c r="W1004">
        <v>1</v>
      </c>
      <c r="X1004">
        <v>0.28886122813736759</v>
      </c>
      <c r="Y1004">
        <v>3</v>
      </c>
      <c r="Z1004">
        <v>774.2841152512085</v>
      </c>
      <c r="AA1004">
        <v>2</v>
      </c>
      <c r="AB1004">
        <v>3</v>
      </c>
      <c r="AC1004">
        <v>7</v>
      </c>
      <c r="AD1004">
        <v>26.28</v>
      </c>
      <c r="AE1004">
        <v>253</v>
      </c>
      <c r="AF1004">
        <v>15</v>
      </c>
      <c r="AG1004">
        <v>65</v>
      </c>
      <c r="AH1004">
        <v>32</v>
      </c>
      <c r="AI1004">
        <v>5.93</v>
      </c>
      <c r="AJ1004">
        <v>25.69</v>
      </c>
      <c r="AK1004">
        <v>12.65</v>
      </c>
      <c r="AL1004">
        <v>-19.62962324999998</v>
      </c>
      <c r="AM1004">
        <v>-43.916419823634037</v>
      </c>
      <c r="AN1004">
        <v>-19.62962324999998</v>
      </c>
      <c r="AO1004">
        <v>-43.916419823634051</v>
      </c>
      <c r="AP1004">
        <v>-19.629356999999999</v>
      </c>
      <c r="AQ1004">
        <v>-43.916857</v>
      </c>
      <c r="AR1004">
        <v>54.585757388798442</v>
      </c>
      <c r="AS1004" t="s">
        <v>65</v>
      </c>
      <c r="AT1004">
        <v>1</v>
      </c>
      <c r="AU1004" t="s">
        <v>149</v>
      </c>
      <c r="AV1004" t="s">
        <v>150</v>
      </c>
      <c r="AW1004" t="s">
        <v>60</v>
      </c>
      <c r="AX1004" t="s">
        <v>68</v>
      </c>
      <c r="AY1004" t="s">
        <v>69</v>
      </c>
      <c r="AZ1004" t="b">
        <v>1</v>
      </c>
    </row>
    <row r="1005" spans="1:52" x14ac:dyDescent="0.3">
      <c r="A1005" t="s">
        <v>52</v>
      </c>
      <c r="B1005" t="s">
        <v>53</v>
      </c>
      <c r="C1005" t="s">
        <v>54</v>
      </c>
      <c r="D1005" t="s">
        <v>55</v>
      </c>
      <c r="E1005" t="s">
        <v>804</v>
      </c>
      <c r="F1005" t="s">
        <v>176</v>
      </c>
      <c r="G1005" t="s">
        <v>217</v>
      </c>
      <c r="H1005" t="s">
        <v>218</v>
      </c>
      <c r="I1005" t="s">
        <v>218</v>
      </c>
      <c r="J1005" t="s">
        <v>60</v>
      </c>
      <c r="K1005" t="s">
        <v>219</v>
      </c>
      <c r="L1005" t="s">
        <v>62</v>
      </c>
      <c r="M1005" t="s">
        <v>219</v>
      </c>
      <c r="N1005" t="s">
        <v>220</v>
      </c>
      <c r="O1005" t="s">
        <v>221</v>
      </c>
      <c r="P1005">
        <v>-19.668924000000001</v>
      </c>
      <c r="Q1005">
        <v>-43.888824</v>
      </c>
      <c r="R1005" s="2" t="str">
        <f>HYPERLINK("https://www.google.com/maps?q=-19.6689240,-43.8888240","Abrir no Google Maps")</f>
        <v>Abrir no Google Maps</v>
      </c>
      <c r="S1005">
        <v>4</v>
      </c>
      <c r="T1005">
        <v>911.82770913869297</v>
      </c>
      <c r="U1005">
        <v>3</v>
      </c>
      <c r="V1005">
        <v>0.29685099846390173</v>
      </c>
      <c r="W1005">
        <v>1</v>
      </c>
      <c r="X1005">
        <v>0.29685099846390173</v>
      </c>
      <c r="Y1005">
        <v>3</v>
      </c>
      <c r="Z1005">
        <v>306.43809582423751</v>
      </c>
      <c r="AA1005">
        <v>2</v>
      </c>
      <c r="AB1005">
        <v>3</v>
      </c>
      <c r="AC1005">
        <v>7</v>
      </c>
      <c r="AD1005">
        <v>26.28</v>
      </c>
      <c r="AE1005">
        <v>253</v>
      </c>
      <c r="AF1005">
        <v>15</v>
      </c>
      <c r="AG1005">
        <v>65</v>
      </c>
      <c r="AH1005">
        <v>32</v>
      </c>
      <c r="AI1005">
        <v>5.93</v>
      </c>
      <c r="AJ1005">
        <v>25.69</v>
      </c>
      <c r="AK1005">
        <v>12.65</v>
      </c>
      <c r="AL1005">
        <v>-19.669015399999981</v>
      </c>
      <c r="AM1005">
        <v>-43.88883436988452</v>
      </c>
      <c r="AN1005">
        <v>-19.669015399999971</v>
      </c>
      <c r="AO1005">
        <v>-43.88883436988452</v>
      </c>
      <c r="AP1005">
        <v>-19.668924000000001</v>
      </c>
      <c r="AQ1005">
        <v>-43.888824</v>
      </c>
      <c r="AR1005">
        <v>10.23254983885769</v>
      </c>
      <c r="AS1005" t="s">
        <v>65</v>
      </c>
      <c r="AT1005">
        <v>1</v>
      </c>
      <c r="AU1005" t="s">
        <v>222</v>
      </c>
      <c r="AV1005" t="s">
        <v>223</v>
      </c>
      <c r="AW1005" t="s">
        <v>60</v>
      </c>
      <c r="AX1005" t="s">
        <v>68</v>
      </c>
      <c r="AY1005" t="s">
        <v>69</v>
      </c>
      <c r="AZ1005" t="b">
        <v>1</v>
      </c>
    </row>
    <row r="1006" spans="1:52" x14ac:dyDescent="0.3">
      <c r="A1006" t="s">
        <v>52</v>
      </c>
      <c r="B1006" t="s">
        <v>53</v>
      </c>
      <c r="C1006" t="s">
        <v>54</v>
      </c>
      <c r="D1006" t="s">
        <v>55</v>
      </c>
      <c r="E1006" t="s">
        <v>804</v>
      </c>
      <c r="F1006" t="s">
        <v>176</v>
      </c>
      <c r="G1006" t="s">
        <v>228</v>
      </c>
      <c r="H1006" t="s">
        <v>229</v>
      </c>
      <c r="I1006" t="s">
        <v>229</v>
      </c>
      <c r="J1006" t="s">
        <v>60</v>
      </c>
      <c r="K1006" t="s">
        <v>199</v>
      </c>
      <c r="L1006" t="s">
        <v>62</v>
      </c>
      <c r="M1006" t="s">
        <v>199</v>
      </c>
      <c r="N1006" t="s">
        <v>230</v>
      </c>
      <c r="O1006" t="s">
        <v>88</v>
      </c>
      <c r="P1006">
        <v>-19.637703999999999</v>
      </c>
      <c r="Q1006">
        <v>-43.913817999999999</v>
      </c>
      <c r="R1006" s="2" t="str">
        <f>HYPERLINK("https://www.google.com/maps?q=-19.6377040,-43.9138180","Abrir no Google Maps")</f>
        <v>Abrir no Google Maps</v>
      </c>
      <c r="S1006">
        <v>4</v>
      </c>
      <c r="T1006">
        <v>216.67225021659709</v>
      </c>
      <c r="U1006">
        <v>3</v>
      </c>
      <c r="V1006">
        <v>0.31843502975397459</v>
      </c>
      <c r="W1006">
        <v>1</v>
      </c>
      <c r="X1006">
        <v>0.31843502975397459</v>
      </c>
      <c r="Y1006">
        <v>3</v>
      </c>
      <c r="Z1006">
        <v>250.25912407368671</v>
      </c>
      <c r="AA1006">
        <v>2</v>
      </c>
      <c r="AB1006">
        <v>3</v>
      </c>
      <c r="AC1006">
        <v>7</v>
      </c>
      <c r="AD1006">
        <v>26.28</v>
      </c>
      <c r="AE1006">
        <v>253</v>
      </c>
      <c r="AF1006">
        <v>15</v>
      </c>
      <c r="AG1006">
        <v>65</v>
      </c>
      <c r="AH1006">
        <v>32</v>
      </c>
      <c r="AI1006">
        <v>5.93</v>
      </c>
      <c r="AJ1006">
        <v>25.69</v>
      </c>
      <c r="AK1006">
        <v>12.65</v>
      </c>
      <c r="AL1006">
        <v>-19.637548049999939</v>
      </c>
      <c r="AM1006">
        <v>-43.91383458447649</v>
      </c>
      <c r="AN1006">
        <v>-19.637548049999939</v>
      </c>
      <c r="AO1006">
        <v>-43.91383458447649</v>
      </c>
      <c r="AP1006">
        <v>-19.637703999999999</v>
      </c>
      <c r="AQ1006">
        <v>-43.913817999999999</v>
      </c>
      <c r="AR1006">
        <v>17.44721566371809</v>
      </c>
      <c r="AS1006" t="s">
        <v>65</v>
      </c>
      <c r="AT1006">
        <v>1</v>
      </c>
      <c r="AU1006" t="s">
        <v>231</v>
      </c>
      <c r="AV1006" t="s">
        <v>232</v>
      </c>
      <c r="AW1006" t="s">
        <v>60</v>
      </c>
      <c r="AX1006" t="s">
        <v>68</v>
      </c>
      <c r="AY1006" t="s">
        <v>69</v>
      </c>
      <c r="AZ1006" t="b">
        <v>1</v>
      </c>
    </row>
    <row r="1007" spans="1:52" x14ac:dyDescent="0.3">
      <c r="A1007" t="s">
        <v>52</v>
      </c>
      <c r="B1007" t="s">
        <v>53</v>
      </c>
      <c r="C1007" t="s">
        <v>54</v>
      </c>
      <c r="D1007" t="s">
        <v>55</v>
      </c>
      <c r="E1007" t="s">
        <v>804</v>
      </c>
      <c r="F1007" t="s">
        <v>176</v>
      </c>
      <c r="G1007" t="s">
        <v>156</v>
      </c>
      <c r="H1007" t="s">
        <v>157</v>
      </c>
      <c r="I1007" t="s">
        <v>157</v>
      </c>
      <c r="J1007" t="s">
        <v>60</v>
      </c>
      <c r="K1007" t="s">
        <v>79</v>
      </c>
      <c r="L1007" t="s">
        <v>62</v>
      </c>
      <c r="M1007" t="s">
        <v>79</v>
      </c>
      <c r="N1007" t="s">
        <v>158</v>
      </c>
      <c r="O1007" t="s">
        <v>159</v>
      </c>
      <c r="P1007">
        <v>-19.634687</v>
      </c>
      <c r="Q1007">
        <v>-43.912925999999999</v>
      </c>
      <c r="R1007" s="2" t="str">
        <f>HYPERLINK("https://www.google.com/maps?q=-19.6346870,-43.9129260","Abrir no Google Maps")</f>
        <v>Abrir no Google Maps</v>
      </c>
      <c r="S1007">
        <v>4</v>
      </c>
      <c r="T1007">
        <v>363.69725005634331</v>
      </c>
      <c r="U1007">
        <v>3</v>
      </c>
      <c r="V1007">
        <v>0.31317931561339268</v>
      </c>
      <c r="W1007">
        <v>1</v>
      </c>
      <c r="X1007">
        <v>0.31317931561339268</v>
      </c>
      <c r="Y1007">
        <v>3</v>
      </c>
      <c r="Z1007">
        <v>343.04088334900467</v>
      </c>
      <c r="AA1007">
        <v>2</v>
      </c>
      <c r="AB1007">
        <v>3</v>
      </c>
      <c r="AC1007">
        <v>7</v>
      </c>
      <c r="AD1007">
        <v>26.28</v>
      </c>
      <c r="AE1007">
        <v>253</v>
      </c>
      <c r="AF1007">
        <v>15</v>
      </c>
      <c r="AG1007">
        <v>65</v>
      </c>
      <c r="AH1007">
        <v>32</v>
      </c>
      <c r="AI1007">
        <v>5.93</v>
      </c>
      <c r="AJ1007">
        <v>25.69</v>
      </c>
      <c r="AK1007">
        <v>12.65</v>
      </c>
      <c r="AL1007">
        <v>-19.635145849999962</v>
      </c>
      <c r="AM1007">
        <v>-43.913103387269381</v>
      </c>
      <c r="AN1007">
        <v>-19.635145849999962</v>
      </c>
      <c r="AO1007">
        <v>-43.913103387269381</v>
      </c>
      <c r="AP1007">
        <v>-19.634687</v>
      </c>
      <c r="AQ1007">
        <v>-43.912925999999999</v>
      </c>
      <c r="AR1007">
        <v>54.359794849827942</v>
      </c>
      <c r="AS1007" t="s">
        <v>65</v>
      </c>
      <c r="AT1007">
        <v>1</v>
      </c>
      <c r="AU1007" t="s">
        <v>160</v>
      </c>
      <c r="AV1007" t="s">
        <v>161</v>
      </c>
      <c r="AW1007" t="s">
        <v>60</v>
      </c>
      <c r="AX1007" t="s">
        <v>68</v>
      </c>
      <c r="AY1007" t="s">
        <v>69</v>
      </c>
      <c r="AZ1007" t="b">
        <v>1</v>
      </c>
    </row>
    <row r="1008" spans="1:52" x14ac:dyDescent="0.3">
      <c r="A1008" t="s">
        <v>52</v>
      </c>
      <c r="B1008" t="s">
        <v>53</v>
      </c>
      <c r="C1008" t="s">
        <v>54</v>
      </c>
      <c r="D1008" t="s">
        <v>55</v>
      </c>
      <c r="E1008" t="s">
        <v>804</v>
      </c>
      <c r="F1008" t="s">
        <v>176</v>
      </c>
      <c r="G1008" t="s">
        <v>233</v>
      </c>
      <c r="H1008" t="s">
        <v>234</v>
      </c>
      <c r="I1008" t="s">
        <v>234</v>
      </c>
      <c r="J1008" t="s">
        <v>60</v>
      </c>
      <c r="K1008" t="s">
        <v>235</v>
      </c>
      <c r="L1008" t="s">
        <v>62</v>
      </c>
      <c r="M1008" t="s">
        <v>235</v>
      </c>
      <c r="N1008" t="s">
        <v>236</v>
      </c>
      <c r="O1008" t="s">
        <v>120</v>
      </c>
      <c r="P1008">
        <v>-19.621310000000001</v>
      </c>
      <c r="Q1008">
        <v>-43.919790999999996</v>
      </c>
      <c r="R1008" s="2" t="str">
        <f>HYPERLINK("https://www.google.com/maps?q=-19.6213100,-43.9197910","Abrir no Google Maps")</f>
        <v>Abrir no Google Maps</v>
      </c>
      <c r="S1008">
        <v>4</v>
      </c>
      <c r="T1008">
        <v>1927.7454867197271</v>
      </c>
      <c r="U1008">
        <v>3</v>
      </c>
      <c r="V1008">
        <v>0.30975346512156332</v>
      </c>
      <c r="W1008">
        <v>1</v>
      </c>
      <c r="X1008">
        <v>0.30975346512156332</v>
      </c>
      <c r="Y1008">
        <v>3</v>
      </c>
      <c r="Z1008">
        <v>1860.010741524231</v>
      </c>
      <c r="AA1008">
        <v>2</v>
      </c>
      <c r="AB1008">
        <v>3</v>
      </c>
      <c r="AC1008">
        <v>7</v>
      </c>
      <c r="AD1008">
        <v>26.28</v>
      </c>
      <c r="AE1008">
        <v>253</v>
      </c>
      <c r="AF1008">
        <v>15</v>
      </c>
      <c r="AG1008">
        <v>65</v>
      </c>
      <c r="AH1008">
        <v>32</v>
      </c>
      <c r="AI1008">
        <v>5.93</v>
      </c>
      <c r="AJ1008">
        <v>25.69</v>
      </c>
      <c r="AK1008">
        <v>12.65</v>
      </c>
      <c r="AL1008">
        <v>-19.620273649999941</v>
      </c>
      <c r="AM1008">
        <v>-43.920429283389112</v>
      </c>
      <c r="AN1008">
        <v>-19.620273649999941</v>
      </c>
      <c r="AO1008">
        <v>-43.920429283389112</v>
      </c>
      <c r="AP1008">
        <v>-19.621310000000001</v>
      </c>
      <c r="AQ1008">
        <v>-43.919790999999996</v>
      </c>
      <c r="AR1008">
        <v>133.3747125733897</v>
      </c>
      <c r="AS1008" t="s">
        <v>65</v>
      </c>
      <c r="AT1008">
        <v>1</v>
      </c>
      <c r="AU1008" t="s">
        <v>237</v>
      </c>
      <c r="AV1008" t="s">
        <v>238</v>
      </c>
      <c r="AW1008" t="s">
        <v>60</v>
      </c>
      <c r="AX1008" t="s">
        <v>68</v>
      </c>
      <c r="AY1008" t="s">
        <v>69</v>
      </c>
      <c r="AZ1008" t="b">
        <v>1</v>
      </c>
    </row>
    <row r="1009" spans="1:52" x14ac:dyDescent="0.3">
      <c r="A1009" t="s">
        <v>52</v>
      </c>
      <c r="B1009" t="s">
        <v>53</v>
      </c>
      <c r="C1009" t="s">
        <v>54</v>
      </c>
      <c r="D1009" t="s">
        <v>55</v>
      </c>
      <c r="E1009" t="s">
        <v>804</v>
      </c>
      <c r="F1009" t="s">
        <v>176</v>
      </c>
      <c r="G1009" t="s">
        <v>273</v>
      </c>
      <c r="H1009" t="s">
        <v>274</v>
      </c>
      <c r="I1009" t="s">
        <v>274</v>
      </c>
      <c r="J1009" t="s">
        <v>60</v>
      </c>
      <c r="K1009" t="s">
        <v>171</v>
      </c>
      <c r="L1009" t="s">
        <v>62</v>
      </c>
      <c r="M1009" t="s">
        <v>171</v>
      </c>
      <c r="N1009" t="s">
        <v>275</v>
      </c>
      <c r="O1009" t="s">
        <v>276</v>
      </c>
      <c r="P1009">
        <v>-19.679956000000001</v>
      </c>
      <c r="Q1009">
        <v>-43.888520999999997</v>
      </c>
      <c r="R1009" s="2" t="str">
        <f>HYPERLINK("https://www.google.com/maps?q=-19.6799560,-43.8885210","Abrir no Google Maps")</f>
        <v>Abrir no Google Maps</v>
      </c>
      <c r="S1009">
        <v>4</v>
      </c>
      <c r="T1009">
        <v>346.2974251077423</v>
      </c>
      <c r="U1009">
        <v>3</v>
      </c>
      <c r="V1009">
        <v>0.3077591973244147</v>
      </c>
      <c r="W1009">
        <v>1</v>
      </c>
      <c r="X1009">
        <v>0.3077591973244147</v>
      </c>
      <c r="Y1009">
        <v>0</v>
      </c>
      <c r="Z1009">
        <v>223.68420981797229</v>
      </c>
      <c r="AA1009">
        <v>2</v>
      </c>
      <c r="AB1009">
        <v>3</v>
      </c>
      <c r="AC1009">
        <v>7</v>
      </c>
      <c r="AD1009">
        <v>26.28</v>
      </c>
      <c r="AE1009">
        <v>253</v>
      </c>
      <c r="AF1009">
        <v>15</v>
      </c>
      <c r="AG1009">
        <v>65</v>
      </c>
      <c r="AH1009">
        <v>32</v>
      </c>
      <c r="AI1009">
        <v>5.93</v>
      </c>
      <c r="AJ1009">
        <v>25.69</v>
      </c>
      <c r="AK1009">
        <v>12.65</v>
      </c>
      <c r="AL1009">
        <v>-19.67989189999998</v>
      </c>
      <c r="AM1009">
        <v>-43.888485157753777</v>
      </c>
      <c r="AN1009">
        <v>-19.67989189999998</v>
      </c>
      <c r="AO1009">
        <v>-43.888485157753777</v>
      </c>
      <c r="AP1009">
        <v>-19.679956000000001</v>
      </c>
      <c r="AQ1009">
        <v>-43.888520999999997</v>
      </c>
      <c r="AR1009">
        <v>8.0641961934087583</v>
      </c>
      <c r="AS1009" t="s">
        <v>65</v>
      </c>
      <c r="AT1009">
        <v>1</v>
      </c>
      <c r="AU1009" t="s">
        <v>277</v>
      </c>
      <c r="AV1009" t="s">
        <v>278</v>
      </c>
      <c r="AW1009" t="s">
        <v>60</v>
      </c>
      <c r="AX1009" t="s">
        <v>68</v>
      </c>
      <c r="AY1009" t="s">
        <v>69</v>
      </c>
      <c r="AZ1009" t="b">
        <v>1</v>
      </c>
    </row>
    <row r="1010" spans="1:52" x14ac:dyDescent="0.3">
      <c r="A1010" t="s">
        <v>52</v>
      </c>
      <c r="B1010" t="s">
        <v>53</v>
      </c>
      <c r="C1010" t="s">
        <v>54</v>
      </c>
      <c r="D1010" t="s">
        <v>55</v>
      </c>
      <c r="E1010" t="s">
        <v>804</v>
      </c>
      <c r="F1010" t="s">
        <v>176</v>
      </c>
      <c r="G1010" t="s">
        <v>169</v>
      </c>
      <c r="H1010" t="s">
        <v>170</v>
      </c>
      <c r="I1010" t="s">
        <v>170</v>
      </c>
      <c r="J1010" t="s">
        <v>60</v>
      </c>
      <c r="K1010" t="s">
        <v>171</v>
      </c>
      <c r="L1010" t="s">
        <v>62</v>
      </c>
      <c r="M1010" t="s">
        <v>171</v>
      </c>
      <c r="N1010" t="s">
        <v>172</v>
      </c>
      <c r="O1010" t="s">
        <v>173</v>
      </c>
      <c r="P1010">
        <v>-19.676233</v>
      </c>
      <c r="Q1010">
        <v>-43.88861</v>
      </c>
      <c r="R1010" s="2" t="str">
        <f>HYPERLINK("https://www.google.com/maps?q=-19.6762330,-43.8886100","Abrir no Google Maps")</f>
        <v>Abrir no Google Maps</v>
      </c>
      <c r="S1010">
        <v>4</v>
      </c>
      <c r="T1010">
        <v>209.5772620412292</v>
      </c>
      <c r="U1010">
        <v>3</v>
      </c>
      <c r="V1010">
        <v>0.32701643707336309</v>
      </c>
      <c r="W1010">
        <v>1</v>
      </c>
      <c r="X1010">
        <v>0.32701643707336309</v>
      </c>
      <c r="Y1010">
        <v>0</v>
      </c>
      <c r="Z1010">
        <v>194.26571923644971</v>
      </c>
      <c r="AA1010">
        <v>2</v>
      </c>
      <c r="AB1010">
        <v>3</v>
      </c>
      <c r="AC1010">
        <v>7</v>
      </c>
      <c r="AD1010">
        <v>26.28</v>
      </c>
      <c r="AE1010">
        <v>253</v>
      </c>
      <c r="AF1010">
        <v>15</v>
      </c>
      <c r="AG1010">
        <v>65</v>
      </c>
      <c r="AH1010">
        <v>32</v>
      </c>
      <c r="AI1010">
        <v>5.93</v>
      </c>
      <c r="AJ1010">
        <v>25.69</v>
      </c>
      <c r="AK1010">
        <v>12.65</v>
      </c>
      <c r="AL1010">
        <v>-19.676097449999961</v>
      </c>
      <c r="AM1010">
        <v>-43.888455613153738</v>
      </c>
      <c r="AN1010">
        <v>-19.676097449999961</v>
      </c>
      <c r="AO1010">
        <v>-43.888455613153738</v>
      </c>
      <c r="AP1010">
        <v>-19.676233</v>
      </c>
      <c r="AQ1010">
        <v>-43.88861</v>
      </c>
      <c r="AR1010">
        <v>22.126352434234079</v>
      </c>
      <c r="AS1010" t="s">
        <v>65</v>
      </c>
      <c r="AT1010">
        <v>1</v>
      </c>
      <c r="AU1010" t="s">
        <v>174</v>
      </c>
      <c r="AV1010" t="s">
        <v>175</v>
      </c>
      <c r="AW1010" t="s">
        <v>60</v>
      </c>
      <c r="AX1010" t="s">
        <v>68</v>
      </c>
      <c r="AY1010" t="s">
        <v>69</v>
      </c>
      <c r="AZ1010" t="b">
        <v>1</v>
      </c>
    </row>
    <row r="1011" spans="1:52" x14ac:dyDescent="0.3">
      <c r="A1011" t="s">
        <v>52</v>
      </c>
      <c r="B1011" t="s">
        <v>53</v>
      </c>
      <c r="C1011" t="s">
        <v>54</v>
      </c>
      <c r="D1011" t="s">
        <v>55</v>
      </c>
      <c r="E1011" t="s">
        <v>804</v>
      </c>
      <c r="F1011" t="s">
        <v>176</v>
      </c>
      <c r="G1011" t="s">
        <v>279</v>
      </c>
      <c r="H1011" t="s">
        <v>280</v>
      </c>
      <c r="I1011" t="s">
        <v>280</v>
      </c>
      <c r="J1011" t="s">
        <v>60</v>
      </c>
      <c r="K1011" t="s">
        <v>171</v>
      </c>
      <c r="L1011" t="s">
        <v>62</v>
      </c>
      <c r="M1011" t="s">
        <v>171</v>
      </c>
      <c r="N1011" t="s">
        <v>281</v>
      </c>
      <c r="O1011" t="s">
        <v>282</v>
      </c>
      <c r="P1011">
        <v>-19.677088000000001</v>
      </c>
      <c r="Q1011">
        <v>-43.890014000000001</v>
      </c>
      <c r="R1011" s="2" t="str">
        <f>HYPERLINK("https://www.google.com/maps?q=-19.6770880,-43.8900140","Abrir no Google Maps")</f>
        <v>Abrir no Google Maps</v>
      </c>
      <c r="S1011">
        <v>4</v>
      </c>
      <c r="T1011">
        <v>0</v>
      </c>
      <c r="U1011">
        <v>3</v>
      </c>
      <c r="V1011">
        <v>0.29465995700605818</v>
      </c>
      <c r="W1011">
        <v>1</v>
      </c>
      <c r="X1011">
        <v>0.29465995700605818</v>
      </c>
      <c r="Y1011">
        <v>0</v>
      </c>
      <c r="Z1011">
        <v>151.75635194559609</v>
      </c>
      <c r="AA1011">
        <v>2</v>
      </c>
      <c r="AB1011">
        <v>3</v>
      </c>
      <c r="AC1011">
        <v>7</v>
      </c>
      <c r="AD1011">
        <v>26.28</v>
      </c>
      <c r="AE1011">
        <v>253</v>
      </c>
      <c r="AF1011">
        <v>15</v>
      </c>
      <c r="AG1011">
        <v>65</v>
      </c>
      <c r="AH1011">
        <v>32</v>
      </c>
      <c r="AI1011">
        <v>5.93</v>
      </c>
      <c r="AJ1011">
        <v>25.69</v>
      </c>
      <c r="AK1011">
        <v>12.65</v>
      </c>
      <c r="AL1011">
        <v>-19.677165649999949</v>
      </c>
      <c r="AM1011">
        <v>-43.890106299611283</v>
      </c>
      <c r="AN1011">
        <v>-19.677165649999949</v>
      </c>
      <c r="AO1011">
        <v>-43.890106299611283</v>
      </c>
      <c r="AP1011">
        <v>-19.677088000000001</v>
      </c>
      <c r="AQ1011">
        <v>-43.890014000000001</v>
      </c>
      <c r="AR1011">
        <v>12.973833126778279</v>
      </c>
      <c r="AS1011" t="s">
        <v>65</v>
      </c>
      <c r="AT1011">
        <v>1</v>
      </c>
      <c r="AU1011" t="s">
        <v>283</v>
      </c>
      <c r="AV1011" t="s">
        <v>175</v>
      </c>
      <c r="AW1011" t="s">
        <v>60</v>
      </c>
      <c r="AX1011" t="s">
        <v>68</v>
      </c>
      <c r="AY1011" t="s">
        <v>69</v>
      </c>
      <c r="AZ1011" t="b">
        <v>1</v>
      </c>
    </row>
    <row r="1012" spans="1:52" x14ac:dyDescent="0.3">
      <c r="A1012" t="s">
        <v>52</v>
      </c>
      <c r="B1012" t="s">
        <v>53</v>
      </c>
      <c r="C1012" t="s">
        <v>54</v>
      </c>
      <c r="D1012" t="s">
        <v>55</v>
      </c>
      <c r="E1012" t="s">
        <v>804</v>
      </c>
      <c r="F1012" t="s">
        <v>176</v>
      </c>
      <c r="G1012" t="s">
        <v>388</v>
      </c>
      <c r="H1012" t="s">
        <v>389</v>
      </c>
      <c r="I1012" t="s">
        <v>389</v>
      </c>
      <c r="J1012" t="s">
        <v>60</v>
      </c>
      <c r="K1012" t="s">
        <v>185</v>
      </c>
      <c r="L1012" t="s">
        <v>62</v>
      </c>
      <c r="M1012" t="s">
        <v>185</v>
      </c>
      <c r="N1012" t="s">
        <v>390</v>
      </c>
      <c r="O1012" t="s">
        <v>391</v>
      </c>
      <c r="P1012">
        <v>-19.628802</v>
      </c>
      <c r="Q1012">
        <v>-43.891649000000001</v>
      </c>
      <c r="R1012" s="2" t="str">
        <f>HYPERLINK("https://www.google.com/maps?q=-19.6288020,-43.8916490","Abrir no Google Maps")</f>
        <v>Abrir no Google Maps</v>
      </c>
      <c r="S1012">
        <v>3</v>
      </c>
      <c r="T1012">
        <v>0</v>
      </c>
      <c r="U1012">
        <v>4</v>
      </c>
      <c r="V1012">
        <v>0.45367965367965368</v>
      </c>
      <c r="W1012">
        <v>0.85</v>
      </c>
      <c r="X1012">
        <v>0.3856277056277056</v>
      </c>
      <c r="Y1012">
        <v>18</v>
      </c>
      <c r="Z1012">
        <v>117.5064585283839</v>
      </c>
      <c r="AA1012">
        <v>2</v>
      </c>
      <c r="AB1012">
        <v>3</v>
      </c>
      <c r="AC1012">
        <v>7</v>
      </c>
      <c r="AD1012">
        <v>26.28</v>
      </c>
      <c r="AE1012">
        <v>253</v>
      </c>
      <c r="AF1012">
        <v>15</v>
      </c>
      <c r="AG1012">
        <v>65</v>
      </c>
      <c r="AH1012">
        <v>32</v>
      </c>
      <c r="AI1012">
        <v>5.93</v>
      </c>
      <c r="AJ1012">
        <v>25.69</v>
      </c>
      <c r="AK1012">
        <v>12.65</v>
      </c>
      <c r="AL1012">
        <v>-19.628865499999961</v>
      </c>
      <c r="AM1012">
        <v>-43.891662391334172</v>
      </c>
      <c r="AN1012">
        <v>-19.628865499999961</v>
      </c>
      <c r="AO1012">
        <v>-43.891662391334172</v>
      </c>
      <c r="AP1012">
        <v>-19.628802</v>
      </c>
      <c r="AQ1012">
        <v>-43.891649000000001</v>
      </c>
      <c r="AR1012">
        <v>7.2069201904448459</v>
      </c>
      <c r="AS1012" t="s">
        <v>65</v>
      </c>
      <c r="AT1012">
        <v>1</v>
      </c>
      <c r="AU1012" t="s">
        <v>392</v>
      </c>
      <c r="AV1012" t="s">
        <v>393</v>
      </c>
      <c r="AW1012" t="s">
        <v>60</v>
      </c>
      <c r="AX1012" t="s">
        <v>68</v>
      </c>
      <c r="AY1012" t="s">
        <v>69</v>
      </c>
      <c r="AZ1012" t="b">
        <v>1</v>
      </c>
    </row>
    <row r="1013" spans="1:52" x14ac:dyDescent="0.3">
      <c r="A1013" t="s">
        <v>52</v>
      </c>
      <c r="B1013" t="s">
        <v>53</v>
      </c>
      <c r="C1013" t="s">
        <v>54</v>
      </c>
      <c r="D1013" t="s">
        <v>55</v>
      </c>
      <c r="E1013" t="s">
        <v>804</v>
      </c>
      <c r="F1013" t="s">
        <v>176</v>
      </c>
      <c r="G1013" t="s">
        <v>536</v>
      </c>
      <c r="H1013" t="s">
        <v>537</v>
      </c>
      <c r="I1013" t="s">
        <v>537</v>
      </c>
      <c r="J1013" t="s">
        <v>60</v>
      </c>
      <c r="K1013" t="s">
        <v>185</v>
      </c>
      <c r="L1013" t="s">
        <v>62</v>
      </c>
      <c r="M1013" t="s">
        <v>185</v>
      </c>
      <c r="N1013" t="s">
        <v>538</v>
      </c>
      <c r="O1013" t="s">
        <v>408</v>
      </c>
      <c r="P1013">
        <v>-19.630147999999998</v>
      </c>
      <c r="Q1013">
        <v>-43.893844000000001</v>
      </c>
      <c r="R1013" s="2" t="str">
        <f>HYPERLINK("https://www.google.com/maps?q=-19.6301480,-43.8938440","Abrir no Google Maps")</f>
        <v>Abrir no Google Maps</v>
      </c>
      <c r="S1013">
        <v>3</v>
      </c>
      <c r="T1013">
        <v>262.94285160220159</v>
      </c>
      <c r="U1013">
        <v>4</v>
      </c>
      <c r="V1013">
        <v>0.40566613162118781</v>
      </c>
      <c r="W1013">
        <v>0.85</v>
      </c>
      <c r="X1013">
        <v>0.34481621187800959</v>
      </c>
      <c r="Y1013">
        <v>18</v>
      </c>
      <c r="Z1013">
        <v>351.25774094845309</v>
      </c>
      <c r="AA1013">
        <v>2</v>
      </c>
      <c r="AB1013">
        <v>3</v>
      </c>
      <c r="AC1013">
        <v>7</v>
      </c>
      <c r="AD1013">
        <v>26.28</v>
      </c>
      <c r="AE1013">
        <v>253</v>
      </c>
      <c r="AF1013">
        <v>15</v>
      </c>
      <c r="AG1013">
        <v>65</v>
      </c>
      <c r="AH1013">
        <v>32</v>
      </c>
      <c r="AI1013">
        <v>5.93</v>
      </c>
      <c r="AJ1013">
        <v>25.69</v>
      </c>
      <c r="AK1013">
        <v>12.65</v>
      </c>
      <c r="AL1013">
        <v>-19.630177599999939</v>
      </c>
      <c r="AM1013">
        <v>-43.893752755034278</v>
      </c>
      <c r="AN1013">
        <v>-19.630177599999939</v>
      </c>
      <c r="AO1013">
        <v>-43.893752755034278</v>
      </c>
      <c r="AP1013">
        <v>-19.630147999999998</v>
      </c>
      <c r="AQ1013">
        <v>-43.893844000000001</v>
      </c>
      <c r="AR1013">
        <v>10.1185927114604</v>
      </c>
      <c r="AS1013" t="s">
        <v>65</v>
      </c>
      <c r="AT1013">
        <v>1</v>
      </c>
      <c r="AU1013" t="s">
        <v>539</v>
      </c>
      <c r="AV1013" t="s">
        <v>540</v>
      </c>
      <c r="AW1013" t="s">
        <v>60</v>
      </c>
      <c r="AX1013" t="s">
        <v>68</v>
      </c>
      <c r="AY1013" t="s">
        <v>69</v>
      </c>
      <c r="AZ1013" t="b">
        <v>1</v>
      </c>
    </row>
    <row r="1014" spans="1:52" x14ac:dyDescent="0.3">
      <c r="A1014" t="s">
        <v>52</v>
      </c>
      <c r="B1014" t="s">
        <v>53</v>
      </c>
      <c r="C1014" t="s">
        <v>54</v>
      </c>
      <c r="D1014" t="s">
        <v>55</v>
      </c>
      <c r="E1014" t="s">
        <v>804</v>
      </c>
      <c r="F1014" t="s">
        <v>176</v>
      </c>
      <c r="G1014" t="s">
        <v>405</v>
      </c>
      <c r="H1014" t="s">
        <v>406</v>
      </c>
      <c r="I1014" t="s">
        <v>406</v>
      </c>
      <c r="J1014" t="s">
        <v>60</v>
      </c>
      <c r="K1014" t="s">
        <v>286</v>
      </c>
      <c r="L1014" t="s">
        <v>62</v>
      </c>
      <c r="M1014" t="s">
        <v>286</v>
      </c>
      <c r="N1014" t="s">
        <v>407</v>
      </c>
      <c r="O1014" t="s">
        <v>408</v>
      </c>
      <c r="P1014">
        <v>-19.646345</v>
      </c>
      <c r="Q1014">
        <v>-43.882294999999999</v>
      </c>
      <c r="R1014" s="2" t="str">
        <f>HYPERLINK("https://www.google.com/maps?q=-19.6463450,-43.8822950","Abrir no Google Maps")</f>
        <v>Abrir no Google Maps</v>
      </c>
      <c r="S1014">
        <v>3</v>
      </c>
      <c r="T1014">
        <v>450.3180538635894</v>
      </c>
      <c r="U1014">
        <v>4</v>
      </c>
      <c r="V1014">
        <v>0.33445822994210089</v>
      </c>
      <c r="W1014">
        <v>1</v>
      </c>
      <c r="X1014">
        <v>0.33445822994210089</v>
      </c>
      <c r="Y1014">
        <v>10</v>
      </c>
      <c r="Z1014">
        <v>349.23341775902583</v>
      </c>
      <c r="AA1014">
        <v>2</v>
      </c>
      <c r="AB1014">
        <v>3</v>
      </c>
      <c r="AC1014">
        <v>7</v>
      </c>
      <c r="AD1014">
        <v>26.28</v>
      </c>
      <c r="AE1014">
        <v>253</v>
      </c>
      <c r="AF1014">
        <v>15</v>
      </c>
      <c r="AG1014">
        <v>65</v>
      </c>
      <c r="AH1014">
        <v>32</v>
      </c>
      <c r="AI1014">
        <v>5.93</v>
      </c>
      <c r="AJ1014">
        <v>25.69</v>
      </c>
      <c r="AK1014">
        <v>12.65</v>
      </c>
      <c r="AL1014">
        <v>-19.646391649999941</v>
      </c>
      <c r="AM1014">
        <v>-43.882007396993302</v>
      </c>
      <c r="AN1014">
        <v>-19.646391649999941</v>
      </c>
      <c r="AO1014">
        <v>-43.882007396993302</v>
      </c>
      <c r="AP1014">
        <v>-19.646345</v>
      </c>
      <c r="AQ1014">
        <v>-43.882294999999999</v>
      </c>
      <c r="AR1014">
        <v>30.596105513395301</v>
      </c>
      <c r="AS1014" t="s">
        <v>65</v>
      </c>
      <c r="AT1014">
        <v>1</v>
      </c>
      <c r="AU1014" t="s">
        <v>409</v>
      </c>
      <c r="AV1014" t="s">
        <v>410</v>
      </c>
      <c r="AW1014" t="s">
        <v>60</v>
      </c>
      <c r="AX1014" t="s">
        <v>68</v>
      </c>
      <c r="AY1014" t="s">
        <v>69</v>
      </c>
      <c r="AZ1014" t="b">
        <v>1</v>
      </c>
    </row>
    <row r="1015" spans="1:52" x14ac:dyDescent="0.3">
      <c r="A1015" t="s">
        <v>52</v>
      </c>
      <c r="B1015" t="s">
        <v>53</v>
      </c>
      <c r="C1015" t="s">
        <v>54</v>
      </c>
      <c r="D1015" t="s">
        <v>55</v>
      </c>
      <c r="E1015" t="s">
        <v>804</v>
      </c>
      <c r="F1015" t="s">
        <v>176</v>
      </c>
      <c r="G1015" t="s">
        <v>777</v>
      </c>
      <c r="H1015" t="s">
        <v>778</v>
      </c>
      <c r="I1015" t="s">
        <v>778</v>
      </c>
      <c r="J1015" t="s">
        <v>60</v>
      </c>
      <c r="K1015" t="s">
        <v>352</v>
      </c>
      <c r="L1015" t="s">
        <v>62</v>
      </c>
      <c r="M1015" t="s">
        <v>352</v>
      </c>
      <c r="N1015" t="s">
        <v>779</v>
      </c>
      <c r="O1015" t="s">
        <v>780</v>
      </c>
      <c r="P1015">
        <v>-19.579518</v>
      </c>
      <c r="Q1015">
        <v>-43.909238000000002</v>
      </c>
      <c r="R1015" s="2" t="str">
        <f>HYPERLINK("https://www.google.com/maps?q=-19.5795180,-43.9092380","Abrir no Google Maps")</f>
        <v>Abrir no Google Maps</v>
      </c>
      <c r="S1015">
        <v>3</v>
      </c>
      <c r="T1015">
        <v>1293.9709096326289</v>
      </c>
      <c r="U1015">
        <v>4</v>
      </c>
      <c r="V1015">
        <v>0.4407486440828664</v>
      </c>
      <c r="W1015">
        <v>0.85</v>
      </c>
      <c r="X1015">
        <v>0.37463634747043639</v>
      </c>
      <c r="Y1015">
        <v>7</v>
      </c>
      <c r="Z1015">
        <v>1024.030940986815</v>
      </c>
      <c r="AA1015">
        <v>2</v>
      </c>
      <c r="AB1015">
        <v>3</v>
      </c>
      <c r="AC1015">
        <v>7</v>
      </c>
      <c r="AD1015">
        <v>26.28</v>
      </c>
      <c r="AE1015">
        <v>253</v>
      </c>
      <c r="AF1015">
        <v>15</v>
      </c>
      <c r="AG1015">
        <v>65</v>
      </c>
      <c r="AH1015">
        <v>32</v>
      </c>
      <c r="AI1015">
        <v>5.93</v>
      </c>
      <c r="AJ1015">
        <v>25.69</v>
      </c>
      <c r="AK1015">
        <v>12.65</v>
      </c>
      <c r="AL1015">
        <v>-19.579767999999941</v>
      </c>
      <c r="AM1015">
        <v>-43.909514457818823</v>
      </c>
      <c r="AN1015">
        <v>-19.579767999999941</v>
      </c>
      <c r="AO1015">
        <v>-43.909514457818823</v>
      </c>
      <c r="AP1015">
        <v>-19.579518</v>
      </c>
      <c r="AQ1015">
        <v>-43.909238000000002</v>
      </c>
      <c r="AR1015">
        <v>40.190312724728379</v>
      </c>
      <c r="AS1015" t="s">
        <v>65</v>
      </c>
      <c r="AT1015">
        <v>1</v>
      </c>
      <c r="AU1015" t="s">
        <v>781</v>
      </c>
      <c r="AV1015" t="s">
        <v>782</v>
      </c>
      <c r="AW1015" t="s">
        <v>60</v>
      </c>
      <c r="AX1015" t="s">
        <v>68</v>
      </c>
      <c r="AY1015" t="s">
        <v>69</v>
      </c>
      <c r="AZ1015" t="b">
        <v>1</v>
      </c>
    </row>
    <row r="1016" spans="1:52" x14ac:dyDescent="0.3">
      <c r="A1016" t="s">
        <v>52</v>
      </c>
      <c r="B1016" t="s">
        <v>53</v>
      </c>
      <c r="C1016" t="s">
        <v>54</v>
      </c>
      <c r="D1016" t="s">
        <v>55</v>
      </c>
      <c r="E1016" t="s">
        <v>804</v>
      </c>
      <c r="F1016" t="s">
        <v>176</v>
      </c>
      <c r="G1016" t="s">
        <v>309</v>
      </c>
      <c r="H1016" t="s">
        <v>310</v>
      </c>
      <c r="I1016" t="s">
        <v>310</v>
      </c>
      <c r="J1016" t="s">
        <v>60</v>
      </c>
      <c r="K1016" t="s">
        <v>311</v>
      </c>
      <c r="L1016" t="s">
        <v>62</v>
      </c>
      <c r="M1016" t="s">
        <v>311</v>
      </c>
      <c r="N1016" t="s">
        <v>312</v>
      </c>
      <c r="O1016" t="s">
        <v>313</v>
      </c>
      <c r="P1016">
        <v>-19.576996999999999</v>
      </c>
      <c r="Q1016">
        <v>-43.919024999999998</v>
      </c>
      <c r="R1016" s="2" t="str">
        <f>HYPERLINK("https://www.google.com/maps?q=-19.5769970,-43.9190250","Abrir no Google Maps")</f>
        <v>Abrir no Google Maps</v>
      </c>
      <c r="S1016">
        <v>3</v>
      </c>
      <c r="T1016">
        <v>316.64266747869789</v>
      </c>
      <c r="U1016">
        <v>4</v>
      </c>
      <c r="V1016">
        <v>0.48931760823141141</v>
      </c>
      <c r="W1016">
        <v>0.85</v>
      </c>
      <c r="X1016">
        <v>0.4159199669966997</v>
      </c>
      <c r="Y1016">
        <v>5</v>
      </c>
      <c r="Z1016">
        <v>411.74435151529269</v>
      </c>
      <c r="AA1016">
        <v>2</v>
      </c>
      <c r="AB1016">
        <v>3</v>
      </c>
      <c r="AC1016">
        <v>7</v>
      </c>
      <c r="AD1016">
        <v>26.28</v>
      </c>
      <c r="AE1016">
        <v>253</v>
      </c>
      <c r="AF1016">
        <v>15</v>
      </c>
      <c r="AG1016">
        <v>65</v>
      </c>
      <c r="AH1016">
        <v>32</v>
      </c>
      <c r="AI1016">
        <v>5.93</v>
      </c>
      <c r="AJ1016">
        <v>25.69</v>
      </c>
      <c r="AK1016">
        <v>12.65</v>
      </c>
      <c r="AL1016">
        <v>-19.576964999999941</v>
      </c>
      <c r="AM1016">
        <v>-43.919068241233632</v>
      </c>
      <c r="AN1016">
        <v>-19.576964999999941</v>
      </c>
      <c r="AO1016">
        <v>-43.919068241233632</v>
      </c>
      <c r="AP1016">
        <v>-19.576996999999999</v>
      </c>
      <c r="AQ1016">
        <v>-43.919024999999998</v>
      </c>
      <c r="AR1016">
        <v>5.7670575161946216</v>
      </c>
      <c r="AS1016" t="s">
        <v>65</v>
      </c>
      <c r="AT1016">
        <v>1</v>
      </c>
      <c r="AU1016" t="s">
        <v>314</v>
      </c>
      <c r="AV1016" t="s">
        <v>315</v>
      </c>
      <c r="AW1016" t="s">
        <v>60</v>
      </c>
      <c r="AX1016" t="s">
        <v>68</v>
      </c>
      <c r="AY1016" t="s">
        <v>69</v>
      </c>
      <c r="AZ1016" t="b">
        <v>1</v>
      </c>
    </row>
    <row r="1017" spans="1:52" x14ac:dyDescent="0.3">
      <c r="A1017" t="s">
        <v>52</v>
      </c>
      <c r="B1017" t="s">
        <v>53</v>
      </c>
      <c r="C1017" t="s">
        <v>54</v>
      </c>
      <c r="D1017" t="s">
        <v>55</v>
      </c>
      <c r="E1017" t="s">
        <v>804</v>
      </c>
      <c r="F1017" t="s">
        <v>176</v>
      </c>
      <c r="G1017" t="s">
        <v>309</v>
      </c>
      <c r="H1017" t="s">
        <v>316</v>
      </c>
      <c r="I1017" t="s">
        <v>316</v>
      </c>
      <c r="J1017" t="s">
        <v>60</v>
      </c>
      <c r="K1017" t="s">
        <v>311</v>
      </c>
      <c r="L1017" t="s">
        <v>62</v>
      </c>
      <c r="M1017" t="s">
        <v>311</v>
      </c>
      <c r="N1017" t="s">
        <v>317</v>
      </c>
      <c r="O1017" t="s">
        <v>313</v>
      </c>
      <c r="P1017">
        <v>-19.580131999999999</v>
      </c>
      <c r="Q1017">
        <v>-43.918303000000002</v>
      </c>
      <c r="R1017" s="2" t="str">
        <f>HYPERLINK("https://www.google.com/maps?q=-19.5801320,-43.9183030","Abrir no Google Maps")</f>
        <v>Abrir no Google Maps</v>
      </c>
      <c r="S1017">
        <v>3</v>
      </c>
      <c r="T1017">
        <v>665.05989403461285</v>
      </c>
      <c r="U1017">
        <v>4</v>
      </c>
      <c r="V1017">
        <v>0.4799624631334346</v>
      </c>
      <c r="W1017">
        <v>1</v>
      </c>
      <c r="X1017">
        <v>0.4799624631334346</v>
      </c>
      <c r="Y1017">
        <v>5</v>
      </c>
      <c r="Z1017">
        <v>743.64474333505098</v>
      </c>
      <c r="AA1017">
        <v>2</v>
      </c>
      <c r="AB1017">
        <v>3</v>
      </c>
      <c r="AC1017">
        <v>7</v>
      </c>
      <c r="AD1017">
        <v>26.28</v>
      </c>
      <c r="AE1017">
        <v>253</v>
      </c>
      <c r="AF1017">
        <v>15</v>
      </c>
      <c r="AG1017">
        <v>65</v>
      </c>
      <c r="AH1017">
        <v>32</v>
      </c>
      <c r="AI1017">
        <v>5.93</v>
      </c>
      <c r="AJ1017">
        <v>25.69</v>
      </c>
      <c r="AK1017">
        <v>12.65</v>
      </c>
      <c r="AL1017">
        <v>-19.58010349999995</v>
      </c>
      <c r="AM1017">
        <v>-43.918363319288602</v>
      </c>
      <c r="AN1017">
        <v>-19.58010349999995</v>
      </c>
      <c r="AO1017">
        <v>-43.918363319288602</v>
      </c>
      <c r="AP1017">
        <v>-19.580131999999999</v>
      </c>
      <c r="AQ1017">
        <v>-43.918303000000002</v>
      </c>
      <c r="AR1017">
        <v>7.0773977790944862</v>
      </c>
      <c r="AS1017" t="s">
        <v>65</v>
      </c>
      <c r="AT1017">
        <v>1</v>
      </c>
      <c r="AU1017" t="s">
        <v>318</v>
      </c>
      <c r="AV1017" t="s">
        <v>319</v>
      </c>
      <c r="AW1017" t="s">
        <v>60</v>
      </c>
      <c r="AX1017" t="s">
        <v>68</v>
      </c>
      <c r="AY1017" t="s">
        <v>69</v>
      </c>
      <c r="AZ1017" t="b">
        <v>1</v>
      </c>
    </row>
    <row r="1018" spans="1:52" x14ac:dyDescent="0.3">
      <c r="A1018" t="s">
        <v>52</v>
      </c>
      <c r="B1018" t="s">
        <v>53</v>
      </c>
      <c r="C1018" t="s">
        <v>54</v>
      </c>
      <c r="D1018" t="s">
        <v>55</v>
      </c>
      <c r="E1018" t="s">
        <v>804</v>
      </c>
      <c r="F1018" t="s">
        <v>176</v>
      </c>
      <c r="G1018" t="s">
        <v>309</v>
      </c>
      <c r="H1018" t="s">
        <v>320</v>
      </c>
      <c r="I1018" t="s">
        <v>320</v>
      </c>
      <c r="J1018" t="s">
        <v>60</v>
      </c>
      <c r="K1018" t="s">
        <v>311</v>
      </c>
      <c r="L1018" t="s">
        <v>62</v>
      </c>
      <c r="M1018" t="s">
        <v>311</v>
      </c>
      <c r="N1018" t="s">
        <v>321</v>
      </c>
      <c r="O1018" t="s">
        <v>313</v>
      </c>
      <c r="P1018">
        <v>-19.578469999999999</v>
      </c>
      <c r="Q1018">
        <v>-43.918922000000002</v>
      </c>
      <c r="R1018" s="2" t="str">
        <f>HYPERLINK("https://www.google.com/maps?q=-19.5784700,-43.9189220","Abrir no Google Maps")</f>
        <v>Abrir no Google Maps</v>
      </c>
      <c r="S1018">
        <v>3</v>
      </c>
      <c r="T1018">
        <v>474.92456146278471</v>
      </c>
      <c r="U1018">
        <v>4</v>
      </c>
      <c r="V1018">
        <v>0.45579269306206582</v>
      </c>
      <c r="W1018">
        <v>0.85</v>
      </c>
      <c r="X1018">
        <v>0.38742378910275588</v>
      </c>
      <c r="Y1018">
        <v>5</v>
      </c>
      <c r="Z1018">
        <v>562.61594151292854</v>
      </c>
      <c r="AA1018">
        <v>2</v>
      </c>
      <c r="AB1018">
        <v>3</v>
      </c>
      <c r="AC1018">
        <v>7</v>
      </c>
      <c r="AD1018">
        <v>26.28</v>
      </c>
      <c r="AE1018">
        <v>253</v>
      </c>
      <c r="AF1018">
        <v>15</v>
      </c>
      <c r="AG1018">
        <v>65</v>
      </c>
      <c r="AH1018">
        <v>32</v>
      </c>
      <c r="AI1018">
        <v>5.93</v>
      </c>
      <c r="AJ1018">
        <v>25.69</v>
      </c>
      <c r="AK1018">
        <v>12.65</v>
      </c>
      <c r="AL1018">
        <v>-19.578483899999959</v>
      </c>
      <c r="AM1018">
        <v>-43.918967993509547</v>
      </c>
      <c r="AN1018">
        <v>-19.578483899999959</v>
      </c>
      <c r="AO1018">
        <v>-43.918967993509547</v>
      </c>
      <c r="AP1018">
        <v>-19.578469999999999</v>
      </c>
      <c r="AQ1018">
        <v>-43.918922000000002</v>
      </c>
      <c r="AR1018">
        <v>5.0660669465561501</v>
      </c>
      <c r="AS1018" t="s">
        <v>65</v>
      </c>
      <c r="AT1018">
        <v>1</v>
      </c>
      <c r="AU1018" t="s">
        <v>322</v>
      </c>
      <c r="AV1018" t="s">
        <v>323</v>
      </c>
      <c r="AW1018" t="s">
        <v>60</v>
      </c>
      <c r="AX1018" t="s">
        <v>68</v>
      </c>
      <c r="AY1018" t="s">
        <v>69</v>
      </c>
      <c r="AZ1018" t="b">
        <v>1</v>
      </c>
    </row>
    <row r="1019" spans="1:52" x14ac:dyDescent="0.3">
      <c r="A1019" t="s">
        <v>52</v>
      </c>
      <c r="B1019" t="s">
        <v>53</v>
      </c>
      <c r="C1019" t="s">
        <v>54</v>
      </c>
      <c r="D1019" t="s">
        <v>55</v>
      </c>
      <c r="E1019" t="s">
        <v>804</v>
      </c>
      <c r="F1019" t="s">
        <v>176</v>
      </c>
      <c r="G1019" t="s">
        <v>705</v>
      </c>
      <c r="H1019" t="s">
        <v>706</v>
      </c>
      <c r="I1019" t="s">
        <v>706</v>
      </c>
      <c r="J1019" t="s">
        <v>60</v>
      </c>
      <c r="K1019" t="s">
        <v>707</v>
      </c>
      <c r="L1019" t="s">
        <v>62</v>
      </c>
      <c r="M1019" t="s">
        <v>707</v>
      </c>
      <c r="N1019" t="s">
        <v>708</v>
      </c>
      <c r="O1019" t="s">
        <v>709</v>
      </c>
      <c r="P1019">
        <v>-19.649132000000002</v>
      </c>
      <c r="Q1019">
        <v>-43.913184999999999</v>
      </c>
      <c r="R1019" s="2" t="str">
        <f>HYPERLINK("https://www.google.com/maps?q=-19.6491320,-43.9131850","Abrir no Google Maps")</f>
        <v>Abrir no Google Maps</v>
      </c>
      <c r="S1019">
        <v>3</v>
      </c>
      <c r="T1019">
        <v>708.05095277627129</v>
      </c>
      <c r="U1019">
        <v>4</v>
      </c>
      <c r="V1019">
        <v>0.34504139309163567</v>
      </c>
      <c r="W1019">
        <v>1</v>
      </c>
      <c r="X1019">
        <v>0.34504139309163567</v>
      </c>
      <c r="Y1019">
        <v>4</v>
      </c>
      <c r="Z1019">
        <v>786.89435979618963</v>
      </c>
      <c r="AA1019">
        <v>2</v>
      </c>
      <c r="AB1019">
        <v>3</v>
      </c>
      <c r="AC1019">
        <v>7</v>
      </c>
      <c r="AD1019">
        <v>26.28</v>
      </c>
      <c r="AE1019">
        <v>253</v>
      </c>
      <c r="AF1019">
        <v>15</v>
      </c>
      <c r="AG1019">
        <v>65</v>
      </c>
      <c r="AH1019">
        <v>32</v>
      </c>
      <c r="AI1019">
        <v>5.93</v>
      </c>
      <c r="AJ1019">
        <v>25.69</v>
      </c>
      <c r="AK1019">
        <v>12.65</v>
      </c>
      <c r="AL1019">
        <v>-19.649055099999941</v>
      </c>
      <c r="AM1019">
        <v>-43.912942827576757</v>
      </c>
      <c r="AN1019">
        <v>-19.649055099999941</v>
      </c>
      <c r="AO1019">
        <v>-43.912942827576771</v>
      </c>
      <c r="AP1019">
        <v>-19.649132000000002</v>
      </c>
      <c r="AQ1019">
        <v>-43.913184999999999</v>
      </c>
      <c r="AR1019">
        <v>26.793189431239711</v>
      </c>
      <c r="AS1019" t="s">
        <v>65</v>
      </c>
      <c r="AT1019">
        <v>1</v>
      </c>
      <c r="AU1019" t="s">
        <v>710</v>
      </c>
      <c r="AV1019" t="s">
        <v>711</v>
      </c>
      <c r="AW1019" t="s">
        <v>60</v>
      </c>
      <c r="AX1019" t="s">
        <v>68</v>
      </c>
      <c r="AY1019" t="s">
        <v>69</v>
      </c>
      <c r="AZ1019" t="b">
        <v>1</v>
      </c>
    </row>
    <row r="1020" spans="1:52" x14ac:dyDescent="0.3">
      <c r="A1020" t="s">
        <v>52</v>
      </c>
      <c r="B1020" t="s">
        <v>53</v>
      </c>
      <c r="C1020" t="s">
        <v>54</v>
      </c>
      <c r="D1020" t="s">
        <v>55</v>
      </c>
      <c r="E1020" t="s">
        <v>804</v>
      </c>
      <c r="F1020" t="s">
        <v>176</v>
      </c>
      <c r="G1020" t="s">
        <v>712</v>
      </c>
      <c r="H1020" t="s">
        <v>713</v>
      </c>
      <c r="I1020" t="s">
        <v>713</v>
      </c>
      <c r="J1020" t="s">
        <v>60</v>
      </c>
      <c r="K1020" t="s">
        <v>192</v>
      </c>
      <c r="L1020" t="s">
        <v>62</v>
      </c>
      <c r="M1020" t="s">
        <v>192</v>
      </c>
      <c r="N1020" t="s">
        <v>714</v>
      </c>
      <c r="O1020" t="s">
        <v>715</v>
      </c>
      <c r="P1020">
        <v>-19.653379999999999</v>
      </c>
      <c r="Q1020">
        <v>-43.914634999999997</v>
      </c>
      <c r="R1020" s="2" t="str">
        <f>HYPERLINK("https://www.google.com/maps?q=-19.6533800,-43.9146350","Abrir no Google Maps")</f>
        <v>Abrir no Google Maps</v>
      </c>
      <c r="S1020">
        <v>3</v>
      </c>
      <c r="T1020">
        <v>1209.6845317210091</v>
      </c>
      <c r="U1020">
        <v>4</v>
      </c>
      <c r="V1020">
        <v>0.34359338503223402</v>
      </c>
      <c r="W1020">
        <v>1</v>
      </c>
      <c r="X1020">
        <v>0.34359338503223402</v>
      </c>
      <c r="Y1020">
        <v>4</v>
      </c>
      <c r="Z1020">
        <v>948.79528152345983</v>
      </c>
      <c r="AA1020">
        <v>2</v>
      </c>
      <c r="AB1020">
        <v>3</v>
      </c>
      <c r="AC1020">
        <v>7</v>
      </c>
      <c r="AD1020">
        <v>26.28</v>
      </c>
      <c r="AE1020">
        <v>253</v>
      </c>
      <c r="AF1020">
        <v>15</v>
      </c>
      <c r="AG1020">
        <v>65</v>
      </c>
      <c r="AH1020">
        <v>32</v>
      </c>
      <c r="AI1020">
        <v>5.93</v>
      </c>
      <c r="AJ1020">
        <v>25.69</v>
      </c>
      <c r="AK1020">
        <v>12.65</v>
      </c>
      <c r="AL1020">
        <v>-19.653402249999939</v>
      </c>
      <c r="AM1020">
        <v>-43.91489200796137</v>
      </c>
      <c r="AN1020">
        <v>-19.653402249999939</v>
      </c>
      <c r="AO1020">
        <v>-43.91489200796137</v>
      </c>
      <c r="AP1020">
        <v>-19.653379999999999</v>
      </c>
      <c r="AQ1020">
        <v>-43.914634999999997</v>
      </c>
      <c r="AR1020">
        <v>27.0570338493382</v>
      </c>
      <c r="AS1020" t="s">
        <v>65</v>
      </c>
      <c r="AT1020">
        <v>1</v>
      </c>
      <c r="AU1020" t="s">
        <v>716</v>
      </c>
      <c r="AV1020" t="s">
        <v>717</v>
      </c>
      <c r="AW1020" t="s">
        <v>60</v>
      </c>
      <c r="AX1020" t="s">
        <v>68</v>
      </c>
      <c r="AY1020" t="s">
        <v>69</v>
      </c>
      <c r="AZ1020" t="b">
        <v>1</v>
      </c>
    </row>
    <row r="1021" spans="1:52" x14ac:dyDescent="0.3">
      <c r="A1021" t="s">
        <v>52</v>
      </c>
      <c r="B1021" t="s">
        <v>53</v>
      </c>
      <c r="C1021" t="s">
        <v>54</v>
      </c>
      <c r="D1021" t="s">
        <v>55</v>
      </c>
      <c r="E1021" t="s">
        <v>804</v>
      </c>
      <c r="F1021" t="s">
        <v>176</v>
      </c>
      <c r="G1021" t="s">
        <v>796</v>
      </c>
      <c r="H1021" t="s">
        <v>797</v>
      </c>
      <c r="I1021" t="s">
        <v>797</v>
      </c>
      <c r="J1021" t="s">
        <v>60</v>
      </c>
      <c r="K1021" t="s">
        <v>445</v>
      </c>
      <c r="L1021" t="s">
        <v>62</v>
      </c>
      <c r="M1021" t="s">
        <v>445</v>
      </c>
      <c r="N1021" t="s">
        <v>798</v>
      </c>
      <c r="O1021" t="s">
        <v>799</v>
      </c>
      <c r="P1021">
        <v>-19.646691000000001</v>
      </c>
      <c r="Q1021">
        <v>-43.869399000000001</v>
      </c>
      <c r="R1021" s="2" t="str">
        <f>HYPERLINK("https://www.google.com/maps?q=-19.6466910,-43.8693990","Abrir no Google Maps")</f>
        <v>Abrir no Google Maps</v>
      </c>
      <c r="S1021">
        <v>3</v>
      </c>
      <c r="T1021">
        <v>691.85004669252203</v>
      </c>
      <c r="U1021">
        <v>4</v>
      </c>
      <c r="V1021">
        <v>0.42624223602484468</v>
      </c>
      <c r="W1021">
        <v>0.85</v>
      </c>
      <c r="X1021">
        <v>0.36230590062111789</v>
      </c>
      <c r="Y1021">
        <v>3</v>
      </c>
      <c r="Z1021">
        <v>773.49707673382704</v>
      </c>
      <c r="AA1021">
        <v>2</v>
      </c>
      <c r="AB1021">
        <v>3</v>
      </c>
      <c r="AC1021">
        <v>7</v>
      </c>
      <c r="AD1021">
        <v>26.28</v>
      </c>
      <c r="AE1021">
        <v>253</v>
      </c>
      <c r="AF1021">
        <v>15</v>
      </c>
      <c r="AG1021">
        <v>65</v>
      </c>
      <c r="AH1021">
        <v>32</v>
      </c>
      <c r="AI1021">
        <v>5.93</v>
      </c>
      <c r="AJ1021">
        <v>25.69</v>
      </c>
      <c r="AK1021">
        <v>12.65</v>
      </c>
      <c r="AL1021">
        <v>-19.64655974999997</v>
      </c>
      <c r="AM1021">
        <v>-43.868051939786007</v>
      </c>
      <c r="AN1021">
        <v>-19.64655974999997</v>
      </c>
      <c r="AO1021">
        <v>-43.868051939786007</v>
      </c>
      <c r="AP1021">
        <v>-19.646691000000001</v>
      </c>
      <c r="AQ1021">
        <v>-43.869399000000001</v>
      </c>
      <c r="AR1021">
        <v>141.9788417417804</v>
      </c>
      <c r="AS1021" t="s">
        <v>65</v>
      </c>
      <c r="AT1021">
        <v>1</v>
      </c>
      <c r="AU1021" t="s">
        <v>800</v>
      </c>
      <c r="AV1021" t="s">
        <v>801</v>
      </c>
      <c r="AW1021" t="s">
        <v>60</v>
      </c>
      <c r="AX1021" t="s">
        <v>68</v>
      </c>
      <c r="AY1021" t="s">
        <v>69</v>
      </c>
      <c r="AZ1021" t="b">
        <v>1</v>
      </c>
    </row>
    <row r="1022" spans="1:52" x14ac:dyDescent="0.3">
      <c r="A1022" t="s">
        <v>52</v>
      </c>
      <c r="B1022" t="s">
        <v>53</v>
      </c>
      <c r="C1022" t="s">
        <v>54</v>
      </c>
      <c r="D1022" t="s">
        <v>55</v>
      </c>
      <c r="E1022" t="s">
        <v>804</v>
      </c>
      <c r="F1022" t="s">
        <v>176</v>
      </c>
      <c r="G1022" t="s">
        <v>438</v>
      </c>
      <c r="H1022" t="s">
        <v>718</v>
      </c>
      <c r="I1022" t="s">
        <v>718</v>
      </c>
      <c r="J1022" t="s">
        <v>60</v>
      </c>
      <c r="K1022" t="s">
        <v>719</v>
      </c>
      <c r="L1022" t="s">
        <v>62</v>
      </c>
      <c r="M1022" t="s">
        <v>719</v>
      </c>
      <c r="N1022" t="s">
        <v>720</v>
      </c>
      <c r="O1022" t="s">
        <v>721</v>
      </c>
      <c r="P1022">
        <v>-19.659696</v>
      </c>
      <c r="Q1022">
        <v>-43.878183</v>
      </c>
      <c r="R1022" s="2" t="str">
        <f>HYPERLINK("https://www.google.com/maps?q=-19.6596960,-43.8781830","Abrir no Google Maps")</f>
        <v>Abrir no Google Maps</v>
      </c>
      <c r="S1022">
        <v>3</v>
      </c>
      <c r="T1022">
        <v>1123.545826977394</v>
      </c>
      <c r="U1022">
        <v>4</v>
      </c>
      <c r="V1022">
        <v>0.3366269126912691</v>
      </c>
      <c r="W1022">
        <v>1</v>
      </c>
      <c r="X1022">
        <v>0.3366269126912691</v>
      </c>
      <c r="Y1022">
        <v>3</v>
      </c>
      <c r="Z1022">
        <v>1050.5223173666111</v>
      </c>
      <c r="AA1022">
        <v>2</v>
      </c>
      <c r="AB1022">
        <v>3</v>
      </c>
      <c r="AC1022">
        <v>7</v>
      </c>
      <c r="AD1022">
        <v>26.28</v>
      </c>
      <c r="AE1022">
        <v>253</v>
      </c>
      <c r="AF1022">
        <v>15</v>
      </c>
      <c r="AG1022">
        <v>65</v>
      </c>
      <c r="AH1022">
        <v>32</v>
      </c>
      <c r="AI1022">
        <v>5.93</v>
      </c>
      <c r="AJ1022">
        <v>25.69</v>
      </c>
      <c r="AK1022">
        <v>12.65</v>
      </c>
      <c r="AL1022">
        <v>-19.65964904999996</v>
      </c>
      <c r="AM1022">
        <v>-43.878129467040978</v>
      </c>
      <c r="AN1022">
        <v>-19.65964904999996</v>
      </c>
      <c r="AO1022">
        <v>-43.878129467040978</v>
      </c>
      <c r="AP1022">
        <v>-19.659696</v>
      </c>
      <c r="AQ1022">
        <v>-43.878183</v>
      </c>
      <c r="AR1022">
        <v>7.6687382643842978</v>
      </c>
      <c r="AS1022" t="s">
        <v>65</v>
      </c>
      <c r="AT1022">
        <v>1</v>
      </c>
      <c r="AU1022" t="s">
        <v>722</v>
      </c>
      <c r="AV1022" t="s">
        <v>723</v>
      </c>
      <c r="AW1022" t="s">
        <v>60</v>
      </c>
      <c r="AX1022" t="s">
        <v>68</v>
      </c>
      <c r="AY1022" t="s">
        <v>69</v>
      </c>
      <c r="AZ1022" t="b">
        <v>1</v>
      </c>
    </row>
    <row r="1023" spans="1:52" x14ac:dyDescent="0.3">
      <c r="A1023" t="s">
        <v>52</v>
      </c>
      <c r="B1023" t="s">
        <v>53</v>
      </c>
      <c r="C1023" t="s">
        <v>54</v>
      </c>
      <c r="D1023" t="s">
        <v>55</v>
      </c>
      <c r="E1023" t="s">
        <v>804</v>
      </c>
      <c r="F1023" t="s">
        <v>176</v>
      </c>
      <c r="G1023" t="s">
        <v>331</v>
      </c>
      <c r="H1023" t="s">
        <v>332</v>
      </c>
      <c r="I1023" t="s">
        <v>332</v>
      </c>
      <c r="J1023" t="s">
        <v>60</v>
      </c>
      <c r="K1023" t="s">
        <v>333</v>
      </c>
      <c r="L1023" t="s">
        <v>62</v>
      </c>
      <c r="M1023" t="s">
        <v>333</v>
      </c>
      <c r="N1023" t="s">
        <v>334</v>
      </c>
      <c r="O1023" t="s">
        <v>335</v>
      </c>
      <c r="P1023">
        <v>-19.638455</v>
      </c>
      <c r="Q1023">
        <v>-43.911239000000002</v>
      </c>
      <c r="R1023" s="2" t="str">
        <f>HYPERLINK("https://www.google.com/maps?q=-19.6384550,-43.9112390","Abrir no Google Maps")</f>
        <v>Abrir no Google Maps</v>
      </c>
      <c r="S1023">
        <v>3</v>
      </c>
      <c r="T1023">
        <v>488.53051432983438</v>
      </c>
      <c r="U1023">
        <v>4</v>
      </c>
      <c r="V1023">
        <v>0.34944789510006902</v>
      </c>
      <c r="W1023">
        <v>1</v>
      </c>
      <c r="X1023">
        <v>0.34944789510006902</v>
      </c>
      <c r="Y1023">
        <v>3</v>
      </c>
      <c r="Z1023">
        <v>503.17412324010428</v>
      </c>
      <c r="AA1023">
        <v>2</v>
      </c>
      <c r="AB1023">
        <v>3</v>
      </c>
      <c r="AC1023">
        <v>7</v>
      </c>
      <c r="AD1023">
        <v>26.28</v>
      </c>
      <c r="AE1023">
        <v>253</v>
      </c>
      <c r="AF1023">
        <v>15</v>
      </c>
      <c r="AG1023">
        <v>65</v>
      </c>
      <c r="AH1023">
        <v>32</v>
      </c>
      <c r="AI1023">
        <v>5.93</v>
      </c>
      <c r="AJ1023">
        <v>25.69</v>
      </c>
      <c r="AK1023">
        <v>12.65</v>
      </c>
      <c r="AL1023">
        <v>-19.63853704999994</v>
      </c>
      <c r="AM1023">
        <v>-43.911098254478723</v>
      </c>
      <c r="AN1023">
        <v>-19.63853704999994</v>
      </c>
      <c r="AO1023">
        <v>-43.911098254478723</v>
      </c>
      <c r="AP1023">
        <v>-19.638455</v>
      </c>
      <c r="AQ1023">
        <v>-43.911239000000002</v>
      </c>
      <c r="AR1023">
        <v>17.354491692685801</v>
      </c>
      <c r="AS1023" t="s">
        <v>65</v>
      </c>
      <c r="AT1023">
        <v>1</v>
      </c>
      <c r="AU1023" t="s">
        <v>336</v>
      </c>
      <c r="AV1023" t="s">
        <v>337</v>
      </c>
      <c r="AW1023" t="s">
        <v>60</v>
      </c>
      <c r="AX1023" t="s">
        <v>68</v>
      </c>
      <c r="AY1023" t="s">
        <v>69</v>
      </c>
      <c r="AZ1023" t="b">
        <v>1</v>
      </c>
    </row>
    <row r="1024" spans="1:52" x14ac:dyDescent="0.3">
      <c r="A1024" t="s">
        <v>52</v>
      </c>
      <c r="B1024" t="s">
        <v>53</v>
      </c>
      <c r="C1024" t="s">
        <v>54</v>
      </c>
      <c r="D1024" t="s">
        <v>55</v>
      </c>
      <c r="E1024" t="s">
        <v>804</v>
      </c>
      <c r="F1024" t="s">
        <v>176</v>
      </c>
      <c r="G1024" t="s">
        <v>344</v>
      </c>
      <c r="H1024" t="s">
        <v>345</v>
      </c>
      <c r="I1024" t="s">
        <v>345</v>
      </c>
      <c r="J1024" t="s">
        <v>60</v>
      </c>
      <c r="K1024" t="s">
        <v>326</v>
      </c>
      <c r="L1024" t="s">
        <v>62</v>
      </c>
      <c r="M1024" t="s">
        <v>326</v>
      </c>
      <c r="N1024" t="s">
        <v>346</v>
      </c>
      <c r="O1024" t="s">
        <v>347</v>
      </c>
      <c r="P1024">
        <v>-19.659784999999999</v>
      </c>
      <c r="Q1024">
        <v>-43.868257999999997</v>
      </c>
      <c r="R1024" s="2" t="str">
        <f>HYPERLINK("https://www.google.com/maps?q=-19.6597850,-43.8682580","Abrir no Google Maps")</f>
        <v>Abrir no Google Maps</v>
      </c>
      <c r="S1024">
        <v>3</v>
      </c>
      <c r="T1024">
        <v>887.40196140413514</v>
      </c>
      <c r="U1024">
        <v>4</v>
      </c>
      <c r="V1024">
        <v>0.35414834214557489</v>
      </c>
      <c r="W1024">
        <v>1</v>
      </c>
      <c r="X1024">
        <v>0.35414834214557489</v>
      </c>
      <c r="Y1024">
        <v>3</v>
      </c>
      <c r="Z1024">
        <v>951.67106090939239</v>
      </c>
      <c r="AA1024">
        <v>2</v>
      </c>
      <c r="AB1024">
        <v>3</v>
      </c>
      <c r="AC1024">
        <v>7</v>
      </c>
      <c r="AD1024">
        <v>26.28</v>
      </c>
      <c r="AE1024">
        <v>253</v>
      </c>
      <c r="AF1024">
        <v>15</v>
      </c>
      <c r="AG1024">
        <v>65</v>
      </c>
      <c r="AH1024">
        <v>32</v>
      </c>
      <c r="AI1024">
        <v>5.93</v>
      </c>
      <c r="AJ1024">
        <v>25.69</v>
      </c>
      <c r="AK1024">
        <v>12.65</v>
      </c>
      <c r="AL1024">
        <v>-19.659938849999971</v>
      </c>
      <c r="AM1024">
        <v>-43.868426732971933</v>
      </c>
      <c r="AN1024">
        <v>-19.659938849999971</v>
      </c>
      <c r="AO1024">
        <v>-43.868426732971933</v>
      </c>
      <c r="AP1024">
        <v>-19.659784999999999</v>
      </c>
      <c r="AQ1024">
        <v>-43.868257999999997</v>
      </c>
      <c r="AR1024">
        <v>24.621113441172451</v>
      </c>
      <c r="AS1024" t="s">
        <v>65</v>
      </c>
      <c r="AT1024">
        <v>1</v>
      </c>
      <c r="AU1024" t="s">
        <v>348</v>
      </c>
      <c r="AV1024" t="s">
        <v>349</v>
      </c>
      <c r="AW1024" t="s">
        <v>60</v>
      </c>
      <c r="AX1024" t="s">
        <v>68</v>
      </c>
      <c r="AY1024" t="s">
        <v>69</v>
      </c>
      <c r="AZ1024" t="b">
        <v>1</v>
      </c>
    </row>
    <row r="1025" spans="1:52" x14ac:dyDescent="0.3">
      <c r="A1025" t="s">
        <v>52</v>
      </c>
      <c r="B1025" t="s">
        <v>53</v>
      </c>
      <c r="C1025" t="s">
        <v>54</v>
      </c>
      <c r="D1025" t="s">
        <v>55</v>
      </c>
      <c r="E1025" t="s">
        <v>804</v>
      </c>
      <c r="F1025" t="s">
        <v>176</v>
      </c>
      <c r="G1025" t="s">
        <v>350</v>
      </c>
      <c r="H1025" t="s">
        <v>351</v>
      </c>
      <c r="I1025" t="s">
        <v>351</v>
      </c>
      <c r="J1025" t="s">
        <v>60</v>
      </c>
      <c r="K1025" t="s">
        <v>352</v>
      </c>
      <c r="L1025" t="s">
        <v>62</v>
      </c>
      <c r="M1025" t="s">
        <v>352</v>
      </c>
      <c r="N1025" t="s">
        <v>353</v>
      </c>
      <c r="O1025" t="s">
        <v>354</v>
      </c>
      <c r="P1025">
        <v>-19.595734</v>
      </c>
      <c r="Q1025">
        <v>-43.900387000000002</v>
      </c>
      <c r="R1025" s="2" t="str">
        <f>HYPERLINK("https://www.google.com/maps?q=-19.5957340,-43.9003870","Abrir no Google Maps")</f>
        <v>Abrir no Google Maps</v>
      </c>
      <c r="S1025">
        <v>3</v>
      </c>
      <c r="T1025">
        <v>600.67809066127609</v>
      </c>
      <c r="U1025">
        <v>4</v>
      </c>
      <c r="V1025">
        <v>0.50936137685573357</v>
      </c>
      <c r="W1025">
        <v>1</v>
      </c>
      <c r="X1025">
        <v>0.50936137685573357</v>
      </c>
      <c r="Y1025">
        <v>2</v>
      </c>
      <c r="Z1025">
        <v>676.06682548988681</v>
      </c>
      <c r="AA1025">
        <v>2</v>
      </c>
      <c r="AB1025">
        <v>3</v>
      </c>
      <c r="AC1025">
        <v>7</v>
      </c>
      <c r="AD1025">
        <v>26.28</v>
      </c>
      <c r="AE1025">
        <v>253</v>
      </c>
      <c r="AF1025">
        <v>15</v>
      </c>
      <c r="AG1025">
        <v>65</v>
      </c>
      <c r="AH1025">
        <v>32</v>
      </c>
      <c r="AI1025">
        <v>5.93</v>
      </c>
      <c r="AJ1025">
        <v>25.69</v>
      </c>
      <c r="AK1025">
        <v>12.65</v>
      </c>
      <c r="AL1025">
        <v>-19.595574149999951</v>
      </c>
      <c r="AM1025">
        <v>-43.900265035317688</v>
      </c>
      <c r="AN1025">
        <v>-19.595574149999951</v>
      </c>
      <c r="AO1025">
        <v>-43.900265035317688</v>
      </c>
      <c r="AP1025">
        <v>-19.595734</v>
      </c>
      <c r="AQ1025">
        <v>-43.900387000000002</v>
      </c>
      <c r="AR1025">
        <v>21.91456243504582</v>
      </c>
      <c r="AS1025" t="s">
        <v>65</v>
      </c>
      <c r="AT1025">
        <v>1</v>
      </c>
      <c r="AU1025" t="s">
        <v>355</v>
      </c>
      <c r="AV1025" t="s">
        <v>356</v>
      </c>
      <c r="AW1025" t="s">
        <v>60</v>
      </c>
      <c r="AX1025" t="s">
        <v>68</v>
      </c>
      <c r="AY1025" t="s">
        <v>69</v>
      </c>
      <c r="AZ1025" t="b">
        <v>1</v>
      </c>
    </row>
    <row r="1026" spans="1:52" x14ac:dyDescent="0.3">
      <c r="A1026" t="s">
        <v>52</v>
      </c>
      <c r="B1026" t="s">
        <v>53</v>
      </c>
      <c r="C1026" t="s">
        <v>54</v>
      </c>
      <c r="D1026" t="s">
        <v>55</v>
      </c>
      <c r="E1026" t="s">
        <v>804</v>
      </c>
      <c r="F1026" t="s">
        <v>176</v>
      </c>
      <c r="G1026" t="s">
        <v>371</v>
      </c>
      <c r="H1026" t="s">
        <v>496</v>
      </c>
      <c r="I1026" t="s">
        <v>496</v>
      </c>
      <c r="J1026" t="s">
        <v>60</v>
      </c>
      <c r="K1026" t="s">
        <v>352</v>
      </c>
      <c r="L1026" t="s">
        <v>62</v>
      </c>
      <c r="M1026" t="s">
        <v>352</v>
      </c>
      <c r="N1026" t="s">
        <v>497</v>
      </c>
      <c r="O1026" t="s">
        <v>120</v>
      </c>
      <c r="P1026">
        <v>-19.599603999999999</v>
      </c>
      <c r="Q1026">
        <v>-43.899650000000001</v>
      </c>
      <c r="R1026" s="2" t="str">
        <f>HYPERLINK("https://www.google.com/maps?q=-19.5996040,-43.8996500","Abrir no Google Maps")</f>
        <v>Abrir no Google Maps</v>
      </c>
      <c r="S1026">
        <v>3</v>
      </c>
      <c r="T1026">
        <v>381.13553853255752</v>
      </c>
      <c r="U1026">
        <v>4</v>
      </c>
      <c r="V1026">
        <v>0.43163940809968848</v>
      </c>
      <c r="W1026">
        <v>0.85</v>
      </c>
      <c r="X1026">
        <v>0.36689349688473522</v>
      </c>
      <c r="Y1026">
        <v>2</v>
      </c>
      <c r="Z1026">
        <v>445.30611048306139</v>
      </c>
      <c r="AA1026">
        <v>2</v>
      </c>
      <c r="AB1026">
        <v>3</v>
      </c>
      <c r="AC1026">
        <v>7</v>
      </c>
      <c r="AD1026">
        <v>26.28</v>
      </c>
      <c r="AE1026">
        <v>253</v>
      </c>
      <c r="AF1026">
        <v>15</v>
      </c>
      <c r="AG1026">
        <v>65</v>
      </c>
      <c r="AH1026">
        <v>32</v>
      </c>
      <c r="AI1026">
        <v>5.93</v>
      </c>
      <c r="AJ1026">
        <v>25.69</v>
      </c>
      <c r="AK1026">
        <v>12.65</v>
      </c>
      <c r="AL1026">
        <v>-19.59984999999995</v>
      </c>
      <c r="AM1026">
        <v>-43.90070409772008</v>
      </c>
      <c r="AN1026">
        <v>-19.59984999999995</v>
      </c>
      <c r="AO1026">
        <v>-43.90070409772008</v>
      </c>
      <c r="AP1026">
        <v>-19.599603999999999</v>
      </c>
      <c r="AQ1026">
        <v>-43.899650000000001</v>
      </c>
      <c r="AR1026">
        <v>113.8846460473157</v>
      </c>
      <c r="AS1026" t="s">
        <v>65</v>
      </c>
      <c r="AT1026">
        <v>1</v>
      </c>
      <c r="AU1026" t="s">
        <v>498</v>
      </c>
      <c r="AV1026" t="s">
        <v>499</v>
      </c>
      <c r="AW1026" t="s">
        <v>60</v>
      </c>
      <c r="AX1026" t="s">
        <v>68</v>
      </c>
      <c r="AY1026" t="s">
        <v>69</v>
      </c>
      <c r="AZ1026" t="b">
        <v>1</v>
      </c>
    </row>
    <row r="1027" spans="1:52" x14ac:dyDescent="0.3">
      <c r="A1027" t="s">
        <v>52</v>
      </c>
      <c r="B1027" t="s">
        <v>53</v>
      </c>
      <c r="C1027" t="s">
        <v>54</v>
      </c>
      <c r="D1027" t="s">
        <v>55</v>
      </c>
      <c r="E1027" t="s">
        <v>804</v>
      </c>
      <c r="F1027" t="s">
        <v>176</v>
      </c>
      <c r="G1027" t="s">
        <v>357</v>
      </c>
      <c r="H1027" t="s">
        <v>358</v>
      </c>
      <c r="I1027" t="s">
        <v>358</v>
      </c>
      <c r="J1027" t="s">
        <v>60</v>
      </c>
      <c r="K1027" t="s">
        <v>359</v>
      </c>
      <c r="L1027" t="s">
        <v>62</v>
      </c>
      <c r="M1027" t="s">
        <v>359</v>
      </c>
      <c r="N1027" t="s">
        <v>360</v>
      </c>
      <c r="O1027" t="s">
        <v>201</v>
      </c>
      <c r="P1027">
        <v>-19.601168000000001</v>
      </c>
      <c r="Q1027">
        <v>-43.896143000000002</v>
      </c>
      <c r="R1027" s="2" t="str">
        <f>HYPERLINK("https://www.google.com/maps?q=-19.6011680,-43.8961430","Abrir no Google Maps")</f>
        <v>Abrir no Google Maps</v>
      </c>
      <c r="S1027">
        <v>3</v>
      </c>
      <c r="T1027">
        <v>886.80074895427902</v>
      </c>
      <c r="U1027">
        <v>4</v>
      </c>
      <c r="V1027">
        <v>0.34948273427017867</v>
      </c>
      <c r="W1027">
        <v>1</v>
      </c>
      <c r="X1027">
        <v>0.34948273427017867</v>
      </c>
      <c r="Y1027">
        <v>2</v>
      </c>
      <c r="Z1027">
        <v>807.27931110193254</v>
      </c>
      <c r="AA1027">
        <v>2</v>
      </c>
      <c r="AB1027">
        <v>3</v>
      </c>
      <c r="AC1027">
        <v>7</v>
      </c>
      <c r="AD1027">
        <v>26.28</v>
      </c>
      <c r="AE1027">
        <v>253</v>
      </c>
      <c r="AF1027">
        <v>15</v>
      </c>
      <c r="AG1027">
        <v>65</v>
      </c>
      <c r="AH1027">
        <v>32</v>
      </c>
      <c r="AI1027">
        <v>5.93</v>
      </c>
      <c r="AJ1027">
        <v>25.69</v>
      </c>
      <c r="AK1027">
        <v>12.65</v>
      </c>
      <c r="AL1027">
        <v>-19.60112959999995</v>
      </c>
      <c r="AM1027">
        <v>-43.896049426747439</v>
      </c>
      <c r="AN1027">
        <v>-19.60112959999995</v>
      </c>
      <c r="AO1027">
        <v>-43.896049426747439</v>
      </c>
      <c r="AP1027">
        <v>-19.601168000000001</v>
      </c>
      <c r="AQ1027">
        <v>-43.896143000000002</v>
      </c>
      <c r="AR1027">
        <v>10.703588298793671</v>
      </c>
      <c r="AS1027" t="s">
        <v>65</v>
      </c>
      <c r="AT1027">
        <v>1</v>
      </c>
      <c r="AU1027" t="s">
        <v>361</v>
      </c>
      <c r="AV1027" t="s">
        <v>362</v>
      </c>
      <c r="AW1027" t="s">
        <v>60</v>
      </c>
      <c r="AX1027" t="s">
        <v>68</v>
      </c>
      <c r="AY1027" t="s">
        <v>69</v>
      </c>
      <c r="AZ1027" t="b">
        <v>1</v>
      </c>
    </row>
    <row r="1028" spans="1:52" x14ac:dyDescent="0.3">
      <c r="A1028" t="s">
        <v>52</v>
      </c>
      <c r="B1028" t="s">
        <v>53</v>
      </c>
      <c r="C1028" t="s">
        <v>54</v>
      </c>
      <c r="D1028" t="s">
        <v>55</v>
      </c>
      <c r="E1028" t="s">
        <v>804</v>
      </c>
      <c r="F1028" t="s">
        <v>176</v>
      </c>
      <c r="G1028" t="s">
        <v>350</v>
      </c>
      <c r="H1028" t="s">
        <v>363</v>
      </c>
      <c r="I1028" t="s">
        <v>363</v>
      </c>
      <c r="J1028" t="s">
        <v>60</v>
      </c>
      <c r="K1028" t="s">
        <v>364</v>
      </c>
      <c r="L1028" t="s">
        <v>62</v>
      </c>
      <c r="M1028" t="s">
        <v>364</v>
      </c>
      <c r="N1028" t="s">
        <v>353</v>
      </c>
      <c r="O1028" t="s">
        <v>365</v>
      </c>
      <c r="P1028">
        <v>-19.594657000000002</v>
      </c>
      <c r="Q1028">
        <v>-43.901567</v>
      </c>
      <c r="R1028" s="2" t="str">
        <f>HYPERLINK("https://www.google.com/maps?q=-19.5946570,-43.9015670","Abrir no Google Maps")</f>
        <v>Abrir no Google Maps</v>
      </c>
      <c r="S1028">
        <v>3</v>
      </c>
      <c r="T1028">
        <v>592.43040989358553</v>
      </c>
      <c r="U1028">
        <v>4</v>
      </c>
      <c r="V1028">
        <v>0.5315368852459017</v>
      </c>
      <c r="W1028">
        <v>1</v>
      </c>
      <c r="X1028">
        <v>0.5315368852459017</v>
      </c>
      <c r="Y1028">
        <v>2</v>
      </c>
      <c r="Z1028">
        <v>597.4493869225131</v>
      </c>
      <c r="AA1028">
        <v>2</v>
      </c>
      <c r="AB1028">
        <v>3</v>
      </c>
      <c r="AC1028">
        <v>7</v>
      </c>
      <c r="AD1028">
        <v>26.28</v>
      </c>
      <c r="AE1028">
        <v>253</v>
      </c>
      <c r="AF1028">
        <v>15</v>
      </c>
      <c r="AG1028">
        <v>65</v>
      </c>
      <c r="AH1028">
        <v>32</v>
      </c>
      <c r="AI1028">
        <v>5.93</v>
      </c>
      <c r="AJ1028">
        <v>25.69</v>
      </c>
      <c r="AK1028">
        <v>12.65</v>
      </c>
      <c r="AL1028">
        <v>-19.59470494999994</v>
      </c>
      <c r="AM1028">
        <v>-43.901629434678291</v>
      </c>
      <c r="AN1028">
        <v>-19.59470494999994</v>
      </c>
      <c r="AO1028">
        <v>-43.901629434678291</v>
      </c>
      <c r="AP1028">
        <v>-19.594657000000002</v>
      </c>
      <c r="AQ1028">
        <v>-43.901567</v>
      </c>
      <c r="AR1028">
        <v>8.4477696105165858</v>
      </c>
      <c r="AS1028" t="s">
        <v>65</v>
      </c>
      <c r="AT1028">
        <v>1</v>
      </c>
      <c r="AU1028" t="s">
        <v>366</v>
      </c>
      <c r="AV1028" t="s">
        <v>367</v>
      </c>
      <c r="AW1028" t="s">
        <v>60</v>
      </c>
      <c r="AX1028" t="s">
        <v>68</v>
      </c>
      <c r="AY1028" t="s">
        <v>69</v>
      </c>
      <c r="AZ1028" t="b">
        <v>1</v>
      </c>
    </row>
    <row r="1029" spans="1:52" x14ac:dyDescent="0.3">
      <c r="A1029" t="s">
        <v>52</v>
      </c>
      <c r="B1029" t="s">
        <v>53</v>
      </c>
      <c r="C1029" t="s">
        <v>54</v>
      </c>
      <c r="D1029" t="s">
        <v>55</v>
      </c>
      <c r="E1029" t="s">
        <v>804</v>
      </c>
      <c r="F1029" t="s">
        <v>176</v>
      </c>
      <c r="G1029" t="s">
        <v>350</v>
      </c>
      <c r="H1029" t="s">
        <v>368</v>
      </c>
      <c r="I1029" t="s">
        <v>368</v>
      </c>
      <c r="J1029" t="s">
        <v>60</v>
      </c>
      <c r="K1029" t="s">
        <v>364</v>
      </c>
      <c r="L1029" t="s">
        <v>62</v>
      </c>
      <c r="M1029" t="s">
        <v>364</v>
      </c>
      <c r="N1029" t="s">
        <v>353</v>
      </c>
      <c r="O1029" t="s">
        <v>365</v>
      </c>
      <c r="P1029">
        <v>-19.593221</v>
      </c>
      <c r="Q1029">
        <v>-43.901839000000002</v>
      </c>
      <c r="R1029" s="2" t="str">
        <f>HYPERLINK("https://www.google.com/maps?q=-19.5932210,-43.9018390","Abrir no Google Maps")</f>
        <v>Abrir no Google Maps</v>
      </c>
      <c r="S1029">
        <v>3</v>
      </c>
      <c r="T1029">
        <v>741.77482535005606</v>
      </c>
      <c r="U1029">
        <v>4</v>
      </c>
      <c r="V1029">
        <v>0.54206539074960136</v>
      </c>
      <c r="W1029">
        <v>0.85</v>
      </c>
      <c r="X1029">
        <v>0.46075558213716122</v>
      </c>
      <c r="Y1029">
        <v>2</v>
      </c>
      <c r="Z1029">
        <v>790.59331647558088</v>
      </c>
      <c r="AA1029">
        <v>2</v>
      </c>
      <c r="AB1029">
        <v>3</v>
      </c>
      <c r="AC1029">
        <v>7</v>
      </c>
      <c r="AD1029">
        <v>26.28</v>
      </c>
      <c r="AE1029">
        <v>253</v>
      </c>
      <c r="AF1029">
        <v>15</v>
      </c>
      <c r="AG1029">
        <v>65</v>
      </c>
      <c r="AH1029">
        <v>32</v>
      </c>
      <c r="AI1029">
        <v>5.93</v>
      </c>
      <c r="AJ1029">
        <v>25.69</v>
      </c>
      <c r="AK1029">
        <v>12.65</v>
      </c>
      <c r="AL1029">
        <v>-19.593187449999959</v>
      </c>
      <c r="AM1029">
        <v>-43.901700308057322</v>
      </c>
      <c r="AN1029">
        <v>-19.593187449999959</v>
      </c>
      <c r="AO1029">
        <v>-43.901700308057322</v>
      </c>
      <c r="AP1029">
        <v>-19.593221</v>
      </c>
      <c r="AQ1029">
        <v>-43.901839000000002</v>
      </c>
      <c r="AR1029">
        <v>15.017055708279431</v>
      </c>
      <c r="AS1029" t="s">
        <v>65</v>
      </c>
      <c r="AT1029">
        <v>1</v>
      </c>
      <c r="AU1029" t="s">
        <v>369</v>
      </c>
      <c r="AV1029" t="s">
        <v>370</v>
      </c>
      <c r="AW1029" t="s">
        <v>60</v>
      </c>
      <c r="AX1029" t="s">
        <v>68</v>
      </c>
      <c r="AY1029" t="s">
        <v>69</v>
      </c>
      <c r="AZ1029" t="b">
        <v>1</v>
      </c>
    </row>
    <row r="1030" spans="1:52" x14ac:dyDescent="0.3">
      <c r="A1030" t="s">
        <v>52</v>
      </c>
      <c r="B1030" t="s">
        <v>53</v>
      </c>
      <c r="C1030" t="s">
        <v>54</v>
      </c>
      <c r="D1030" t="s">
        <v>55</v>
      </c>
      <c r="E1030" t="s">
        <v>804</v>
      </c>
      <c r="F1030" t="s">
        <v>176</v>
      </c>
      <c r="G1030" t="s">
        <v>371</v>
      </c>
      <c r="H1030" t="s">
        <v>372</v>
      </c>
      <c r="I1030" t="s">
        <v>372</v>
      </c>
      <c r="J1030" t="s">
        <v>60</v>
      </c>
      <c r="K1030" t="s">
        <v>352</v>
      </c>
      <c r="L1030" t="s">
        <v>62</v>
      </c>
      <c r="M1030" t="s">
        <v>352</v>
      </c>
      <c r="N1030" t="s">
        <v>353</v>
      </c>
      <c r="O1030" t="s">
        <v>373</v>
      </c>
      <c r="P1030">
        <v>-19.596541999999999</v>
      </c>
      <c r="Q1030">
        <v>-43.900803000000003</v>
      </c>
      <c r="R1030" s="2" t="str">
        <f>HYPERLINK("https://www.google.com/maps?q=-19.5965420,-43.9008030","Abrir no Google Maps")</f>
        <v>Abrir no Google Maps</v>
      </c>
      <c r="S1030">
        <v>3</v>
      </c>
      <c r="T1030">
        <v>401.18305899095373</v>
      </c>
      <c r="U1030">
        <v>4</v>
      </c>
      <c r="V1030">
        <v>0.49049798409066148</v>
      </c>
      <c r="W1030">
        <v>1</v>
      </c>
      <c r="X1030">
        <v>0.49049798409066148</v>
      </c>
      <c r="Y1030">
        <v>2</v>
      </c>
      <c r="Z1030">
        <v>484.51228510119228</v>
      </c>
      <c r="AA1030">
        <v>2</v>
      </c>
      <c r="AB1030">
        <v>3</v>
      </c>
      <c r="AC1030">
        <v>7</v>
      </c>
      <c r="AD1030">
        <v>26.28</v>
      </c>
      <c r="AE1030">
        <v>253</v>
      </c>
      <c r="AF1030">
        <v>15</v>
      </c>
      <c r="AG1030">
        <v>65</v>
      </c>
      <c r="AH1030">
        <v>32</v>
      </c>
      <c r="AI1030">
        <v>5.93</v>
      </c>
      <c r="AJ1030">
        <v>25.69</v>
      </c>
      <c r="AK1030">
        <v>12.65</v>
      </c>
      <c r="AL1030">
        <v>-19.596464449999932</v>
      </c>
      <c r="AM1030">
        <v>-43.902090320142641</v>
      </c>
      <c r="AN1030">
        <v>-19.596464449999932</v>
      </c>
      <c r="AO1030">
        <v>-43.902090320142641</v>
      </c>
      <c r="AP1030">
        <v>-19.596541999999999</v>
      </c>
      <c r="AQ1030">
        <v>-43.900803000000003</v>
      </c>
      <c r="AR1030">
        <v>135.27975170069479</v>
      </c>
      <c r="AS1030" t="s">
        <v>65</v>
      </c>
      <c r="AT1030">
        <v>1</v>
      </c>
      <c r="AU1030" t="s">
        <v>374</v>
      </c>
      <c r="AV1030" t="s">
        <v>375</v>
      </c>
      <c r="AW1030" t="s">
        <v>60</v>
      </c>
      <c r="AX1030" t="s">
        <v>68</v>
      </c>
      <c r="AY1030" t="s">
        <v>69</v>
      </c>
      <c r="AZ1030" t="b">
        <v>1</v>
      </c>
    </row>
    <row r="1031" spans="1:52" x14ac:dyDescent="0.3">
      <c r="A1031" t="s">
        <v>52</v>
      </c>
      <c r="B1031" t="s">
        <v>53</v>
      </c>
      <c r="C1031" t="s">
        <v>54</v>
      </c>
      <c r="D1031" t="s">
        <v>55</v>
      </c>
      <c r="E1031" t="s">
        <v>804</v>
      </c>
      <c r="F1031" t="s">
        <v>176</v>
      </c>
      <c r="G1031" t="s">
        <v>376</v>
      </c>
      <c r="H1031" t="s">
        <v>377</v>
      </c>
      <c r="I1031" t="s">
        <v>377</v>
      </c>
      <c r="J1031" t="s">
        <v>60</v>
      </c>
      <c r="K1031" t="s">
        <v>352</v>
      </c>
      <c r="L1031" t="s">
        <v>62</v>
      </c>
      <c r="M1031" t="s">
        <v>352</v>
      </c>
      <c r="N1031" t="s">
        <v>378</v>
      </c>
      <c r="O1031" t="s">
        <v>379</v>
      </c>
      <c r="P1031">
        <v>-19.596966999999999</v>
      </c>
      <c r="Q1031">
        <v>-43.90155</v>
      </c>
      <c r="R1031" s="2" t="str">
        <f>HYPERLINK("https://www.google.com/maps?q=-19.5969670,-43.9015500","Abrir no Google Maps")</f>
        <v>Abrir no Google Maps</v>
      </c>
      <c r="S1031">
        <v>3</v>
      </c>
      <c r="T1031">
        <v>366.5160120865408</v>
      </c>
      <c r="U1031">
        <v>4</v>
      </c>
      <c r="V1031">
        <v>0.52048638571912775</v>
      </c>
      <c r="W1031">
        <v>1</v>
      </c>
      <c r="X1031">
        <v>0.52048638571912775</v>
      </c>
      <c r="Y1031">
        <v>2</v>
      </c>
      <c r="Z1031">
        <v>437.88042928493138</v>
      </c>
      <c r="AA1031">
        <v>2</v>
      </c>
      <c r="AB1031">
        <v>3</v>
      </c>
      <c r="AC1031">
        <v>7</v>
      </c>
      <c r="AD1031">
        <v>26.28</v>
      </c>
      <c r="AE1031">
        <v>253</v>
      </c>
      <c r="AF1031">
        <v>15</v>
      </c>
      <c r="AG1031">
        <v>65</v>
      </c>
      <c r="AH1031">
        <v>32</v>
      </c>
      <c r="AI1031">
        <v>5.93</v>
      </c>
      <c r="AJ1031">
        <v>25.69</v>
      </c>
      <c r="AK1031">
        <v>12.65</v>
      </c>
      <c r="AL1031">
        <v>-19.597188549999942</v>
      </c>
      <c r="AM1031">
        <v>-43.901724335633787</v>
      </c>
      <c r="AN1031">
        <v>-19.597188549999942</v>
      </c>
      <c r="AO1031">
        <v>-43.901724335633787</v>
      </c>
      <c r="AP1031">
        <v>-19.596966999999999</v>
      </c>
      <c r="AQ1031">
        <v>-43.90155</v>
      </c>
      <c r="AR1031">
        <v>30.700556875456439</v>
      </c>
      <c r="AS1031" t="s">
        <v>65</v>
      </c>
      <c r="AT1031">
        <v>1</v>
      </c>
      <c r="AU1031" t="s">
        <v>380</v>
      </c>
      <c r="AV1031" t="s">
        <v>381</v>
      </c>
      <c r="AW1031" t="s">
        <v>60</v>
      </c>
      <c r="AX1031" t="s">
        <v>68</v>
      </c>
      <c r="AY1031" t="s">
        <v>69</v>
      </c>
      <c r="AZ1031" t="b">
        <v>1</v>
      </c>
    </row>
    <row r="1032" spans="1:52" x14ac:dyDescent="0.3">
      <c r="A1032" t="s">
        <v>52</v>
      </c>
      <c r="B1032" t="s">
        <v>53</v>
      </c>
      <c r="C1032" t="s">
        <v>54</v>
      </c>
      <c r="D1032" t="s">
        <v>55</v>
      </c>
      <c r="E1032" t="s">
        <v>804</v>
      </c>
      <c r="F1032" t="s">
        <v>176</v>
      </c>
      <c r="G1032" t="s">
        <v>382</v>
      </c>
      <c r="H1032" t="s">
        <v>383</v>
      </c>
      <c r="I1032" t="s">
        <v>383</v>
      </c>
      <c r="J1032" t="s">
        <v>60</v>
      </c>
      <c r="K1032" t="s">
        <v>185</v>
      </c>
      <c r="L1032" t="s">
        <v>62</v>
      </c>
      <c r="M1032" t="s">
        <v>185</v>
      </c>
      <c r="N1032" t="s">
        <v>384</v>
      </c>
      <c r="O1032" t="s">
        <v>385</v>
      </c>
      <c r="P1032">
        <v>-19.623774000000001</v>
      </c>
      <c r="Q1032">
        <v>-43.886352000000002</v>
      </c>
      <c r="R1032" s="2" t="str">
        <f>HYPERLINK("https://www.google.com/maps?q=-19.6237740,-43.8863520","Abrir no Google Maps")</f>
        <v>Abrir no Google Maps</v>
      </c>
      <c r="S1032">
        <v>3</v>
      </c>
      <c r="T1032">
        <v>818.17252856383368</v>
      </c>
      <c r="U1032">
        <v>4</v>
      </c>
      <c r="V1032">
        <v>0.3589773729062592</v>
      </c>
      <c r="W1032">
        <v>1</v>
      </c>
      <c r="X1032">
        <v>0.3589773729062592</v>
      </c>
      <c r="Y1032">
        <v>0</v>
      </c>
      <c r="Z1032">
        <v>327.32213182525902</v>
      </c>
      <c r="AA1032">
        <v>2</v>
      </c>
      <c r="AB1032">
        <v>3</v>
      </c>
      <c r="AC1032">
        <v>7</v>
      </c>
      <c r="AD1032">
        <v>26.28</v>
      </c>
      <c r="AE1032">
        <v>253</v>
      </c>
      <c r="AF1032">
        <v>15</v>
      </c>
      <c r="AG1032">
        <v>65</v>
      </c>
      <c r="AH1032">
        <v>32</v>
      </c>
      <c r="AI1032">
        <v>5.93</v>
      </c>
      <c r="AJ1032">
        <v>25.69</v>
      </c>
      <c r="AK1032">
        <v>12.65</v>
      </c>
      <c r="AL1032">
        <v>-19.623056299999941</v>
      </c>
      <c r="AM1032">
        <v>-43.886837120297002</v>
      </c>
      <c r="AN1032">
        <v>-19.623056299999941</v>
      </c>
      <c r="AO1032">
        <v>-43.886837120297002</v>
      </c>
      <c r="AP1032">
        <v>-19.623774000000001</v>
      </c>
      <c r="AQ1032">
        <v>-43.886352000000002</v>
      </c>
      <c r="AR1032">
        <v>94.713149059175393</v>
      </c>
      <c r="AS1032" t="s">
        <v>65</v>
      </c>
      <c r="AT1032">
        <v>1</v>
      </c>
      <c r="AU1032" t="s">
        <v>386</v>
      </c>
      <c r="AV1032" t="s">
        <v>387</v>
      </c>
      <c r="AW1032" t="s">
        <v>60</v>
      </c>
      <c r="AX1032" t="s">
        <v>68</v>
      </c>
      <c r="AY1032" t="s">
        <v>69</v>
      </c>
      <c r="AZ1032" t="b">
        <v>1</v>
      </c>
    </row>
    <row r="1033" spans="1:52" x14ac:dyDescent="0.3">
      <c r="A1033" t="s">
        <v>52</v>
      </c>
      <c r="B1033" t="s">
        <v>53</v>
      </c>
      <c r="C1033" t="s">
        <v>54</v>
      </c>
      <c r="D1033" t="s">
        <v>55</v>
      </c>
      <c r="E1033" t="s">
        <v>804</v>
      </c>
      <c r="F1033" t="s">
        <v>176</v>
      </c>
      <c r="G1033" t="s">
        <v>525</v>
      </c>
      <c r="H1033" t="s">
        <v>526</v>
      </c>
      <c r="I1033" t="s">
        <v>526</v>
      </c>
      <c r="J1033" t="s">
        <v>60</v>
      </c>
      <c r="K1033" t="s">
        <v>286</v>
      </c>
      <c r="L1033" t="s">
        <v>62</v>
      </c>
      <c r="M1033" t="s">
        <v>286</v>
      </c>
      <c r="N1033" t="s">
        <v>527</v>
      </c>
      <c r="O1033" t="s">
        <v>113</v>
      </c>
      <c r="P1033">
        <v>-19.629049999999999</v>
      </c>
      <c r="Q1033">
        <v>-43.887543000000001</v>
      </c>
      <c r="R1033" s="2" t="str">
        <f>HYPERLINK("https://www.google.com/maps?q=-19.6290500,-43.8875430","Abrir no Google Maps")</f>
        <v>Abrir no Google Maps</v>
      </c>
      <c r="S1033">
        <v>3</v>
      </c>
      <c r="T1033">
        <v>420.9244758141914</v>
      </c>
      <c r="U1033">
        <v>3</v>
      </c>
      <c r="V1033">
        <v>0.34011857707509879</v>
      </c>
      <c r="W1033">
        <v>0.85</v>
      </c>
      <c r="X1033">
        <v>0.28910079051383403</v>
      </c>
      <c r="Y1033">
        <v>18</v>
      </c>
      <c r="Z1033">
        <v>298.16529694300579</v>
      </c>
      <c r="AA1033">
        <v>2</v>
      </c>
      <c r="AB1033">
        <v>3</v>
      </c>
      <c r="AC1033">
        <v>7</v>
      </c>
      <c r="AD1033">
        <v>26.28</v>
      </c>
      <c r="AE1033">
        <v>253</v>
      </c>
      <c r="AF1033">
        <v>15</v>
      </c>
      <c r="AG1033">
        <v>65</v>
      </c>
      <c r="AH1033">
        <v>32</v>
      </c>
      <c r="AI1033">
        <v>5.93</v>
      </c>
      <c r="AJ1033">
        <v>25.69</v>
      </c>
      <c r="AK1033">
        <v>12.65</v>
      </c>
      <c r="AL1033">
        <v>-19.62914789999996</v>
      </c>
      <c r="AM1033">
        <v>-43.887659532387332</v>
      </c>
      <c r="AN1033">
        <v>-19.62914789999996</v>
      </c>
      <c r="AO1033">
        <v>-43.887659532387332</v>
      </c>
      <c r="AP1033">
        <v>-19.629049999999999</v>
      </c>
      <c r="AQ1033">
        <v>-43.887543000000001</v>
      </c>
      <c r="AR1033">
        <v>16.372645779361299</v>
      </c>
      <c r="AS1033" t="s">
        <v>65</v>
      </c>
      <c r="AT1033">
        <v>1</v>
      </c>
      <c r="AU1033" t="s">
        <v>528</v>
      </c>
      <c r="AV1033" t="s">
        <v>529</v>
      </c>
      <c r="AW1033" t="s">
        <v>60</v>
      </c>
      <c r="AX1033" t="s">
        <v>68</v>
      </c>
      <c r="AY1033" t="s">
        <v>69</v>
      </c>
      <c r="AZ1033" t="b">
        <v>1</v>
      </c>
    </row>
    <row r="1034" spans="1:52" x14ac:dyDescent="0.3">
      <c r="A1034" t="s">
        <v>52</v>
      </c>
      <c r="B1034" t="s">
        <v>53</v>
      </c>
      <c r="C1034" t="s">
        <v>54</v>
      </c>
      <c r="D1034" t="s">
        <v>55</v>
      </c>
      <c r="E1034" t="s">
        <v>804</v>
      </c>
      <c r="F1034" t="s">
        <v>176</v>
      </c>
      <c r="G1034" t="s">
        <v>530</v>
      </c>
      <c r="H1034" t="s">
        <v>531</v>
      </c>
      <c r="I1034" t="s">
        <v>531</v>
      </c>
      <c r="J1034" t="s">
        <v>60</v>
      </c>
      <c r="K1034" t="s">
        <v>185</v>
      </c>
      <c r="L1034" t="s">
        <v>62</v>
      </c>
      <c r="M1034" t="s">
        <v>185</v>
      </c>
      <c r="N1034" t="s">
        <v>532</v>
      </c>
      <c r="O1034" t="s">
        <v>533</v>
      </c>
      <c r="P1034">
        <v>-19.625264000000001</v>
      </c>
      <c r="Q1034">
        <v>-43.889451000000001</v>
      </c>
      <c r="R1034" s="2" t="str">
        <f>HYPERLINK("https://www.google.com/maps?q=-19.6252640,-43.8894510","Abrir no Google Maps")</f>
        <v>Abrir no Google Maps</v>
      </c>
      <c r="S1034">
        <v>3</v>
      </c>
      <c r="T1034">
        <v>466.11340370665903</v>
      </c>
      <c r="U1034">
        <v>3</v>
      </c>
      <c r="V1034">
        <v>0.38395604395604388</v>
      </c>
      <c r="W1034">
        <v>0.85</v>
      </c>
      <c r="X1034">
        <v>0.32636263736263732</v>
      </c>
      <c r="Y1034">
        <v>18</v>
      </c>
      <c r="Z1034">
        <v>320.77337440837812</v>
      </c>
      <c r="AA1034">
        <v>2</v>
      </c>
      <c r="AB1034">
        <v>3</v>
      </c>
      <c r="AC1034">
        <v>7</v>
      </c>
      <c r="AD1034">
        <v>26.28</v>
      </c>
      <c r="AE1034">
        <v>253</v>
      </c>
      <c r="AF1034">
        <v>15</v>
      </c>
      <c r="AG1034">
        <v>65</v>
      </c>
      <c r="AH1034">
        <v>32</v>
      </c>
      <c r="AI1034">
        <v>5.93</v>
      </c>
      <c r="AJ1034">
        <v>25.69</v>
      </c>
      <c r="AK1034">
        <v>12.65</v>
      </c>
      <c r="AL1034">
        <v>-19.62516189999997</v>
      </c>
      <c r="AM1034">
        <v>-43.88954614566876</v>
      </c>
      <c r="AN1034">
        <v>-19.62516189999997</v>
      </c>
      <c r="AO1034">
        <v>-43.88954614566876</v>
      </c>
      <c r="AP1034">
        <v>-19.625264000000001</v>
      </c>
      <c r="AQ1034">
        <v>-43.889451000000001</v>
      </c>
      <c r="AR1034">
        <v>15.12310549834147</v>
      </c>
      <c r="AS1034" t="s">
        <v>65</v>
      </c>
      <c r="AT1034">
        <v>1</v>
      </c>
      <c r="AU1034" t="s">
        <v>534</v>
      </c>
      <c r="AV1034" t="s">
        <v>535</v>
      </c>
      <c r="AW1034" t="s">
        <v>60</v>
      </c>
      <c r="AX1034" t="s">
        <v>68</v>
      </c>
      <c r="AY1034" t="s">
        <v>69</v>
      </c>
      <c r="AZ1034" t="b">
        <v>1</v>
      </c>
    </row>
    <row r="1035" spans="1:52" x14ac:dyDescent="0.3">
      <c r="A1035" t="s">
        <v>52</v>
      </c>
      <c r="B1035" t="s">
        <v>53</v>
      </c>
      <c r="C1035" t="s">
        <v>54</v>
      </c>
      <c r="D1035" t="s">
        <v>55</v>
      </c>
      <c r="E1035" t="s">
        <v>804</v>
      </c>
      <c r="F1035" t="s">
        <v>176</v>
      </c>
      <c r="G1035" t="s">
        <v>394</v>
      </c>
      <c r="H1035" t="s">
        <v>395</v>
      </c>
      <c r="I1035" t="s">
        <v>395</v>
      </c>
      <c r="J1035" t="s">
        <v>60</v>
      </c>
      <c r="K1035" t="s">
        <v>286</v>
      </c>
      <c r="L1035" t="s">
        <v>62</v>
      </c>
      <c r="M1035" t="s">
        <v>286</v>
      </c>
      <c r="N1035" t="s">
        <v>396</v>
      </c>
      <c r="O1035" t="s">
        <v>88</v>
      </c>
      <c r="P1035">
        <v>-19.636932999999999</v>
      </c>
      <c r="Q1035">
        <v>-43.882691999999999</v>
      </c>
      <c r="R1035" s="2" t="str">
        <f>HYPERLINK("https://www.google.com/maps?q=-19.6369330,-43.8826920","Abrir no Google Maps")</f>
        <v>Abrir no Google Maps</v>
      </c>
      <c r="S1035">
        <v>3</v>
      </c>
      <c r="T1035">
        <v>523.52675813688109</v>
      </c>
      <c r="U1035">
        <v>3</v>
      </c>
      <c r="V1035">
        <v>0.31515786564723769</v>
      </c>
      <c r="W1035">
        <v>1</v>
      </c>
      <c r="X1035">
        <v>0.31515786564723769</v>
      </c>
      <c r="Y1035">
        <v>10</v>
      </c>
      <c r="Z1035">
        <v>372.58135532659509</v>
      </c>
      <c r="AA1035">
        <v>2</v>
      </c>
      <c r="AB1035">
        <v>3</v>
      </c>
      <c r="AC1035">
        <v>7</v>
      </c>
      <c r="AD1035">
        <v>26.28</v>
      </c>
      <c r="AE1035">
        <v>253</v>
      </c>
      <c r="AF1035">
        <v>15</v>
      </c>
      <c r="AG1035">
        <v>65</v>
      </c>
      <c r="AH1035">
        <v>32</v>
      </c>
      <c r="AI1035">
        <v>5.93</v>
      </c>
      <c r="AJ1035">
        <v>25.69</v>
      </c>
      <c r="AK1035">
        <v>12.65</v>
      </c>
      <c r="AL1035">
        <v>-19.637159949999951</v>
      </c>
      <c r="AM1035">
        <v>-43.882643289441461</v>
      </c>
      <c r="AN1035">
        <v>-19.637159949999951</v>
      </c>
      <c r="AO1035">
        <v>-43.882643289441461</v>
      </c>
      <c r="AP1035">
        <v>-19.636932999999999</v>
      </c>
      <c r="AQ1035">
        <v>-43.882691999999999</v>
      </c>
      <c r="AR1035">
        <v>25.775099947452478</v>
      </c>
      <c r="AS1035" t="s">
        <v>65</v>
      </c>
      <c r="AT1035">
        <v>1</v>
      </c>
      <c r="AU1035" t="s">
        <v>397</v>
      </c>
      <c r="AV1035" t="s">
        <v>398</v>
      </c>
      <c r="AW1035" t="s">
        <v>60</v>
      </c>
      <c r="AX1035" t="s">
        <v>68</v>
      </c>
      <c r="AY1035" t="s">
        <v>69</v>
      </c>
      <c r="AZ1035" t="b">
        <v>1</v>
      </c>
    </row>
    <row r="1036" spans="1:52" x14ac:dyDescent="0.3">
      <c r="A1036" t="s">
        <v>52</v>
      </c>
      <c r="B1036" t="s">
        <v>53</v>
      </c>
      <c r="C1036" t="s">
        <v>54</v>
      </c>
      <c r="D1036" t="s">
        <v>55</v>
      </c>
      <c r="E1036" t="s">
        <v>804</v>
      </c>
      <c r="F1036" t="s">
        <v>176</v>
      </c>
      <c r="G1036" t="s">
        <v>399</v>
      </c>
      <c r="H1036" t="s">
        <v>400</v>
      </c>
      <c r="I1036" t="s">
        <v>400</v>
      </c>
      <c r="J1036" t="s">
        <v>60</v>
      </c>
      <c r="K1036" t="s">
        <v>286</v>
      </c>
      <c r="L1036" t="s">
        <v>62</v>
      </c>
      <c r="M1036" t="s">
        <v>286</v>
      </c>
      <c r="N1036" t="s">
        <v>401</v>
      </c>
      <c r="O1036" t="s">
        <v>402</v>
      </c>
      <c r="P1036">
        <v>-19.639906</v>
      </c>
      <c r="Q1036">
        <v>-43.886059000000003</v>
      </c>
      <c r="R1036" s="2" t="str">
        <f>HYPERLINK("https://www.google.com/maps?q=-19.6399060,-43.8860590","Abrir no Google Maps")</f>
        <v>Abrir no Google Maps</v>
      </c>
      <c r="S1036">
        <v>3</v>
      </c>
      <c r="T1036">
        <v>256.0748811302048</v>
      </c>
      <c r="U1036">
        <v>3</v>
      </c>
      <c r="V1036">
        <v>0.32574136008918619</v>
      </c>
      <c r="W1036">
        <v>1</v>
      </c>
      <c r="X1036">
        <v>0.32574136008918619</v>
      </c>
      <c r="Y1036">
        <v>10</v>
      </c>
      <c r="Z1036">
        <v>205.06236700857289</v>
      </c>
      <c r="AA1036">
        <v>2</v>
      </c>
      <c r="AB1036">
        <v>3</v>
      </c>
      <c r="AC1036">
        <v>7</v>
      </c>
      <c r="AD1036">
        <v>26.28</v>
      </c>
      <c r="AE1036">
        <v>253</v>
      </c>
      <c r="AF1036">
        <v>15</v>
      </c>
      <c r="AG1036">
        <v>65</v>
      </c>
      <c r="AH1036">
        <v>32</v>
      </c>
      <c r="AI1036">
        <v>5.93</v>
      </c>
      <c r="AJ1036">
        <v>25.69</v>
      </c>
      <c r="AK1036">
        <v>12.65</v>
      </c>
      <c r="AL1036">
        <v>-19.639789499999949</v>
      </c>
      <c r="AM1036">
        <v>-43.885737855031408</v>
      </c>
      <c r="AN1036">
        <v>-19.639789499999949</v>
      </c>
      <c r="AO1036">
        <v>-43.885737855031408</v>
      </c>
      <c r="AP1036">
        <v>-19.639906</v>
      </c>
      <c r="AQ1036">
        <v>-43.886059000000003</v>
      </c>
      <c r="AR1036">
        <v>36.081349702130403</v>
      </c>
      <c r="AS1036" t="s">
        <v>65</v>
      </c>
      <c r="AT1036">
        <v>1</v>
      </c>
      <c r="AU1036" t="s">
        <v>403</v>
      </c>
      <c r="AV1036" t="s">
        <v>404</v>
      </c>
      <c r="AW1036" t="s">
        <v>60</v>
      </c>
      <c r="AX1036" t="s">
        <v>68</v>
      </c>
      <c r="AY1036" t="s">
        <v>69</v>
      </c>
      <c r="AZ1036" t="b">
        <v>1</v>
      </c>
    </row>
    <row r="1037" spans="1:52" x14ac:dyDescent="0.3">
      <c r="A1037" t="s">
        <v>52</v>
      </c>
      <c r="B1037" t="s">
        <v>53</v>
      </c>
      <c r="C1037" t="s">
        <v>54</v>
      </c>
      <c r="D1037" t="s">
        <v>55</v>
      </c>
      <c r="E1037" t="s">
        <v>804</v>
      </c>
      <c r="F1037" t="s">
        <v>176</v>
      </c>
      <c r="G1037" t="s">
        <v>284</v>
      </c>
      <c r="H1037" t="s">
        <v>285</v>
      </c>
      <c r="I1037" t="s">
        <v>285</v>
      </c>
      <c r="J1037" t="s">
        <v>60</v>
      </c>
      <c r="K1037" t="s">
        <v>286</v>
      </c>
      <c r="L1037" t="s">
        <v>62</v>
      </c>
      <c r="M1037" t="s">
        <v>286</v>
      </c>
      <c r="N1037" t="s">
        <v>287</v>
      </c>
      <c r="O1037" t="s">
        <v>288</v>
      </c>
      <c r="P1037">
        <v>-19.639790000000001</v>
      </c>
      <c r="Q1037">
        <v>-43.882798999999999</v>
      </c>
      <c r="R1037" s="2" t="str">
        <f>HYPERLINK("https://www.google.com/maps?q=-19.6397900,-43.8827990","Abrir no Google Maps")</f>
        <v>Abrir no Google Maps</v>
      </c>
      <c r="S1037">
        <v>3</v>
      </c>
      <c r="T1037">
        <v>242.7052058134478</v>
      </c>
      <c r="U1037">
        <v>3</v>
      </c>
      <c r="V1037">
        <v>0.3054855174958489</v>
      </c>
      <c r="W1037">
        <v>1</v>
      </c>
      <c r="X1037">
        <v>0.3054855174958489</v>
      </c>
      <c r="Y1037">
        <v>10</v>
      </c>
      <c r="Z1037">
        <v>187.2088809462339</v>
      </c>
      <c r="AA1037">
        <v>2</v>
      </c>
      <c r="AB1037">
        <v>3</v>
      </c>
      <c r="AC1037">
        <v>7</v>
      </c>
      <c r="AD1037">
        <v>26.28</v>
      </c>
      <c r="AE1037">
        <v>253</v>
      </c>
      <c r="AF1037">
        <v>15</v>
      </c>
      <c r="AG1037">
        <v>65</v>
      </c>
      <c r="AH1037">
        <v>32</v>
      </c>
      <c r="AI1037">
        <v>5.93</v>
      </c>
      <c r="AJ1037">
        <v>25.69</v>
      </c>
      <c r="AK1037">
        <v>12.65</v>
      </c>
      <c r="AL1037">
        <v>-19.639855599999951</v>
      </c>
      <c r="AM1037">
        <v>-43.882909745178452</v>
      </c>
      <c r="AN1037">
        <v>-19.639855599999951</v>
      </c>
      <c r="AO1037">
        <v>-43.882909745178452</v>
      </c>
      <c r="AP1037">
        <v>-19.639790000000001</v>
      </c>
      <c r="AQ1037">
        <v>-43.882798999999999</v>
      </c>
      <c r="AR1037">
        <v>13.716486068571211</v>
      </c>
      <c r="AS1037" t="s">
        <v>65</v>
      </c>
      <c r="AT1037">
        <v>1</v>
      </c>
      <c r="AU1037" t="s">
        <v>289</v>
      </c>
      <c r="AV1037" t="s">
        <v>290</v>
      </c>
      <c r="AW1037" t="s">
        <v>60</v>
      </c>
      <c r="AX1037" t="s">
        <v>68</v>
      </c>
      <c r="AY1037" t="s">
        <v>69</v>
      </c>
      <c r="AZ1037" t="b">
        <v>1</v>
      </c>
    </row>
    <row r="1038" spans="1:52" x14ac:dyDescent="0.3">
      <c r="A1038" t="s">
        <v>52</v>
      </c>
      <c r="B1038" t="s">
        <v>53</v>
      </c>
      <c r="C1038" t="s">
        <v>54</v>
      </c>
      <c r="D1038" t="s">
        <v>55</v>
      </c>
      <c r="E1038" t="s">
        <v>804</v>
      </c>
      <c r="F1038" t="s">
        <v>176</v>
      </c>
      <c r="G1038" t="s">
        <v>291</v>
      </c>
      <c r="H1038" t="s">
        <v>292</v>
      </c>
      <c r="I1038" t="s">
        <v>292</v>
      </c>
      <c r="J1038" t="s">
        <v>60</v>
      </c>
      <c r="K1038" t="s">
        <v>286</v>
      </c>
      <c r="L1038" t="s">
        <v>62</v>
      </c>
      <c r="M1038" t="s">
        <v>286</v>
      </c>
      <c r="N1038" t="s">
        <v>293</v>
      </c>
      <c r="O1038" t="s">
        <v>294</v>
      </c>
      <c r="P1038">
        <v>-19.640333999999999</v>
      </c>
      <c r="Q1038">
        <v>-43.880004999999997</v>
      </c>
      <c r="R1038" s="2" t="str">
        <f>HYPERLINK("https://www.google.com/maps?q=-19.6403340,-43.8800050","Abrir no Google Maps")</f>
        <v>Abrir no Google Maps</v>
      </c>
      <c r="S1038">
        <v>3</v>
      </c>
      <c r="T1038">
        <v>276.80943817309782</v>
      </c>
      <c r="U1038">
        <v>3</v>
      </c>
      <c r="V1038">
        <v>0.31086341118188249</v>
      </c>
      <c r="W1038">
        <v>1</v>
      </c>
      <c r="X1038">
        <v>0.31086341118188249</v>
      </c>
      <c r="Y1038">
        <v>10</v>
      </c>
      <c r="Z1038">
        <v>361.98332038983392</v>
      </c>
      <c r="AA1038">
        <v>2</v>
      </c>
      <c r="AB1038">
        <v>3</v>
      </c>
      <c r="AC1038">
        <v>7</v>
      </c>
      <c r="AD1038">
        <v>26.28</v>
      </c>
      <c r="AE1038">
        <v>253</v>
      </c>
      <c r="AF1038">
        <v>15</v>
      </c>
      <c r="AG1038">
        <v>65</v>
      </c>
      <c r="AH1038">
        <v>32</v>
      </c>
      <c r="AI1038">
        <v>5.93</v>
      </c>
      <c r="AJ1038">
        <v>25.69</v>
      </c>
      <c r="AK1038">
        <v>12.65</v>
      </c>
      <c r="AL1038">
        <v>-19.640260249999951</v>
      </c>
      <c r="AM1038">
        <v>-43.880090474326408</v>
      </c>
      <c r="AN1038">
        <v>-19.640260249999951</v>
      </c>
      <c r="AO1038">
        <v>-43.880090474326408</v>
      </c>
      <c r="AP1038">
        <v>-19.640333999999999</v>
      </c>
      <c r="AQ1038">
        <v>-43.880004999999997</v>
      </c>
      <c r="AR1038">
        <v>12.153556195359609</v>
      </c>
      <c r="AS1038" t="s">
        <v>65</v>
      </c>
      <c r="AT1038">
        <v>1</v>
      </c>
      <c r="AU1038" t="s">
        <v>295</v>
      </c>
      <c r="AV1038" t="s">
        <v>296</v>
      </c>
      <c r="AW1038" t="s">
        <v>60</v>
      </c>
      <c r="AX1038" t="s">
        <v>68</v>
      </c>
      <c r="AY1038" t="s">
        <v>69</v>
      </c>
      <c r="AZ1038" t="b">
        <v>1</v>
      </c>
    </row>
    <row r="1039" spans="1:52" x14ac:dyDescent="0.3">
      <c r="A1039" t="s">
        <v>52</v>
      </c>
      <c r="B1039" t="s">
        <v>53</v>
      </c>
      <c r="C1039" t="s">
        <v>54</v>
      </c>
      <c r="D1039" t="s">
        <v>55</v>
      </c>
      <c r="E1039" t="s">
        <v>804</v>
      </c>
      <c r="F1039" t="s">
        <v>176</v>
      </c>
      <c r="G1039" t="s">
        <v>557</v>
      </c>
      <c r="H1039" t="s">
        <v>558</v>
      </c>
      <c r="I1039" t="s">
        <v>558</v>
      </c>
      <c r="J1039" t="s">
        <v>60</v>
      </c>
      <c r="K1039" t="s">
        <v>445</v>
      </c>
      <c r="L1039" t="s">
        <v>62</v>
      </c>
      <c r="M1039" t="s">
        <v>445</v>
      </c>
      <c r="N1039" t="s">
        <v>559</v>
      </c>
      <c r="O1039" t="s">
        <v>560</v>
      </c>
      <c r="P1039">
        <v>-19.641839000000001</v>
      </c>
      <c r="Q1039">
        <v>-43.876227</v>
      </c>
      <c r="R1039" s="2" t="str">
        <f>HYPERLINK("https://www.google.com/maps?q=-19.6418390,-43.8762270","Abrir no Google Maps")</f>
        <v>Abrir no Google Maps</v>
      </c>
      <c r="S1039">
        <v>3</v>
      </c>
      <c r="T1039">
        <v>564.50471877254449</v>
      </c>
      <c r="U1039">
        <v>3</v>
      </c>
      <c r="V1039">
        <v>0.3583402215242189</v>
      </c>
      <c r="W1039">
        <v>0.85</v>
      </c>
      <c r="X1039">
        <v>0.30458918829558612</v>
      </c>
      <c r="Y1039">
        <v>10</v>
      </c>
      <c r="Z1039">
        <v>490.40238336341412</v>
      </c>
      <c r="AA1039">
        <v>2</v>
      </c>
      <c r="AB1039">
        <v>3</v>
      </c>
      <c r="AC1039">
        <v>7</v>
      </c>
      <c r="AD1039">
        <v>26.28</v>
      </c>
      <c r="AE1039">
        <v>253</v>
      </c>
      <c r="AF1039">
        <v>15</v>
      </c>
      <c r="AG1039">
        <v>65</v>
      </c>
      <c r="AH1039">
        <v>32</v>
      </c>
      <c r="AI1039">
        <v>5.93</v>
      </c>
      <c r="AJ1039">
        <v>25.69</v>
      </c>
      <c r="AK1039">
        <v>12.65</v>
      </c>
      <c r="AL1039">
        <v>-19.641880699999941</v>
      </c>
      <c r="AM1039">
        <v>-43.876185869580858</v>
      </c>
      <c r="AN1039">
        <v>-19.641880699999941</v>
      </c>
      <c r="AO1039">
        <v>-43.876185869580858</v>
      </c>
      <c r="AP1039">
        <v>-19.641839000000001</v>
      </c>
      <c r="AQ1039">
        <v>-43.876227</v>
      </c>
      <c r="AR1039">
        <v>6.3359121862683301</v>
      </c>
      <c r="AS1039" t="s">
        <v>65</v>
      </c>
      <c r="AT1039">
        <v>1</v>
      </c>
      <c r="AU1039" t="s">
        <v>561</v>
      </c>
      <c r="AV1039" t="s">
        <v>562</v>
      </c>
      <c r="AW1039" t="s">
        <v>60</v>
      </c>
      <c r="AX1039" t="s">
        <v>68</v>
      </c>
      <c r="AY1039" t="s">
        <v>69</v>
      </c>
      <c r="AZ1039" t="b">
        <v>1</v>
      </c>
    </row>
    <row r="1040" spans="1:52" x14ac:dyDescent="0.3">
      <c r="A1040" t="s">
        <v>52</v>
      </c>
      <c r="B1040" t="s">
        <v>53</v>
      </c>
      <c r="C1040" t="s">
        <v>54</v>
      </c>
      <c r="D1040" t="s">
        <v>55</v>
      </c>
      <c r="E1040" t="s">
        <v>804</v>
      </c>
      <c r="F1040" t="s">
        <v>176</v>
      </c>
      <c r="G1040" t="s">
        <v>411</v>
      </c>
      <c r="H1040" t="s">
        <v>412</v>
      </c>
      <c r="I1040" t="s">
        <v>412</v>
      </c>
      <c r="J1040" t="s">
        <v>60</v>
      </c>
      <c r="K1040" t="s">
        <v>179</v>
      </c>
      <c r="L1040" t="s">
        <v>62</v>
      </c>
      <c r="M1040" t="s">
        <v>179</v>
      </c>
      <c r="N1040" t="s">
        <v>413</v>
      </c>
      <c r="O1040" t="s">
        <v>414</v>
      </c>
      <c r="P1040">
        <v>-19.650079000000002</v>
      </c>
      <c r="Q1040">
        <v>-43.884253999999999</v>
      </c>
      <c r="R1040" s="2" t="str">
        <f>HYPERLINK("https://www.google.com/maps?q=-19.6500790,-43.8842540","Abrir no Google Maps")</f>
        <v>Abrir no Google Maps</v>
      </c>
      <c r="S1040">
        <v>3</v>
      </c>
      <c r="T1040">
        <v>797.21430129715498</v>
      </c>
      <c r="U1040">
        <v>3</v>
      </c>
      <c r="V1040">
        <v>0.3264254385964912</v>
      </c>
      <c r="W1040">
        <v>1</v>
      </c>
      <c r="X1040">
        <v>0.3264254385964912</v>
      </c>
      <c r="Y1040">
        <v>10</v>
      </c>
      <c r="Z1040">
        <v>774.04145012702554</v>
      </c>
      <c r="AA1040">
        <v>2</v>
      </c>
      <c r="AB1040">
        <v>3</v>
      </c>
      <c r="AC1040">
        <v>7</v>
      </c>
      <c r="AD1040">
        <v>26.28</v>
      </c>
      <c r="AE1040">
        <v>253</v>
      </c>
      <c r="AF1040">
        <v>15</v>
      </c>
      <c r="AG1040">
        <v>65</v>
      </c>
      <c r="AH1040">
        <v>32</v>
      </c>
      <c r="AI1040">
        <v>5.93</v>
      </c>
      <c r="AJ1040">
        <v>25.69</v>
      </c>
      <c r="AK1040">
        <v>12.65</v>
      </c>
      <c r="AL1040">
        <v>-19.649199399999961</v>
      </c>
      <c r="AM1040">
        <v>-43.883888390043637</v>
      </c>
      <c r="AN1040">
        <v>-19.649199399999961</v>
      </c>
      <c r="AO1040">
        <v>-43.883888390043637</v>
      </c>
      <c r="AP1040">
        <v>-19.650079000000002</v>
      </c>
      <c r="AQ1040">
        <v>-43.884253999999999</v>
      </c>
      <c r="AR1040">
        <v>105.1518915696123</v>
      </c>
      <c r="AS1040" t="s">
        <v>65</v>
      </c>
      <c r="AT1040">
        <v>1</v>
      </c>
      <c r="AU1040" t="s">
        <v>415</v>
      </c>
      <c r="AV1040" t="s">
        <v>416</v>
      </c>
      <c r="AW1040" t="s">
        <v>60</v>
      </c>
      <c r="AX1040" t="s">
        <v>68</v>
      </c>
      <c r="AY1040" t="s">
        <v>69</v>
      </c>
      <c r="AZ1040" t="b">
        <v>1</v>
      </c>
    </row>
    <row r="1041" spans="1:52" x14ac:dyDescent="0.3">
      <c r="A1041" t="s">
        <v>52</v>
      </c>
      <c r="B1041" t="s">
        <v>53</v>
      </c>
      <c r="C1041" t="s">
        <v>54</v>
      </c>
      <c r="D1041" t="s">
        <v>55</v>
      </c>
      <c r="E1041" t="s">
        <v>804</v>
      </c>
      <c r="F1041" t="s">
        <v>176</v>
      </c>
      <c r="G1041" t="s">
        <v>575</v>
      </c>
      <c r="H1041" t="s">
        <v>576</v>
      </c>
      <c r="I1041" t="s">
        <v>576</v>
      </c>
      <c r="J1041" t="s">
        <v>60</v>
      </c>
      <c r="K1041" t="s">
        <v>445</v>
      </c>
      <c r="L1041" t="s">
        <v>62</v>
      </c>
      <c r="M1041" t="s">
        <v>445</v>
      </c>
      <c r="N1041" t="s">
        <v>577</v>
      </c>
      <c r="O1041" t="s">
        <v>214</v>
      </c>
      <c r="P1041">
        <v>-19.639865</v>
      </c>
      <c r="Q1041">
        <v>-43.877858000000003</v>
      </c>
      <c r="R1041" s="2" t="str">
        <f>HYPERLINK("https://www.google.com/maps?q=-19.6398650,-43.8778580","Abrir no Google Maps")</f>
        <v>Abrir no Google Maps</v>
      </c>
      <c r="S1041">
        <v>3</v>
      </c>
      <c r="T1041">
        <v>497.47318171010488</v>
      </c>
      <c r="U1041">
        <v>3</v>
      </c>
      <c r="V1041">
        <v>0.35963845784674447</v>
      </c>
      <c r="W1041">
        <v>0.85</v>
      </c>
      <c r="X1041">
        <v>0.3056926891697328</v>
      </c>
      <c r="Y1041">
        <v>10</v>
      </c>
      <c r="Z1041">
        <v>547.08184956634818</v>
      </c>
      <c r="AA1041">
        <v>2</v>
      </c>
      <c r="AB1041">
        <v>3</v>
      </c>
      <c r="AC1041">
        <v>7</v>
      </c>
      <c r="AD1041">
        <v>26.28</v>
      </c>
      <c r="AE1041">
        <v>253</v>
      </c>
      <c r="AF1041">
        <v>15</v>
      </c>
      <c r="AG1041">
        <v>65</v>
      </c>
      <c r="AH1041">
        <v>32</v>
      </c>
      <c r="AI1041">
        <v>5.93</v>
      </c>
      <c r="AJ1041">
        <v>25.69</v>
      </c>
      <c r="AK1041">
        <v>12.65</v>
      </c>
      <c r="AL1041">
        <v>-19.639907499999961</v>
      </c>
      <c r="AM1041">
        <v>-43.877561677180587</v>
      </c>
      <c r="AN1041">
        <v>-19.639907499999961</v>
      </c>
      <c r="AO1041">
        <v>-43.877561677180587</v>
      </c>
      <c r="AP1041">
        <v>-19.639865</v>
      </c>
      <c r="AQ1041">
        <v>-43.877858000000003</v>
      </c>
      <c r="AR1041">
        <v>31.4257813556037</v>
      </c>
      <c r="AS1041" t="s">
        <v>65</v>
      </c>
      <c r="AT1041">
        <v>1</v>
      </c>
      <c r="AU1041" t="s">
        <v>578</v>
      </c>
      <c r="AV1041" t="s">
        <v>579</v>
      </c>
      <c r="AW1041" t="s">
        <v>60</v>
      </c>
      <c r="AX1041" t="s">
        <v>68</v>
      </c>
      <c r="AY1041" t="s">
        <v>69</v>
      </c>
      <c r="AZ1041" t="b">
        <v>1</v>
      </c>
    </row>
    <row r="1042" spans="1:52" x14ac:dyDescent="0.3">
      <c r="A1042" t="s">
        <v>52</v>
      </c>
      <c r="B1042" t="s">
        <v>53</v>
      </c>
      <c r="C1042" t="s">
        <v>54</v>
      </c>
      <c r="D1042" t="s">
        <v>55</v>
      </c>
      <c r="E1042" t="s">
        <v>804</v>
      </c>
      <c r="F1042" t="s">
        <v>176</v>
      </c>
      <c r="G1042" t="s">
        <v>417</v>
      </c>
      <c r="H1042" t="s">
        <v>418</v>
      </c>
      <c r="I1042" t="s">
        <v>418</v>
      </c>
      <c r="J1042" t="s">
        <v>60</v>
      </c>
      <c r="K1042" t="s">
        <v>179</v>
      </c>
      <c r="L1042" t="s">
        <v>62</v>
      </c>
      <c r="M1042" t="s">
        <v>179</v>
      </c>
      <c r="N1042" t="s">
        <v>419</v>
      </c>
      <c r="O1042" t="s">
        <v>420</v>
      </c>
      <c r="P1042">
        <v>-19.646516999999999</v>
      </c>
      <c r="Q1042">
        <v>-43.889716</v>
      </c>
      <c r="R1042" s="2" t="str">
        <f>HYPERLINK("https://www.google.com/maps?q=-19.6465170,-43.8897160","Abrir no Google Maps")</f>
        <v>Abrir no Google Maps</v>
      </c>
      <c r="S1042">
        <v>3</v>
      </c>
      <c r="T1042">
        <v>796.8355517653099</v>
      </c>
      <c r="U1042">
        <v>3</v>
      </c>
      <c r="V1042">
        <v>0.29709576394212728</v>
      </c>
      <c r="W1042">
        <v>1</v>
      </c>
      <c r="X1042">
        <v>0.29709576394212728</v>
      </c>
      <c r="Y1042">
        <v>7</v>
      </c>
      <c r="Z1042">
        <v>749.72812632947034</v>
      </c>
      <c r="AA1042">
        <v>2</v>
      </c>
      <c r="AB1042">
        <v>3</v>
      </c>
      <c r="AC1042">
        <v>7</v>
      </c>
      <c r="AD1042">
        <v>26.28</v>
      </c>
      <c r="AE1042">
        <v>253</v>
      </c>
      <c r="AF1042">
        <v>15</v>
      </c>
      <c r="AG1042">
        <v>65</v>
      </c>
      <c r="AH1042">
        <v>32</v>
      </c>
      <c r="AI1042">
        <v>5.93</v>
      </c>
      <c r="AJ1042">
        <v>25.69</v>
      </c>
      <c r="AK1042">
        <v>12.65</v>
      </c>
      <c r="AL1042">
        <v>-19.646452649999961</v>
      </c>
      <c r="AM1042">
        <v>-43.88991036523079</v>
      </c>
      <c r="AN1042">
        <v>-19.646452649999961</v>
      </c>
      <c r="AO1042">
        <v>-43.88991036523079</v>
      </c>
      <c r="AP1042">
        <v>-19.646516999999999</v>
      </c>
      <c r="AQ1042">
        <v>-43.889716</v>
      </c>
      <c r="AR1042">
        <v>21.599617922669939</v>
      </c>
      <c r="AS1042" t="s">
        <v>65</v>
      </c>
      <c r="AT1042">
        <v>1</v>
      </c>
      <c r="AU1042" t="s">
        <v>421</v>
      </c>
      <c r="AV1042" t="s">
        <v>422</v>
      </c>
      <c r="AW1042" t="s">
        <v>60</v>
      </c>
      <c r="AX1042" t="s">
        <v>68</v>
      </c>
      <c r="AY1042" t="s">
        <v>69</v>
      </c>
      <c r="AZ1042" t="b">
        <v>1</v>
      </c>
    </row>
    <row r="1043" spans="1:52" x14ac:dyDescent="0.3">
      <c r="A1043" t="s">
        <v>52</v>
      </c>
      <c r="B1043" t="s">
        <v>53</v>
      </c>
      <c r="C1043" t="s">
        <v>54</v>
      </c>
      <c r="D1043" t="s">
        <v>55</v>
      </c>
      <c r="E1043" t="s">
        <v>804</v>
      </c>
      <c r="F1043" t="s">
        <v>176</v>
      </c>
      <c r="G1043" t="s">
        <v>228</v>
      </c>
      <c r="H1043" t="s">
        <v>423</v>
      </c>
      <c r="I1043" t="s">
        <v>423</v>
      </c>
      <c r="J1043" t="s">
        <v>60</v>
      </c>
      <c r="K1043" t="s">
        <v>286</v>
      </c>
      <c r="L1043" t="s">
        <v>62</v>
      </c>
      <c r="M1043" t="s">
        <v>286</v>
      </c>
      <c r="N1043" t="s">
        <v>230</v>
      </c>
      <c r="O1043" t="s">
        <v>424</v>
      </c>
      <c r="P1043">
        <v>-19.641656999999999</v>
      </c>
      <c r="Q1043">
        <v>-43.884228999999998</v>
      </c>
      <c r="R1043" s="2" t="str">
        <f>HYPERLINK("https://www.google.com/maps?q=-19.6416570,-43.8842290","Abrir no Google Maps")</f>
        <v>Abrir no Google Maps</v>
      </c>
      <c r="S1043">
        <v>3</v>
      </c>
      <c r="T1043">
        <v>0</v>
      </c>
      <c r="U1043">
        <v>3</v>
      </c>
      <c r="V1043">
        <v>0.2950963424483673</v>
      </c>
      <c r="W1043">
        <v>1</v>
      </c>
      <c r="X1043">
        <v>0.2950963424483673</v>
      </c>
      <c r="Y1043">
        <v>7</v>
      </c>
      <c r="Z1043">
        <v>67.727401070752876</v>
      </c>
      <c r="AA1043">
        <v>2</v>
      </c>
      <c r="AB1043">
        <v>3</v>
      </c>
      <c r="AC1043">
        <v>7</v>
      </c>
      <c r="AD1043">
        <v>26.28</v>
      </c>
      <c r="AE1043">
        <v>253</v>
      </c>
      <c r="AF1043">
        <v>15</v>
      </c>
      <c r="AG1043">
        <v>65</v>
      </c>
      <c r="AH1043">
        <v>32</v>
      </c>
      <c r="AI1043">
        <v>5.93</v>
      </c>
      <c r="AJ1043">
        <v>25.69</v>
      </c>
      <c r="AK1043">
        <v>12.65</v>
      </c>
      <c r="AL1043">
        <v>-19.641634199999942</v>
      </c>
      <c r="AM1043">
        <v>-43.884263743972831</v>
      </c>
      <c r="AN1043">
        <v>-19.641634199999942</v>
      </c>
      <c r="AO1043">
        <v>-43.884263743972831</v>
      </c>
      <c r="AP1043">
        <v>-19.641656999999999</v>
      </c>
      <c r="AQ1043">
        <v>-43.884228999999998</v>
      </c>
      <c r="AR1043">
        <v>4.4396888961435659</v>
      </c>
      <c r="AS1043" t="s">
        <v>65</v>
      </c>
      <c r="AT1043">
        <v>1</v>
      </c>
      <c r="AU1043" t="s">
        <v>425</v>
      </c>
      <c r="AV1043" t="s">
        <v>426</v>
      </c>
      <c r="AW1043" t="s">
        <v>60</v>
      </c>
      <c r="AX1043" t="s">
        <v>68</v>
      </c>
      <c r="AY1043" t="s">
        <v>69</v>
      </c>
      <c r="AZ1043" t="b">
        <v>1</v>
      </c>
    </row>
    <row r="1044" spans="1:52" x14ac:dyDescent="0.3">
      <c r="A1044" t="s">
        <v>52</v>
      </c>
      <c r="B1044" t="s">
        <v>53</v>
      </c>
      <c r="C1044" t="s">
        <v>54</v>
      </c>
      <c r="D1044" t="s">
        <v>55</v>
      </c>
      <c r="E1044" t="s">
        <v>804</v>
      </c>
      <c r="F1044" t="s">
        <v>176</v>
      </c>
      <c r="G1044" t="s">
        <v>297</v>
      </c>
      <c r="H1044" t="s">
        <v>298</v>
      </c>
      <c r="I1044" t="s">
        <v>298</v>
      </c>
      <c r="J1044" t="s">
        <v>60</v>
      </c>
      <c r="K1044" t="s">
        <v>299</v>
      </c>
      <c r="L1044" t="s">
        <v>62</v>
      </c>
      <c r="M1044" t="s">
        <v>299</v>
      </c>
      <c r="N1044" t="s">
        <v>300</v>
      </c>
      <c r="O1044" t="s">
        <v>301</v>
      </c>
      <c r="P1044">
        <v>-19.679597000000001</v>
      </c>
      <c r="Q1044">
        <v>-43.912095000000001</v>
      </c>
      <c r="R1044" s="2" t="str">
        <f>HYPERLINK("https://www.google.com/maps?q=-19.6795970,-43.9120950","Abrir no Google Maps")</f>
        <v>Abrir no Google Maps</v>
      </c>
      <c r="S1044">
        <v>3</v>
      </c>
      <c r="T1044">
        <v>1581.3368267219889</v>
      </c>
      <c r="U1044">
        <v>3</v>
      </c>
      <c r="V1044">
        <v>0.30947624734401408</v>
      </c>
      <c r="W1044">
        <v>1</v>
      </c>
      <c r="X1044">
        <v>0.30947624734401408</v>
      </c>
      <c r="Y1044">
        <v>5</v>
      </c>
      <c r="Z1044">
        <v>2051.2590436749392</v>
      </c>
      <c r="AA1044">
        <v>2</v>
      </c>
      <c r="AB1044">
        <v>3</v>
      </c>
      <c r="AC1044">
        <v>7</v>
      </c>
      <c r="AD1044">
        <v>26.28</v>
      </c>
      <c r="AE1044">
        <v>253</v>
      </c>
      <c r="AF1044">
        <v>15</v>
      </c>
      <c r="AG1044">
        <v>65</v>
      </c>
      <c r="AH1044">
        <v>32</v>
      </c>
      <c r="AI1044">
        <v>5.93</v>
      </c>
      <c r="AJ1044">
        <v>25.69</v>
      </c>
      <c r="AK1044">
        <v>12.65</v>
      </c>
      <c r="AL1044">
        <v>-19.679572799999931</v>
      </c>
      <c r="AM1044">
        <v>-43.912071775440793</v>
      </c>
      <c r="AN1044">
        <v>-19.679572799999931</v>
      </c>
      <c r="AO1044">
        <v>-43.912071775440793</v>
      </c>
      <c r="AP1044">
        <v>-19.679597000000001</v>
      </c>
      <c r="AQ1044">
        <v>-43.912095000000001</v>
      </c>
      <c r="AR1044">
        <v>3.6308936744190978</v>
      </c>
      <c r="AS1044" t="s">
        <v>65</v>
      </c>
      <c r="AT1044">
        <v>1</v>
      </c>
      <c r="AU1044" t="s">
        <v>302</v>
      </c>
      <c r="AV1044" t="s">
        <v>303</v>
      </c>
      <c r="AW1044" t="s">
        <v>60</v>
      </c>
      <c r="AX1044" t="s">
        <v>68</v>
      </c>
      <c r="AY1044" t="s">
        <v>69</v>
      </c>
      <c r="AZ1044" t="b">
        <v>1</v>
      </c>
    </row>
    <row r="1045" spans="1:52" x14ac:dyDescent="0.3">
      <c r="A1045" t="s">
        <v>52</v>
      </c>
      <c r="B1045" t="s">
        <v>53</v>
      </c>
      <c r="C1045" t="s">
        <v>54</v>
      </c>
      <c r="D1045" t="s">
        <v>55</v>
      </c>
      <c r="E1045" t="s">
        <v>804</v>
      </c>
      <c r="F1045" t="s">
        <v>176</v>
      </c>
      <c r="G1045" t="s">
        <v>304</v>
      </c>
      <c r="H1045" t="s">
        <v>305</v>
      </c>
      <c r="I1045" t="s">
        <v>305</v>
      </c>
      <c r="J1045" t="s">
        <v>60</v>
      </c>
      <c r="K1045" t="s">
        <v>299</v>
      </c>
      <c r="L1045" t="s">
        <v>62</v>
      </c>
      <c r="M1045" t="s">
        <v>299</v>
      </c>
      <c r="N1045" t="s">
        <v>306</v>
      </c>
      <c r="O1045" t="s">
        <v>307</v>
      </c>
      <c r="P1045">
        <v>-19.681051</v>
      </c>
      <c r="Q1045">
        <v>-43.914375</v>
      </c>
      <c r="R1045" s="2" t="str">
        <f>HYPERLINK("https://www.google.com/maps?q=-19.6810510,-43.9143750","Abrir no Google Maps")</f>
        <v>Abrir no Google Maps</v>
      </c>
      <c r="S1045">
        <v>3</v>
      </c>
      <c r="T1045">
        <v>1793.507056919605</v>
      </c>
      <c r="U1045">
        <v>3</v>
      </c>
      <c r="V1045">
        <v>0.29851094179452381</v>
      </c>
      <c r="W1045">
        <v>1</v>
      </c>
      <c r="X1045">
        <v>0.29851094179452381</v>
      </c>
      <c r="Y1045">
        <v>5</v>
      </c>
      <c r="Z1045">
        <v>2183.7125920783069</v>
      </c>
      <c r="AA1045">
        <v>2</v>
      </c>
      <c r="AB1045">
        <v>3</v>
      </c>
      <c r="AC1045">
        <v>7</v>
      </c>
      <c r="AD1045">
        <v>26.28</v>
      </c>
      <c r="AE1045">
        <v>253</v>
      </c>
      <c r="AF1045">
        <v>15</v>
      </c>
      <c r="AG1045">
        <v>65</v>
      </c>
      <c r="AH1045">
        <v>32</v>
      </c>
      <c r="AI1045">
        <v>5.93</v>
      </c>
      <c r="AJ1045">
        <v>25.69</v>
      </c>
      <c r="AK1045">
        <v>12.65</v>
      </c>
      <c r="AL1045">
        <v>-19.680967149999962</v>
      </c>
      <c r="AM1045">
        <v>-43.914383884426663</v>
      </c>
      <c r="AN1045">
        <v>-19.680967149999962</v>
      </c>
      <c r="AO1045">
        <v>-43.914383884426663</v>
      </c>
      <c r="AP1045">
        <v>-19.681051</v>
      </c>
      <c r="AQ1045">
        <v>-43.914375</v>
      </c>
      <c r="AR1045">
        <v>9.3805201894968722</v>
      </c>
      <c r="AS1045" t="s">
        <v>65</v>
      </c>
      <c r="AT1045">
        <v>1</v>
      </c>
      <c r="AU1045" t="s">
        <v>308</v>
      </c>
      <c r="AV1045" t="s">
        <v>303</v>
      </c>
      <c r="AW1045" t="s">
        <v>60</v>
      </c>
      <c r="AX1045" t="s">
        <v>68</v>
      </c>
      <c r="AY1045" t="s">
        <v>69</v>
      </c>
      <c r="AZ1045" t="b">
        <v>1</v>
      </c>
    </row>
    <row r="1046" spans="1:52" x14ac:dyDescent="0.3">
      <c r="A1046" t="s">
        <v>52</v>
      </c>
      <c r="B1046" t="s">
        <v>53</v>
      </c>
      <c r="C1046" t="s">
        <v>54</v>
      </c>
      <c r="D1046" t="s">
        <v>55</v>
      </c>
      <c r="E1046" t="s">
        <v>804</v>
      </c>
      <c r="F1046" t="s">
        <v>176</v>
      </c>
      <c r="G1046" t="s">
        <v>817</v>
      </c>
      <c r="H1046" t="s">
        <v>818</v>
      </c>
      <c r="I1046" t="s">
        <v>818</v>
      </c>
      <c r="J1046" t="s">
        <v>60</v>
      </c>
      <c r="K1046" t="s">
        <v>707</v>
      </c>
      <c r="L1046" t="s">
        <v>62</v>
      </c>
      <c r="M1046" t="s">
        <v>707</v>
      </c>
      <c r="N1046" t="s">
        <v>819</v>
      </c>
      <c r="O1046" t="s">
        <v>820</v>
      </c>
      <c r="P1046">
        <v>-19.646678000000001</v>
      </c>
      <c r="Q1046">
        <v>-43.916181999999999</v>
      </c>
      <c r="R1046" s="2" t="str">
        <f>HYPERLINK("https://www.google.com/maps?q=-19.6466780,-43.9161820","Abrir no Google Maps")</f>
        <v>Abrir no Google Maps</v>
      </c>
      <c r="S1046">
        <v>3</v>
      </c>
      <c r="T1046">
        <v>585.47304728217193</v>
      </c>
      <c r="U1046">
        <v>3</v>
      </c>
      <c r="V1046">
        <v>0.34768404564779593</v>
      </c>
      <c r="W1046">
        <v>0.85</v>
      </c>
      <c r="X1046">
        <v>0.29553143880062649</v>
      </c>
      <c r="Y1046">
        <v>4</v>
      </c>
      <c r="Z1046">
        <v>1049.840216432643</v>
      </c>
      <c r="AA1046">
        <v>2</v>
      </c>
      <c r="AB1046">
        <v>3</v>
      </c>
      <c r="AC1046">
        <v>7</v>
      </c>
      <c r="AD1046">
        <v>26.28</v>
      </c>
      <c r="AE1046">
        <v>253</v>
      </c>
      <c r="AF1046">
        <v>15</v>
      </c>
      <c r="AG1046">
        <v>65</v>
      </c>
      <c r="AH1046">
        <v>32</v>
      </c>
      <c r="AI1046">
        <v>5.93</v>
      </c>
      <c r="AJ1046">
        <v>25.69</v>
      </c>
      <c r="AK1046">
        <v>12.65</v>
      </c>
      <c r="AL1046">
        <v>-19.646615149999949</v>
      </c>
      <c r="AM1046">
        <v>-43.916470989843219</v>
      </c>
      <c r="AN1046">
        <v>-19.646615149999949</v>
      </c>
      <c r="AO1046">
        <v>-43.916470989843219</v>
      </c>
      <c r="AP1046">
        <v>-19.646678000000001</v>
      </c>
      <c r="AQ1046">
        <v>-43.916181999999999</v>
      </c>
      <c r="AR1046">
        <v>31.094865307664481</v>
      </c>
      <c r="AS1046" t="s">
        <v>65</v>
      </c>
      <c r="AT1046">
        <v>1</v>
      </c>
      <c r="AU1046" t="s">
        <v>821</v>
      </c>
      <c r="AV1046" t="s">
        <v>822</v>
      </c>
      <c r="AW1046" t="s">
        <v>60</v>
      </c>
      <c r="AX1046" t="s">
        <v>68</v>
      </c>
      <c r="AY1046" t="s">
        <v>69</v>
      </c>
      <c r="AZ1046" t="b">
        <v>1</v>
      </c>
    </row>
    <row r="1047" spans="1:52" x14ac:dyDescent="0.3">
      <c r="A1047" t="s">
        <v>52</v>
      </c>
      <c r="B1047" t="s">
        <v>53</v>
      </c>
      <c r="C1047" t="s">
        <v>54</v>
      </c>
      <c r="D1047" t="s">
        <v>55</v>
      </c>
      <c r="E1047" t="s">
        <v>804</v>
      </c>
      <c r="F1047" t="s">
        <v>176</v>
      </c>
      <c r="G1047" t="s">
        <v>438</v>
      </c>
      <c r="H1047" t="s">
        <v>439</v>
      </c>
      <c r="I1047" t="s">
        <v>439</v>
      </c>
      <c r="J1047" t="s">
        <v>60</v>
      </c>
      <c r="K1047" t="s">
        <v>199</v>
      </c>
      <c r="L1047" t="s">
        <v>62</v>
      </c>
      <c r="M1047" t="s">
        <v>199</v>
      </c>
      <c r="N1047" t="s">
        <v>440</v>
      </c>
      <c r="O1047" t="s">
        <v>120</v>
      </c>
      <c r="P1047">
        <v>-19.642907000000001</v>
      </c>
      <c r="Q1047">
        <v>-43.912584000000003</v>
      </c>
      <c r="R1047" s="2" t="str">
        <f>HYPERLINK("https://www.google.com/maps?q=-19.6429070,-43.9125840","Abrir no Google Maps")</f>
        <v>Abrir no Google Maps</v>
      </c>
      <c r="S1047">
        <v>3</v>
      </c>
      <c r="T1047">
        <v>0</v>
      </c>
      <c r="U1047">
        <v>3</v>
      </c>
      <c r="V1047">
        <v>0.3246426558737639</v>
      </c>
      <c r="W1047">
        <v>1</v>
      </c>
      <c r="X1047">
        <v>0.3246426558737639</v>
      </c>
      <c r="Y1047">
        <v>4</v>
      </c>
      <c r="Z1047">
        <v>617.66392653629225</v>
      </c>
      <c r="AA1047">
        <v>2</v>
      </c>
      <c r="AB1047">
        <v>3</v>
      </c>
      <c r="AC1047">
        <v>7</v>
      </c>
      <c r="AD1047">
        <v>26.28</v>
      </c>
      <c r="AE1047">
        <v>253</v>
      </c>
      <c r="AF1047">
        <v>15</v>
      </c>
      <c r="AG1047">
        <v>65</v>
      </c>
      <c r="AH1047">
        <v>32</v>
      </c>
      <c r="AI1047">
        <v>5.93</v>
      </c>
      <c r="AJ1047">
        <v>25.69</v>
      </c>
      <c r="AK1047">
        <v>12.65</v>
      </c>
      <c r="AL1047">
        <v>-19.64265969999996</v>
      </c>
      <c r="AM1047">
        <v>-43.912763285666202</v>
      </c>
      <c r="AN1047">
        <v>-19.64265969999996</v>
      </c>
      <c r="AO1047">
        <v>-43.912763285666202</v>
      </c>
      <c r="AP1047">
        <v>-19.642907000000001</v>
      </c>
      <c r="AQ1047">
        <v>-43.912584000000003</v>
      </c>
      <c r="AR1047">
        <v>33.334435483196202</v>
      </c>
      <c r="AS1047" t="s">
        <v>65</v>
      </c>
      <c r="AT1047">
        <v>1</v>
      </c>
      <c r="AU1047" t="s">
        <v>441</v>
      </c>
      <c r="AV1047" t="s">
        <v>442</v>
      </c>
      <c r="AW1047" t="s">
        <v>60</v>
      </c>
      <c r="AX1047" t="s">
        <v>68</v>
      </c>
      <c r="AY1047" t="s">
        <v>69</v>
      </c>
      <c r="AZ1047" t="b">
        <v>1</v>
      </c>
    </row>
    <row r="1048" spans="1:52" x14ac:dyDescent="0.3">
      <c r="A1048" t="s">
        <v>52</v>
      </c>
      <c r="B1048" t="s">
        <v>53</v>
      </c>
      <c r="C1048" t="s">
        <v>54</v>
      </c>
      <c r="D1048" t="s">
        <v>55</v>
      </c>
      <c r="E1048" t="s">
        <v>804</v>
      </c>
      <c r="F1048" t="s">
        <v>176</v>
      </c>
      <c r="G1048" t="s">
        <v>758</v>
      </c>
      <c r="H1048" t="s">
        <v>759</v>
      </c>
      <c r="I1048" t="s">
        <v>759</v>
      </c>
      <c r="J1048" t="s">
        <v>60</v>
      </c>
      <c r="K1048" t="s">
        <v>445</v>
      </c>
      <c r="L1048" t="s">
        <v>62</v>
      </c>
      <c r="M1048" t="s">
        <v>445</v>
      </c>
      <c r="N1048" t="s">
        <v>760</v>
      </c>
      <c r="O1048" t="s">
        <v>379</v>
      </c>
      <c r="P1048">
        <v>-19.646125999999999</v>
      </c>
      <c r="Q1048">
        <v>-43.876871999999999</v>
      </c>
      <c r="R1048" s="2" t="str">
        <f>HYPERLINK("https://www.google.com/maps?q=-19.6461260,-43.8768720","Abrir no Google Maps")</f>
        <v>Abrir no Google Maps</v>
      </c>
      <c r="S1048">
        <v>3</v>
      </c>
      <c r="T1048">
        <v>736.04226763619943</v>
      </c>
      <c r="U1048">
        <v>3</v>
      </c>
      <c r="V1048">
        <v>0.36929874753639769</v>
      </c>
      <c r="W1048">
        <v>0.85</v>
      </c>
      <c r="X1048">
        <v>0.31390393540593797</v>
      </c>
      <c r="Y1048">
        <v>3</v>
      </c>
      <c r="Z1048">
        <v>682.87127274669569</v>
      </c>
      <c r="AA1048">
        <v>2</v>
      </c>
      <c r="AB1048">
        <v>3</v>
      </c>
      <c r="AC1048">
        <v>7</v>
      </c>
      <c r="AD1048">
        <v>26.28</v>
      </c>
      <c r="AE1048">
        <v>253</v>
      </c>
      <c r="AF1048">
        <v>15</v>
      </c>
      <c r="AG1048">
        <v>65</v>
      </c>
      <c r="AH1048">
        <v>32</v>
      </c>
      <c r="AI1048">
        <v>5.93</v>
      </c>
      <c r="AJ1048">
        <v>25.69</v>
      </c>
      <c r="AK1048">
        <v>12.65</v>
      </c>
      <c r="AL1048">
        <v>-19.646915499999949</v>
      </c>
      <c r="AM1048">
        <v>-43.876446468943627</v>
      </c>
      <c r="AN1048">
        <v>-19.646915499999949</v>
      </c>
      <c r="AO1048">
        <v>-43.876446468943627</v>
      </c>
      <c r="AP1048">
        <v>-19.646125999999999</v>
      </c>
      <c r="AQ1048">
        <v>-43.876871999999999</v>
      </c>
      <c r="AR1048">
        <v>98.561710335478438</v>
      </c>
      <c r="AS1048" t="s">
        <v>65</v>
      </c>
      <c r="AT1048">
        <v>1</v>
      </c>
      <c r="AU1048" t="s">
        <v>761</v>
      </c>
      <c r="AV1048" t="s">
        <v>762</v>
      </c>
      <c r="AW1048" t="s">
        <v>60</v>
      </c>
      <c r="AX1048" t="s">
        <v>68</v>
      </c>
      <c r="AY1048" t="s">
        <v>69</v>
      </c>
      <c r="AZ1048" t="b">
        <v>1</v>
      </c>
    </row>
    <row r="1049" spans="1:52" x14ac:dyDescent="0.3">
      <c r="A1049" t="s">
        <v>52</v>
      </c>
      <c r="B1049" t="s">
        <v>53</v>
      </c>
      <c r="C1049" t="s">
        <v>54</v>
      </c>
      <c r="D1049" t="s">
        <v>55</v>
      </c>
      <c r="E1049" t="s">
        <v>804</v>
      </c>
      <c r="F1049" t="s">
        <v>176</v>
      </c>
      <c r="G1049" t="s">
        <v>443</v>
      </c>
      <c r="H1049" t="s">
        <v>444</v>
      </c>
      <c r="I1049" t="s">
        <v>444</v>
      </c>
      <c r="J1049" t="s">
        <v>60</v>
      </c>
      <c r="K1049" t="s">
        <v>445</v>
      </c>
      <c r="L1049" t="s">
        <v>62</v>
      </c>
      <c r="M1049" t="s">
        <v>445</v>
      </c>
      <c r="N1049" t="s">
        <v>446</v>
      </c>
      <c r="O1049" t="s">
        <v>447</v>
      </c>
      <c r="P1049">
        <v>-19.650062999999999</v>
      </c>
      <c r="Q1049">
        <v>-43.878337000000002</v>
      </c>
      <c r="R1049" s="2" t="str">
        <f>HYPERLINK("https://www.google.com/maps?q=-19.6500630,-43.8783370","Abrir no Google Maps")</f>
        <v>Abrir no Google Maps</v>
      </c>
      <c r="S1049">
        <v>3</v>
      </c>
      <c r="T1049">
        <v>839.11860749856135</v>
      </c>
      <c r="U1049">
        <v>3</v>
      </c>
      <c r="V1049">
        <v>0.3225300116174003</v>
      </c>
      <c r="W1049">
        <v>1</v>
      </c>
      <c r="X1049">
        <v>0.3225300116174003</v>
      </c>
      <c r="Y1049">
        <v>3</v>
      </c>
      <c r="Z1049">
        <v>698.86168887476526</v>
      </c>
      <c r="AA1049">
        <v>2</v>
      </c>
      <c r="AB1049">
        <v>3</v>
      </c>
      <c r="AC1049">
        <v>7</v>
      </c>
      <c r="AD1049">
        <v>26.28</v>
      </c>
      <c r="AE1049">
        <v>253</v>
      </c>
      <c r="AF1049">
        <v>15</v>
      </c>
      <c r="AG1049">
        <v>65</v>
      </c>
      <c r="AH1049">
        <v>32</v>
      </c>
      <c r="AI1049">
        <v>5.93</v>
      </c>
      <c r="AJ1049">
        <v>25.69</v>
      </c>
      <c r="AK1049">
        <v>12.65</v>
      </c>
      <c r="AL1049">
        <v>-19.650555399999941</v>
      </c>
      <c r="AM1049">
        <v>-43.878603008553611</v>
      </c>
      <c r="AN1049">
        <v>-19.650555399999941</v>
      </c>
      <c r="AO1049">
        <v>-43.878603008553611</v>
      </c>
      <c r="AP1049">
        <v>-19.650062999999999</v>
      </c>
      <c r="AQ1049">
        <v>-43.878337000000002</v>
      </c>
      <c r="AR1049">
        <v>61.500273251918507</v>
      </c>
      <c r="AS1049" t="s">
        <v>65</v>
      </c>
      <c r="AT1049">
        <v>1</v>
      </c>
      <c r="AU1049" t="s">
        <v>448</v>
      </c>
      <c r="AV1049" t="s">
        <v>449</v>
      </c>
      <c r="AW1049" t="s">
        <v>60</v>
      </c>
      <c r="AX1049" t="s">
        <v>68</v>
      </c>
      <c r="AY1049" t="s">
        <v>69</v>
      </c>
      <c r="AZ1049" t="b">
        <v>1</v>
      </c>
    </row>
    <row r="1050" spans="1:52" x14ac:dyDescent="0.3">
      <c r="A1050" t="s">
        <v>52</v>
      </c>
      <c r="B1050" t="s">
        <v>53</v>
      </c>
      <c r="C1050" t="s">
        <v>54</v>
      </c>
      <c r="D1050" t="s">
        <v>55</v>
      </c>
      <c r="E1050" t="s">
        <v>804</v>
      </c>
      <c r="F1050" t="s">
        <v>176</v>
      </c>
      <c r="G1050" t="s">
        <v>324</v>
      </c>
      <c r="H1050" t="s">
        <v>325</v>
      </c>
      <c r="I1050" t="s">
        <v>325</v>
      </c>
      <c r="J1050" t="s">
        <v>60</v>
      </c>
      <c r="K1050" t="s">
        <v>326</v>
      </c>
      <c r="L1050" t="s">
        <v>62</v>
      </c>
      <c r="M1050" t="s">
        <v>326</v>
      </c>
      <c r="N1050" t="s">
        <v>327</v>
      </c>
      <c r="O1050" t="s">
        <v>328</v>
      </c>
      <c r="P1050">
        <v>-19.654454000000001</v>
      </c>
      <c r="Q1050">
        <v>-43.874654</v>
      </c>
      <c r="R1050" s="2" t="str">
        <f>HYPERLINK("https://www.google.com/maps?q=-19.6544540,-43.8746540","Abrir no Google Maps")</f>
        <v>Abrir no Google Maps</v>
      </c>
      <c r="S1050">
        <v>3</v>
      </c>
      <c r="T1050">
        <v>461.71515786258828</v>
      </c>
      <c r="U1050">
        <v>3</v>
      </c>
      <c r="V1050">
        <v>0.31404021408939681</v>
      </c>
      <c r="W1050">
        <v>1</v>
      </c>
      <c r="X1050">
        <v>0.31404021408939681</v>
      </c>
      <c r="Y1050">
        <v>3</v>
      </c>
      <c r="Z1050">
        <v>321.42492762576637</v>
      </c>
      <c r="AA1050">
        <v>2</v>
      </c>
      <c r="AB1050">
        <v>3</v>
      </c>
      <c r="AC1050">
        <v>7</v>
      </c>
      <c r="AD1050">
        <v>26.28</v>
      </c>
      <c r="AE1050">
        <v>253</v>
      </c>
      <c r="AF1050">
        <v>15</v>
      </c>
      <c r="AG1050">
        <v>65</v>
      </c>
      <c r="AH1050">
        <v>32</v>
      </c>
      <c r="AI1050">
        <v>5.93</v>
      </c>
      <c r="AJ1050">
        <v>25.69</v>
      </c>
      <c r="AK1050">
        <v>12.65</v>
      </c>
      <c r="AL1050">
        <v>-19.654399599999941</v>
      </c>
      <c r="AM1050">
        <v>-43.87457008070222</v>
      </c>
      <c r="AN1050">
        <v>-19.654399599999941</v>
      </c>
      <c r="AO1050">
        <v>-43.87457008070222</v>
      </c>
      <c r="AP1050">
        <v>-19.654454000000001</v>
      </c>
      <c r="AQ1050">
        <v>-43.874654</v>
      </c>
      <c r="AR1050">
        <v>10.68040226290562</v>
      </c>
      <c r="AS1050" t="s">
        <v>65</v>
      </c>
      <c r="AT1050">
        <v>1</v>
      </c>
      <c r="AU1050" t="s">
        <v>329</v>
      </c>
      <c r="AV1050" t="s">
        <v>330</v>
      </c>
      <c r="AW1050" t="s">
        <v>60</v>
      </c>
      <c r="AX1050" t="s">
        <v>68</v>
      </c>
      <c r="AY1050" t="s">
        <v>69</v>
      </c>
      <c r="AZ1050" t="b">
        <v>1</v>
      </c>
    </row>
    <row r="1051" spans="1:52" x14ac:dyDescent="0.3">
      <c r="A1051" t="s">
        <v>52</v>
      </c>
      <c r="B1051" t="s">
        <v>53</v>
      </c>
      <c r="C1051" t="s">
        <v>54</v>
      </c>
      <c r="D1051" t="s">
        <v>55</v>
      </c>
      <c r="E1051" t="s">
        <v>804</v>
      </c>
      <c r="F1051" t="s">
        <v>176</v>
      </c>
      <c r="G1051" t="s">
        <v>823</v>
      </c>
      <c r="H1051" t="s">
        <v>824</v>
      </c>
      <c r="I1051" t="s">
        <v>824</v>
      </c>
      <c r="J1051" t="s">
        <v>60</v>
      </c>
      <c r="K1051" t="s">
        <v>825</v>
      </c>
      <c r="L1051" t="s">
        <v>62</v>
      </c>
      <c r="M1051" t="s">
        <v>825</v>
      </c>
      <c r="N1051" t="s">
        <v>826</v>
      </c>
      <c r="O1051" t="s">
        <v>81</v>
      </c>
      <c r="P1051">
        <v>-19.666164999999999</v>
      </c>
      <c r="Q1051">
        <v>-43.875698999999997</v>
      </c>
      <c r="R1051" s="2" t="str">
        <f>HYPERLINK("https://www.google.com/maps?q=-19.6661650,-43.8756990","Abrir no Google Maps")</f>
        <v>Abrir no Google Maps</v>
      </c>
      <c r="S1051">
        <v>3</v>
      </c>
      <c r="T1051">
        <v>1031.674386589066</v>
      </c>
      <c r="U1051">
        <v>3</v>
      </c>
      <c r="V1051">
        <v>0.34935586414589259</v>
      </c>
      <c r="W1051">
        <v>0.85</v>
      </c>
      <c r="X1051">
        <v>0.29695248452400869</v>
      </c>
      <c r="Y1051">
        <v>3</v>
      </c>
      <c r="Z1051">
        <v>1300.0347291419989</v>
      </c>
      <c r="AA1051">
        <v>2</v>
      </c>
      <c r="AB1051">
        <v>3</v>
      </c>
      <c r="AC1051">
        <v>7</v>
      </c>
      <c r="AD1051">
        <v>26.28</v>
      </c>
      <c r="AE1051">
        <v>253</v>
      </c>
      <c r="AF1051">
        <v>15</v>
      </c>
      <c r="AG1051">
        <v>65</v>
      </c>
      <c r="AH1051">
        <v>32</v>
      </c>
      <c r="AI1051">
        <v>5.93</v>
      </c>
      <c r="AJ1051">
        <v>25.69</v>
      </c>
      <c r="AK1051">
        <v>12.65</v>
      </c>
      <c r="AL1051">
        <v>-19.666795049999958</v>
      </c>
      <c r="AM1051">
        <v>-43.875889950878808</v>
      </c>
      <c r="AN1051">
        <v>-19.666795049999958</v>
      </c>
      <c r="AO1051">
        <v>-43.875889950878808</v>
      </c>
      <c r="AP1051">
        <v>-19.666164999999999</v>
      </c>
      <c r="AQ1051">
        <v>-43.875698999999997</v>
      </c>
      <c r="AR1051">
        <v>72.937567597874036</v>
      </c>
      <c r="AS1051" t="s">
        <v>65</v>
      </c>
      <c r="AT1051">
        <v>1</v>
      </c>
      <c r="AU1051" t="s">
        <v>827</v>
      </c>
      <c r="AV1051" t="s">
        <v>828</v>
      </c>
      <c r="AW1051" t="s">
        <v>60</v>
      </c>
      <c r="AX1051" t="s">
        <v>68</v>
      </c>
      <c r="AY1051" t="s">
        <v>69</v>
      </c>
      <c r="AZ1051" t="b">
        <v>1</v>
      </c>
    </row>
    <row r="1052" spans="1:52" x14ac:dyDescent="0.3">
      <c r="A1052" t="s">
        <v>52</v>
      </c>
      <c r="B1052" t="s">
        <v>53</v>
      </c>
      <c r="C1052" t="s">
        <v>54</v>
      </c>
      <c r="D1052" t="s">
        <v>55</v>
      </c>
      <c r="E1052" t="s">
        <v>804</v>
      </c>
      <c r="F1052" t="s">
        <v>176</v>
      </c>
      <c r="G1052" t="s">
        <v>462</v>
      </c>
      <c r="H1052" t="s">
        <v>463</v>
      </c>
      <c r="I1052" t="s">
        <v>463</v>
      </c>
      <c r="J1052" t="s">
        <v>60</v>
      </c>
      <c r="K1052" t="s">
        <v>464</v>
      </c>
      <c r="L1052" t="s">
        <v>62</v>
      </c>
      <c r="M1052" t="s">
        <v>464</v>
      </c>
      <c r="N1052" t="s">
        <v>465</v>
      </c>
      <c r="O1052" t="s">
        <v>414</v>
      </c>
      <c r="P1052">
        <v>-19.655408000000001</v>
      </c>
      <c r="Q1052">
        <v>-43.862772999999997</v>
      </c>
      <c r="R1052" s="2" t="str">
        <f>HYPERLINK("https://www.google.com/maps?q=-19.6554080,-43.8627730","Abrir no Google Maps")</f>
        <v>Abrir no Google Maps</v>
      </c>
      <c r="S1052">
        <v>3</v>
      </c>
      <c r="T1052">
        <v>877.50781603676592</v>
      </c>
      <c r="U1052">
        <v>3</v>
      </c>
      <c r="V1052">
        <v>0.32155000256029498</v>
      </c>
      <c r="W1052">
        <v>1</v>
      </c>
      <c r="X1052">
        <v>0.32155000256029498</v>
      </c>
      <c r="Y1052">
        <v>3</v>
      </c>
      <c r="Z1052">
        <v>1005.9680098732809</v>
      </c>
      <c r="AA1052">
        <v>2</v>
      </c>
      <c r="AB1052">
        <v>3</v>
      </c>
      <c r="AC1052">
        <v>7</v>
      </c>
      <c r="AD1052">
        <v>26.28</v>
      </c>
      <c r="AE1052">
        <v>253</v>
      </c>
      <c r="AF1052">
        <v>15</v>
      </c>
      <c r="AG1052">
        <v>65</v>
      </c>
      <c r="AH1052">
        <v>32</v>
      </c>
      <c r="AI1052">
        <v>5.93</v>
      </c>
      <c r="AJ1052">
        <v>25.69</v>
      </c>
      <c r="AK1052">
        <v>12.65</v>
      </c>
      <c r="AL1052">
        <v>-19.655455099999951</v>
      </c>
      <c r="AM1052">
        <v>-43.863149342001513</v>
      </c>
      <c r="AN1052">
        <v>-19.655455099999951</v>
      </c>
      <c r="AO1052">
        <v>-43.863149342001513</v>
      </c>
      <c r="AP1052">
        <v>-19.655408000000001</v>
      </c>
      <c r="AQ1052">
        <v>-43.862772999999997</v>
      </c>
      <c r="AR1052">
        <v>39.800175805630573</v>
      </c>
      <c r="AS1052" t="s">
        <v>65</v>
      </c>
      <c r="AT1052">
        <v>1</v>
      </c>
      <c r="AU1052" t="s">
        <v>466</v>
      </c>
      <c r="AV1052" t="s">
        <v>467</v>
      </c>
      <c r="AW1052" t="s">
        <v>60</v>
      </c>
      <c r="AX1052" t="s">
        <v>68</v>
      </c>
      <c r="AY1052" t="s">
        <v>69</v>
      </c>
      <c r="AZ1052" t="b">
        <v>1</v>
      </c>
    </row>
    <row r="1053" spans="1:52" x14ac:dyDescent="0.3">
      <c r="A1053" t="s">
        <v>52</v>
      </c>
      <c r="B1053" t="s">
        <v>53</v>
      </c>
      <c r="C1053" t="s">
        <v>54</v>
      </c>
      <c r="D1053" t="s">
        <v>55</v>
      </c>
      <c r="E1053" t="s">
        <v>804</v>
      </c>
      <c r="F1053" t="s">
        <v>176</v>
      </c>
      <c r="G1053" t="s">
        <v>468</v>
      </c>
      <c r="H1053" t="s">
        <v>469</v>
      </c>
      <c r="I1053" t="s">
        <v>469</v>
      </c>
      <c r="J1053" t="s">
        <v>60</v>
      </c>
      <c r="K1053" t="s">
        <v>326</v>
      </c>
      <c r="L1053" t="s">
        <v>62</v>
      </c>
      <c r="M1053" t="s">
        <v>326</v>
      </c>
      <c r="N1053" t="s">
        <v>470</v>
      </c>
      <c r="O1053" t="s">
        <v>471</v>
      </c>
      <c r="P1053">
        <v>-19.655975999999999</v>
      </c>
      <c r="Q1053">
        <v>-43.870057000000003</v>
      </c>
      <c r="R1053" s="2" t="str">
        <f>HYPERLINK("https://www.google.com/maps?q=-19.6559760,-43.8700570","Abrir no Google Maps")</f>
        <v>Abrir no Google Maps</v>
      </c>
      <c r="S1053">
        <v>3</v>
      </c>
      <c r="T1053">
        <v>409.25016374145417</v>
      </c>
      <c r="U1053">
        <v>3</v>
      </c>
      <c r="V1053">
        <v>0.29194859690532388</v>
      </c>
      <c r="W1053">
        <v>1</v>
      </c>
      <c r="X1053">
        <v>0.29194859690532388</v>
      </c>
      <c r="Y1053">
        <v>3</v>
      </c>
      <c r="Z1053">
        <v>484.59511175905197</v>
      </c>
      <c r="AA1053">
        <v>2</v>
      </c>
      <c r="AB1053">
        <v>3</v>
      </c>
      <c r="AC1053">
        <v>7</v>
      </c>
      <c r="AD1053">
        <v>26.28</v>
      </c>
      <c r="AE1053">
        <v>253</v>
      </c>
      <c r="AF1053">
        <v>15</v>
      </c>
      <c r="AG1053">
        <v>65</v>
      </c>
      <c r="AH1053">
        <v>32</v>
      </c>
      <c r="AI1053">
        <v>5.93</v>
      </c>
      <c r="AJ1053">
        <v>25.69</v>
      </c>
      <c r="AK1053">
        <v>12.65</v>
      </c>
      <c r="AL1053">
        <v>-19.655869499999969</v>
      </c>
      <c r="AM1053">
        <v>-43.870040006843681</v>
      </c>
      <c r="AN1053">
        <v>-19.655869499999969</v>
      </c>
      <c r="AO1053">
        <v>-43.870040006843681</v>
      </c>
      <c r="AP1053">
        <v>-19.655975999999999</v>
      </c>
      <c r="AQ1053">
        <v>-43.870057000000003</v>
      </c>
      <c r="AR1053">
        <v>11.98867552929476</v>
      </c>
      <c r="AS1053" t="s">
        <v>65</v>
      </c>
      <c r="AT1053">
        <v>1</v>
      </c>
      <c r="AU1053" t="s">
        <v>472</v>
      </c>
      <c r="AV1053" t="s">
        <v>473</v>
      </c>
      <c r="AW1053" t="s">
        <v>60</v>
      </c>
      <c r="AX1053" t="s">
        <v>68</v>
      </c>
      <c r="AY1053" t="s">
        <v>69</v>
      </c>
      <c r="AZ1053" t="b">
        <v>1</v>
      </c>
    </row>
    <row r="1054" spans="1:52" x14ac:dyDescent="0.3">
      <c r="A1054" t="s">
        <v>52</v>
      </c>
      <c r="B1054" t="s">
        <v>53</v>
      </c>
      <c r="C1054" t="s">
        <v>54</v>
      </c>
      <c r="D1054" t="s">
        <v>55</v>
      </c>
      <c r="E1054" t="s">
        <v>804</v>
      </c>
      <c r="F1054" t="s">
        <v>176</v>
      </c>
      <c r="G1054" t="s">
        <v>783</v>
      </c>
      <c r="H1054" t="s">
        <v>784</v>
      </c>
      <c r="I1054" t="s">
        <v>784</v>
      </c>
      <c r="J1054" t="s">
        <v>60</v>
      </c>
      <c r="K1054" t="s">
        <v>326</v>
      </c>
      <c r="L1054" t="s">
        <v>62</v>
      </c>
      <c r="M1054" t="s">
        <v>326</v>
      </c>
      <c r="N1054" t="s">
        <v>785</v>
      </c>
      <c r="O1054" t="s">
        <v>282</v>
      </c>
      <c r="P1054">
        <v>-19.660250999999999</v>
      </c>
      <c r="Q1054">
        <v>-43.872767000000003</v>
      </c>
      <c r="R1054" s="2" t="str">
        <f>HYPERLINK("https://www.google.com/maps?q=-19.6602510,-43.8727670","Abrir no Google Maps")</f>
        <v>Abrir no Google Maps</v>
      </c>
      <c r="S1054">
        <v>3</v>
      </c>
      <c r="T1054">
        <v>867.23644041593502</v>
      </c>
      <c r="U1054">
        <v>3</v>
      </c>
      <c r="V1054">
        <v>0.30515825560073351</v>
      </c>
      <c r="W1054">
        <v>1</v>
      </c>
      <c r="X1054">
        <v>0.30515825560073351</v>
      </c>
      <c r="Y1054">
        <v>3</v>
      </c>
      <c r="Z1054">
        <v>822.53921499947728</v>
      </c>
      <c r="AA1054">
        <v>2</v>
      </c>
      <c r="AB1054">
        <v>3</v>
      </c>
      <c r="AC1054">
        <v>7</v>
      </c>
      <c r="AD1054">
        <v>26.28</v>
      </c>
      <c r="AE1054">
        <v>253</v>
      </c>
      <c r="AF1054">
        <v>15</v>
      </c>
      <c r="AG1054">
        <v>65</v>
      </c>
      <c r="AH1054">
        <v>32</v>
      </c>
      <c r="AI1054">
        <v>5.93</v>
      </c>
      <c r="AJ1054">
        <v>25.69</v>
      </c>
      <c r="AK1054">
        <v>12.65</v>
      </c>
      <c r="AL1054">
        <v>-19.65986969999997</v>
      </c>
      <c r="AM1054">
        <v>-43.872697658306379</v>
      </c>
      <c r="AN1054">
        <v>-19.65986969999997</v>
      </c>
      <c r="AO1054">
        <v>-43.872697658306379</v>
      </c>
      <c r="AP1054">
        <v>-19.660250999999999</v>
      </c>
      <c r="AQ1054">
        <v>-43.872767000000003</v>
      </c>
      <c r="AR1054">
        <v>43.064256320397227</v>
      </c>
      <c r="AS1054" t="s">
        <v>65</v>
      </c>
      <c r="AT1054">
        <v>1</v>
      </c>
      <c r="AU1054" t="s">
        <v>786</v>
      </c>
      <c r="AV1054" t="s">
        <v>787</v>
      </c>
      <c r="AW1054" t="s">
        <v>60</v>
      </c>
      <c r="AX1054" t="s">
        <v>68</v>
      </c>
      <c r="AY1054" t="s">
        <v>69</v>
      </c>
      <c r="AZ1054" t="b">
        <v>1</v>
      </c>
    </row>
    <row r="1055" spans="1:52" x14ac:dyDescent="0.3">
      <c r="A1055" t="s">
        <v>52</v>
      </c>
      <c r="B1055" t="s">
        <v>53</v>
      </c>
      <c r="C1055" t="s">
        <v>54</v>
      </c>
      <c r="D1055" t="s">
        <v>55</v>
      </c>
      <c r="E1055" t="s">
        <v>804</v>
      </c>
      <c r="F1055" t="s">
        <v>176</v>
      </c>
      <c r="G1055" t="s">
        <v>763</v>
      </c>
      <c r="H1055" t="s">
        <v>764</v>
      </c>
      <c r="I1055" t="s">
        <v>764</v>
      </c>
      <c r="J1055" t="s">
        <v>60</v>
      </c>
      <c r="K1055" t="s">
        <v>765</v>
      </c>
      <c r="L1055" t="s">
        <v>62</v>
      </c>
      <c r="M1055" t="s">
        <v>765</v>
      </c>
      <c r="N1055" t="s">
        <v>766</v>
      </c>
      <c r="O1055" t="s">
        <v>767</v>
      </c>
      <c r="P1055">
        <v>-19.674292000000001</v>
      </c>
      <c r="Q1055">
        <v>-43.881830000000001</v>
      </c>
      <c r="R1055" s="2" t="str">
        <f>HYPERLINK("https://www.google.com/maps?q=-19.6742920,-43.8818300","Abrir no Google Maps")</f>
        <v>Abrir no Google Maps</v>
      </c>
      <c r="S1055">
        <v>3</v>
      </c>
      <c r="T1055">
        <v>0</v>
      </c>
      <c r="U1055">
        <v>3</v>
      </c>
      <c r="V1055">
        <v>0.34082111615715199</v>
      </c>
      <c r="W1055">
        <v>0.85</v>
      </c>
      <c r="X1055">
        <v>0.28969794873357918</v>
      </c>
      <c r="Y1055">
        <v>3</v>
      </c>
      <c r="Z1055">
        <v>531.841122174725</v>
      </c>
      <c r="AA1055">
        <v>2</v>
      </c>
      <c r="AB1055">
        <v>3</v>
      </c>
      <c r="AC1055">
        <v>7</v>
      </c>
      <c r="AD1055">
        <v>26.28</v>
      </c>
      <c r="AE1055">
        <v>253</v>
      </c>
      <c r="AF1055">
        <v>15</v>
      </c>
      <c r="AG1055">
        <v>65</v>
      </c>
      <c r="AH1055">
        <v>32</v>
      </c>
      <c r="AI1055">
        <v>5.93</v>
      </c>
      <c r="AJ1055">
        <v>25.69</v>
      </c>
      <c r="AK1055">
        <v>12.65</v>
      </c>
      <c r="AL1055">
        <v>-19.67484149999996</v>
      </c>
      <c r="AM1055">
        <v>-43.880858110906111</v>
      </c>
      <c r="AN1055">
        <v>-19.67484149999996</v>
      </c>
      <c r="AO1055">
        <v>-43.880858110906111</v>
      </c>
      <c r="AP1055">
        <v>-19.674292000000001</v>
      </c>
      <c r="AQ1055">
        <v>-43.881830000000001</v>
      </c>
      <c r="AR1055">
        <v>118.82842626598109</v>
      </c>
      <c r="AS1055" t="s">
        <v>65</v>
      </c>
      <c r="AT1055">
        <v>1</v>
      </c>
      <c r="AU1055" t="s">
        <v>768</v>
      </c>
      <c r="AV1055" t="s">
        <v>769</v>
      </c>
      <c r="AW1055" t="s">
        <v>60</v>
      </c>
      <c r="AX1055" t="s">
        <v>68</v>
      </c>
      <c r="AY1055" t="s">
        <v>69</v>
      </c>
      <c r="AZ1055" t="b">
        <v>1</v>
      </c>
    </row>
    <row r="1056" spans="1:52" x14ac:dyDescent="0.3">
      <c r="A1056" t="s">
        <v>52</v>
      </c>
      <c r="B1056" t="s">
        <v>53</v>
      </c>
      <c r="C1056" t="s">
        <v>54</v>
      </c>
      <c r="D1056" t="s">
        <v>55</v>
      </c>
      <c r="E1056" t="s">
        <v>804</v>
      </c>
      <c r="F1056" t="s">
        <v>176</v>
      </c>
      <c r="G1056" t="s">
        <v>338</v>
      </c>
      <c r="H1056" t="s">
        <v>339</v>
      </c>
      <c r="I1056" t="s">
        <v>339</v>
      </c>
      <c r="J1056" t="s">
        <v>60</v>
      </c>
      <c r="K1056" t="s">
        <v>219</v>
      </c>
      <c r="L1056" t="s">
        <v>62</v>
      </c>
      <c r="M1056" t="s">
        <v>219</v>
      </c>
      <c r="N1056" t="s">
        <v>340</v>
      </c>
      <c r="O1056" t="s">
        <v>341</v>
      </c>
      <c r="P1056">
        <v>-19.666964</v>
      </c>
      <c r="Q1056">
        <v>-43.884436999999998</v>
      </c>
      <c r="R1056" s="2" t="str">
        <f>HYPERLINK("https://www.google.com/maps?q=-19.6669640,-43.8844370","Abrir no Google Maps")</f>
        <v>Abrir no Google Maps</v>
      </c>
      <c r="S1056">
        <v>3</v>
      </c>
      <c r="T1056">
        <v>957.0047152726122</v>
      </c>
      <c r="U1056">
        <v>3</v>
      </c>
      <c r="V1056">
        <v>0.29062784567457461</v>
      </c>
      <c r="W1056">
        <v>1</v>
      </c>
      <c r="X1056">
        <v>0.29062784567457461</v>
      </c>
      <c r="Y1056">
        <v>3</v>
      </c>
      <c r="Z1056">
        <v>558.02655966087093</v>
      </c>
      <c r="AA1056">
        <v>2</v>
      </c>
      <c r="AB1056">
        <v>3</v>
      </c>
      <c r="AC1056">
        <v>7</v>
      </c>
      <c r="AD1056">
        <v>26.28</v>
      </c>
      <c r="AE1056">
        <v>253</v>
      </c>
      <c r="AF1056">
        <v>15</v>
      </c>
      <c r="AG1056">
        <v>65</v>
      </c>
      <c r="AH1056">
        <v>32</v>
      </c>
      <c r="AI1056">
        <v>5.93</v>
      </c>
      <c r="AJ1056">
        <v>25.69</v>
      </c>
      <c r="AK1056">
        <v>12.65</v>
      </c>
      <c r="AL1056">
        <v>-19.66693374999997</v>
      </c>
      <c r="AM1056">
        <v>-43.884551162820181</v>
      </c>
      <c r="AN1056">
        <v>-19.66693374999997</v>
      </c>
      <c r="AO1056">
        <v>-43.884551162820181</v>
      </c>
      <c r="AP1056">
        <v>-19.666964</v>
      </c>
      <c r="AQ1056">
        <v>-43.884436999999998</v>
      </c>
      <c r="AR1056">
        <v>12.43199920714442</v>
      </c>
      <c r="AS1056" t="s">
        <v>65</v>
      </c>
      <c r="AT1056">
        <v>1</v>
      </c>
      <c r="AU1056" t="s">
        <v>342</v>
      </c>
      <c r="AV1056" t="s">
        <v>343</v>
      </c>
      <c r="AW1056" t="s">
        <v>60</v>
      </c>
      <c r="AX1056" t="s">
        <v>68</v>
      </c>
      <c r="AY1056" t="s">
        <v>69</v>
      </c>
      <c r="AZ1056" t="b">
        <v>1</v>
      </c>
    </row>
    <row r="1057" spans="1:52" x14ac:dyDescent="0.3">
      <c r="A1057" t="s">
        <v>52</v>
      </c>
      <c r="B1057" t="s">
        <v>53</v>
      </c>
      <c r="C1057" t="s">
        <v>54</v>
      </c>
      <c r="D1057" t="s">
        <v>55</v>
      </c>
      <c r="E1057" t="s">
        <v>804</v>
      </c>
      <c r="F1057" t="s">
        <v>176</v>
      </c>
      <c r="G1057" t="s">
        <v>474</v>
      </c>
      <c r="H1057" t="s">
        <v>475</v>
      </c>
      <c r="I1057" t="s">
        <v>475</v>
      </c>
      <c r="J1057" t="s">
        <v>60</v>
      </c>
      <c r="K1057" t="s">
        <v>326</v>
      </c>
      <c r="L1057" t="s">
        <v>62</v>
      </c>
      <c r="M1057" t="s">
        <v>326</v>
      </c>
      <c r="N1057" t="s">
        <v>476</v>
      </c>
      <c r="O1057" t="s">
        <v>477</v>
      </c>
      <c r="P1057">
        <v>-19.658083000000001</v>
      </c>
      <c r="Q1057">
        <v>-43.866957999999997</v>
      </c>
      <c r="R1057" s="2" t="str">
        <f>HYPERLINK("https://www.google.com/maps?q=-19.6580830,-43.8669580","Abrir no Google Maps")</f>
        <v>Abrir no Google Maps</v>
      </c>
      <c r="S1057">
        <v>3</v>
      </c>
      <c r="T1057">
        <v>753.45055811539748</v>
      </c>
      <c r="U1057">
        <v>3</v>
      </c>
      <c r="V1057">
        <v>0.31141844721810868</v>
      </c>
      <c r="W1057">
        <v>1</v>
      </c>
      <c r="X1057">
        <v>0.31141844721810868</v>
      </c>
      <c r="Y1057">
        <v>3</v>
      </c>
      <c r="Z1057">
        <v>808.47816984050394</v>
      </c>
      <c r="AA1057">
        <v>2</v>
      </c>
      <c r="AB1057">
        <v>3</v>
      </c>
      <c r="AC1057">
        <v>7</v>
      </c>
      <c r="AD1057">
        <v>26.28</v>
      </c>
      <c r="AE1057">
        <v>253</v>
      </c>
      <c r="AF1057">
        <v>15</v>
      </c>
      <c r="AG1057">
        <v>65</v>
      </c>
      <c r="AH1057">
        <v>32</v>
      </c>
      <c r="AI1057">
        <v>5.93</v>
      </c>
      <c r="AJ1057">
        <v>25.69</v>
      </c>
      <c r="AK1057">
        <v>12.65</v>
      </c>
      <c r="AL1057">
        <v>-19.658034899999929</v>
      </c>
      <c r="AM1057">
        <v>-43.867024921196148</v>
      </c>
      <c r="AN1057">
        <v>-19.658034899999929</v>
      </c>
      <c r="AO1057">
        <v>-43.867024921196148</v>
      </c>
      <c r="AP1057">
        <v>-19.658083000000001</v>
      </c>
      <c r="AQ1057">
        <v>-43.866957999999997</v>
      </c>
      <c r="AR1057">
        <v>8.8253920204286462</v>
      </c>
      <c r="AS1057" t="s">
        <v>65</v>
      </c>
      <c r="AT1057">
        <v>1</v>
      </c>
      <c r="AU1057" t="s">
        <v>478</v>
      </c>
      <c r="AV1057" t="s">
        <v>349</v>
      </c>
      <c r="AW1057" t="s">
        <v>60</v>
      </c>
      <c r="AX1057" t="s">
        <v>68</v>
      </c>
      <c r="AY1057" t="s">
        <v>69</v>
      </c>
      <c r="AZ1057" t="b">
        <v>1</v>
      </c>
    </row>
    <row r="1058" spans="1:52" x14ac:dyDescent="0.3">
      <c r="A1058" t="s">
        <v>52</v>
      </c>
      <c r="B1058" t="s">
        <v>53</v>
      </c>
      <c r="C1058" t="s">
        <v>54</v>
      </c>
      <c r="D1058" t="s">
        <v>55</v>
      </c>
      <c r="E1058" t="s">
        <v>804</v>
      </c>
      <c r="F1058" t="s">
        <v>176</v>
      </c>
      <c r="G1058" t="s">
        <v>479</v>
      </c>
      <c r="H1058" t="s">
        <v>480</v>
      </c>
      <c r="I1058" t="s">
        <v>480</v>
      </c>
      <c r="J1058" t="s">
        <v>60</v>
      </c>
      <c r="K1058" t="s">
        <v>286</v>
      </c>
      <c r="L1058" t="s">
        <v>62</v>
      </c>
      <c r="M1058" t="s">
        <v>286</v>
      </c>
      <c r="N1058" t="s">
        <v>481</v>
      </c>
      <c r="O1058" t="s">
        <v>159</v>
      </c>
      <c r="P1058">
        <v>-19.635337</v>
      </c>
      <c r="Q1058">
        <v>-43.884400999999997</v>
      </c>
      <c r="R1058" s="2" t="str">
        <f>HYPERLINK("https://www.google.com/maps?q=-19.6353370,-43.8844010","Abrir no Google Maps")</f>
        <v>Abrir no Google Maps</v>
      </c>
      <c r="S1058">
        <v>3</v>
      </c>
      <c r="T1058">
        <v>697.1404216088763</v>
      </c>
      <c r="U1058">
        <v>3</v>
      </c>
      <c r="V1058">
        <v>0.32322648713826357</v>
      </c>
      <c r="W1058">
        <v>1</v>
      </c>
      <c r="X1058">
        <v>0.32322648713826357</v>
      </c>
      <c r="Y1058">
        <v>2</v>
      </c>
      <c r="Z1058">
        <v>178.9017814618079</v>
      </c>
      <c r="AA1058">
        <v>2</v>
      </c>
      <c r="AB1058">
        <v>3</v>
      </c>
      <c r="AC1058">
        <v>7</v>
      </c>
      <c r="AD1058">
        <v>26.28</v>
      </c>
      <c r="AE1058">
        <v>253</v>
      </c>
      <c r="AF1058">
        <v>15</v>
      </c>
      <c r="AG1058">
        <v>65</v>
      </c>
      <c r="AH1058">
        <v>32</v>
      </c>
      <c r="AI1058">
        <v>5.93</v>
      </c>
      <c r="AJ1058">
        <v>25.69</v>
      </c>
      <c r="AK1058">
        <v>12.65</v>
      </c>
      <c r="AL1058">
        <v>-19.635338699999949</v>
      </c>
      <c r="AM1058">
        <v>-43.884486286355838</v>
      </c>
      <c r="AN1058">
        <v>-19.635338699999949</v>
      </c>
      <c r="AO1058">
        <v>-43.884486286355838</v>
      </c>
      <c r="AP1058">
        <v>-19.635337</v>
      </c>
      <c r="AQ1058">
        <v>-43.884400999999997</v>
      </c>
      <c r="AR1058">
        <v>8.9440024153343494</v>
      </c>
      <c r="AS1058" t="s">
        <v>65</v>
      </c>
      <c r="AT1058">
        <v>1</v>
      </c>
      <c r="AU1058" t="s">
        <v>482</v>
      </c>
      <c r="AV1058" t="s">
        <v>483</v>
      </c>
      <c r="AW1058" t="s">
        <v>60</v>
      </c>
      <c r="AX1058" t="s">
        <v>68</v>
      </c>
      <c r="AY1058" t="s">
        <v>69</v>
      </c>
      <c r="AZ1058" t="b">
        <v>1</v>
      </c>
    </row>
    <row r="1059" spans="1:52" x14ac:dyDescent="0.3">
      <c r="A1059" t="s">
        <v>52</v>
      </c>
      <c r="B1059" t="s">
        <v>53</v>
      </c>
      <c r="C1059" t="s">
        <v>54</v>
      </c>
      <c r="D1059" t="s">
        <v>55</v>
      </c>
      <c r="E1059" t="s">
        <v>804</v>
      </c>
      <c r="F1059" t="s">
        <v>512</v>
      </c>
      <c r="G1059" t="s">
        <v>70</v>
      </c>
      <c r="H1059" t="s">
        <v>71</v>
      </c>
      <c r="I1059" t="s">
        <v>71</v>
      </c>
      <c r="J1059" t="s">
        <v>60</v>
      </c>
      <c r="K1059" t="s">
        <v>72</v>
      </c>
      <c r="L1059" t="s">
        <v>62</v>
      </c>
      <c r="M1059" t="s">
        <v>72</v>
      </c>
      <c r="N1059" t="s">
        <v>73</v>
      </c>
      <c r="O1059" t="s">
        <v>74</v>
      </c>
      <c r="P1059">
        <v>-19.632581999999999</v>
      </c>
      <c r="Q1059">
        <v>-43.902416000000002</v>
      </c>
      <c r="R1059" s="2" t="str">
        <f>HYPERLINK("https://www.google.com/maps?q=-19.6325820,-43.9024160","Abrir no Google Maps")</f>
        <v>Abrir no Google Maps</v>
      </c>
      <c r="S1059">
        <v>4</v>
      </c>
      <c r="T1059">
        <v>0</v>
      </c>
      <c r="U1059">
        <v>4</v>
      </c>
      <c r="V1059">
        <v>0.47058458996075192</v>
      </c>
      <c r="W1059">
        <v>1</v>
      </c>
      <c r="X1059">
        <v>0.47058458996075192</v>
      </c>
      <c r="Y1059">
        <v>10</v>
      </c>
      <c r="Z1059">
        <v>146.6968158874696</v>
      </c>
      <c r="AA1059">
        <v>2</v>
      </c>
      <c r="AB1059">
        <v>3</v>
      </c>
      <c r="AC1059">
        <v>7</v>
      </c>
      <c r="AD1059">
        <v>26.28</v>
      </c>
      <c r="AE1059">
        <v>253</v>
      </c>
      <c r="AF1059">
        <v>15</v>
      </c>
      <c r="AG1059">
        <v>65</v>
      </c>
      <c r="AH1059">
        <v>32</v>
      </c>
      <c r="AI1059">
        <v>5.93</v>
      </c>
      <c r="AJ1059">
        <v>25.69</v>
      </c>
      <c r="AK1059">
        <v>12.65</v>
      </c>
      <c r="AL1059">
        <v>-19.63271449999996</v>
      </c>
      <c r="AM1059">
        <v>-43.902649897389402</v>
      </c>
      <c r="AN1059">
        <v>-19.63271449999996</v>
      </c>
      <c r="AO1059">
        <v>-43.902649897389402</v>
      </c>
      <c r="AP1059">
        <v>-19.632581999999999</v>
      </c>
      <c r="AQ1059">
        <v>-43.902416000000002</v>
      </c>
      <c r="AR1059">
        <v>28.617753432996459</v>
      </c>
      <c r="AS1059" t="s">
        <v>65</v>
      </c>
      <c r="AT1059">
        <v>1</v>
      </c>
      <c r="AU1059" t="s">
        <v>75</v>
      </c>
      <c r="AV1059" t="s">
        <v>76</v>
      </c>
      <c r="AW1059" t="s">
        <v>60</v>
      </c>
      <c r="AX1059" t="s">
        <v>68</v>
      </c>
      <c r="AY1059" t="s">
        <v>69</v>
      </c>
      <c r="AZ1059" t="b">
        <v>1</v>
      </c>
    </row>
    <row r="1060" spans="1:52" x14ac:dyDescent="0.3">
      <c r="A1060" t="s">
        <v>52</v>
      </c>
      <c r="B1060" t="s">
        <v>53</v>
      </c>
      <c r="C1060" t="s">
        <v>54</v>
      </c>
      <c r="D1060" t="s">
        <v>55</v>
      </c>
      <c r="E1060" t="s">
        <v>804</v>
      </c>
      <c r="F1060" t="s">
        <v>512</v>
      </c>
      <c r="G1060" t="s">
        <v>77</v>
      </c>
      <c r="H1060" t="s">
        <v>78</v>
      </c>
      <c r="I1060" t="s">
        <v>78</v>
      </c>
      <c r="J1060" t="s">
        <v>60</v>
      </c>
      <c r="K1060" t="s">
        <v>79</v>
      </c>
      <c r="L1060" t="s">
        <v>62</v>
      </c>
      <c r="M1060" t="s">
        <v>79</v>
      </c>
      <c r="N1060" t="s">
        <v>80</v>
      </c>
      <c r="O1060" t="s">
        <v>81</v>
      </c>
      <c r="P1060">
        <v>-19.632463999999999</v>
      </c>
      <c r="Q1060">
        <v>-43.904927999999998</v>
      </c>
      <c r="R1060" s="2" t="str">
        <f>HYPERLINK("https://www.google.com/maps?q=-19.6324640,-43.9049280","Abrir no Google Maps")</f>
        <v>Abrir no Google Maps</v>
      </c>
      <c r="S1060">
        <v>4</v>
      </c>
      <c r="T1060">
        <v>244.1735197453369</v>
      </c>
      <c r="U1060">
        <v>4</v>
      </c>
      <c r="V1060">
        <v>0.41159928878906982</v>
      </c>
      <c r="W1060">
        <v>1</v>
      </c>
      <c r="X1060">
        <v>0.41159928878906982</v>
      </c>
      <c r="Y1060">
        <v>10</v>
      </c>
      <c r="Z1060">
        <v>287.26068152447448</v>
      </c>
      <c r="AA1060">
        <v>2</v>
      </c>
      <c r="AB1060">
        <v>3</v>
      </c>
      <c r="AC1060">
        <v>7</v>
      </c>
      <c r="AD1060">
        <v>26.28</v>
      </c>
      <c r="AE1060">
        <v>253</v>
      </c>
      <c r="AF1060">
        <v>15</v>
      </c>
      <c r="AG1060">
        <v>65</v>
      </c>
      <c r="AH1060">
        <v>32</v>
      </c>
      <c r="AI1060">
        <v>5.93</v>
      </c>
      <c r="AJ1060">
        <v>25.69</v>
      </c>
      <c r="AK1060">
        <v>12.65</v>
      </c>
      <c r="AL1060">
        <v>-19.63247099999996</v>
      </c>
      <c r="AM1060">
        <v>-43.904964174285787</v>
      </c>
      <c r="AN1060">
        <v>-19.63247099999996</v>
      </c>
      <c r="AO1060">
        <v>-43.904964174285787</v>
      </c>
      <c r="AP1060">
        <v>-19.632463999999999</v>
      </c>
      <c r="AQ1060">
        <v>-43.904927999999998</v>
      </c>
      <c r="AR1060">
        <v>3.8720457500200469</v>
      </c>
      <c r="AS1060" t="s">
        <v>65</v>
      </c>
      <c r="AT1060">
        <v>1</v>
      </c>
      <c r="AU1060" t="s">
        <v>82</v>
      </c>
      <c r="AV1060" t="s">
        <v>83</v>
      </c>
      <c r="AW1060" t="s">
        <v>60</v>
      </c>
      <c r="AX1060" t="s">
        <v>68</v>
      </c>
      <c r="AY1060" t="s">
        <v>69</v>
      </c>
      <c r="AZ1060" t="b">
        <v>1</v>
      </c>
    </row>
    <row r="1061" spans="1:52" x14ac:dyDescent="0.3">
      <c r="A1061" t="s">
        <v>52</v>
      </c>
      <c r="B1061" t="s">
        <v>53</v>
      </c>
      <c r="C1061" t="s">
        <v>54</v>
      </c>
      <c r="D1061" t="s">
        <v>55</v>
      </c>
      <c r="E1061" t="s">
        <v>804</v>
      </c>
      <c r="F1061" t="s">
        <v>512</v>
      </c>
      <c r="G1061" t="s">
        <v>58</v>
      </c>
      <c r="H1061" t="s">
        <v>59</v>
      </c>
      <c r="I1061" t="s">
        <v>59</v>
      </c>
      <c r="J1061" t="s">
        <v>60</v>
      </c>
      <c r="K1061" t="s">
        <v>61</v>
      </c>
      <c r="L1061" t="s">
        <v>62</v>
      </c>
      <c r="M1061" t="s">
        <v>61</v>
      </c>
      <c r="N1061" t="s">
        <v>63</v>
      </c>
      <c r="O1061" t="s">
        <v>64</v>
      </c>
      <c r="P1061">
        <v>-19.631502000000001</v>
      </c>
      <c r="Q1061">
        <v>-43.910241999999997</v>
      </c>
      <c r="R1061" s="2" t="str">
        <f>HYPERLINK("https://www.google.com/maps?q=-19.6315020,-43.9102420","Abrir no Google Maps")</f>
        <v>Abrir no Google Maps</v>
      </c>
      <c r="S1061">
        <v>4</v>
      </c>
      <c r="T1061">
        <v>789.20099406682743</v>
      </c>
      <c r="U1061">
        <v>3</v>
      </c>
      <c r="V1061">
        <v>0.29503162848499043</v>
      </c>
      <c r="W1061">
        <v>1</v>
      </c>
      <c r="X1061">
        <v>0.29503162848499043</v>
      </c>
      <c r="Y1061">
        <v>10</v>
      </c>
      <c r="Z1061">
        <v>691.44930074509864</v>
      </c>
      <c r="AA1061">
        <v>2</v>
      </c>
      <c r="AB1061">
        <v>3</v>
      </c>
      <c r="AC1061">
        <v>7</v>
      </c>
      <c r="AD1061">
        <v>26.28</v>
      </c>
      <c r="AE1061">
        <v>253</v>
      </c>
      <c r="AF1061">
        <v>15</v>
      </c>
      <c r="AG1061">
        <v>65</v>
      </c>
      <c r="AH1061">
        <v>32</v>
      </c>
      <c r="AI1061">
        <v>5.93</v>
      </c>
      <c r="AJ1061">
        <v>25.69</v>
      </c>
      <c r="AK1061">
        <v>12.65</v>
      </c>
      <c r="AL1061">
        <v>-19.631719749999949</v>
      </c>
      <c r="AM1061">
        <v>-43.910102324517517</v>
      </c>
      <c r="AN1061">
        <v>-19.631719749999949</v>
      </c>
      <c r="AO1061">
        <v>-43.910102324517517</v>
      </c>
      <c r="AP1061">
        <v>-19.631502000000001</v>
      </c>
      <c r="AQ1061">
        <v>-43.910241999999997</v>
      </c>
      <c r="AR1061">
        <v>28.320416429206599</v>
      </c>
      <c r="AS1061" t="s">
        <v>65</v>
      </c>
      <c r="AT1061">
        <v>1</v>
      </c>
      <c r="AU1061" t="s">
        <v>66</v>
      </c>
      <c r="AV1061" t="s">
        <v>67</v>
      </c>
      <c r="AW1061" t="s">
        <v>60</v>
      </c>
      <c r="AX1061" t="s">
        <v>68</v>
      </c>
      <c r="AY1061" t="s">
        <v>69</v>
      </c>
      <c r="AZ1061" t="b">
        <v>1</v>
      </c>
    </row>
    <row r="1062" spans="1:52" x14ac:dyDescent="0.3">
      <c r="A1062" t="s">
        <v>52</v>
      </c>
      <c r="B1062" t="s">
        <v>53</v>
      </c>
      <c r="C1062" t="s">
        <v>54</v>
      </c>
      <c r="D1062" t="s">
        <v>55</v>
      </c>
      <c r="E1062" t="s">
        <v>804</v>
      </c>
      <c r="F1062" t="s">
        <v>512</v>
      </c>
      <c r="G1062" t="s">
        <v>84</v>
      </c>
      <c r="H1062" t="s">
        <v>85</v>
      </c>
      <c r="I1062" t="s">
        <v>85</v>
      </c>
      <c r="J1062" t="s">
        <v>60</v>
      </c>
      <c r="K1062" t="s">
        <v>86</v>
      </c>
      <c r="L1062" t="s">
        <v>62</v>
      </c>
      <c r="M1062" t="s">
        <v>86</v>
      </c>
      <c r="N1062" t="s">
        <v>87</v>
      </c>
      <c r="O1062" t="s">
        <v>88</v>
      </c>
      <c r="P1062">
        <v>-19.629436999999999</v>
      </c>
      <c r="Q1062">
        <v>-43.910398999999998</v>
      </c>
      <c r="R1062" s="2" t="str">
        <f>HYPERLINK("https://www.google.com/maps?q=-19.6294370,-43.9103990","Abrir no Google Maps")</f>
        <v>Abrir no Google Maps</v>
      </c>
      <c r="S1062">
        <v>4</v>
      </c>
      <c r="T1062">
        <v>888.82060643108082</v>
      </c>
      <c r="U1062">
        <v>3</v>
      </c>
      <c r="V1062">
        <v>0.29295086969789441</v>
      </c>
      <c r="W1062">
        <v>1</v>
      </c>
      <c r="X1062">
        <v>0.29295086969789441</v>
      </c>
      <c r="Y1062">
        <v>10</v>
      </c>
      <c r="Z1062">
        <v>867.42797341651737</v>
      </c>
      <c r="AA1062">
        <v>2</v>
      </c>
      <c r="AB1062">
        <v>3</v>
      </c>
      <c r="AC1062">
        <v>7</v>
      </c>
      <c r="AD1062">
        <v>26.28</v>
      </c>
      <c r="AE1062">
        <v>253</v>
      </c>
      <c r="AF1062">
        <v>15</v>
      </c>
      <c r="AG1062">
        <v>65</v>
      </c>
      <c r="AH1062">
        <v>32</v>
      </c>
      <c r="AI1062">
        <v>5.93</v>
      </c>
      <c r="AJ1062">
        <v>25.69</v>
      </c>
      <c r="AK1062">
        <v>12.65</v>
      </c>
      <c r="AL1062">
        <v>-19.62934694999996</v>
      </c>
      <c r="AM1062">
        <v>-43.910344699357317</v>
      </c>
      <c r="AN1062">
        <v>-19.62934694999996</v>
      </c>
      <c r="AO1062">
        <v>-43.910344699357331</v>
      </c>
      <c r="AP1062">
        <v>-19.629436999999999</v>
      </c>
      <c r="AQ1062">
        <v>-43.910398999999998</v>
      </c>
      <c r="AR1062">
        <v>11.52837377953678</v>
      </c>
      <c r="AS1062" t="s">
        <v>65</v>
      </c>
      <c r="AT1062">
        <v>1</v>
      </c>
      <c r="AU1062" t="s">
        <v>89</v>
      </c>
      <c r="AV1062" t="s">
        <v>90</v>
      </c>
      <c r="AW1062" t="s">
        <v>60</v>
      </c>
      <c r="AX1062" t="s">
        <v>68</v>
      </c>
      <c r="AY1062" t="s">
        <v>69</v>
      </c>
      <c r="AZ1062" t="b">
        <v>1</v>
      </c>
    </row>
    <row r="1063" spans="1:52" x14ac:dyDescent="0.3">
      <c r="A1063" t="s">
        <v>52</v>
      </c>
      <c r="B1063" t="s">
        <v>53</v>
      </c>
      <c r="C1063" t="s">
        <v>54</v>
      </c>
      <c r="D1063" t="s">
        <v>55</v>
      </c>
      <c r="E1063" t="s">
        <v>804</v>
      </c>
      <c r="F1063" t="s">
        <v>512</v>
      </c>
      <c r="G1063" t="s">
        <v>91</v>
      </c>
      <c r="H1063" t="s">
        <v>92</v>
      </c>
      <c r="I1063" t="s">
        <v>92</v>
      </c>
      <c r="J1063" t="s">
        <v>60</v>
      </c>
      <c r="K1063" t="s">
        <v>86</v>
      </c>
      <c r="L1063" t="s">
        <v>62</v>
      </c>
      <c r="M1063" t="s">
        <v>86</v>
      </c>
      <c r="N1063" t="s">
        <v>93</v>
      </c>
      <c r="O1063" t="s">
        <v>94</v>
      </c>
      <c r="P1063">
        <v>-19.630676999999999</v>
      </c>
      <c r="Q1063">
        <v>-43.907255999999997</v>
      </c>
      <c r="R1063" s="2" t="str">
        <f>HYPERLINK("https://www.google.com/maps?q=-19.6306770,-43.9072560","Abrir no Google Maps")</f>
        <v>Abrir no Google Maps</v>
      </c>
      <c r="S1063">
        <v>4</v>
      </c>
      <c r="T1063">
        <v>545.39374622597825</v>
      </c>
      <c r="U1063">
        <v>3</v>
      </c>
      <c r="V1063">
        <v>0.30610845295055811</v>
      </c>
      <c r="W1063">
        <v>1</v>
      </c>
      <c r="X1063">
        <v>0.30610845295055811</v>
      </c>
      <c r="Y1063">
        <v>10</v>
      </c>
      <c r="Z1063">
        <v>559.94033759457182</v>
      </c>
      <c r="AA1063">
        <v>2</v>
      </c>
      <c r="AB1063">
        <v>3</v>
      </c>
      <c r="AC1063">
        <v>7</v>
      </c>
      <c r="AD1063">
        <v>26.28</v>
      </c>
      <c r="AE1063">
        <v>253</v>
      </c>
      <c r="AF1063">
        <v>15</v>
      </c>
      <c r="AG1063">
        <v>65</v>
      </c>
      <c r="AH1063">
        <v>32</v>
      </c>
      <c r="AI1063">
        <v>5.93</v>
      </c>
      <c r="AJ1063">
        <v>25.69</v>
      </c>
      <c r="AK1063">
        <v>12.65</v>
      </c>
      <c r="AL1063">
        <v>-19.630448649999941</v>
      </c>
      <c r="AM1063">
        <v>-43.907268502495313</v>
      </c>
      <c r="AN1063">
        <v>-19.630448649999941</v>
      </c>
      <c r="AO1063">
        <v>-43.907268502495313</v>
      </c>
      <c r="AP1063">
        <v>-19.630676999999999</v>
      </c>
      <c r="AQ1063">
        <v>-43.907255999999997</v>
      </c>
      <c r="AR1063">
        <v>25.453700276562468</v>
      </c>
      <c r="AS1063" t="s">
        <v>65</v>
      </c>
      <c r="AT1063">
        <v>1</v>
      </c>
      <c r="AU1063" t="s">
        <v>95</v>
      </c>
      <c r="AV1063" t="s">
        <v>96</v>
      </c>
      <c r="AW1063" t="s">
        <v>60</v>
      </c>
      <c r="AX1063" t="s">
        <v>68</v>
      </c>
      <c r="AY1063" t="s">
        <v>69</v>
      </c>
      <c r="AZ1063" t="b">
        <v>1</v>
      </c>
    </row>
    <row r="1064" spans="1:52" x14ac:dyDescent="0.3">
      <c r="A1064" t="s">
        <v>52</v>
      </c>
      <c r="B1064" t="s">
        <v>53</v>
      </c>
      <c r="C1064" t="s">
        <v>54</v>
      </c>
      <c r="D1064" t="s">
        <v>55</v>
      </c>
      <c r="E1064" t="s">
        <v>804</v>
      </c>
      <c r="F1064" t="s">
        <v>512</v>
      </c>
      <c r="G1064" t="s">
        <v>97</v>
      </c>
      <c r="H1064" t="s">
        <v>98</v>
      </c>
      <c r="I1064" t="s">
        <v>98</v>
      </c>
      <c r="J1064" t="s">
        <v>60</v>
      </c>
      <c r="K1064" t="s">
        <v>99</v>
      </c>
      <c r="L1064" t="s">
        <v>62</v>
      </c>
      <c r="M1064" t="s">
        <v>99</v>
      </c>
      <c r="N1064" t="s">
        <v>100</v>
      </c>
      <c r="O1064" t="s">
        <v>101</v>
      </c>
      <c r="P1064">
        <v>-19.629822000000001</v>
      </c>
      <c r="Q1064">
        <v>-43.905341</v>
      </c>
      <c r="R1064" s="2" t="str">
        <f>HYPERLINK("https://www.google.com/maps?q=-19.6298220,-43.9053410","Abrir no Google Maps")</f>
        <v>Abrir no Google Maps</v>
      </c>
      <c r="S1064">
        <v>4</v>
      </c>
      <c r="T1064">
        <v>441.30597341744129</v>
      </c>
      <c r="U1064">
        <v>3</v>
      </c>
      <c r="V1064">
        <v>0.31666503380033301</v>
      </c>
      <c r="W1064">
        <v>1</v>
      </c>
      <c r="X1064">
        <v>0.31666503380033301</v>
      </c>
      <c r="Y1064">
        <v>10</v>
      </c>
      <c r="Z1064">
        <v>513.56493751010987</v>
      </c>
      <c r="AA1064">
        <v>2</v>
      </c>
      <c r="AB1064">
        <v>3</v>
      </c>
      <c r="AC1064">
        <v>7</v>
      </c>
      <c r="AD1064">
        <v>26.28</v>
      </c>
      <c r="AE1064">
        <v>253</v>
      </c>
      <c r="AF1064">
        <v>15</v>
      </c>
      <c r="AG1064">
        <v>65</v>
      </c>
      <c r="AH1064">
        <v>32</v>
      </c>
      <c r="AI1064">
        <v>5.93</v>
      </c>
      <c r="AJ1064">
        <v>25.69</v>
      </c>
      <c r="AK1064">
        <v>12.65</v>
      </c>
      <c r="AL1064">
        <v>-19.629671599999941</v>
      </c>
      <c r="AM1064">
        <v>-43.905369597920988</v>
      </c>
      <c r="AN1064">
        <v>-19.629671599999931</v>
      </c>
      <c r="AO1064">
        <v>-43.905369597920988</v>
      </c>
      <c r="AP1064">
        <v>-19.629822000000001</v>
      </c>
      <c r="AQ1064">
        <v>-43.905341</v>
      </c>
      <c r="AR1064">
        <v>17.008917699186132</v>
      </c>
      <c r="AS1064" t="s">
        <v>65</v>
      </c>
      <c r="AT1064">
        <v>1</v>
      </c>
      <c r="AU1064" t="s">
        <v>102</v>
      </c>
      <c r="AV1064" t="s">
        <v>103</v>
      </c>
      <c r="AW1064" t="s">
        <v>60</v>
      </c>
      <c r="AX1064" t="s">
        <v>68</v>
      </c>
      <c r="AY1064" t="s">
        <v>69</v>
      </c>
      <c r="AZ1064" t="b">
        <v>1</v>
      </c>
    </row>
    <row r="1065" spans="1:52" x14ac:dyDescent="0.3">
      <c r="A1065" t="s">
        <v>52</v>
      </c>
      <c r="B1065" t="s">
        <v>53</v>
      </c>
      <c r="C1065" t="s">
        <v>54</v>
      </c>
      <c r="D1065" t="s">
        <v>55</v>
      </c>
      <c r="E1065" t="s">
        <v>804</v>
      </c>
      <c r="F1065" t="s">
        <v>512</v>
      </c>
      <c r="G1065" t="s">
        <v>513</v>
      </c>
      <c r="H1065" t="s">
        <v>514</v>
      </c>
      <c r="I1065" t="s">
        <v>514</v>
      </c>
      <c r="J1065" t="s">
        <v>60</v>
      </c>
      <c r="K1065" t="s">
        <v>185</v>
      </c>
      <c r="L1065" t="s">
        <v>62</v>
      </c>
      <c r="M1065" t="s">
        <v>185</v>
      </c>
      <c r="N1065" t="s">
        <v>515</v>
      </c>
      <c r="O1065" t="s">
        <v>516</v>
      </c>
      <c r="P1065">
        <v>-19.63184</v>
      </c>
      <c r="Q1065">
        <v>-43.899625999999998</v>
      </c>
      <c r="R1065" s="2" t="str">
        <f>HYPERLINK("https://www.google.com/maps?q=-19.6318400,-43.8996260","Abrir no Google Maps")</f>
        <v>Abrir no Google Maps</v>
      </c>
      <c r="S1065">
        <v>4</v>
      </c>
      <c r="T1065">
        <v>317.05369638212568</v>
      </c>
      <c r="U1065">
        <v>2</v>
      </c>
      <c r="V1065">
        <v>0.31787393795692548</v>
      </c>
      <c r="W1065">
        <v>0.85</v>
      </c>
      <c r="X1065">
        <v>0.27019284726338672</v>
      </c>
      <c r="Y1065">
        <v>10</v>
      </c>
      <c r="Z1065">
        <v>467.39112963581732</v>
      </c>
      <c r="AA1065">
        <v>2</v>
      </c>
      <c r="AB1065">
        <v>3</v>
      </c>
      <c r="AC1065">
        <v>7</v>
      </c>
      <c r="AD1065">
        <v>26.28</v>
      </c>
      <c r="AE1065">
        <v>253</v>
      </c>
      <c r="AF1065">
        <v>15</v>
      </c>
      <c r="AG1065">
        <v>65</v>
      </c>
      <c r="AH1065">
        <v>32</v>
      </c>
      <c r="AI1065">
        <v>5.93</v>
      </c>
      <c r="AJ1065">
        <v>25.69</v>
      </c>
      <c r="AK1065">
        <v>12.65</v>
      </c>
      <c r="AL1065">
        <v>-19.631819699999941</v>
      </c>
      <c r="AM1065">
        <v>-43.89977767057065</v>
      </c>
      <c r="AN1065">
        <v>-19.631819699999941</v>
      </c>
      <c r="AO1065">
        <v>-43.89977767057065</v>
      </c>
      <c r="AP1065">
        <v>-19.63184</v>
      </c>
      <c r="AQ1065">
        <v>-43.899625999999998</v>
      </c>
      <c r="AR1065">
        <v>16.062279375806241</v>
      </c>
      <c r="AS1065" t="s">
        <v>65</v>
      </c>
      <c r="AT1065">
        <v>1</v>
      </c>
      <c r="AU1065" t="s">
        <v>517</v>
      </c>
      <c r="AV1065" t="s">
        <v>518</v>
      </c>
      <c r="AW1065" t="s">
        <v>60</v>
      </c>
      <c r="AX1065" t="s">
        <v>68</v>
      </c>
      <c r="AY1065" t="s">
        <v>69</v>
      </c>
      <c r="AZ1065" t="b">
        <v>1</v>
      </c>
    </row>
    <row r="1066" spans="1:52" x14ac:dyDescent="0.3">
      <c r="A1066" t="s">
        <v>52</v>
      </c>
      <c r="B1066" t="s">
        <v>53</v>
      </c>
      <c r="C1066" t="s">
        <v>54</v>
      </c>
      <c r="D1066" t="s">
        <v>55</v>
      </c>
      <c r="E1066" t="s">
        <v>804</v>
      </c>
      <c r="F1066" t="s">
        <v>512</v>
      </c>
      <c r="G1066" t="s">
        <v>519</v>
      </c>
      <c r="H1066" t="s">
        <v>520</v>
      </c>
      <c r="I1066" t="s">
        <v>520</v>
      </c>
      <c r="J1066" t="s">
        <v>60</v>
      </c>
      <c r="K1066" t="s">
        <v>72</v>
      </c>
      <c r="L1066" t="s">
        <v>62</v>
      </c>
      <c r="M1066" t="s">
        <v>72</v>
      </c>
      <c r="N1066" t="s">
        <v>521</v>
      </c>
      <c r="O1066" t="s">
        <v>522</v>
      </c>
      <c r="P1066">
        <v>-19.634713000000001</v>
      </c>
      <c r="Q1066">
        <v>-43.908909999999999</v>
      </c>
      <c r="R1066" s="2" t="str">
        <f>HYPERLINK("https://www.google.com/maps?q=-19.6347130,-43.9089100","Abrir no Google Maps")</f>
        <v>Abrir no Google Maps</v>
      </c>
      <c r="S1066">
        <v>4</v>
      </c>
      <c r="T1066">
        <v>700.74700083720154</v>
      </c>
      <c r="U1066">
        <v>2</v>
      </c>
      <c r="V1066">
        <v>0.3164349553128103</v>
      </c>
      <c r="W1066">
        <v>0.85</v>
      </c>
      <c r="X1066">
        <v>0.26896971201588882</v>
      </c>
      <c r="Y1066">
        <v>10</v>
      </c>
      <c r="Z1066">
        <v>557.86159429038207</v>
      </c>
      <c r="AA1066">
        <v>2</v>
      </c>
      <c r="AB1066">
        <v>3</v>
      </c>
      <c r="AC1066">
        <v>7</v>
      </c>
      <c r="AD1066">
        <v>26.28</v>
      </c>
      <c r="AE1066">
        <v>253</v>
      </c>
      <c r="AF1066">
        <v>15</v>
      </c>
      <c r="AG1066">
        <v>65</v>
      </c>
      <c r="AH1066">
        <v>32</v>
      </c>
      <c r="AI1066">
        <v>5.93</v>
      </c>
      <c r="AJ1066">
        <v>25.69</v>
      </c>
      <c r="AK1066">
        <v>12.65</v>
      </c>
      <c r="AL1066">
        <v>-19.634626949999959</v>
      </c>
      <c r="AM1066">
        <v>-43.909020333181857</v>
      </c>
      <c r="AN1066">
        <v>-19.634626949999959</v>
      </c>
      <c r="AO1066">
        <v>-43.909020333181857</v>
      </c>
      <c r="AP1066">
        <v>-19.634713000000001</v>
      </c>
      <c r="AQ1066">
        <v>-43.908909999999999</v>
      </c>
      <c r="AR1066">
        <v>15.01933861967664</v>
      </c>
      <c r="AS1066" t="s">
        <v>65</v>
      </c>
      <c r="AT1066">
        <v>1</v>
      </c>
      <c r="AU1066" t="s">
        <v>523</v>
      </c>
      <c r="AV1066" t="s">
        <v>524</v>
      </c>
      <c r="AW1066" t="s">
        <v>60</v>
      </c>
      <c r="AX1066" t="s">
        <v>68</v>
      </c>
      <c r="AY1066" t="s">
        <v>69</v>
      </c>
      <c r="AZ1066" t="b">
        <v>1</v>
      </c>
    </row>
    <row r="1067" spans="1:52" x14ac:dyDescent="0.3">
      <c r="A1067" t="s">
        <v>52</v>
      </c>
      <c r="B1067" t="s">
        <v>53</v>
      </c>
      <c r="C1067" t="s">
        <v>54</v>
      </c>
      <c r="D1067" t="s">
        <v>55</v>
      </c>
      <c r="E1067" t="s">
        <v>804</v>
      </c>
      <c r="F1067" t="s">
        <v>512</v>
      </c>
      <c r="G1067" t="s">
        <v>388</v>
      </c>
      <c r="H1067" t="s">
        <v>389</v>
      </c>
      <c r="I1067" t="s">
        <v>389</v>
      </c>
      <c r="J1067" t="s">
        <v>60</v>
      </c>
      <c r="K1067" t="s">
        <v>185</v>
      </c>
      <c r="L1067" t="s">
        <v>62</v>
      </c>
      <c r="M1067" t="s">
        <v>185</v>
      </c>
      <c r="N1067" t="s">
        <v>390</v>
      </c>
      <c r="O1067" t="s">
        <v>391</v>
      </c>
      <c r="P1067">
        <v>-19.628802</v>
      </c>
      <c r="Q1067">
        <v>-43.891649000000001</v>
      </c>
      <c r="R1067" s="2" t="str">
        <f>HYPERLINK("https://www.google.com/maps?q=-19.6288020,-43.8916490","Abrir no Google Maps")</f>
        <v>Abrir no Google Maps</v>
      </c>
      <c r="S1067">
        <v>3</v>
      </c>
      <c r="T1067">
        <v>0</v>
      </c>
      <c r="U1067">
        <v>4</v>
      </c>
      <c r="V1067">
        <v>0.45367965367965368</v>
      </c>
      <c r="W1067">
        <v>0.85</v>
      </c>
      <c r="X1067">
        <v>0.3856277056277056</v>
      </c>
      <c r="Y1067">
        <v>18</v>
      </c>
      <c r="Z1067">
        <v>117.5064585283839</v>
      </c>
      <c r="AA1067">
        <v>2</v>
      </c>
      <c r="AB1067">
        <v>3</v>
      </c>
      <c r="AC1067">
        <v>7</v>
      </c>
      <c r="AD1067">
        <v>26.28</v>
      </c>
      <c r="AE1067">
        <v>253</v>
      </c>
      <c r="AF1067">
        <v>15</v>
      </c>
      <c r="AG1067">
        <v>65</v>
      </c>
      <c r="AH1067">
        <v>32</v>
      </c>
      <c r="AI1067">
        <v>5.93</v>
      </c>
      <c r="AJ1067">
        <v>25.69</v>
      </c>
      <c r="AK1067">
        <v>12.65</v>
      </c>
      <c r="AL1067">
        <v>-19.628865499999961</v>
      </c>
      <c r="AM1067">
        <v>-43.891662391334172</v>
      </c>
      <c r="AN1067">
        <v>-19.628865499999961</v>
      </c>
      <c r="AO1067">
        <v>-43.891662391334172</v>
      </c>
      <c r="AP1067">
        <v>-19.628802</v>
      </c>
      <c r="AQ1067">
        <v>-43.891649000000001</v>
      </c>
      <c r="AR1067">
        <v>7.2069201904448459</v>
      </c>
      <c r="AS1067" t="s">
        <v>65</v>
      </c>
      <c r="AT1067">
        <v>1</v>
      </c>
      <c r="AU1067" t="s">
        <v>392</v>
      </c>
      <c r="AV1067" t="s">
        <v>393</v>
      </c>
      <c r="AW1067" t="s">
        <v>60</v>
      </c>
      <c r="AX1067" t="s">
        <v>68</v>
      </c>
      <c r="AY1067" t="s">
        <v>69</v>
      </c>
      <c r="AZ1067" t="b">
        <v>1</v>
      </c>
    </row>
    <row r="1068" spans="1:52" x14ac:dyDescent="0.3">
      <c r="A1068" t="s">
        <v>52</v>
      </c>
      <c r="B1068" t="s">
        <v>53</v>
      </c>
      <c r="C1068" t="s">
        <v>54</v>
      </c>
      <c r="D1068" t="s">
        <v>55</v>
      </c>
      <c r="E1068" t="s">
        <v>804</v>
      </c>
      <c r="F1068" t="s">
        <v>512</v>
      </c>
      <c r="G1068" t="s">
        <v>536</v>
      </c>
      <c r="H1068" t="s">
        <v>537</v>
      </c>
      <c r="I1068" t="s">
        <v>537</v>
      </c>
      <c r="J1068" t="s">
        <v>60</v>
      </c>
      <c r="K1068" t="s">
        <v>185</v>
      </c>
      <c r="L1068" t="s">
        <v>62</v>
      </c>
      <c r="M1068" t="s">
        <v>185</v>
      </c>
      <c r="N1068" t="s">
        <v>538</v>
      </c>
      <c r="O1068" t="s">
        <v>408</v>
      </c>
      <c r="P1068">
        <v>-19.630147999999998</v>
      </c>
      <c r="Q1068">
        <v>-43.893844000000001</v>
      </c>
      <c r="R1068" s="2" t="str">
        <f>HYPERLINK("https://www.google.com/maps?q=-19.6301480,-43.8938440","Abrir no Google Maps")</f>
        <v>Abrir no Google Maps</v>
      </c>
      <c r="S1068">
        <v>3</v>
      </c>
      <c r="T1068">
        <v>262.94285160220159</v>
      </c>
      <c r="U1068">
        <v>4</v>
      </c>
      <c r="V1068">
        <v>0.40566613162118781</v>
      </c>
      <c r="W1068">
        <v>0.85</v>
      </c>
      <c r="X1068">
        <v>0.34481621187800959</v>
      </c>
      <c r="Y1068">
        <v>18</v>
      </c>
      <c r="Z1068">
        <v>351.25774094845309</v>
      </c>
      <c r="AA1068">
        <v>2</v>
      </c>
      <c r="AB1068">
        <v>3</v>
      </c>
      <c r="AC1068">
        <v>7</v>
      </c>
      <c r="AD1068">
        <v>26.28</v>
      </c>
      <c r="AE1068">
        <v>253</v>
      </c>
      <c r="AF1068">
        <v>15</v>
      </c>
      <c r="AG1068">
        <v>65</v>
      </c>
      <c r="AH1068">
        <v>32</v>
      </c>
      <c r="AI1068">
        <v>5.93</v>
      </c>
      <c r="AJ1068">
        <v>25.69</v>
      </c>
      <c r="AK1068">
        <v>12.65</v>
      </c>
      <c r="AL1068">
        <v>-19.630177599999939</v>
      </c>
      <c r="AM1068">
        <v>-43.893752755034278</v>
      </c>
      <c r="AN1068">
        <v>-19.630177599999939</v>
      </c>
      <c r="AO1068">
        <v>-43.893752755034278</v>
      </c>
      <c r="AP1068">
        <v>-19.630147999999998</v>
      </c>
      <c r="AQ1068">
        <v>-43.893844000000001</v>
      </c>
      <c r="AR1068">
        <v>10.1185927114604</v>
      </c>
      <c r="AS1068" t="s">
        <v>65</v>
      </c>
      <c r="AT1068">
        <v>1</v>
      </c>
      <c r="AU1068" t="s">
        <v>539</v>
      </c>
      <c r="AV1068" t="s">
        <v>540</v>
      </c>
      <c r="AW1068" t="s">
        <v>60</v>
      </c>
      <c r="AX1068" t="s">
        <v>68</v>
      </c>
      <c r="AY1068" t="s">
        <v>69</v>
      </c>
      <c r="AZ1068" t="b">
        <v>1</v>
      </c>
    </row>
    <row r="1069" spans="1:52" x14ac:dyDescent="0.3">
      <c r="A1069" t="s">
        <v>52</v>
      </c>
      <c r="B1069" t="s">
        <v>53</v>
      </c>
      <c r="C1069" t="s">
        <v>54</v>
      </c>
      <c r="D1069" t="s">
        <v>55</v>
      </c>
      <c r="E1069" t="s">
        <v>804</v>
      </c>
      <c r="F1069" t="s">
        <v>512</v>
      </c>
      <c r="G1069" t="s">
        <v>405</v>
      </c>
      <c r="H1069" t="s">
        <v>406</v>
      </c>
      <c r="I1069" t="s">
        <v>406</v>
      </c>
      <c r="J1069" t="s">
        <v>60</v>
      </c>
      <c r="K1069" t="s">
        <v>286</v>
      </c>
      <c r="L1069" t="s">
        <v>62</v>
      </c>
      <c r="M1069" t="s">
        <v>286</v>
      </c>
      <c r="N1069" t="s">
        <v>407</v>
      </c>
      <c r="O1069" t="s">
        <v>408</v>
      </c>
      <c r="P1069">
        <v>-19.646345</v>
      </c>
      <c r="Q1069">
        <v>-43.882294999999999</v>
      </c>
      <c r="R1069" s="2" t="str">
        <f>HYPERLINK("https://www.google.com/maps?q=-19.6463450,-43.8822950","Abrir no Google Maps")</f>
        <v>Abrir no Google Maps</v>
      </c>
      <c r="S1069">
        <v>3</v>
      </c>
      <c r="T1069">
        <v>450.3180538635894</v>
      </c>
      <c r="U1069">
        <v>4</v>
      </c>
      <c r="V1069">
        <v>0.33445822994210089</v>
      </c>
      <c r="W1069">
        <v>1</v>
      </c>
      <c r="X1069">
        <v>0.33445822994210089</v>
      </c>
      <c r="Y1069">
        <v>10</v>
      </c>
      <c r="Z1069">
        <v>349.23341775902583</v>
      </c>
      <c r="AA1069">
        <v>2</v>
      </c>
      <c r="AB1069">
        <v>3</v>
      </c>
      <c r="AC1069">
        <v>7</v>
      </c>
      <c r="AD1069">
        <v>26.28</v>
      </c>
      <c r="AE1069">
        <v>253</v>
      </c>
      <c r="AF1069">
        <v>15</v>
      </c>
      <c r="AG1069">
        <v>65</v>
      </c>
      <c r="AH1069">
        <v>32</v>
      </c>
      <c r="AI1069">
        <v>5.93</v>
      </c>
      <c r="AJ1069">
        <v>25.69</v>
      </c>
      <c r="AK1069">
        <v>12.65</v>
      </c>
      <c r="AL1069">
        <v>-19.646391649999941</v>
      </c>
      <c r="AM1069">
        <v>-43.882007396993302</v>
      </c>
      <c r="AN1069">
        <v>-19.646391649999941</v>
      </c>
      <c r="AO1069">
        <v>-43.882007396993302</v>
      </c>
      <c r="AP1069">
        <v>-19.646345</v>
      </c>
      <c r="AQ1069">
        <v>-43.882294999999999</v>
      </c>
      <c r="AR1069">
        <v>30.596105513395301</v>
      </c>
      <c r="AS1069" t="s">
        <v>65</v>
      </c>
      <c r="AT1069">
        <v>1</v>
      </c>
      <c r="AU1069" t="s">
        <v>409</v>
      </c>
      <c r="AV1069" t="s">
        <v>410</v>
      </c>
      <c r="AW1069" t="s">
        <v>60</v>
      </c>
      <c r="AX1069" t="s">
        <v>68</v>
      </c>
      <c r="AY1069" t="s">
        <v>69</v>
      </c>
      <c r="AZ1069" t="b">
        <v>1</v>
      </c>
    </row>
    <row r="1070" spans="1:52" x14ac:dyDescent="0.3">
      <c r="A1070" t="s">
        <v>52</v>
      </c>
      <c r="B1070" t="s">
        <v>53</v>
      </c>
      <c r="C1070" t="s">
        <v>54</v>
      </c>
      <c r="D1070" t="s">
        <v>55</v>
      </c>
      <c r="E1070" t="s">
        <v>804</v>
      </c>
      <c r="F1070" t="s">
        <v>512</v>
      </c>
      <c r="G1070" t="s">
        <v>525</v>
      </c>
      <c r="H1070" t="s">
        <v>526</v>
      </c>
      <c r="I1070" t="s">
        <v>526</v>
      </c>
      <c r="J1070" t="s">
        <v>60</v>
      </c>
      <c r="K1070" t="s">
        <v>286</v>
      </c>
      <c r="L1070" t="s">
        <v>62</v>
      </c>
      <c r="M1070" t="s">
        <v>286</v>
      </c>
      <c r="N1070" t="s">
        <v>527</v>
      </c>
      <c r="O1070" t="s">
        <v>113</v>
      </c>
      <c r="P1070">
        <v>-19.629049999999999</v>
      </c>
      <c r="Q1070">
        <v>-43.887543000000001</v>
      </c>
      <c r="R1070" s="2" t="str">
        <f>HYPERLINK("https://www.google.com/maps?q=-19.6290500,-43.8875430","Abrir no Google Maps")</f>
        <v>Abrir no Google Maps</v>
      </c>
      <c r="S1070">
        <v>3</v>
      </c>
      <c r="T1070">
        <v>420.9244758141914</v>
      </c>
      <c r="U1070">
        <v>3</v>
      </c>
      <c r="V1070">
        <v>0.34011857707509879</v>
      </c>
      <c r="W1070">
        <v>0.85</v>
      </c>
      <c r="X1070">
        <v>0.28910079051383403</v>
      </c>
      <c r="Y1070">
        <v>18</v>
      </c>
      <c r="Z1070">
        <v>298.16529694300579</v>
      </c>
      <c r="AA1070">
        <v>2</v>
      </c>
      <c r="AB1070">
        <v>3</v>
      </c>
      <c r="AC1070">
        <v>7</v>
      </c>
      <c r="AD1070">
        <v>26.28</v>
      </c>
      <c r="AE1070">
        <v>253</v>
      </c>
      <c r="AF1070">
        <v>15</v>
      </c>
      <c r="AG1070">
        <v>65</v>
      </c>
      <c r="AH1070">
        <v>32</v>
      </c>
      <c r="AI1070">
        <v>5.93</v>
      </c>
      <c r="AJ1070">
        <v>25.69</v>
      </c>
      <c r="AK1070">
        <v>12.65</v>
      </c>
      <c r="AL1070">
        <v>-19.62914789999996</v>
      </c>
      <c r="AM1070">
        <v>-43.887659532387332</v>
      </c>
      <c r="AN1070">
        <v>-19.62914789999996</v>
      </c>
      <c r="AO1070">
        <v>-43.887659532387332</v>
      </c>
      <c r="AP1070">
        <v>-19.629049999999999</v>
      </c>
      <c r="AQ1070">
        <v>-43.887543000000001</v>
      </c>
      <c r="AR1070">
        <v>16.372645779361299</v>
      </c>
      <c r="AS1070" t="s">
        <v>65</v>
      </c>
      <c r="AT1070">
        <v>1</v>
      </c>
      <c r="AU1070" t="s">
        <v>528</v>
      </c>
      <c r="AV1070" t="s">
        <v>529</v>
      </c>
      <c r="AW1070" t="s">
        <v>60</v>
      </c>
      <c r="AX1070" t="s">
        <v>68</v>
      </c>
      <c r="AY1070" t="s">
        <v>69</v>
      </c>
      <c r="AZ1070" t="b">
        <v>1</v>
      </c>
    </row>
    <row r="1071" spans="1:52" x14ac:dyDescent="0.3">
      <c r="A1071" t="s">
        <v>52</v>
      </c>
      <c r="B1071" t="s">
        <v>53</v>
      </c>
      <c r="C1071" t="s">
        <v>54</v>
      </c>
      <c r="D1071" t="s">
        <v>55</v>
      </c>
      <c r="E1071" t="s">
        <v>804</v>
      </c>
      <c r="F1071" t="s">
        <v>512</v>
      </c>
      <c r="G1071" t="s">
        <v>530</v>
      </c>
      <c r="H1071" t="s">
        <v>531</v>
      </c>
      <c r="I1071" t="s">
        <v>531</v>
      </c>
      <c r="J1071" t="s">
        <v>60</v>
      </c>
      <c r="K1071" t="s">
        <v>185</v>
      </c>
      <c r="L1071" t="s">
        <v>62</v>
      </c>
      <c r="M1071" t="s">
        <v>185</v>
      </c>
      <c r="N1071" t="s">
        <v>532</v>
      </c>
      <c r="O1071" t="s">
        <v>533</v>
      </c>
      <c r="P1071">
        <v>-19.625264000000001</v>
      </c>
      <c r="Q1071">
        <v>-43.889451000000001</v>
      </c>
      <c r="R1071" s="2" t="str">
        <f>HYPERLINK("https://www.google.com/maps?q=-19.6252640,-43.8894510","Abrir no Google Maps")</f>
        <v>Abrir no Google Maps</v>
      </c>
      <c r="S1071">
        <v>3</v>
      </c>
      <c r="T1071">
        <v>466.11340370665903</v>
      </c>
      <c r="U1071">
        <v>3</v>
      </c>
      <c r="V1071">
        <v>0.38395604395604388</v>
      </c>
      <c r="W1071">
        <v>0.85</v>
      </c>
      <c r="X1071">
        <v>0.32636263736263732</v>
      </c>
      <c r="Y1071">
        <v>18</v>
      </c>
      <c r="Z1071">
        <v>320.77337440837812</v>
      </c>
      <c r="AA1071">
        <v>2</v>
      </c>
      <c r="AB1071">
        <v>3</v>
      </c>
      <c r="AC1071">
        <v>7</v>
      </c>
      <c r="AD1071">
        <v>26.28</v>
      </c>
      <c r="AE1071">
        <v>253</v>
      </c>
      <c r="AF1071">
        <v>15</v>
      </c>
      <c r="AG1071">
        <v>65</v>
      </c>
      <c r="AH1071">
        <v>32</v>
      </c>
      <c r="AI1071">
        <v>5.93</v>
      </c>
      <c r="AJ1071">
        <v>25.69</v>
      </c>
      <c r="AK1071">
        <v>12.65</v>
      </c>
      <c r="AL1071">
        <v>-19.62516189999997</v>
      </c>
      <c r="AM1071">
        <v>-43.88954614566876</v>
      </c>
      <c r="AN1071">
        <v>-19.62516189999997</v>
      </c>
      <c r="AO1071">
        <v>-43.88954614566876</v>
      </c>
      <c r="AP1071">
        <v>-19.625264000000001</v>
      </c>
      <c r="AQ1071">
        <v>-43.889451000000001</v>
      </c>
      <c r="AR1071">
        <v>15.12310549834147</v>
      </c>
      <c r="AS1071" t="s">
        <v>65</v>
      </c>
      <c r="AT1071">
        <v>1</v>
      </c>
      <c r="AU1071" t="s">
        <v>534</v>
      </c>
      <c r="AV1071" t="s">
        <v>535</v>
      </c>
      <c r="AW1071" t="s">
        <v>60</v>
      </c>
      <c r="AX1071" t="s">
        <v>68</v>
      </c>
      <c r="AY1071" t="s">
        <v>69</v>
      </c>
      <c r="AZ1071" t="b">
        <v>1</v>
      </c>
    </row>
    <row r="1072" spans="1:52" x14ac:dyDescent="0.3">
      <c r="A1072" t="s">
        <v>52</v>
      </c>
      <c r="B1072" t="s">
        <v>53</v>
      </c>
      <c r="C1072" t="s">
        <v>54</v>
      </c>
      <c r="D1072" t="s">
        <v>55</v>
      </c>
      <c r="E1072" t="s">
        <v>804</v>
      </c>
      <c r="F1072" t="s">
        <v>512</v>
      </c>
      <c r="G1072" t="s">
        <v>394</v>
      </c>
      <c r="H1072" t="s">
        <v>395</v>
      </c>
      <c r="I1072" t="s">
        <v>395</v>
      </c>
      <c r="J1072" t="s">
        <v>60</v>
      </c>
      <c r="K1072" t="s">
        <v>286</v>
      </c>
      <c r="L1072" t="s">
        <v>62</v>
      </c>
      <c r="M1072" t="s">
        <v>286</v>
      </c>
      <c r="N1072" t="s">
        <v>396</v>
      </c>
      <c r="O1072" t="s">
        <v>88</v>
      </c>
      <c r="P1072">
        <v>-19.636932999999999</v>
      </c>
      <c r="Q1072">
        <v>-43.882691999999999</v>
      </c>
      <c r="R1072" s="2" t="str">
        <f>HYPERLINK("https://www.google.com/maps?q=-19.6369330,-43.8826920","Abrir no Google Maps")</f>
        <v>Abrir no Google Maps</v>
      </c>
      <c r="S1072">
        <v>3</v>
      </c>
      <c r="T1072">
        <v>523.52675813688109</v>
      </c>
      <c r="U1072">
        <v>3</v>
      </c>
      <c r="V1072">
        <v>0.31515786564723769</v>
      </c>
      <c r="W1072">
        <v>1</v>
      </c>
      <c r="X1072">
        <v>0.31515786564723769</v>
      </c>
      <c r="Y1072">
        <v>10</v>
      </c>
      <c r="Z1072">
        <v>372.58135532659509</v>
      </c>
      <c r="AA1072">
        <v>2</v>
      </c>
      <c r="AB1072">
        <v>3</v>
      </c>
      <c r="AC1072">
        <v>7</v>
      </c>
      <c r="AD1072">
        <v>26.28</v>
      </c>
      <c r="AE1072">
        <v>253</v>
      </c>
      <c r="AF1072">
        <v>15</v>
      </c>
      <c r="AG1072">
        <v>65</v>
      </c>
      <c r="AH1072">
        <v>32</v>
      </c>
      <c r="AI1072">
        <v>5.93</v>
      </c>
      <c r="AJ1072">
        <v>25.69</v>
      </c>
      <c r="AK1072">
        <v>12.65</v>
      </c>
      <c r="AL1072">
        <v>-19.637159949999951</v>
      </c>
      <c r="AM1072">
        <v>-43.882643289441461</v>
      </c>
      <c r="AN1072">
        <v>-19.637159949999951</v>
      </c>
      <c r="AO1072">
        <v>-43.882643289441461</v>
      </c>
      <c r="AP1072">
        <v>-19.636932999999999</v>
      </c>
      <c r="AQ1072">
        <v>-43.882691999999999</v>
      </c>
      <c r="AR1072">
        <v>25.775099947452478</v>
      </c>
      <c r="AS1072" t="s">
        <v>65</v>
      </c>
      <c r="AT1072">
        <v>1</v>
      </c>
      <c r="AU1072" t="s">
        <v>397</v>
      </c>
      <c r="AV1072" t="s">
        <v>398</v>
      </c>
      <c r="AW1072" t="s">
        <v>60</v>
      </c>
      <c r="AX1072" t="s">
        <v>68</v>
      </c>
      <c r="AY1072" t="s">
        <v>69</v>
      </c>
      <c r="AZ1072" t="b">
        <v>1</v>
      </c>
    </row>
    <row r="1073" spans="1:52" x14ac:dyDescent="0.3">
      <c r="A1073" t="s">
        <v>52</v>
      </c>
      <c r="B1073" t="s">
        <v>53</v>
      </c>
      <c r="C1073" t="s">
        <v>54</v>
      </c>
      <c r="D1073" t="s">
        <v>55</v>
      </c>
      <c r="E1073" t="s">
        <v>804</v>
      </c>
      <c r="F1073" t="s">
        <v>512</v>
      </c>
      <c r="G1073" t="s">
        <v>399</v>
      </c>
      <c r="H1073" t="s">
        <v>400</v>
      </c>
      <c r="I1073" t="s">
        <v>400</v>
      </c>
      <c r="J1073" t="s">
        <v>60</v>
      </c>
      <c r="K1073" t="s">
        <v>286</v>
      </c>
      <c r="L1073" t="s">
        <v>62</v>
      </c>
      <c r="M1073" t="s">
        <v>286</v>
      </c>
      <c r="N1073" t="s">
        <v>401</v>
      </c>
      <c r="O1073" t="s">
        <v>402</v>
      </c>
      <c r="P1073">
        <v>-19.639906</v>
      </c>
      <c r="Q1073">
        <v>-43.886059000000003</v>
      </c>
      <c r="R1073" s="2" t="str">
        <f>HYPERLINK("https://www.google.com/maps?q=-19.6399060,-43.8860590","Abrir no Google Maps")</f>
        <v>Abrir no Google Maps</v>
      </c>
      <c r="S1073">
        <v>3</v>
      </c>
      <c r="T1073">
        <v>256.0748811302048</v>
      </c>
      <c r="U1073">
        <v>3</v>
      </c>
      <c r="V1073">
        <v>0.32574136008918619</v>
      </c>
      <c r="W1073">
        <v>1</v>
      </c>
      <c r="X1073">
        <v>0.32574136008918619</v>
      </c>
      <c r="Y1073">
        <v>10</v>
      </c>
      <c r="Z1073">
        <v>205.06236700857289</v>
      </c>
      <c r="AA1073">
        <v>2</v>
      </c>
      <c r="AB1073">
        <v>3</v>
      </c>
      <c r="AC1073">
        <v>7</v>
      </c>
      <c r="AD1073">
        <v>26.28</v>
      </c>
      <c r="AE1073">
        <v>253</v>
      </c>
      <c r="AF1073">
        <v>15</v>
      </c>
      <c r="AG1073">
        <v>65</v>
      </c>
      <c r="AH1073">
        <v>32</v>
      </c>
      <c r="AI1073">
        <v>5.93</v>
      </c>
      <c r="AJ1073">
        <v>25.69</v>
      </c>
      <c r="AK1073">
        <v>12.65</v>
      </c>
      <c r="AL1073">
        <v>-19.639789499999949</v>
      </c>
      <c r="AM1073">
        <v>-43.885737855031408</v>
      </c>
      <c r="AN1073">
        <v>-19.639789499999949</v>
      </c>
      <c r="AO1073">
        <v>-43.885737855031408</v>
      </c>
      <c r="AP1073">
        <v>-19.639906</v>
      </c>
      <c r="AQ1073">
        <v>-43.886059000000003</v>
      </c>
      <c r="AR1073">
        <v>36.081349702130403</v>
      </c>
      <c r="AS1073" t="s">
        <v>65</v>
      </c>
      <c r="AT1073">
        <v>1</v>
      </c>
      <c r="AU1073" t="s">
        <v>403</v>
      </c>
      <c r="AV1073" t="s">
        <v>404</v>
      </c>
      <c r="AW1073" t="s">
        <v>60</v>
      </c>
      <c r="AX1073" t="s">
        <v>68</v>
      </c>
      <c r="AY1073" t="s">
        <v>69</v>
      </c>
      <c r="AZ1073" t="b">
        <v>1</v>
      </c>
    </row>
    <row r="1074" spans="1:52" x14ac:dyDescent="0.3">
      <c r="A1074" t="s">
        <v>52</v>
      </c>
      <c r="B1074" t="s">
        <v>53</v>
      </c>
      <c r="C1074" t="s">
        <v>54</v>
      </c>
      <c r="D1074" t="s">
        <v>55</v>
      </c>
      <c r="E1074" t="s">
        <v>804</v>
      </c>
      <c r="F1074" t="s">
        <v>512</v>
      </c>
      <c r="G1074" t="s">
        <v>284</v>
      </c>
      <c r="H1074" t="s">
        <v>285</v>
      </c>
      <c r="I1074" t="s">
        <v>285</v>
      </c>
      <c r="J1074" t="s">
        <v>60</v>
      </c>
      <c r="K1074" t="s">
        <v>286</v>
      </c>
      <c r="L1074" t="s">
        <v>62</v>
      </c>
      <c r="M1074" t="s">
        <v>286</v>
      </c>
      <c r="N1074" t="s">
        <v>287</v>
      </c>
      <c r="O1074" t="s">
        <v>288</v>
      </c>
      <c r="P1074">
        <v>-19.639790000000001</v>
      </c>
      <c r="Q1074">
        <v>-43.882798999999999</v>
      </c>
      <c r="R1074" s="2" t="str">
        <f>HYPERLINK("https://www.google.com/maps?q=-19.6397900,-43.8827990","Abrir no Google Maps")</f>
        <v>Abrir no Google Maps</v>
      </c>
      <c r="S1074">
        <v>3</v>
      </c>
      <c r="T1074">
        <v>242.7052058134478</v>
      </c>
      <c r="U1074">
        <v>3</v>
      </c>
      <c r="V1074">
        <v>0.3054855174958489</v>
      </c>
      <c r="W1074">
        <v>1</v>
      </c>
      <c r="X1074">
        <v>0.3054855174958489</v>
      </c>
      <c r="Y1074">
        <v>10</v>
      </c>
      <c r="Z1074">
        <v>187.2088809462339</v>
      </c>
      <c r="AA1074">
        <v>2</v>
      </c>
      <c r="AB1074">
        <v>3</v>
      </c>
      <c r="AC1074">
        <v>7</v>
      </c>
      <c r="AD1074">
        <v>26.28</v>
      </c>
      <c r="AE1074">
        <v>253</v>
      </c>
      <c r="AF1074">
        <v>15</v>
      </c>
      <c r="AG1074">
        <v>65</v>
      </c>
      <c r="AH1074">
        <v>32</v>
      </c>
      <c r="AI1074">
        <v>5.93</v>
      </c>
      <c r="AJ1074">
        <v>25.69</v>
      </c>
      <c r="AK1074">
        <v>12.65</v>
      </c>
      <c r="AL1074">
        <v>-19.639855599999951</v>
      </c>
      <c r="AM1074">
        <v>-43.882909745178452</v>
      </c>
      <c r="AN1074">
        <v>-19.639855599999951</v>
      </c>
      <c r="AO1074">
        <v>-43.882909745178452</v>
      </c>
      <c r="AP1074">
        <v>-19.639790000000001</v>
      </c>
      <c r="AQ1074">
        <v>-43.882798999999999</v>
      </c>
      <c r="AR1074">
        <v>13.716486068571211</v>
      </c>
      <c r="AS1074" t="s">
        <v>65</v>
      </c>
      <c r="AT1074">
        <v>1</v>
      </c>
      <c r="AU1074" t="s">
        <v>289</v>
      </c>
      <c r="AV1074" t="s">
        <v>290</v>
      </c>
      <c r="AW1074" t="s">
        <v>60</v>
      </c>
      <c r="AX1074" t="s">
        <v>68</v>
      </c>
      <c r="AY1074" t="s">
        <v>69</v>
      </c>
      <c r="AZ1074" t="b">
        <v>1</v>
      </c>
    </row>
    <row r="1075" spans="1:52" x14ac:dyDescent="0.3">
      <c r="A1075" t="s">
        <v>52</v>
      </c>
      <c r="B1075" t="s">
        <v>53</v>
      </c>
      <c r="C1075" t="s">
        <v>54</v>
      </c>
      <c r="D1075" t="s">
        <v>55</v>
      </c>
      <c r="E1075" t="s">
        <v>804</v>
      </c>
      <c r="F1075" t="s">
        <v>512</v>
      </c>
      <c r="G1075" t="s">
        <v>291</v>
      </c>
      <c r="H1075" t="s">
        <v>292</v>
      </c>
      <c r="I1075" t="s">
        <v>292</v>
      </c>
      <c r="J1075" t="s">
        <v>60</v>
      </c>
      <c r="K1075" t="s">
        <v>286</v>
      </c>
      <c r="L1075" t="s">
        <v>62</v>
      </c>
      <c r="M1075" t="s">
        <v>286</v>
      </c>
      <c r="N1075" t="s">
        <v>293</v>
      </c>
      <c r="O1075" t="s">
        <v>294</v>
      </c>
      <c r="P1075">
        <v>-19.640333999999999</v>
      </c>
      <c r="Q1075">
        <v>-43.880004999999997</v>
      </c>
      <c r="R1075" s="2" t="str">
        <f>HYPERLINK("https://www.google.com/maps?q=-19.6403340,-43.8800050","Abrir no Google Maps")</f>
        <v>Abrir no Google Maps</v>
      </c>
      <c r="S1075">
        <v>3</v>
      </c>
      <c r="T1075">
        <v>276.80943817309782</v>
      </c>
      <c r="U1075">
        <v>3</v>
      </c>
      <c r="V1075">
        <v>0.31086341118188249</v>
      </c>
      <c r="W1075">
        <v>1</v>
      </c>
      <c r="X1075">
        <v>0.31086341118188249</v>
      </c>
      <c r="Y1075">
        <v>10</v>
      </c>
      <c r="Z1075">
        <v>361.98332038983392</v>
      </c>
      <c r="AA1075">
        <v>2</v>
      </c>
      <c r="AB1075">
        <v>3</v>
      </c>
      <c r="AC1075">
        <v>7</v>
      </c>
      <c r="AD1075">
        <v>26.28</v>
      </c>
      <c r="AE1075">
        <v>253</v>
      </c>
      <c r="AF1075">
        <v>15</v>
      </c>
      <c r="AG1075">
        <v>65</v>
      </c>
      <c r="AH1075">
        <v>32</v>
      </c>
      <c r="AI1075">
        <v>5.93</v>
      </c>
      <c r="AJ1075">
        <v>25.69</v>
      </c>
      <c r="AK1075">
        <v>12.65</v>
      </c>
      <c r="AL1075">
        <v>-19.640260249999951</v>
      </c>
      <c r="AM1075">
        <v>-43.880090474326408</v>
      </c>
      <c r="AN1075">
        <v>-19.640260249999951</v>
      </c>
      <c r="AO1075">
        <v>-43.880090474326408</v>
      </c>
      <c r="AP1075">
        <v>-19.640333999999999</v>
      </c>
      <c r="AQ1075">
        <v>-43.880004999999997</v>
      </c>
      <c r="AR1075">
        <v>12.153556195359609</v>
      </c>
      <c r="AS1075" t="s">
        <v>65</v>
      </c>
      <c r="AT1075">
        <v>1</v>
      </c>
      <c r="AU1075" t="s">
        <v>295</v>
      </c>
      <c r="AV1075" t="s">
        <v>296</v>
      </c>
      <c r="AW1075" t="s">
        <v>60</v>
      </c>
      <c r="AX1075" t="s">
        <v>68</v>
      </c>
      <c r="AY1075" t="s">
        <v>69</v>
      </c>
      <c r="AZ1075" t="b">
        <v>1</v>
      </c>
    </row>
    <row r="1076" spans="1:52" x14ac:dyDescent="0.3">
      <c r="A1076" t="s">
        <v>52</v>
      </c>
      <c r="B1076" t="s">
        <v>53</v>
      </c>
      <c r="C1076" t="s">
        <v>54</v>
      </c>
      <c r="D1076" t="s">
        <v>55</v>
      </c>
      <c r="E1076" t="s">
        <v>804</v>
      </c>
      <c r="F1076" t="s">
        <v>512</v>
      </c>
      <c r="G1076" t="s">
        <v>557</v>
      </c>
      <c r="H1076" t="s">
        <v>558</v>
      </c>
      <c r="I1076" t="s">
        <v>558</v>
      </c>
      <c r="J1076" t="s">
        <v>60</v>
      </c>
      <c r="K1076" t="s">
        <v>445</v>
      </c>
      <c r="L1076" t="s">
        <v>62</v>
      </c>
      <c r="M1076" t="s">
        <v>445</v>
      </c>
      <c r="N1076" t="s">
        <v>559</v>
      </c>
      <c r="O1076" t="s">
        <v>560</v>
      </c>
      <c r="P1076">
        <v>-19.641839000000001</v>
      </c>
      <c r="Q1076">
        <v>-43.876227</v>
      </c>
      <c r="R1076" s="2" t="str">
        <f>HYPERLINK("https://www.google.com/maps?q=-19.6418390,-43.8762270","Abrir no Google Maps")</f>
        <v>Abrir no Google Maps</v>
      </c>
      <c r="S1076">
        <v>3</v>
      </c>
      <c r="T1076">
        <v>564.50471877254449</v>
      </c>
      <c r="U1076">
        <v>3</v>
      </c>
      <c r="V1076">
        <v>0.3583402215242189</v>
      </c>
      <c r="W1076">
        <v>0.85</v>
      </c>
      <c r="X1076">
        <v>0.30458918829558612</v>
      </c>
      <c r="Y1076">
        <v>10</v>
      </c>
      <c r="Z1076">
        <v>490.40238336341412</v>
      </c>
      <c r="AA1076">
        <v>2</v>
      </c>
      <c r="AB1076">
        <v>3</v>
      </c>
      <c r="AC1076">
        <v>7</v>
      </c>
      <c r="AD1076">
        <v>26.28</v>
      </c>
      <c r="AE1076">
        <v>253</v>
      </c>
      <c r="AF1076">
        <v>15</v>
      </c>
      <c r="AG1076">
        <v>65</v>
      </c>
      <c r="AH1076">
        <v>32</v>
      </c>
      <c r="AI1076">
        <v>5.93</v>
      </c>
      <c r="AJ1076">
        <v>25.69</v>
      </c>
      <c r="AK1076">
        <v>12.65</v>
      </c>
      <c r="AL1076">
        <v>-19.641880699999941</v>
      </c>
      <c r="AM1076">
        <v>-43.876185869580858</v>
      </c>
      <c r="AN1076">
        <v>-19.641880699999941</v>
      </c>
      <c r="AO1076">
        <v>-43.876185869580858</v>
      </c>
      <c r="AP1076">
        <v>-19.641839000000001</v>
      </c>
      <c r="AQ1076">
        <v>-43.876227</v>
      </c>
      <c r="AR1076">
        <v>6.3359121862683301</v>
      </c>
      <c r="AS1076" t="s">
        <v>65</v>
      </c>
      <c r="AT1076">
        <v>1</v>
      </c>
      <c r="AU1076" t="s">
        <v>561</v>
      </c>
      <c r="AV1076" t="s">
        <v>562</v>
      </c>
      <c r="AW1076" t="s">
        <v>60</v>
      </c>
      <c r="AX1076" t="s">
        <v>68</v>
      </c>
      <c r="AY1076" t="s">
        <v>69</v>
      </c>
      <c r="AZ1076" t="b">
        <v>1</v>
      </c>
    </row>
    <row r="1077" spans="1:52" x14ac:dyDescent="0.3">
      <c r="A1077" t="s">
        <v>52</v>
      </c>
      <c r="B1077" t="s">
        <v>53</v>
      </c>
      <c r="C1077" t="s">
        <v>54</v>
      </c>
      <c r="D1077" t="s">
        <v>55</v>
      </c>
      <c r="E1077" t="s">
        <v>804</v>
      </c>
      <c r="F1077" t="s">
        <v>512</v>
      </c>
      <c r="G1077" t="s">
        <v>411</v>
      </c>
      <c r="H1077" t="s">
        <v>412</v>
      </c>
      <c r="I1077" t="s">
        <v>412</v>
      </c>
      <c r="J1077" t="s">
        <v>60</v>
      </c>
      <c r="K1077" t="s">
        <v>179</v>
      </c>
      <c r="L1077" t="s">
        <v>62</v>
      </c>
      <c r="M1077" t="s">
        <v>179</v>
      </c>
      <c r="N1077" t="s">
        <v>413</v>
      </c>
      <c r="O1077" t="s">
        <v>414</v>
      </c>
      <c r="P1077">
        <v>-19.650079000000002</v>
      </c>
      <c r="Q1077">
        <v>-43.884253999999999</v>
      </c>
      <c r="R1077" s="2" t="str">
        <f>HYPERLINK("https://www.google.com/maps?q=-19.6500790,-43.8842540","Abrir no Google Maps")</f>
        <v>Abrir no Google Maps</v>
      </c>
      <c r="S1077">
        <v>3</v>
      </c>
      <c r="T1077">
        <v>797.21430129715498</v>
      </c>
      <c r="U1077">
        <v>3</v>
      </c>
      <c r="V1077">
        <v>0.3264254385964912</v>
      </c>
      <c r="W1077">
        <v>1</v>
      </c>
      <c r="X1077">
        <v>0.3264254385964912</v>
      </c>
      <c r="Y1077">
        <v>10</v>
      </c>
      <c r="Z1077">
        <v>774.04145012702554</v>
      </c>
      <c r="AA1077">
        <v>2</v>
      </c>
      <c r="AB1077">
        <v>3</v>
      </c>
      <c r="AC1077">
        <v>7</v>
      </c>
      <c r="AD1077">
        <v>26.28</v>
      </c>
      <c r="AE1077">
        <v>253</v>
      </c>
      <c r="AF1077">
        <v>15</v>
      </c>
      <c r="AG1077">
        <v>65</v>
      </c>
      <c r="AH1077">
        <v>32</v>
      </c>
      <c r="AI1077">
        <v>5.93</v>
      </c>
      <c r="AJ1077">
        <v>25.69</v>
      </c>
      <c r="AK1077">
        <v>12.65</v>
      </c>
      <c r="AL1077">
        <v>-19.649199399999961</v>
      </c>
      <c r="AM1077">
        <v>-43.883888390043637</v>
      </c>
      <c r="AN1077">
        <v>-19.649199399999961</v>
      </c>
      <c r="AO1077">
        <v>-43.883888390043637</v>
      </c>
      <c r="AP1077">
        <v>-19.650079000000002</v>
      </c>
      <c r="AQ1077">
        <v>-43.884253999999999</v>
      </c>
      <c r="AR1077">
        <v>105.1518915696123</v>
      </c>
      <c r="AS1077" t="s">
        <v>65</v>
      </c>
      <c r="AT1077">
        <v>1</v>
      </c>
      <c r="AU1077" t="s">
        <v>415</v>
      </c>
      <c r="AV1077" t="s">
        <v>416</v>
      </c>
      <c r="AW1077" t="s">
        <v>60</v>
      </c>
      <c r="AX1077" t="s">
        <v>68</v>
      </c>
      <c r="AY1077" t="s">
        <v>69</v>
      </c>
      <c r="AZ1077" t="b">
        <v>1</v>
      </c>
    </row>
    <row r="1078" spans="1:52" x14ac:dyDescent="0.3">
      <c r="A1078" t="s">
        <v>52</v>
      </c>
      <c r="B1078" t="s">
        <v>53</v>
      </c>
      <c r="C1078" t="s">
        <v>54</v>
      </c>
      <c r="D1078" t="s">
        <v>55</v>
      </c>
      <c r="E1078" t="s">
        <v>804</v>
      </c>
      <c r="F1078" t="s">
        <v>512</v>
      </c>
      <c r="G1078" t="s">
        <v>575</v>
      </c>
      <c r="H1078" t="s">
        <v>576</v>
      </c>
      <c r="I1078" t="s">
        <v>576</v>
      </c>
      <c r="J1078" t="s">
        <v>60</v>
      </c>
      <c r="K1078" t="s">
        <v>445</v>
      </c>
      <c r="L1078" t="s">
        <v>62</v>
      </c>
      <c r="M1078" t="s">
        <v>445</v>
      </c>
      <c r="N1078" t="s">
        <v>577</v>
      </c>
      <c r="O1078" t="s">
        <v>214</v>
      </c>
      <c r="P1078">
        <v>-19.639865</v>
      </c>
      <c r="Q1078">
        <v>-43.877858000000003</v>
      </c>
      <c r="R1078" s="2" t="str">
        <f>HYPERLINK("https://www.google.com/maps?q=-19.6398650,-43.8778580","Abrir no Google Maps")</f>
        <v>Abrir no Google Maps</v>
      </c>
      <c r="S1078">
        <v>3</v>
      </c>
      <c r="T1078">
        <v>497.47318171010488</v>
      </c>
      <c r="U1078">
        <v>3</v>
      </c>
      <c r="V1078">
        <v>0.35963845784674447</v>
      </c>
      <c r="W1078">
        <v>0.85</v>
      </c>
      <c r="X1078">
        <v>0.3056926891697328</v>
      </c>
      <c r="Y1078">
        <v>10</v>
      </c>
      <c r="Z1078">
        <v>547.08184956634818</v>
      </c>
      <c r="AA1078">
        <v>2</v>
      </c>
      <c r="AB1078">
        <v>3</v>
      </c>
      <c r="AC1078">
        <v>7</v>
      </c>
      <c r="AD1078">
        <v>26.28</v>
      </c>
      <c r="AE1078">
        <v>253</v>
      </c>
      <c r="AF1078">
        <v>15</v>
      </c>
      <c r="AG1078">
        <v>65</v>
      </c>
      <c r="AH1078">
        <v>32</v>
      </c>
      <c r="AI1078">
        <v>5.93</v>
      </c>
      <c r="AJ1078">
        <v>25.69</v>
      </c>
      <c r="AK1078">
        <v>12.65</v>
      </c>
      <c r="AL1078">
        <v>-19.639907499999961</v>
      </c>
      <c r="AM1078">
        <v>-43.877561677180587</v>
      </c>
      <c r="AN1078">
        <v>-19.639907499999961</v>
      </c>
      <c r="AO1078">
        <v>-43.877561677180587</v>
      </c>
      <c r="AP1078">
        <v>-19.639865</v>
      </c>
      <c r="AQ1078">
        <v>-43.877858000000003</v>
      </c>
      <c r="AR1078">
        <v>31.4257813556037</v>
      </c>
      <c r="AS1078" t="s">
        <v>65</v>
      </c>
      <c r="AT1078">
        <v>1</v>
      </c>
      <c r="AU1078" t="s">
        <v>578</v>
      </c>
      <c r="AV1078" t="s">
        <v>579</v>
      </c>
      <c r="AW1078" t="s">
        <v>60</v>
      </c>
      <c r="AX1078" t="s">
        <v>68</v>
      </c>
      <c r="AY1078" t="s">
        <v>69</v>
      </c>
      <c r="AZ1078" t="b">
        <v>1</v>
      </c>
    </row>
    <row r="1079" spans="1:52" x14ac:dyDescent="0.3">
      <c r="A1079" t="s">
        <v>52</v>
      </c>
      <c r="B1079" t="s">
        <v>53</v>
      </c>
      <c r="C1079" t="s">
        <v>54</v>
      </c>
      <c r="D1079" t="s">
        <v>55</v>
      </c>
      <c r="E1079" t="s">
        <v>804</v>
      </c>
      <c r="F1079" t="s">
        <v>512</v>
      </c>
      <c r="G1079" t="s">
        <v>541</v>
      </c>
      <c r="H1079" t="s">
        <v>542</v>
      </c>
      <c r="I1079" t="s">
        <v>542</v>
      </c>
      <c r="J1079" t="s">
        <v>60</v>
      </c>
      <c r="K1079" t="s">
        <v>445</v>
      </c>
      <c r="L1079" t="s">
        <v>62</v>
      </c>
      <c r="M1079" t="s">
        <v>445</v>
      </c>
      <c r="N1079" t="s">
        <v>543</v>
      </c>
      <c r="O1079" t="s">
        <v>328</v>
      </c>
      <c r="P1079">
        <v>-19.642263</v>
      </c>
      <c r="Q1079">
        <v>-43.881428999999997</v>
      </c>
      <c r="R1079" s="2" t="str">
        <f>HYPERLINK("https://www.google.com/maps?q=-19.6422630,-43.8814290","Abrir no Google Maps")</f>
        <v>Abrir no Google Maps</v>
      </c>
      <c r="S1079">
        <v>3</v>
      </c>
      <c r="T1079">
        <v>0</v>
      </c>
      <c r="U1079">
        <v>2</v>
      </c>
      <c r="V1079">
        <v>0.32468239564428308</v>
      </c>
      <c r="W1079">
        <v>0.85</v>
      </c>
      <c r="X1079">
        <v>0.27598003629764062</v>
      </c>
      <c r="Y1079">
        <v>10</v>
      </c>
      <c r="Z1079">
        <v>162.4764384685345</v>
      </c>
      <c r="AA1079">
        <v>2</v>
      </c>
      <c r="AB1079">
        <v>3</v>
      </c>
      <c r="AC1079">
        <v>7</v>
      </c>
      <c r="AD1079">
        <v>26.28</v>
      </c>
      <c r="AE1079">
        <v>253</v>
      </c>
      <c r="AF1079">
        <v>15</v>
      </c>
      <c r="AG1079">
        <v>65</v>
      </c>
      <c r="AH1079">
        <v>32</v>
      </c>
      <c r="AI1079">
        <v>5.93</v>
      </c>
      <c r="AJ1079">
        <v>25.69</v>
      </c>
      <c r="AK1079">
        <v>12.65</v>
      </c>
      <c r="AL1079">
        <v>-19.642346249999949</v>
      </c>
      <c r="AM1079">
        <v>-43.881546938715289</v>
      </c>
      <c r="AN1079">
        <v>-19.642346249999939</v>
      </c>
      <c r="AO1079">
        <v>-43.881546938715289</v>
      </c>
      <c r="AP1079">
        <v>-19.642263</v>
      </c>
      <c r="AQ1079">
        <v>-43.881428999999997</v>
      </c>
      <c r="AR1079">
        <v>15.45239906956777</v>
      </c>
      <c r="AS1079" t="s">
        <v>65</v>
      </c>
      <c r="AT1079">
        <v>1</v>
      </c>
      <c r="AU1079" t="s">
        <v>544</v>
      </c>
      <c r="AV1079" t="s">
        <v>545</v>
      </c>
      <c r="AW1079" t="s">
        <v>60</v>
      </c>
      <c r="AX1079" t="s">
        <v>68</v>
      </c>
      <c r="AY1079" t="s">
        <v>69</v>
      </c>
      <c r="AZ1079" t="b">
        <v>1</v>
      </c>
    </row>
    <row r="1080" spans="1:52" x14ac:dyDescent="0.3">
      <c r="A1080" t="s">
        <v>52</v>
      </c>
      <c r="B1080" t="s">
        <v>53</v>
      </c>
      <c r="C1080" t="s">
        <v>54</v>
      </c>
      <c r="D1080" t="s">
        <v>55</v>
      </c>
      <c r="E1080" t="s">
        <v>804</v>
      </c>
      <c r="F1080" t="s">
        <v>512</v>
      </c>
      <c r="G1080" t="s">
        <v>552</v>
      </c>
      <c r="H1080" t="s">
        <v>553</v>
      </c>
      <c r="I1080" t="s">
        <v>553</v>
      </c>
      <c r="J1080" t="s">
        <v>60</v>
      </c>
      <c r="K1080" t="s">
        <v>445</v>
      </c>
      <c r="L1080" t="s">
        <v>62</v>
      </c>
      <c r="M1080" t="s">
        <v>445</v>
      </c>
      <c r="N1080" t="s">
        <v>554</v>
      </c>
      <c r="O1080" t="s">
        <v>207</v>
      </c>
      <c r="P1080">
        <v>-19.641549999999999</v>
      </c>
      <c r="Q1080">
        <v>-43.873263999999999</v>
      </c>
      <c r="R1080" s="2" t="str">
        <f>HYPERLINK("https://www.google.com/maps?q=-19.6415500,-43.8732640","Abrir no Google Maps")</f>
        <v>Abrir no Google Maps</v>
      </c>
      <c r="S1080">
        <v>3</v>
      </c>
      <c r="T1080">
        <v>879.45465995735231</v>
      </c>
      <c r="U1080">
        <v>2</v>
      </c>
      <c r="V1080">
        <v>0.33233845262242828</v>
      </c>
      <c r="W1080">
        <v>0.85</v>
      </c>
      <c r="X1080">
        <v>0.28248768472906399</v>
      </c>
      <c r="Y1080">
        <v>10</v>
      </c>
      <c r="Z1080">
        <v>830.70905214077095</v>
      </c>
      <c r="AA1080">
        <v>2</v>
      </c>
      <c r="AB1080">
        <v>3</v>
      </c>
      <c r="AC1080">
        <v>7</v>
      </c>
      <c r="AD1080">
        <v>26.28</v>
      </c>
      <c r="AE1080">
        <v>253</v>
      </c>
      <c r="AF1080">
        <v>15</v>
      </c>
      <c r="AG1080">
        <v>65</v>
      </c>
      <c r="AH1080">
        <v>32</v>
      </c>
      <c r="AI1080">
        <v>5.93</v>
      </c>
      <c r="AJ1080">
        <v>25.69</v>
      </c>
      <c r="AK1080">
        <v>12.65</v>
      </c>
      <c r="AL1080">
        <v>-19.641459949999959</v>
      </c>
      <c r="AM1080">
        <v>-43.873212145688711</v>
      </c>
      <c r="AN1080">
        <v>-19.641459949999959</v>
      </c>
      <c r="AO1080">
        <v>-43.873212145688711</v>
      </c>
      <c r="AP1080">
        <v>-19.641549999999999</v>
      </c>
      <c r="AQ1080">
        <v>-43.873263999999999</v>
      </c>
      <c r="AR1080">
        <v>11.40368340137019</v>
      </c>
      <c r="AS1080" t="s">
        <v>65</v>
      </c>
      <c r="AT1080">
        <v>1</v>
      </c>
      <c r="AU1080" t="s">
        <v>555</v>
      </c>
      <c r="AV1080" t="s">
        <v>556</v>
      </c>
      <c r="AW1080" t="s">
        <v>60</v>
      </c>
      <c r="AX1080" t="s">
        <v>68</v>
      </c>
      <c r="AY1080" t="s">
        <v>69</v>
      </c>
      <c r="AZ1080" t="b">
        <v>1</v>
      </c>
    </row>
    <row r="1081" spans="1:52" x14ac:dyDescent="0.3">
      <c r="A1081" t="s">
        <v>52</v>
      </c>
      <c r="B1081" t="s">
        <v>53</v>
      </c>
      <c r="C1081" t="s">
        <v>54</v>
      </c>
      <c r="D1081" t="s">
        <v>55</v>
      </c>
      <c r="E1081" t="s">
        <v>804</v>
      </c>
      <c r="F1081" t="s">
        <v>512</v>
      </c>
      <c r="G1081" t="s">
        <v>563</v>
      </c>
      <c r="H1081" t="s">
        <v>564</v>
      </c>
      <c r="I1081" t="s">
        <v>564</v>
      </c>
      <c r="J1081" t="s">
        <v>60</v>
      </c>
      <c r="K1081" t="s">
        <v>445</v>
      </c>
      <c r="L1081" t="s">
        <v>62</v>
      </c>
      <c r="M1081" t="s">
        <v>445</v>
      </c>
      <c r="N1081" t="s">
        <v>565</v>
      </c>
      <c r="O1081" t="s">
        <v>566</v>
      </c>
      <c r="P1081">
        <v>-19.645859000000002</v>
      </c>
      <c r="Q1081">
        <v>-43.878008000000001</v>
      </c>
      <c r="R1081" s="2" t="str">
        <f>HYPERLINK("https://www.google.com/maps?q=-19.6458590,-43.8780080","Abrir no Google Maps")</f>
        <v>Abrir no Google Maps</v>
      </c>
      <c r="S1081">
        <v>3</v>
      </c>
      <c r="T1081">
        <v>535.60651658514928</v>
      </c>
      <c r="U1081">
        <v>2</v>
      </c>
      <c r="V1081">
        <v>0.31647044395388768</v>
      </c>
      <c r="W1081">
        <v>0.85</v>
      </c>
      <c r="X1081">
        <v>0.2689998773608045</v>
      </c>
      <c r="Y1081">
        <v>10</v>
      </c>
      <c r="Z1081">
        <v>356.77070476702067</v>
      </c>
      <c r="AA1081">
        <v>2</v>
      </c>
      <c r="AB1081">
        <v>3</v>
      </c>
      <c r="AC1081">
        <v>7</v>
      </c>
      <c r="AD1081">
        <v>26.28</v>
      </c>
      <c r="AE1081">
        <v>253</v>
      </c>
      <c r="AF1081">
        <v>15</v>
      </c>
      <c r="AG1081">
        <v>65</v>
      </c>
      <c r="AH1081">
        <v>32</v>
      </c>
      <c r="AI1081">
        <v>5.93</v>
      </c>
      <c r="AJ1081">
        <v>25.69</v>
      </c>
      <c r="AK1081">
        <v>12.65</v>
      </c>
      <c r="AL1081">
        <v>-19.645894599999959</v>
      </c>
      <c r="AM1081">
        <v>-43.878073476665591</v>
      </c>
      <c r="AN1081">
        <v>-19.645894599999959</v>
      </c>
      <c r="AO1081">
        <v>-43.878073476665591</v>
      </c>
      <c r="AP1081">
        <v>-19.645859000000002</v>
      </c>
      <c r="AQ1081">
        <v>-43.878008000000001</v>
      </c>
      <c r="AR1081">
        <v>7.9263849189726594</v>
      </c>
      <c r="AS1081" t="s">
        <v>65</v>
      </c>
      <c r="AT1081">
        <v>1</v>
      </c>
      <c r="AU1081" t="s">
        <v>567</v>
      </c>
      <c r="AV1081" t="s">
        <v>568</v>
      </c>
      <c r="AW1081" t="s">
        <v>60</v>
      </c>
      <c r="AX1081" t="s">
        <v>68</v>
      </c>
      <c r="AY1081" t="s">
        <v>69</v>
      </c>
      <c r="AZ1081" t="b">
        <v>1</v>
      </c>
    </row>
    <row r="1082" spans="1:52" x14ac:dyDescent="0.3">
      <c r="A1082" t="s">
        <v>52</v>
      </c>
      <c r="B1082" t="s">
        <v>53</v>
      </c>
      <c r="C1082" t="s">
        <v>54</v>
      </c>
      <c r="D1082" t="s">
        <v>55</v>
      </c>
      <c r="E1082" t="s">
        <v>804</v>
      </c>
      <c r="F1082" t="s">
        <v>512</v>
      </c>
      <c r="G1082" t="s">
        <v>569</v>
      </c>
      <c r="H1082" t="s">
        <v>570</v>
      </c>
      <c r="I1082" t="s">
        <v>570</v>
      </c>
      <c r="J1082" t="s">
        <v>60</v>
      </c>
      <c r="K1082" t="s">
        <v>445</v>
      </c>
      <c r="L1082" t="s">
        <v>62</v>
      </c>
      <c r="M1082" t="s">
        <v>445</v>
      </c>
      <c r="N1082" t="s">
        <v>571</v>
      </c>
      <c r="O1082" t="s">
        <v>572</v>
      </c>
      <c r="P1082">
        <v>-19.646602999999999</v>
      </c>
      <c r="Q1082">
        <v>-43.879826000000001</v>
      </c>
      <c r="R1082" s="2" t="str">
        <f>HYPERLINK("https://www.google.com/maps?q=-19.6466030,-43.8798260","Abrir no Google Maps")</f>
        <v>Abrir no Google Maps</v>
      </c>
      <c r="S1082">
        <v>3</v>
      </c>
      <c r="T1082">
        <v>497.89126003830972</v>
      </c>
      <c r="U1082">
        <v>2</v>
      </c>
      <c r="V1082">
        <v>0.31439108836369112</v>
      </c>
      <c r="W1082">
        <v>0.85</v>
      </c>
      <c r="X1082">
        <v>0.26723242510913742</v>
      </c>
      <c r="Y1082">
        <v>10</v>
      </c>
      <c r="Z1082">
        <v>228.69190976735251</v>
      </c>
      <c r="AA1082">
        <v>2</v>
      </c>
      <c r="AB1082">
        <v>3</v>
      </c>
      <c r="AC1082">
        <v>7</v>
      </c>
      <c r="AD1082">
        <v>26.28</v>
      </c>
      <c r="AE1082">
        <v>253</v>
      </c>
      <c r="AF1082">
        <v>15</v>
      </c>
      <c r="AG1082">
        <v>65</v>
      </c>
      <c r="AH1082">
        <v>32</v>
      </c>
      <c r="AI1082">
        <v>5.93</v>
      </c>
      <c r="AJ1082">
        <v>25.69</v>
      </c>
      <c r="AK1082">
        <v>12.65</v>
      </c>
      <c r="AL1082">
        <v>-19.646577499999982</v>
      </c>
      <c r="AM1082">
        <v>-43.879934131171261</v>
      </c>
      <c r="AN1082">
        <v>-19.646577499999971</v>
      </c>
      <c r="AO1082">
        <v>-43.879934131171261</v>
      </c>
      <c r="AP1082">
        <v>-19.646602999999999</v>
      </c>
      <c r="AQ1082">
        <v>-43.879826000000001</v>
      </c>
      <c r="AR1082">
        <v>11.68641198848764</v>
      </c>
      <c r="AS1082" t="s">
        <v>65</v>
      </c>
      <c r="AT1082">
        <v>1</v>
      </c>
      <c r="AU1082" t="s">
        <v>573</v>
      </c>
      <c r="AV1082" t="s">
        <v>574</v>
      </c>
      <c r="AW1082" t="s">
        <v>60</v>
      </c>
      <c r="AX1082" t="s">
        <v>68</v>
      </c>
      <c r="AY1082" t="s">
        <v>69</v>
      </c>
      <c r="AZ1082" t="b">
        <v>1</v>
      </c>
    </row>
    <row r="1083" spans="1:52" x14ac:dyDescent="0.3">
      <c r="A1083" t="s">
        <v>52</v>
      </c>
      <c r="B1083" t="s">
        <v>53</v>
      </c>
      <c r="C1083" t="s">
        <v>54</v>
      </c>
      <c r="D1083" t="s">
        <v>55</v>
      </c>
      <c r="E1083" t="s">
        <v>804</v>
      </c>
      <c r="F1083" t="s">
        <v>512</v>
      </c>
      <c r="G1083" t="s">
        <v>586</v>
      </c>
      <c r="H1083" t="s">
        <v>587</v>
      </c>
      <c r="I1083" t="s">
        <v>587</v>
      </c>
      <c r="J1083" t="s">
        <v>60</v>
      </c>
      <c r="K1083" t="s">
        <v>286</v>
      </c>
      <c r="L1083" t="s">
        <v>62</v>
      </c>
      <c r="M1083" t="s">
        <v>286</v>
      </c>
      <c r="N1083" t="s">
        <v>588</v>
      </c>
      <c r="O1083" t="s">
        <v>589</v>
      </c>
      <c r="P1083">
        <v>-19.638362999999998</v>
      </c>
      <c r="Q1083">
        <v>-43.887081000000002</v>
      </c>
      <c r="R1083" s="2" t="str">
        <f>HYPERLINK("https://www.google.com/maps?q=-19.6383630,-43.8870810","Abrir no Google Maps")</f>
        <v>Abrir no Google Maps</v>
      </c>
      <c r="S1083">
        <v>3</v>
      </c>
      <c r="T1083">
        <v>521.16909902210193</v>
      </c>
      <c r="U1083">
        <v>2</v>
      </c>
      <c r="V1083">
        <v>0.3328875968992247</v>
      </c>
      <c r="W1083">
        <v>0.85</v>
      </c>
      <c r="X1083">
        <v>0.28295445736434099</v>
      </c>
      <c r="Y1083">
        <v>10</v>
      </c>
      <c r="Z1083">
        <v>416.66355243950221</v>
      </c>
      <c r="AA1083">
        <v>2</v>
      </c>
      <c r="AB1083">
        <v>3</v>
      </c>
      <c r="AC1083">
        <v>7</v>
      </c>
      <c r="AD1083">
        <v>26.28</v>
      </c>
      <c r="AE1083">
        <v>253</v>
      </c>
      <c r="AF1083">
        <v>15</v>
      </c>
      <c r="AG1083">
        <v>65</v>
      </c>
      <c r="AH1083">
        <v>32</v>
      </c>
      <c r="AI1083">
        <v>5.93</v>
      </c>
      <c r="AJ1083">
        <v>25.69</v>
      </c>
      <c r="AK1083">
        <v>12.65</v>
      </c>
      <c r="AL1083">
        <v>-19.638074649999961</v>
      </c>
      <c r="AM1083">
        <v>-43.887517684870552</v>
      </c>
      <c r="AN1083">
        <v>-19.638074649999961</v>
      </c>
      <c r="AO1083">
        <v>-43.887517684870552</v>
      </c>
      <c r="AP1083">
        <v>-19.638362999999998</v>
      </c>
      <c r="AQ1083">
        <v>-43.887081000000002</v>
      </c>
      <c r="AR1083">
        <v>55.915550702564907</v>
      </c>
      <c r="AS1083" t="s">
        <v>65</v>
      </c>
      <c r="AT1083">
        <v>1</v>
      </c>
      <c r="AU1083" t="s">
        <v>590</v>
      </c>
      <c r="AV1083" t="s">
        <v>591</v>
      </c>
      <c r="AW1083" t="s">
        <v>60</v>
      </c>
      <c r="AX1083" t="s">
        <v>68</v>
      </c>
      <c r="AY1083" t="s">
        <v>69</v>
      </c>
      <c r="AZ1083" t="b">
        <v>1</v>
      </c>
    </row>
    <row r="1084" spans="1:52" x14ac:dyDescent="0.3">
      <c r="A1084" t="s">
        <v>52</v>
      </c>
      <c r="B1084" t="s">
        <v>53</v>
      </c>
      <c r="C1084" t="s">
        <v>54</v>
      </c>
      <c r="D1084" t="s">
        <v>55</v>
      </c>
      <c r="E1084" t="s">
        <v>804</v>
      </c>
      <c r="F1084" t="s">
        <v>512</v>
      </c>
      <c r="G1084" t="s">
        <v>546</v>
      </c>
      <c r="H1084" t="s">
        <v>547</v>
      </c>
      <c r="I1084" t="s">
        <v>547</v>
      </c>
      <c r="J1084" t="s">
        <v>60</v>
      </c>
      <c r="K1084" t="s">
        <v>445</v>
      </c>
      <c r="L1084" t="s">
        <v>62</v>
      </c>
      <c r="M1084" t="s">
        <v>445</v>
      </c>
      <c r="N1084" t="s">
        <v>548</v>
      </c>
      <c r="O1084" t="s">
        <v>549</v>
      </c>
      <c r="P1084">
        <v>-19.642752999999999</v>
      </c>
      <c r="Q1084">
        <v>-43.879080999999999</v>
      </c>
      <c r="R1084" s="2" t="str">
        <f>HYPERLINK("https://www.google.com/maps?q=-19.6427530,-43.8790810","Abrir no Google Maps")</f>
        <v>Abrir no Google Maps</v>
      </c>
      <c r="S1084">
        <v>3</v>
      </c>
      <c r="T1084">
        <v>256.19518367376457</v>
      </c>
      <c r="U1084">
        <v>1</v>
      </c>
      <c r="V1084">
        <v>0.2492583317279907</v>
      </c>
      <c r="W1084">
        <v>0.85</v>
      </c>
      <c r="X1084">
        <v>0.2118695819687921</v>
      </c>
      <c r="Y1084">
        <v>10</v>
      </c>
      <c r="Z1084">
        <v>192.73978446408199</v>
      </c>
      <c r="AA1084">
        <v>2</v>
      </c>
      <c r="AB1084">
        <v>3</v>
      </c>
      <c r="AC1084">
        <v>7</v>
      </c>
      <c r="AD1084">
        <v>26.28</v>
      </c>
      <c r="AE1084">
        <v>253</v>
      </c>
      <c r="AF1084">
        <v>15</v>
      </c>
      <c r="AG1084">
        <v>65</v>
      </c>
      <c r="AH1084">
        <v>32</v>
      </c>
      <c r="AI1084">
        <v>5.93</v>
      </c>
      <c r="AJ1084">
        <v>25.69</v>
      </c>
      <c r="AK1084">
        <v>12.65</v>
      </c>
      <c r="AL1084">
        <v>-19.642703749999949</v>
      </c>
      <c r="AM1084">
        <v>-43.879132974738582</v>
      </c>
      <c r="AN1084">
        <v>-19.642703749999949</v>
      </c>
      <c r="AO1084">
        <v>-43.879132974738582</v>
      </c>
      <c r="AP1084">
        <v>-19.642752999999999</v>
      </c>
      <c r="AQ1084">
        <v>-43.879080999999999</v>
      </c>
      <c r="AR1084">
        <v>7.7298757823687696</v>
      </c>
      <c r="AS1084" t="s">
        <v>65</v>
      </c>
      <c r="AT1084">
        <v>1</v>
      </c>
      <c r="AU1084" t="s">
        <v>550</v>
      </c>
      <c r="AV1084" t="s">
        <v>551</v>
      </c>
      <c r="AW1084" t="s">
        <v>60</v>
      </c>
      <c r="AX1084" t="s">
        <v>68</v>
      </c>
      <c r="AY1084" t="s">
        <v>69</v>
      </c>
      <c r="AZ1084" t="b">
        <v>1</v>
      </c>
    </row>
    <row r="1085" spans="1:52" x14ac:dyDescent="0.3">
      <c r="A1085" t="s">
        <v>52</v>
      </c>
      <c r="B1085" t="s">
        <v>53</v>
      </c>
      <c r="C1085" t="s">
        <v>54</v>
      </c>
      <c r="D1085" t="s">
        <v>55</v>
      </c>
      <c r="E1085" t="s">
        <v>804</v>
      </c>
      <c r="F1085" t="s">
        <v>512</v>
      </c>
      <c r="G1085" t="s">
        <v>580</v>
      </c>
      <c r="H1085" t="s">
        <v>581</v>
      </c>
      <c r="I1085" t="s">
        <v>581</v>
      </c>
      <c r="J1085" t="s">
        <v>60</v>
      </c>
      <c r="K1085" t="s">
        <v>179</v>
      </c>
      <c r="L1085" t="s">
        <v>62</v>
      </c>
      <c r="M1085" t="s">
        <v>179</v>
      </c>
      <c r="N1085" t="s">
        <v>582</v>
      </c>
      <c r="O1085" t="s">
        <v>583</v>
      </c>
      <c r="P1085">
        <v>-19.651917999999998</v>
      </c>
      <c r="Q1085">
        <v>-43.888081</v>
      </c>
      <c r="R1085" s="2" t="str">
        <f>HYPERLINK("https://www.google.com/maps?q=-19.6519180,-43.8880810","Abrir no Google Maps")</f>
        <v>Abrir no Google Maps</v>
      </c>
      <c r="S1085">
        <v>3</v>
      </c>
      <c r="T1085">
        <v>1192.758363020145</v>
      </c>
      <c r="U1085">
        <v>1</v>
      </c>
      <c r="V1085">
        <v>0.30165646098288579</v>
      </c>
      <c r="W1085">
        <v>0.85</v>
      </c>
      <c r="X1085">
        <v>0.25640799183545288</v>
      </c>
      <c r="Y1085">
        <v>10</v>
      </c>
      <c r="Z1085">
        <v>1164.020417046748</v>
      </c>
      <c r="AA1085">
        <v>2</v>
      </c>
      <c r="AB1085">
        <v>3</v>
      </c>
      <c r="AC1085">
        <v>7</v>
      </c>
      <c r="AD1085">
        <v>26.28</v>
      </c>
      <c r="AE1085">
        <v>253</v>
      </c>
      <c r="AF1085">
        <v>15</v>
      </c>
      <c r="AG1085">
        <v>65</v>
      </c>
      <c r="AH1085">
        <v>32</v>
      </c>
      <c r="AI1085">
        <v>5.93</v>
      </c>
      <c r="AJ1085">
        <v>25.69</v>
      </c>
      <c r="AK1085">
        <v>12.65</v>
      </c>
      <c r="AL1085">
        <v>-19.65182809999996</v>
      </c>
      <c r="AM1085">
        <v>-43.887955347266519</v>
      </c>
      <c r="AN1085">
        <v>-19.65182809999996</v>
      </c>
      <c r="AO1085">
        <v>-43.887955347266519</v>
      </c>
      <c r="AP1085">
        <v>-19.651917999999998</v>
      </c>
      <c r="AQ1085">
        <v>-43.888081</v>
      </c>
      <c r="AR1085">
        <v>16.543262936495491</v>
      </c>
      <c r="AS1085" t="s">
        <v>65</v>
      </c>
      <c r="AT1085">
        <v>1</v>
      </c>
      <c r="AU1085" t="s">
        <v>584</v>
      </c>
      <c r="AV1085" t="s">
        <v>585</v>
      </c>
      <c r="AW1085" t="s">
        <v>60</v>
      </c>
      <c r="AX1085" t="s">
        <v>68</v>
      </c>
      <c r="AY1085" t="s">
        <v>69</v>
      </c>
      <c r="AZ1085" t="b">
        <v>1</v>
      </c>
    </row>
    <row r="1086" spans="1:52" x14ac:dyDescent="0.3">
      <c r="A1086" t="s">
        <v>52</v>
      </c>
      <c r="B1086" t="s">
        <v>53</v>
      </c>
      <c r="C1086" t="s">
        <v>54</v>
      </c>
      <c r="D1086" t="s">
        <v>55</v>
      </c>
      <c r="E1086" t="s">
        <v>804</v>
      </c>
      <c r="F1086" t="s">
        <v>512</v>
      </c>
      <c r="G1086" t="s">
        <v>602</v>
      </c>
      <c r="H1086" t="s">
        <v>603</v>
      </c>
      <c r="I1086" t="s">
        <v>603</v>
      </c>
      <c r="J1086" t="s">
        <v>60</v>
      </c>
      <c r="K1086" t="s">
        <v>185</v>
      </c>
      <c r="L1086" t="s">
        <v>62</v>
      </c>
      <c r="M1086" t="s">
        <v>185</v>
      </c>
      <c r="N1086" t="s">
        <v>604</v>
      </c>
      <c r="O1086" t="s">
        <v>341</v>
      </c>
      <c r="P1086">
        <v>-19.624801999999999</v>
      </c>
      <c r="Q1086">
        <v>-43.891128999999999</v>
      </c>
      <c r="R1086" s="2" t="str">
        <f>HYPERLINK("https://www.google.com/maps?q=-19.6248020,-43.8911290","Abrir no Google Maps")</f>
        <v>Abrir no Google Maps</v>
      </c>
      <c r="S1086">
        <v>1</v>
      </c>
      <c r="T1086">
        <v>340.53720321500958</v>
      </c>
      <c r="U1086">
        <v>4</v>
      </c>
      <c r="V1086">
        <v>0.39824561403508768</v>
      </c>
      <c r="W1086">
        <v>0.85</v>
      </c>
      <c r="X1086">
        <v>0.33850877192982448</v>
      </c>
      <c r="Y1086">
        <v>18</v>
      </c>
      <c r="Z1086">
        <v>362.68114540183888</v>
      </c>
      <c r="AA1086">
        <v>2</v>
      </c>
      <c r="AB1086">
        <v>3</v>
      </c>
      <c r="AC1086">
        <v>7</v>
      </c>
      <c r="AD1086">
        <v>26.28</v>
      </c>
      <c r="AE1086">
        <v>253</v>
      </c>
      <c r="AF1086">
        <v>15</v>
      </c>
      <c r="AG1086">
        <v>65</v>
      </c>
      <c r="AH1086">
        <v>32</v>
      </c>
      <c r="AI1086">
        <v>5.93</v>
      </c>
      <c r="AJ1086">
        <v>25.69</v>
      </c>
      <c r="AK1086">
        <v>12.65</v>
      </c>
      <c r="AL1086">
        <v>-19.625033299999959</v>
      </c>
      <c r="AM1086">
        <v>-43.891084256403538</v>
      </c>
      <c r="AN1086">
        <v>-19.625033299999959</v>
      </c>
      <c r="AO1086">
        <v>-43.891084256403538</v>
      </c>
      <c r="AP1086">
        <v>-19.624801999999999</v>
      </c>
      <c r="AQ1086">
        <v>-43.891128999999999</v>
      </c>
      <c r="AR1086">
        <v>26.172240371022362</v>
      </c>
      <c r="AS1086" t="s">
        <v>65</v>
      </c>
      <c r="AT1086">
        <v>1</v>
      </c>
      <c r="AU1086" t="s">
        <v>605</v>
      </c>
      <c r="AV1086" t="s">
        <v>606</v>
      </c>
      <c r="AW1086" t="s">
        <v>60</v>
      </c>
      <c r="AX1086" t="s">
        <v>68</v>
      </c>
      <c r="AY1086" t="s">
        <v>69</v>
      </c>
      <c r="AZ1086" t="b">
        <v>1</v>
      </c>
    </row>
    <row r="1087" spans="1:52" x14ac:dyDescent="0.3">
      <c r="A1087" t="s">
        <v>52</v>
      </c>
      <c r="B1087" t="s">
        <v>53</v>
      </c>
      <c r="C1087" t="s">
        <v>54</v>
      </c>
      <c r="D1087" t="s">
        <v>55</v>
      </c>
      <c r="E1087" t="s">
        <v>804</v>
      </c>
      <c r="F1087" t="s">
        <v>512</v>
      </c>
      <c r="G1087" t="s">
        <v>592</v>
      </c>
      <c r="H1087" t="s">
        <v>593</v>
      </c>
      <c r="I1087" t="s">
        <v>593</v>
      </c>
      <c r="J1087" t="s">
        <v>60</v>
      </c>
      <c r="K1087" t="s">
        <v>445</v>
      </c>
      <c r="L1087" t="s">
        <v>62</v>
      </c>
      <c r="M1087" t="s">
        <v>445</v>
      </c>
      <c r="N1087" t="s">
        <v>594</v>
      </c>
      <c r="O1087" t="s">
        <v>477</v>
      </c>
      <c r="P1087">
        <v>-19.640709000000001</v>
      </c>
      <c r="Q1087">
        <v>-43.868687999999999</v>
      </c>
      <c r="R1087" s="2" t="str">
        <f>HYPERLINK("https://www.google.com/maps?q=-19.6407090,-43.8686880","Abrir no Google Maps")</f>
        <v>Abrir no Google Maps</v>
      </c>
      <c r="S1087">
        <v>1</v>
      </c>
      <c r="T1087">
        <v>1174.9679995958841</v>
      </c>
      <c r="U1087">
        <v>3</v>
      </c>
      <c r="V1087">
        <v>0.32165801828514951</v>
      </c>
      <c r="W1087">
        <v>1</v>
      </c>
      <c r="X1087">
        <v>0.32165801828514951</v>
      </c>
      <c r="Y1087">
        <v>10</v>
      </c>
      <c r="Z1087">
        <v>1230.8029594060461</v>
      </c>
      <c r="AA1087">
        <v>2</v>
      </c>
      <c r="AB1087">
        <v>3</v>
      </c>
      <c r="AC1087">
        <v>7</v>
      </c>
      <c r="AD1087">
        <v>26.28</v>
      </c>
      <c r="AE1087">
        <v>253</v>
      </c>
      <c r="AF1087">
        <v>15</v>
      </c>
      <c r="AG1087">
        <v>65</v>
      </c>
      <c r="AH1087">
        <v>32</v>
      </c>
      <c r="AI1087">
        <v>5.93</v>
      </c>
      <c r="AJ1087">
        <v>25.69</v>
      </c>
      <c r="AK1087">
        <v>12.65</v>
      </c>
      <c r="AL1087">
        <v>-19.641057949999979</v>
      </c>
      <c r="AM1087">
        <v>-43.868800137485707</v>
      </c>
      <c r="AN1087">
        <v>-19.641057949999979</v>
      </c>
      <c r="AO1087">
        <v>-43.868800137485707</v>
      </c>
      <c r="AP1087">
        <v>-19.640709000000001</v>
      </c>
      <c r="AQ1087">
        <v>-43.868687999999999</v>
      </c>
      <c r="AR1087">
        <v>40.585293798071682</v>
      </c>
      <c r="AS1087" t="s">
        <v>65</v>
      </c>
      <c r="AT1087">
        <v>1</v>
      </c>
      <c r="AU1087" t="s">
        <v>595</v>
      </c>
      <c r="AV1087" t="s">
        <v>596</v>
      </c>
      <c r="AW1087" t="s">
        <v>60</v>
      </c>
      <c r="AX1087" t="s">
        <v>68</v>
      </c>
      <c r="AY1087" t="s">
        <v>69</v>
      </c>
      <c r="AZ1087" t="b">
        <v>1</v>
      </c>
    </row>
    <row r="1088" spans="1:52" x14ac:dyDescent="0.3">
      <c r="A1088" t="s">
        <v>52</v>
      </c>
      <c r="B1088" t="s">
        <v>53</v>
      </c>
      <c r="C1088" t="s">
        <v>54</v>
      </c>
      <c r="D1088" t="s">
        <v>55</v>
      </c>
      <c r="E1088" t="s">
        <v>804</v>
      </c>
      <c r="F1088" t="s">
        <v>512</v>
      </c>
      <c r="G1088" t="s">
        <v>597</v>
      </c>
      <c r="H1088" t="s">
        <v>598</v>
      </c>
      <c r="I1088" t="s">
        <v>598</v>
      </c>
      <c r="J1088" t="s">
        <v>60</v>
      </c>
      <c r="K1088" t="s">
        <v>445</v>
      </c>
      <c r="L1088" t="s">
        <v>62</v>
      </c>
      <c r="M1088" t="s">
        <v>445</v>
      </c>
      <c r="N1088" t="s">
        <v>599</v>
      </c>
      <c r="O1088" t="s">
        <v>391</v>
      </c>
      <c r="P1088">
        <v>-19.637060999999999</v>
      </c>
      <c r="Q1088">
        <v>-43.871026000000001</v>
      </c>
      <c r="R1088" s="2" t="str">
        <f>HYPERLINK("https://www.google.com/maps?q=-19.6370610,-43.8710260","Abrir no Google Maps")</f>
        <v>Abrir no Google Maps</v>
      </c>
      <c r="S1088">
        <v>1</v>
      </c>
      <c r="T1088">
        <v>737.61884389282102</v>
      </c>
      <c r="U1088">
        <v>3</v>
      </c>
      <c r="V1088">
        <v>0.3154336767629819</v>
      </c>
      <c r="W1088">
        <v>1</v>
      </c>
      <c r="X1088">
        <v>0.3154336767629819</v>
      </c>
      <c r="Y1088">
        <v>10</v>
      </c>
      <c r="Z1088">
        <v>1331.4501394006061</v>
      </c>
      <c r="AA1088">
        <v>2</v>
      </c>
      <c r="AB1088">
        <v>3</v>
      </c>
      <c r="AC1088">
        <v>7</v>
      </c>
      <c r="AD1088">
        <v>26.28</v>
      </c>
      <c r="AE1088">
        <v>253</v>
      </c>
      <c r="AF1088">
        <v>15</v>
      </c>
      <c r="AG1088">
        <v>65</v>
      </c>
      <c r="AH1088">
        <v>32</v>
      </c>
      <c r="AI1088">
        <v>5.93</v>
      </c>
      <c r="AJ1088">
        <v>25.69</v>
      </c>
      <c r="AK1088">
        <v>12.65</v>
      </c>
      <c r="AL1088">
        <v>-19.637111899999951</v>
      </c>
      <c r="AM1088">
        <v>-43.870888931681193</v>
      </c>
      <c r="AN1088">
        <v>-19.637111899999951</v>
      </c>
      <c r="AO1088">
        <v>-43.870888931681193</v>
      </c>
      <c r="AP1088">
        <v>-19.637060999999999</v>
      </c>
      <c r="AQ1088">
        <v>-43.871026000000001</v>
      </c>
      <c r="AR1088">
        <v>15.44770924391884</v>
      </c>
      <c r="AS1088" t="s">
        <v>65</v>
      </c>
      <c r="AT1088">
        <v>1</v>
      </c>
      <c r="AU1088" t="s">
        <v>600</v>
      </c>
      <c r="AV1088" t="s">
        <v>601</v>
      </c>
      <c r="AW1088" t="s">
        <v>60</v>
      </c>
      <c r="AX1088" t="s">
        <v>68</v>
      </c>
      <c r="AY1088" t="s">
        <v>69</v>
      </c>
      <c r="AZ1088" t="b">
        <v>1</v>
      </c>
    </row>
    <row r="1089" spans="1:52" x14ac:dyDescent="0.3">
      <c r="A1089" t="s">
        <v>52</v>
      </c>
      <c r="B1089" t="s">
        <v>53</v>
      </c>
      <c r="C1089" t="s">
        <v>54</v>
      </c>
      <c r="D1089" t="s">
        <v>55</v>
      </c>
      <c r="E1089" t="s">
        <v>804</v>
      </c>
      <c r="F1089" t="s">
        <v>512</v>
      </c>
      <c r="G1089" t="s">
        <v>123</v>
      </c>
      <c r="H1089" t="s">
        <v>607</v>
      </c>
      <c r="I1089" t="s">
        <v>607</v>
      </c>
      <c r="J1089" t="s">
        <v>60</v>
      </c>
      <c r="K1089" t="s">
        <v>333</v>
      </c>
      <c r="L1089" t="s">
        <v>62</v>
      </c>
      <c r="M1089" t="s">
        <v>333</v>
      </c>
      <c r="N1089" t="s">
        <v>125</v>
      </c>
      <c r="O1089" t="s">
        <v>608</v>
      </c>
      <c r="P1089">
        <v>-19.636002999999999</v>
      </c>
      <c r="Q1089">
        <v>-43.908445</v>
      </c>
      <c r="R1089" s="2" t="str">
        <f>HYPERLINK("https://www.google.com/maps?q=-19.6360030,-43.9084450","Abrir no Google Maps")</f>
        <v>Abrir no Google Maps</v>
      </c>
      <c r="S1089">
        <v>1</v>
      </c>
      <c r="T1089">
        <v>612.64850802557942</v>
      </c>
      <c r="U1089">
        <v>3</v>
      </c>
      <c r="V1089">
        <v>0.384341778440139</v>
      </c>
      <c r="W1089">
        <v>0.85</v>
      </c>
      <c r="X1089">
        <v>0.32669051167411822</v>
      </c>
      <c r="Y1089">
        <v>10</v>
      </c>
      <c r="Z1089">
        <v>606.91793961222209</v>
      </c>
      <c r="AA1089">
        <v>2</v>
      </c>
      <c r="AB1089">
        <v>3</v>
      </c>
      <c r="AC1089">
        <v>7</v>
      </c>
      <c r="AD1089">
        <v>26.28</v>
      </c>
      <c r="AE1089">
        <v>253</v>
      </c>
      <c r="AF1089">
        <v>15</v>
      </c>
      <c r="AG1089">
        <v>65</v>
      </c>
      <c r="AH1089">
        <v>32</v>
      </c>
      <c r="AI1089">
        <v>5.93</v>
      </c>
      <c r="AJ1089">
        <v>25.69</v>
      </c>
      <c r="AK1089">
        <v>12.65</v>
      </c>
      <c r="AL1089">
        <v>-19.63618049999997</v>
      </c>
      <c r="AM1089">
        <v>-43.908471095478113</v>
      </c>
      <c r="AN1089">
        <v>-19.63618049999997</v>
      </c>
      <c r="AO1089">
        <v>-43.908471095478113</v>
      </c>
      <c r="AP1089">
        <v>-19.636002999999999</v>
      </c>
      <c r="AQ1089">
        <v>-43.908445</v>
      </c>
      <c r="AR1089">
        <v>19.947824476218141</v>
      </c>
      <c r="AS1089" t="s">
        <v>65</v>
      </c>
      <c r="AT1089">
        <v>1</v>
      </c>
      <c r="AU1089" t="s">
        <v>609</v>
      </c>
      <c r="AV1089" t="s">
        <v>610</v>
      </c>
      <c r="AW1089" t="s">
        <v>60</v>
      </c>
      <c r="AX1089" t="s">
        <v>68</v>
      </c>
      <c r="AY1089" t="s">
        <v>69</v>
      </c>
      <c r="AZ1089" t="b">
        <v>1</v>
      </c>
    </row>
    <row r="1090" spans="1:52" x14ac:dyDescent="0.3">
      <c r="A1090" t="s">
        <v>52</v>
      </c>
      <c r="B1090" t="s">
        <v>53</v>
      </c>
      <c r="C1090" t="s">
        <v>54</v>
      </c>
      <c r="D1090" t="s">
        <v>55</v>
      </c>
      <c r="E1090" t="s">
        <v>804</v>
      </c>
      <c r="F1090" t="s">
        <v>512</v>
      </c>
      <c r="G1090" t="s">
        <v>611</v>
      </c>
      <c r="H1090" t="s">
        <v>612</v>
      </c>
      <c r="I1090" t="s">
        <v>612</v>
      </c>
      <c r="J1090" t="s">
        <v>60</v>
      </c>
      <c r="K1090" t="s">
        <v>445</v>
      </c>
      <c r="L1090" t="s">
        <v>62</v>
      </c>
      <c r="M1090" t="s">
        <v>445</v>
      </c>
      <c r="N1090" t="s">
        <v>613</v>
      </c>
      <c r="O1090" t="s">
        <v>94</v>
      </c>
      <c r="P1090">
        <v>-19.639271999999998</v>
      </c>
      <c r="Q1090">
        <v>-43.875624000000002</v>
      </c>
      <c r="R1090" s="2" t="str">
        <f>HYPERLINK("https://www.google.com/maps?q=-19.6392720,-43.8756240","Abrir no Google Maps")</f>
        <v>Abrir no Google Maps</v>
      </c>
      <c r="S1090">
        <v>1</v>
      </c>
      <c r="T1090">
        <v>618.4798639458262</v>
      </c>
      <c r="U1090">
        <v>2</v>
      </c>
      <c r="V1090">
        <v>0.31630434782608691</v>
      </c>
      <c r="W1090">
        <v>0.85</v>
      </c>
      <c r="X1090">
        <v>0.26885869565217391</v>
      </c>
      <c r="Y1090">
        <v>10</v>
      </c>
      <c r="Z1090">
        <v>724.62991660382431</v>
      </c>
      <c r="AA1090">
        <v>2</v>
      </c>
      <c r="AB1090">
        <v>3</v>
      </c>
      <c r="AC1090">
        <v>7</v>
      </c>
      <c r="AD1090">
        <v>26.28</v>
      </c>
      <c r="AE1090">
        <v>253</v>
      </c>
      <c r="AF1090">
        <v>15</v>
      </c>
      <c r="AG1090">
        <v>65</v>
      </c>
      <c r="AH1090">
        <v>32</v>
      </c>
      <c r="AI1090">
        <v>5.93</v>
      </c>
      <c r="AJ1090">
        <v>25.69</v>
      </c>
      <c r="AK1090">
        <v>12.65</v>
      </c>
      <c r="AL1090">
        <v>-19.639239899999978</v>
      </c>
      <c r="AM1090">
        <v>-43.875497463228079</v>
      </c>
      <c r="AN1090">
        <v>-19.639239899999978</v>
      </c>
      <c r="AO1090">
        <v>-43.875497463228079</v>
      </c>
      <c r="AP1090">
        <v>-19.639271999999998</v>
      </c>
      <c r="AQ1090">
        <v>-43.875624000000002</v>
      </c>
      <c r="AR1090">
        <v>13.73946951590594</v>
      </c>
      <c r="AS1090" t="s">
        <v>65</v>
      </c>
      <c r="AT1090">
        <v>1</v>
      </c>
      <c r="AU1090" t="s">
        <v>614</v>
      </c>
      <c r="AV1090" t="s">
        <v>615</v>
      </c>
      <c r="AW1090" t="s">
        <v>60</v>
      </c>
      <c r="AX1090" t="s">
        <v>68</v>
      </c>
      <c r="AY1090" t="s">
        <v>69</v>
      </c>
      <c r="AZ1090" t="b">
        <v>1</v>
      </c>
    </row>
    <row r="1091" spans="1:52" x14ac:dyDescent="0.3">
      <c r="A1091" t="s">
        <v>52</v>
      </c>
      <c r="B1091" t="s">
        <v>53</v>
      </c>
      <c r="C1091" t="s">
        <v>54</v>
      </c>
      <c r="D1091" t="s">
        <v>55</v>
      </c>
      <c r="E1091" t="s">
        <v>829</v>
      </c>
      <c r="F1091" t="s">
        <v>57</v>
      </c>
      <c r="G1091" t="s">
        <v>58</v>
      </c>
      <c r="H1091" t="s">
        <v>59</v>
      </c>
      <c r="I1091" t="s">
        <v>59</v>
      </c>
      <c r="J1091" t="s">
        <v>60</v>
      </c>
      <c r="K1091" t="s">
        <v>61</v>
      </c>
      <c r="L1091" t="s">
        <v>62</v>
      </c>
      <c r="M1091" t="s">
        <v>61</v>
      </c>
      <c r="N1091" t="s">
        <v>63</v>
      </c>
      <c r="O1091" t="s">
        <v>64</v>
      </c>
      <c r="P1091">
        <v>-19.631502000000001</v>
      </c>
      <c r="Q1091">
        <v>-43.910241999999997</v>
      </c>
      <c r="R1091" s="2" t="str">
        <f>HYPERLINK("https://www.google.com/maps?q=-19.6315020,-43.9102420","Abrir no Google Maps")</f>
        <v>Abrir no Google Maps</v>
      </c>
      <c r="S1091">
        <v>4</v>
      </c>
      <c r="T1091">
        <v>789.20099406682743</v>
      </c>
      <c r="U1091">
        <v>4</v>
      </c>
      <c r="V1091">
        <v>0.45498416029173577</v>
      </c>
      <c r="W1091">
        <v>1</v>
      </c>
      <c r="X1091">
        <v>0.45498416029173577</v>
      </c>
      <c r="Y1091">
        <v>10</v>
      </c>
      <c r="Z1091">
        <v>691.44930074509864</v>
      </c>
      <c r="AA1091">
        <v>2</v>
      </c>
      <c r="AB1091">
        <v>3</v>
      </c>
      <c r="AC1091">
        <v>7</v>
      </c>
      <c r="AD1091">
        <v>27.39</v>
      </c>
      <c r="AE1091">
        <v>253</v>
      </c>
      <c r="AF1091">
        <v>20</v>
      </c>
      <c r="AG1091">
        <v>59</v>
      </c>
      <c r="AH1091">
        <v>32</v>
      </c>
      <c r="AI1091">
        <v>7.91</v>
      </c>
      <c r="AJ1091">
        <v>23.32</v>
      </c>
      <c r="AK1091">
        <v>12.65</v>
      </c>
      <c r="AL1091">
        <v>-19.631719749999949</v>
      </c>
      <c r="AM1091">
        <v>-43.910102324517517</v>
      </c>
      <c r="AN1091">
        <v>-19.631719749999949</v>
      </c>
      <c r="AO1091">
        <v>-43.910102324517517</v>
      </c>
      <c r="AP1091">
        <v>-19.631502000000001</v>
      </c>
      <c r="AQ1091">
        <v>-43.910241999999997</v>
      </c>
      <c r="AR1091">
        <v>28.320416429206599</v>
      </c>
      <c r="AS1091" t="s">
        <v>65</v>
      </c>
      <c r="AT1091">
        <v>1</v>
      </c>
      <c r="AU1091" t="s">
        <v>66</v>
      </c>
      <c r="AV1091" t="s">
        <v>67</v>
      </c>
      <c r="AW1091" t="s">
        <v>60</v>
      </c>
      <c r="AX1091" t="s">
        <v>68</v>
      </c>
      <c r="AY1091" t="s">
        <v>69</v>
      </c>
      <c r="AZ1091" t="b">
        <v>1</v>
      </c>
    </row>
    <row r="1092" spans="1:52" x14ac:dyDescent="0.3">
      <c r="A1092" t="s">
        <v>52</v>
      </c>
      <c r="B1092" t="s">
        <v>53</v>
      </c>
      <c r="C1092" t="s">
        <v>54</v>
      </c>
      <c r="D1092" t="s">
        <v>55</v>
      </c>
      <c r="E1092" t="s">
        <v>829</v>
      </c>
      <c r="F1092" t="s">
        <v>57</v>
      </c>
      <c r="G1092" t="s">
        <v>70</v>
      </c>
      <c r="H1092" t="s">
        <v>71</v>
      </c>
      <c r="I1092" t="s">
        <v>71</v>
      </c>
      <c r="J1092" t="s">
        <v>60</v>
      </c>
      <c r="K1092" t="s">
        <v>72</v>
      </c>
      <c r="L1092" t="s">
        <v>62</v>
      </c>
      <c r="M1092" t="s">
        <v>72</v>
      </c>
      <c r="N1092" t="s">
        <v>73</v>
      </c>
      <c r="O1092" t="s">
        <v>74</v>
      </c>
      <c r="P1092">
        <v>-19.632581999999999</v>
      </c>
      <c r="Q1092">
        <v>-43.902416000000002</v>
      </c>
      <c r="R1092" s="2" t="str">
        <f>HYPERLINK("https://www.google.com/maps?q=-19.6325820,-43.9024160","Abrir no Google Maps")</f>
        <v>Abrir no Google Maps</v>
      </c>
      <c r="S1092">
        <v>4</v>
      </c>
      <c r="T1092">
        <v>0</v>
      </c>
      <c r="U1092">
        <v>4</v>
      </c>
      <c r="V1092">
        <v>0.47577405953774471</v>
      </c>
      <c r="W1092">
        <v>1</v>
      </c>
      <c r="X1092">
        <v>0.47577405953774471</v>
      </c>
      <c r="Y1092">
        <v>10</v>
      </c>
      <c r="Z1092">
        <v>146.6968158874696</v>
      </c>
      <c r="AA1092">
        <v>2</v>
      </c>
      <c r="AB1092">
        <v>3</v>
      </c>
      <c r="AC1092">
        <v>7</v>
      </c>
      <c r="AD1092">
        <v>27.39</v>
      </c>
      <c r="AE1092">
        <v>253</v>
      </c>
      <c r="AF1092">
        <v>20</v>
      </c>
      <c r="AG1092">
        <v>59</v>
      </c>
      <c r="AH1092">
        <v>32</v>
      </c>
      <c r="AI1092">
        <v>7.91</v>
      </c>
      <c r="AJ1092">
        <v>23.32</v>
      </c>
      <c r="AK1092">
        <v>12.65</v>
      </c>
      <c r="AL1092">
        <v>-19.63271449999996</v>
      </c>
      <c r="AM1092">
        <v>-43.902649897389402</v>
      </c>
      <c r="AN1092">
        <v>-19.63271449999996</v>
      </c>
      <c r="AO1092">
        <v>-43.902649897389402</v>
      </c>
      <c r="AP1092">
        <v>-19.632581999999999</v>
      </c>
      <c r="AQ1092">
        <v>-43.902416000000002</v>
      </c>
      <c r="AR1092">
        <v>28.617753432996459</v>
      </c>
      <c r="AS1092" t="s">
        <v>65</v>
      </c>
      <c r="AT1092">
        <v>1</v>
      </c>
      <c r="AU1092" t="s">
        <v>75</v>
      </c>
      <c r="AV1092" t="s">
        <v>76</v>
      </c>
      <c r="AW1092" t="s">
        <v>60</v>
      </c>
      <c r="AX1092" t="s">
        <v>68</v>
      </c>
      <c r="AY1092" t="s">
        <v>69</v>
      </c>
      <c r="AZ1092" t="b">
        <v>1</v>
      </c>
    </row>
    <row r="1093" spans="1:52" x14ac:dyDescent="0.3">
      <c r="A1093" t="s">
        <v>52</v>
      </c>
      <c r="B1093" t="s">
        <v>53</v>
      </c>
      <c r="C1093" t="s">
        <v>54</v>
      </c>
      <c r="D1093" t="s">
        <v>55</v>
      </c>
      <c r="E1093" t="s">
        <v>829</v>
      </c>
      <c r="F1093" t="s">
        <v>57</v>
      </c>
      <c r="G1093" t="s">
        <v>77</v>
      </c>
      <c r="H1093" t="s">
        <v>78</v>
      </c>
      <c r="I1093" t="s">
        <v>78</v>
      </c>
      <c r="J1093" t="s">
        <v>60</v>
      </c>
      <c r="K1093" t="s">
        <v>79</v>
      </c>
      <c r="L1093" t="s">
        <v>62</v>
      </c>
      <c r="M1093" t="s">
        <v>79</v>
      </c>
      <c r="N1093" t="s">
        <v>80</v>
      </c>
      <c r="O1093" t="s">
        <v>81</v>
      </c>
      <c r="P1093">
        <v>-19.632463999999999</v>
      </c>
      <c r="Q1093">
        <v>-43.904927999999998</v>
      </c>
      <c r="R1093" s="2" t="str">
        <f>HYPERLINK("https://www.google.com/maps?q=-19.6324640,-43.9049280","Abrir no Google Maps")</f>
        <v>Abrir no Google Maps</v>
      </c>
      <c r="S1093">
        <v>4</v>
      </c>
      <c r="T1093">
        <v>244.1735197453369</v>
      </c>
      <c r="U1093">
        <v>4</v>
      </c>
      <c r="V1093">
        <v>0.46395595483186719</v>
      </c>
      <c r="W1093">
        <v>1</v>
      </c>
      <c r="X1093">
        <v>0.46395595483186719</v>
      </c>
      <c r="Y1093">
        <v>10</v>
      </c>
      <c r="Z1093">
        <v>287.26068152447448</v>
      </c>
      <c r="AA1093">
        <v>2</v>
      </c>
      <c r="AB1093">
        <v>3</v>
      </c>
      <c r="AC1093">
        <v>7</v>
      </c>
      <c r="AD1093">
        <v>27.39</v>
      </c>
      <c r="AE1093">
        <v>253</v>
      </c>
      <c r="AF1093">
        <v>20</v>
      </c>
      <c r="AG1093">
        <v>59</v>
      </c>
      <c r="AH1093">
        <v>32</v>
      </c>
      <c r="AI1093">
        <v>7.91</v>
      </c>
      <c r="AJ1093">
        <v>23.32</v>
      </c>
      <c r="AK1093">
        <v>12.65</v>
      </c>
      <c r="AL1093">
        <v>-19.63247099999996</v>
      </c>
      <c r="AM1093">
        <v>-43.904964174285787</v>
      </c>
      <c r="AN1093">
        <v>-19.63247099999996</v>
      </c>
      <c r="AO1093">
        <v>-43.904964174285787</v>
      </c>
      <c r="AP1093">
        <v>-19.632463999999999</v>
      </c>
      <c r="AQ1093">
        <v>-43.904927999999998</v>
      </c>
      <c r="AR1093">
        <v>3.8720457500200469</v>
      </c>
      <c r="AS1093" t="s">
        <v>65</v>
      </c>
      <c r="AT1093">
        <v>1</v>
      </c>
      <c r="AU1093" t="s">
        <v>82</v>
      </c>
      <c r="AV1093" t="s">
        <v>83</v>
      </c>
      <c r="AW1093" t="s">
        <v>60</v>
      </c>
      <c r="AX1093" t="s">
        <v>68</v>
      </c>
      <c r="AY1093" t="s">
        <v>69</v>
      </c>
      <c r="AZ1093" t="b">
        <v>1</v>
      </c>
    </row>
    <row r="1094" spans="1:52" x14ac:dyDescent="0.3">
      <c r="A1094" t="s">
        <v>52</v>
      </c>
      <c r="B1094" t="s">
        <v>53</v>
      </c>
      <c r="C1094" t="s">
        <v>54</v>
      </c>
      <c r="D1094" t="s">
        <v>55</v>
      </c>
      <c r="E1094" t="s">
        <v>829</v>
      </c>
      <c r="F1094" t="s">
        <v>57</v>
      </c>
      <c r="G1094" t="s">
        <v>97</v>
      </c>
      <c r="H1094" t="s">
        <v>98</v>
      </c>
      <c r="I1094" t="s">
        <v>98</v>
      </c>
      <c r="J1094" t="s">
        <v>60</v>
      </c>
      <c r="K1094" t="s">
        <v>99</v>
      </c>
      <c r="L1094" t="s">
        <v>62</v>
      </c>
      <c r="M1094" t="s">
        <v>99</v>
      </c>
      <c r="N1094" t="s">
        <v>100</v>
      </c>
      <c r="O1094" t="s">
        <v>101</v>
      </c>
      <c r="P1094">
        <v>-19.629822000000001</v>
      </c>
      <c r="Q1094">
        <v>-43.905341</v>
      </c>
      <c r="R1094" s="2" t="str">
        <f>HYPERLINK("https://www.google.com/maps?q=-19.6298220,-43.9053410","Abrir no Google Maps")</f>
        <v>Abrir no Google Maps</v>
      </c>
      <c r="S1094">
        <v>4</v>
      </c>
      <c r="T1094">
        <v>441.30597341744129</v>
      </c>
      <c r="U1094">
        <v>4</v>
      </c>
      <c r="V1094">
        <v>0.4645749648933738</v>
      </c>
      <c r="W1094">
        <v>1</v>
      </c>
      <c r="X1094">
        <v>0.4645749648933738</v>
      </c>
      <c r="Y1094">
        <v>10</v>
      </c>
      <c r="Z1094">
        <v>513.56493751010987</v>
      </c>
      <c r="AA1094">
        <v>2</v>
      </c>
      <c r="AB1094">
        <v>3</v>
      </c>
      <c r="AC1094">
        <v>7</v>
      </c>
      <c r="AD1094">
        <v>27.39</v>
      </c>
      <c r="AE1094">
        <v>253</v>
      </c>
      <c r="AF1094">
        <v>20</v>
      </c>
      <c r="AG1094">
        <v>59</v>
      </c>
      <c r="AH1094">
        <v>32</v>
      </c>
      <c r="AI1094">
        <v>7.91</v>
      </c>
      <c r="AJ1094">
        <v>23.32</v>
      </c>
      <c r="AK1094">
        <v>12.65</v>
      </c>
      <c r="AL1094">
        <v>-19.629671599999941</v>
      </c>
      <c r="AM1094">
        <v>-43.905369597920988</v>
      </c>
      <c r="AN1094">
        <v>-19.629671599999931</v>
      </c>
      <c r="AO1094">
        <v>-43.905369597920988</v>
      </c>
      <c r="AP1094">
        <v>-19.629822000000001</v>
      </c>
      <c r="AQ1094">
        <v>-43.905341</v>
      </c>
      <c r="AR1094">
        <v>17.008917699186132</v>
      </c>
      <c r="AS1094" t="s">
        <v>65</v>
      </c>
      <c r="AT1094">
        <v>1</v>
      </c>
      <c r="AU1094" t="s">
        <v>102</v>
      </c>
      <c r="AV1094" t="s">
        <v>103</v>
      </c>
      <c r="AW1094" t="s">
        <v>60</v>
      </c>
      <c r="AX1094" t="s">
        <v>68</v>
      </c>
      <c r="AY1094" t="s">
        <v>69</v>
      </c>
      <c r="AZ1094" t="b">
        <v>1</v>
      </c>
    </row>
    <row r="1095" spans="1:52" x14ac:dyDescent="0.3">
      <c r="A1095" t="s">
        <v>52</v>
      </c>
      <c r="B1095" t="s">
        <v>53</v>
      </c>
      <c r="C1095" t="s">
        <v>54</v>
      </c>
      <c r="D1095" t="s">
        <v>55</v>
      </c>
      <c r="E1095" t="s">
        <v>829</v>
      </c>
      <c r="F1095" t="s">
        <v>57</v>
      </c>
      <c r="G1095" t="s">
        <v>177</v>
      </c>
      <c r="H1095" t="s">
        <v>178</v>
      </c>
      <c r="I1095" t="s">
        <v>178</v>
      </c>
      <c r="J1095" t="s">
        <v>60</v>
      </c>
      <c r="K1095" t="s">
        <v>179</v>
      </c>
      <c r="L1095" t="s">
        <v>62</v>
      </c>
      <c r="M1095" t="s">
        <v>179</v>
      </c>
      <c r="N1095" t="s">
        <v>180</v>
      </c>
      <c r="O1095" t="s">
        <v>120</v>
      </c>
      <c r="P1095">
        <v>-19.651526</v>
      </c>
      <c r="Q1095">
        <v>-43.891382999999998</v>
      </c>
      <c r="R1095" s="2" t="str">
        <f>HYPERLINK("https://www.google.com/maps?q=-19.6515260,-43.8913830","Abrir no Google Maps")</f>
        <v>Abrir no Google Maps</v>
      </c>
      <c r="S1095">
        <v>4</v>
      </c>
      <c r="T1095">
        <v>925.67779296789433</v>
      </c>
      <c r="U1095">
        <v>4</v>
      </c>
      <c r="V1095">
        <v>0.45512346623160332</v>
      </c>
      <c r="W1095">
        <v>1</v>
      </c>
      <c r="X1095">
        <v>0.45512346623160332</v>
      </c>
      <c r="Y1095">
        <v>7</v>
      </c>
      <c r="Z1095">
        <v>1193.102297436121</v>
      </c>
      <c r="AA1095">
        <v>2</v>
      </c>
      <c r="AB1095">
        <v>3</v>
      </c>
      <c r="AC1095">
        <v>7</v>
      </c>
      <c r="AD1095">
        <v>27.39</v>
      </c>
      <c r="AE1095">
        <v>253</v>
      </c>
      <c r="AF1095">
        <v>20</v>
      </c>
      <c r="AG1095">
        <v>59</v>
      </c>
      <c r="AH1095">
        <v>32</v>
      </c>
      <c r="AI1095">
        <v>7.91</v>
      </c>
      <c r="AJ1095">
        <v>23.32</v>
      </c>
      <c r="AK1095">
        <v>12.65</v>
      </c>
      <c r="AL1095">
        <v>-19.651590199999958</v>
      </c>
      <c r="AM1095">
        <v>-43.891399191449963</v>
      </c>
      <c r="AN1095">
        <v>-19.651590199999958</v>
      </c>
      <c r="AO1095">
        <v>-43.891399191449963</v>
      </c>
      <c r="AP1095">
        <v>-19.651526</v>
      </c>
      <c r="AQ1095">
        <v>-43.891382999999998</v>
      </c>
      <c r="AR1095">
        <v>7.3455622550785931</v>
      </c>
      <c r="AS1095" t="s">
        <v>65</v>
      </c>
      <c r="AT1095">
        <v>1</v>
      </c>
      <c r="AU1095" t="s">
        <v>181</v>
      </c>
      <c r="AV1095" t="s">
        <v>182</v>
      </c>
      <c r="AW1095" t="s">
        <v>60</v>
      </c>
      <c r="AX1095" t="s">
        <v>68</v>
      </c>
      <c r="AY1095" t="s">
        <v>69</v>
      </c>
      <c r="AZ1095" t="b">
        <v>1</v>
      </c>
    </row>
    <row r="1096" spans="1:52" x14ac:dyDescent="0.3">
      <c r="A1096" t="s">
        <v>52</v>
      </c>
      <c r="B1096" t="s">
        <v>53</v>
      </c>
      <c r="C1096" t="s">
        <v>54</v>
      </c>
      <c r="D1096" t="s">
        <v>55</v>
      </c>
      <c r="E1096" t="s">
        <v>829</v>
      </c>
      <c r="F1096" t="s">
        <v>57</v>
      </c>
      <c r="G1096" t="s">
        <v>104</v>
      </c>
      <c r="H1096" t="s">
        <v>105</v>
      </c>
      <c r="I1096" t="s">
        <v>105</v>
      </c>
      <c r="J1096" t="s">
        <v>60</v>
      </c>
      <c r="K1096" t="s">
        <v>99</v>
      </c>
      <c r="L1096" t="s">
        <v>62</v>
      </c>
      <c r="M1096" t="s">
        <v>99</v>
      </c>
      <c r="N1096" t="s">
        <v>106</v>
      </c>
      <c r="O1096" t="s">
        <v>107</v>
      </c>
      <c r="P1096">
        <v>-19.627993</v>
      </c>
      <c r="Q1096">
        <v>-43.904820000000001</v>
      </c>
      <c r="R1096" s="2" t="str">
        <f>HYPERLINK("https://www.google.com/maps?q=-19.6279930,-43.9048200","Abrir no Google Maps")</f>
        <v>Abrir no Google Maps</v>
      </c>
      <c r="S1096">
        <v>4</v>
      </c>
      <c r="T1096">
        <v>573.16526621674666</v>
      </c>
      <c r="U1096">
        <v>4</v>
      </c>
      <c r="V1096">
        <v>0.53861788617886175</v>
      </c>
      <c r="W1096">
        <v>1</v>
      </c>
      <c r="X1096">
        <v>0.53861788617886175</v>
      </c>
      <c r="Y1096">
        <v>7</v>
      </c>
      <c r="Z1096">
        <v>659.04372306144853</v>
      </c>
      <c r="AA1096">
        <v>2</v>
      </c>
      <c r="AB1096">
        <v>3</v>
      </c>
      <c r="AC1096">
        <v>7</v>
      </c>
      <c r="AD1096">
        <v>27.39</v>
      </c>
      <c r="AE1096">
        <v>253</v>
      </c>
      <c r="AF1096">
        <v>20</v>
      </c>
      <c r="AG1096">
        <v>59</v>
      </c>
      <c r="AH1096">
        <v>32</v>
      </c>
      <c r="AI1096">
        <v>7.91</v>
      </c>
      <c r="AJ1096">
        <v>23.32</v>
      </c>
      <c r="AK1096">
        <v>12.65</v>
      </c>
      <c r="AL1096">
        <v>-19.627956249999951</v>
      </c>
      <c r="AM1096">
        <v>-43.904807634206207</v>
      </c>
      <c r="AN1096">
        <v>-19.627956249999951</v>
      </c>
      <c r="AO1096">
        <v>-43.904807634206207</v>
      </c>
      <c r="AP1096">
        <v>-19.627993</v>
      </c>
      <c r="AQ1096">
        <v>-43.904820000000001</v>
      </c>
      <c r="AR1096">
        <v>4.291557430205998</v>
      </c>
      <c r="AS1096" t="s">
        <v>65</v>
      </c>
      <c r="AT1096">
        <v>1</v>
      </c>
      <c r="AU1096" t="s">
        <v>108</v>
      </c>
      <c r="AV1096" t="s">
        <v>103</v>
      </c>
      <c r="AW1096" t="s">
        <v>60</v>
      </c>
      <c r="AX1096" t="s">
        <v>68</v>
      </c>
      <c r="AY1096" t="s">
        <v>69</v>
      </c>
      <c r="AZ1096" t="b">
        <v>1</v>
      </c>
    </row>
    <row r="1097" spans="1:52" x14ac:dyDescent="0.3">
      <c r="A1097" t="s">
        <v>52</v>
      </c>
      <c r="B1097" t="s">
        <v>53</v>
      </c>
      <c r="C1097" t="s">
        <v>54</v>
      </c>
      <c r="D1097" t="s">
        <v>55</v>
      </c>
      <c r="E1097" t="s">
        <v>829</v>
      </c>
      <c r="F1097" t="s">
        <v>57</v>
      </c>
      <c r="G1097" t="s">
        <v>109</v>
      </c>
      <c r="H1097" t="s">
        <v>110</v>
      </c>
      <c r="I1097" t="s">
        <v>110</v>
      </c>
      <c r="J1097" t="s">
        <v>60</v>
      </c>
      <c r="K1097" t="s">
        <v>111</v>
      </c>
      <c r="L1097" t="s">
        <v>62</v>
      </c>
      <c r="M1097" t="s">
        <v>111</v>
      </c>
      <c r="N1097" t="s">
        <v>112</v>
      </c>
      <c r="O1097" t="s">
        <v>113</v>
      </c>
      <c r="P1097">
        <v>-19.654686000000002</v>
      </c>
      <c r="Q1097">
        <v>-43.907240000000002</v>
      </c>
      <c r="R1097" s="2" t="str">
        <f>HYPERLINK("https://www.google.com/maps?q=-19.6546860,-43.9072400","Abrir no Google Maps")</f>
        <v>Abrir no Google Maps</v>
      </c>
      <c r="S1097">
        <v>4</v>
      </c>
      <c r="T1097">
        <v>824.24450564548704</v>
      </c>
      <c r="U1097">
        <v>4</v>
      </c>
      <c r="V1097">
        <v>0.46793689183868609</v>
      </c>
      <c r="W1097">
        <v>1</v>
      </c>
      <c r="X1097">
        <v>0.46793689183868609</v>
      </c>
      <c r="Y1097">
        <v>4</v>
      </c>
      <c r="Z1097">
        <v>524.70106879290392</v>
      </c>
      <c r="AA1097">
        <v>2</v>
      </c>
      <c r="AB1097">
        <v>3</v>
      </c>
      <c r="AC1097">
        <v>7</v>
      </c>
      <c r="AD1097">
        <v>27.39</v>
      </c>
      <c r="AE1097">
        <v>253</v>
      </c>
      <c r="AF1097">
        <v>20</v>
      </c>
      <c r="AG1097">
        <v>59</v>
      </c>
      <c r="AH1097">
        <v>32</v>
      </c>
      <c r="AI1097">
        <v>7.91</v>
      </c>
      <c r="AJ1097">
        <v>23.32</v>
      </c>
      <c r="AK1097">
        <v>12.65</v>
      </c>
      <c r="AL1097">
        <v>-19.65511684999996</v>
      </c>
      <c r="AM1097">
        <v>-43.905662999837993</v>
      </c>
      <c r="AN1097">
        <v>-19.65511684999996</v>
      </c>
      <c r="AO1097">
        <v>-43.905662999837993</v>
      </c>
      <c r="AP1097">
        <v>-19.654686000000002</v>
      </c>
      <c r="AQ1097">
        <v>-43.907240000000002</v>
      </c>
      <c r="AR1097">
        <v>172.13969981835351</v>
      </c>
      <c r="AS1097" t="s">
        <v>65</v>
      </c>
      <c r="AT1097">
        <v>1</v>
      </c>
      <c r="AU1097" t="s">
        <v>114</v>
      </c>
      <c r="AV1097" t="s">
        <v>115</v>
      </c>
      <c r="AW1097" t="s">
        <v>60</v>
      </c>
      <c r="AX1097" t="s">
        <v>68</v>
      </c>
      <c r="AY1097" t="s">
        <v>69</v>
      </c>
      <c r="AZ1097" t="b">
        <v>1</v>
      </c>
    </row>
    <row r="1098" spans="1:52" x14ac:dyDescent="0.3">
      <c r="A1098" t="s">
        <v>52</v>
      </c>
      <c r="B1098" t="s">
        <v>53</v>
      </c>
      <c r="C1098" t="s">
        <v>54</v>
      </c>
      <c r="D1098" t="s">
        <v>55</v>
      </c>
      <c r="E1098" t="s">
        <v>829</v>
      </c>
      <c r="F1098" t="s">
        <v>57</v>
      </c>
      <c r="G1098" t="s">
        <v>116</v>
      </c>
      <c r="H1098" t="s">
        <v>117</v>
      </c>
      <c r="I1098" t="s">
        <v>117</v>
      </c>
      <c r="J1098" t="s">
        <v>60</v>
      </c>
      <c r="K1098" t="s">
        <v>118</v>
      </c>
      <c r="L1098" t="s">
        <v>62</v>
      </c>
      <c r="M1098" t="s">
        <v>118</v>
      </c>
      <c r="N1098" t="s">
        <v>119</v>
      </c>
      <c r="O1098" t="s">
        <v>120</v>
      </c>
      <c r="P1098">
        <v>-19.663869999999999</v>
      </c>
      <c r="Q1098">
        <v>-43.904916999999998</v>
      </c>
      <c r="R1098" s="2" t="str">
        <f>HYPERLINK("https://www.google.com/maps?q=-19.6638700,-43.9049170","Abrir no Google Maps")</f>
        <v>Abrir no Google Maps</v>
      </c>
      <c r="S1098">
        <v>4</v>
      </c>
      <c r="T1098">
        <v>0</v>
      </c>
      <c r="U1098">
        <v>4</v>
      </c>
      <c r="V1098">
        <v>0.54147435175803971</v>
      </c>
      <c r="W1098">
        <v>1</v>
      </c>
      <c r="X1098">
        <v>0.54147435175803971</v>
      </c>
      <c r="Y1098">
        <v>4</v>
      </c>
      <c r="Z1098">
        <v>1169.476938179705</v>
      </c>
      <c r="AA1098">
        <v>2</v>
      </c>
      <c r="AB1098">
        <v>3</v>
      </c>
      <c r="AC1098">
        <v>7</v>
      </c>
      <c r="AD1098">
        <v>27.39</v>
      </c>
      <c r="AE1098">
        <v>253</v>
      </c>
      <c r="AF1098">
        <v>20</v>
      </c>
      <c r="AG1098">
        <v>59</v>
      </c>
      <c r="AH1098">
        <v>32</v>
      </c>
      <c r="AI1098">
        <v>7.91</v>
      </c>
      <c r="AJ1098">
        <v>23.32</v>
      </c>
      <c r="AK1098">
        <v>12.65</v>
      </c>
      <c r="AL1098">
        <v>-19.657063599999962</v>
      </c>
      <c r="AM1098">
        <v>-43.898074976464507</v>
      </c>
      <c r="AN1098">
        <v>-19.657063599999962</v>
      </c>
      <c r="AO1098">
        <v>-43.898074976464507</v>
      </c>
      <c r="AP1098">
        <v>-19.663869999999999</v>
      </c>
      <c r="AQ1098">
        <v>-43.904916999999998</v>
      </c>
      <c r="AR1098">
        <v>1043.3426220355029</v>
      </c>
      <c r="AS1098" t="s">
        <v>65</v>
      </c>
      <c r="AT1098">
        <v>1</v>
      </c>
      <c r="AU1098" t="s">
        <v>121</v>
      </c>
      <c r="AV1098" t="s">
        <v>122</v>
      </c>
      <c r="AW1098" t="s">
        <v>60</v>
      </c>
      <c r="AX1098" t="s">
        <v>68</v>
      </c>
      <c r="AY1098" t="s">
        <v>69</v>
      </c>
      <c r="AZ1098" t="b">
        <v>1</v>
      </c>
    </row>
    <row r="1099" spans="1:52" x14ac:dyDescent="0.3">
      <c r="A1099" t="s">
        <v>52</v>
      </c>
      <c r="B1099" t="s">
        <v>53</v>
      </c>
      <c r="C1099" t="s">
        <v>54</v>
      </c>
      <c r="D1099" t="s">
        <v>55</v>
      </c>
      <c r="E1099" t="s">
        <v>829</v>
      </c>
      <c r="F1099" t="s">
        <v>57</v>
      </c>
      <c r="G1099" t="s">
        <v>204</v>
      </c>
      <c r="H1099" t="s">
        <v>205</v>
      </c>
      <c r="I1099" t="s">
        <v>205</v>
      </c>
      <c r="J1099" t="s">
        <v>60</v>
      </c>
      <c r="K1099" t="s">
        <v>171</v>
      </c>
      <c r="L1099" t="s">
        <v>62</v>
      </c>
      <c r="M1099" t="s">
        <v>171</v>
      </c>
      <c r="N1099" t="s">
        <v>206</v>
      </c>
      <c r="O1099" t="s">
        <v>207</v>
      </c>
      <c r="P1099">
        <v>-19.674109000000001</v>
      </c>
      <c r="Q1099">
        <v>-43.890711000000003</v>
      </c>
      <c r="R1099" s="2" t="str">
        <f>HYPERLINK("https://www.google.com/maps?q=-19.6741090,-43.8907110","Abrir no Google Maps")</f>
        <v>Abrir no Google Maps</v>
      </c>
      <c r="S1099">
        <v>4</v>
      </c>
      <c r="T1099">
        <v>396.53059443764772</v>
      </c>
      <c r="U1099">
        <v>4</v>
      </c>
      <c r="V1099">
        <v>0.46198566035341521</v>
      </c>
      <c r="W1099">
        <v>1</v>
      </c>
      <c r="X1099">
        <v>0.46198566035341521</v>
      </c>
      <c r="Y1099">
        <v>3</v>
      </c>
      <c r="Z1099">
        <v>499.22520255557538</v>
      </c>
      <c r="AA1099">
        <v>2</v>
      </c>
      <c r="AB1099">
        <v>3</v>
      </c>
      <c r="AC1099">
        <v>7</v>
      </c>
      <c r="AD1099">
        <v>27.39</v>
      </c>
      <c r="AE1099">
        <v>253</v>
      </c>
      <c r="AF1099">
        <v>20</v>
      </c>
      <c r="AG1099">
        <v>59</v>
      </c>
      <c r="AH1099">
        <v>32</v>
      </c>
      <c r="AI1099">
        <v>7.91</v>
      </c>
      <c r="AJ1099">
        <v>23.32</v>
      </c>
      <c r="AK1099">
        <v>12.65</v>
      </c>
      <c r="AL1099">
        <v>-19.67362479999997</v>
      </c>
      <c r="AM1099">
        <v>-43.89068378253377</v>
      </c>
      <c r="AN1099">
        <v>-19.67362479999997</v>
      </c>
      <c r="AO1099">
        <v>-43.89068378253377</v>
      </c>
      <c r="AP1099">
        <v>-19.674109000000001</v>
      </c>
      <c r="AQ1099">
        <v>-43.890711000000003</v>
      </c>
      <c r="AR1099">
        <v>53.976595260276227</v>
      </c>
      <c r="AS1099" t="s">
        <v>65</v>
      </c>
      <c r="AT1099">
        <v>1</v>
      </c>
      <c r="AU1099" t="s">
        <v>208</v>
      </c>
      <c r="AV1099" t="s">
        <v>209</v>
      </c>
      <c r="AW1099" t="s">
        <v>60</v>
      </c>
      <c r="AX1099" t="s">
        <v>68</v>
      </c>
      <c r="AY1099" t="s">
        <v>69</v>
      </c>
      <c r="AZ1099" t="b">
        <v>1</v>
      </c>
    </row>
    <row r="1100" spans="1:52" x14ac:dyDescent="0.3">
      <c r="A1100" t="s">
        <v>52</v>
      </c>
      <c r="B1100" t="s">
        <v>53</v>
      </c>
      <c r="C1100" t="s">
        <v>54</v>
      </c>
      <c r="D1100" t="s">
        <v>55</v>
      </c>
      <c r="E1100" t="s">
        <v>829</v>
      </c>
      <c r="F1100" t="s">
        <v>57</v>
      </c>
      <c r="G1100" t="s">
        <v>123</v>
      </c>
      <c r="H1100" t="s">
        <v>124</v>
      </c>
      <c r="I1100" t="s">
        <v>124</v>
      </c>
      <c r="J1100" t="s">
        <v>60</v>
      </c>
      <c r="K1100" t="s">
        <v>72</v>
      </c>
      <c r="L1100" t="s">
        <v>62</v>
      </c>
      <c r="M1100" t="s">
        <v>72</v>
      </c>
      <c r="N1100" t="s">
        <v>125</v>
      </c>
      <c r="O1100" t="s">
        <v>126</v>
      </c>
      <c r="P1100">
        <v>-19.634015000000002</v>
      </c>
      <c r="Q1100">
        <v>-43.918776000000001</v>
      </c>
      <c r="R1100" s="2" t="str">
        <f>HYPERLINK("https://www.google.com/maps?q=-19.6340150,-43.9187760","Abrir no Google Maps")</f>
        <v>Abrir no Google Maps</v>
      </c>
      <c r="S1100">
        <v>4</v>
      </c>
      <c r="T1100">
        <v>525.62818365919122</v>
      </c>
      <c r="U1100">
        <v>4</v>
      </c>
      <c r="V1100">
        <v>0.4764803942886135</v>
      </c>
      <c r="W1100">
        <v>1</v>
      </c>
      <c r="X1100">
        <v>0.4764803942886135</v>
      </c>
      <c r="Y1100">
        <v>3</v>
      </c>
      <c r="Z1100">
        <v>474.91441433808131</v>
      </c>
      <c r="AA1100">
        <v>2</v>
      </c>
      <c r="AB1100">
        <v>3</v>
      </c>
      <c r="AC1100">
        <v>7</v>
      </c>
      <c r="AD1100">
        <v>27.39</v>
      </c>
      <c r="AE1100">
        <v>253</v>
      </c>
      <c r="AF1100">
        <v>20</v>
      </c>
      <c r="AG1100">
        <v>59</v>
      </c>
      <c r="AH1100">
        <v>32</v>
      </c>
      <c r="AI1100">
        <v>7.91</v>
      </c>
      <c r="AJ1100">
        <v>23.32</v>
      </c>
      <c r="AK1100">
        <v>12.65</v>
      </c>
      <c r="AL1100">
        <v>-19.63405809999994</v>
      </c>
      <c r="AM1100">
        <v>-43.919666391328043</v>
      </c>
      <c r="AN1100">
        <v>-19.63405809999994</v>
      </c>
      <c r="AO1100">
        <v>-43.919666391328029</v>
      </c>
      <c r="AP1100">
        <v>-19.634015000000002</v>
      </c>
      <c r="AQ1100">
        <v>-43.918776000000001</v>
      </c>
      <c r="AR1100">
        <v>93.478621134470259</v>
      </c>
      <c r="AS1100" t="s">
        <v>65</v>
      </c>
      <c r="AT1100">
        <v>1</v>
      </c>
      <c r="AU1100" t="s">
        <v>127</v>
      </c>
      <c r="AV1100" t="s">
        <v>128</v>
      </c>
      <c r="AW1100" t="s">
        <v>60</v>
      </c>
      <c r="AX1100" t="s">
        <v>68</v>
      </c>
      <c r="AY1100" t="s">
        <v>69</v>
      </c>
      <c r="AZ1100" t="b">
        <v>1</v>
      </c>
    </row>
    <row r="1101" spans="1:52" x14ac:dyDescent="0.3">
      <c r="A1101" t="s">
        <v>52</v>
      </c>
      <c r="B1101" t="s">
        <v>53</v>
      </c>
      <c r="C1101" t="s">
        <v>54</v>
      </c>
      <c r="D1101" t="s">
        <v>55</v>
      </c>
      <c r="E1101" t="s">
        <v>829</v>
      </c>
      <c r="F1101" t="s">
        <v>57</v>
      </c>
      <c r="G1101" t="s">
        <v>129</v>
      </c>
      <c r="H1101" t="s">
        <v>130</v>
      </c>
      <c r="I1101" t="s">
        <v>130</v>
      </c>
      <c r="J1101" t="s">
        <v>60</v>
      </c>
      <c r="K1101" t="s">
        <v>131</v>
      </c>
      <c r="L1101" t="s">
        <v>62</v>
      </c>
      <c r="M1101" t="s">
        <v>131</v>
      </c>
      <c r="N1101" t="s">
        <v>132</v>
      </c>
      <c r="O1101" t="s">
        <v>133</v>
      </c>
      <c r="P1101">
        <v>-19.632088</v>
      </c>
      <c r="Q1101">
        <v>-43.916114999999998</v>
      </c>
      <c r="R1101" s="2" t="str">
        <f>HYPERLINK("https://www.google.com/maps?q=-19.6320880,-43.9161150","Abrir no Google Maps")</f>
        <v>Abrir no Google Maps</v>
      </c>
      <c r="S1101">
        <v>4</v>
      </c>
      <c r="T1101">
        <v>566.5346232632869</v>
      </c>
      <c r="U1101">
        <v>4</v>
      </c>
      <c r="V1101">
        <v>0.56759625527426161</v>
      </c>
      <c r="W1101">
        <v>1</v>
      </c>
      <c r="X1101">
        <v>0.56759625527426161</v>
      </c>
      <c r="Y1101">
        <v>3</v>
      </c>
      <c r="Z1101">
        <v>488.06597434012792</v>
      </c>
      <c r="AA1101">
        <v>2</v>
      </c>
      <c r="AB1101">
        <v>3</v>
      </c>
      <c r="AC1101">
        <v>7</v>
      </c>
      <c r="AD1101">
        <v>27.39</v>
      </c>
      <c r="AE1101">
        <v>253</v>
      </c>
      <c r="AF1101">
        <v>20</v>
      </c>
      <c r="AG1101">
        <v>59</v>
      </c>
      <c r="AH1101">
        <v>32</v>
      </c>
      <c r="AI1101">
        <v>7.91</v>
      </c>
      <c r="AJ1101">
        <v>23.32</v>
      </c>
      <c r="AK1101">
        <v>12.65</v>
      </c>
      <c r="AL1101">
        <v>-19.632034449999939</v>
      </c>
      <c r="AM1101">
        <v>-43.916174776913351</v>
      </c>
      <c r="AN1101">
        <v>-19.632034449999939</v>
      </c>
      <c r="AO1101">
        <v>-43.916174776913351</v>
      </c>
      <c r="AP1101">
        <v>-19.632088</v>
      </c>
      <c r="AQ1101">
        <v>-43.916114999999998</v>
      </c>
      <c r="AR1101">
        <v>8.6497324882263911</v>
      </c>
      <c r="AS1101" t="s">
        <v>65</v>
      </c>
      <c r="AT1101">
        <v>1</v>
      </c>
      <c r="AU1101" t="s">
        <v>134</v>
      </c>
      <c r="AV1101" t="s">
        <v>135</v>
      </c>
      <c r="AW1101" t="s">
        <v>60</v>
      </c>
      <c r="AX1101" t="s">
        <v>68</v>
      </c>
      <c r="AY1101" t="s">
        <v>69</v>
      </c>
      <c r="AZ1101" t="b">
        <v>1</v>
      </c>
    </row>
    <row r="1102" spans="1:52" x14ac:dyDescent="0.3">
      <c r="A1102" t="s">
        <v>52</v>
      </c>
      <c r="B1102" t="s">
        <v>53</v>
      </c>
      <c r="C1102" t="s">
        <v>54</v>
      </c>
      <c r="D1102" t="s">
        <v>55</v>
      </c>
      <c r="E1102" t="s">
        <v>829</v>
      </c>
      <c r="F1102" t="s">
        <v>57</v>
      </c>
      <c r="G1102" t="s">
        <v>129</v>
      </c>
      <c r="H1102" t="s">
        <v>136</v>
      </c>
      <c r="I1102" t="s">
        <v>136</v>
      </c>
      <c r="J1102" t="s">
        <v>60</v>
      </c>
      <c r="K1102" t="s">
        <v>131</v>
      </c>
      <c r="L1102" t="s">
        <v>62</v>
      </c>
      <c r="M1102" t="s">
        <v>131</v>
      </c>
      <c r="N1102" t="s">
        <v>132</v>
      </c>
      <c r="O1102" t="s">
        <v>133</v>
      </c>
      <c r="P1102">
        <v>-19.632290999999999</v>
      </c>
      <c r="Q1102">
        <v>-43.916542999999997</v>
      </c>
      <c r="R1102" s="2" t="str">
        <f>HYPERLINK("https://www.google.com/maps?q=-19.6322910,-43.9165430","Abrir no Google Maps")</f>
        <v>Abrir no Google Maps</v>
      </c>
      <c r="S1102">
        <v>4</v>
      </c>
      <c r="T1102">
        <v>556.95255545673058</v>
      </c>
      <c r="U1102">
        <v>4</v>
      </c>
      <c r="V1102">
        <v>0.55780624807633117</v>
      </c>
      <c r="W1102">
        <v>1</v>
      </c>
      <c r="X1102">
        <v>0.55780624807633117</v>
      </c>
      <c r="Y1102">
        <v>3</v>
      </c>
      <c r="Z1102">
        <v>479.66756878400719</v>
      </c>
      <c r="AA1102">
        <v>2</v>
      </c>
      <c r="AB1102">
        <v>3</v>
      </c>
      <c r="AC1102">
        <v>7</v>
      </c>
      <c r="AD1102">
        <v>27.39</v>
      </c>
      <c r="AE1102">
        <v>253</v>
      </c>
      <c r="AF1102">
        <v>20</v>
      </c>
      <c r="AG1102">
        <v>59</v>
      </c>
      <c r="AH1102">
        <v>32</v>
      </c>
      <c r="AI1102">
        <v>7.91</v>
      </c>
      <c r="AJ1102">
        <v>23.32</v>
      </c>
      <c r="AK1102">
        <v>12.65</v>
      </c>
      <c r="AL1102">
        <v>-19.63215424999996</v>
      </c>
      <c r="AM1102">
        <v>-43.916542189528307</v>
      </c>
      <c r="AN1102">
        <v>-19.63215424999996</v>
      </c>
      <c r="AO1102">
        <v>-43.916542189528307</v>
      </c>
      <c r="AP1102">
        <v>-19.632290999999999</v>
      </c>
      <c r="AQ1102">
        <v>-43.916542999999997</v>
      </c>
      <c r="AR1102">
        <v>15.22324717984722</v>
      </c>
      <c r="AS1102" t="s">
        <v>65</v>
      </c>
      <c r="AT1102">
        <v>1</v>
      </c>
      <c r="AU1102" t="s">
        <v>137</v>
      </c>
      <c r="AV1102" t="s">
        <v>138</v>
      </c>
      <c r="AW1102" t="s">
        <v>60</v>
      </c>
      <c r="AX1102" t="s">
        <v>68</v>
      </c>
      <c r="AY1102" t="s">
        <v>69</v>
      </c>
      <c r="AZ1102" t="b">
        <v>1</v>
      </c>
    </row>
    <row r="1103" spans="1:52" x14ac:dyDescent="0.3">
      <c r="A1103" t="s">
        <v>52</v>
      </c>
      <c r="B1103" t="s">
        <v>53</v>
      </c>
      <c r="C1103" t="s">
        <v>54</v>
      </c>
      <c r="D1103" t="s">
        <v>55</v>
      </c>
      <c r="E1103" t="s">
        <v>829</v>
      </c>
      <c r="F1103" t="s">
        <v>57</v>
      </c>
      <c r="G1103" t="s">
        <v>139</v>
      </c>
      <c r="H1103" t="s">
        <v>140</v>
      </c>
      <c r="I1103" t="s">
        <v>140</v>
      </c>
      <c r="J1103" t="s">
        <v>60</v>
      </c>
      <c r="K1103" t="s">
        <v>79</v>
      </c>
      <c r="L1103" t="s">
        <v>62</v>
      </c>
      <c r="M1103" t="s">
        <v>79</v>
      </c>
      <c r="N1103" t="s">
        <v>141</v>
      </c>
      <c r="O1103" t="s">
        <v>142</v>
      </c>
      <c r="P1103">
        <v>-19.628888</v>
      </c>
      <c r="Q1103">
        <v>-43.912554</v>
      </c>
      <c r="R1103" s="2" t="str">
        <f>HYPERLINK("https://www.google.com/maps?q=-19.6288880,-43.9125540","Abrir no Google Maps")</f>
        <v>Abrir no Google Maps</v>
      </c>
      <c r="S1103">
        <v>4</v>
      </c>
      <c r="T1103">
        <v>1013.629555558835</v>
      </c>
      <c r="U1103">
        <v>4</v>
      </c>
      <c r="V1103">
        <v>0.6243548118548119</v>
      </c>
      <c r="W1103">
        <v>0.85</v>
      </c>
      <c r="X1103">
        <v>0.53070159007659012</v>
      </c>
      <c r="Y1103">
        <v>3</v>
      </c>
      <c r="Z1103">
        <v>950.42126394515765</v>
      </c>
      <c r="AA1103">
        <v>2</v>
      </c>
      <c r="AB1103">
        <v>3</v>
      </c>
      <c r="AC1103">
        <v>7</v>
      </c>
      <c r="AD1103">
        <v>27.39</v>
      </c>
      <c r="AE1103">
        <v>253</v>
      </c>
      <c r="AF1103">
        <v>20</v>
      </c>
      <c r="AG1103">
        <v>59</v>
      </c>
      <c r="AH1103">
        <v>32</v>
      </c>
      <c r="AI1103">
        <v>7.91</v>
      </c>
      <c r="AJ1103">
        <v>23.32</v>
      </c>
      <c r="AK1103">
        <v>12.65</v>
      </c>
      <c r="AL1103">
        <v>-19.628472899999959</v>
      </c>
      <c r="AM1103">
        <v>-43.912746118821246</v>
      </c>
      <c r="AN1103">
        <v>-19.628472899999959</v>
      </c>
      <c r="AO1103">
        <v>-43.912746118821246</v>
      </c>
      <c r="AP1103">
        <v>-19.628888</v>
      </c>
      <c r="AQ1103">
        <v>-43.912554</v>
      </c>
      <c r="AR1103">
        <v>50.408750888077009</v>
      </c>
      <c r="AS1103" t="s">
        <v>65</v>
      </c>
      <c r="AT1103">
        <v>1</v>
      </c>
      <c r="AU1103" t="s">
        <v>143</v>
      </c>
      <c r="AV1103" t="s">
        <v>144</v>
      </c>
      <c r="AW1103" t="s">
        <v>60</v>
      </c>
      <c r="AX1103" t="s">
        <v>68</v>
      </c>
      <c r="AY1103" t="s">
        <v>69</v>
      </c>
      <c r="AZ1103" t="b">
        <v>1</v>
      </c>
    </row>
    <row r="1104" spans="1:52" x14ac:dyDescent="0.3">
      <c r="A1104" t="s">
        <v>52</v>
      </c>
      <c r="B1104" t="s">
        <v>53</v>
      </c>
      <c r="C1104" t="s">
        <v>54</v>
      </c>
      <c r="D1104" t="s">
        <v>55</v>
      </c>
      <c r="E1104" t="s">
        <v>829</v>
      </c>
      <c r="F1104" t="s">
        <v>57</v>
      </c>
      <c r="G1104" t="s">
        <v>217</v>
      </c>
      <c r="H1104" t="s">
        <v>218</v>
      </c>
      <c r="I1104" t="s">
        <v>218</v>
      </c>
      <c r="J1104" t="s">
        <v>60</v>
      </c>
      <c r="K1104" t="s">
        <v>219</v>
      </c>
      <c r="L1104" t="s">
        <v>62</v>
      </c>
      <c r="M1104" t="s">
        <v>219</v>
      </c>
      <c r="N1104" t="s">
        <v>220</v>
      </c>
      <c r="O1104" t="s">
        <v>221</v>
      </c>
      <c r="P1104">
        <v>-19.668924000000001</v>
      </c>
      <c r="Q1104">
        <v>-43.888824</v>
      </c>
      <c r="R1104" s="2" t="str">
        <f>HYPERLINK("https://www.google.com/maps?q=-19.6689240,-43.8888240","Abrir no Google Maps")</f>
        <v>Abrir no Google Maps</v>
      </c>
      <c r="S1104">
        <v>4</v>
      </c>
      <c r="T1104">
        <v>911.82770913869297</v>
      </c>
      <c r="U1104">
        <v>4</v>
      </c>
      <c r="V1104">
        <v>0.45862592348767461</v>
      </c>
      <c r="W1104">
        <v>1</v>
      </c>
      <c r="X1104">
        <v>0.45862592348767461</v>
      </c>
      <c r="Y1104">
        <v>3</v>
      </c>
      <c r="Z1104">
        <v>306.43809582423751</v>
      </c>
      <c r="AA1104">
        <v>2</v>
      </c>
      <c r="AB1104">
        <v>3</v>
      </c>
      <c r="AC1104">
        <v>7</v>
      </c>
      <c r="AD1104">
        <v>27.39</v>
      </c>
      <c r="AE1104">
        <v>253</v>
      </c>
      <c r="AF1104">
        <v>20</v>
      </c>
      <c r="AG1104">
        <v>59</v>
      </c>
      <c r="AH1104">
        <v>32</v>
      </c>
      <c r="AI1104">
        <v>7.91</v>
      </c>
      <c r="AJ1104">
        <v>23.32</v>
      </c>
      <c r="AK1104">
        <v>12.65</v>
      </c>
      <c r="AL1104">
        <v>-19.669015399999981</v>
      </c>
      <c r="AM1104">
        <v>-43.88883436988452</v>
      </c>
      <c r="AN1104">
        <v>-19.669015399999971</v>
      </c>
      <c r="AO1104">
        <v>-43.88883436988452</v>
      </c>
      <c r="AP1104">
        <v>-19.668924000000001</v>
      </c>
      <c r="AQ1104">
        <v>-43.888824</v>
      </c>
      <c r="AR1104">
        <v>10.23254983885769</v>
      </c>
      <c r="AS1104" t="s">
        <v>65</v>
      </c>
      <c r="AT1104">
        <v>1</v>
      </c>
      <c r="AU1104" t="s">
        <v>222</v>
      </c>
      <c r="AV1104" t="s">
        <v>223</v>
      </c>
      <c r="AW1104" t="s">
        <v>60</v>
      </c>
      <c r="AX1104" t="s">
        <v>68</v>
      </c>
      <c r="AY1104" t="s">
        <v>69</v>
      </c>
      <c r="AZ1104" t="b">
        <v>1</v>
      </c>
    </row>
    <row r="1105" spans="1:52" x14ac:dyDescent="0.3">
      <c r="A1105" t="s">
        <v>52</v>
      </c>
      <c r="B1105" t="s">
        <v>53</v>
      </c>
      <c r="C1105" t="s">
        <v>54</v>
      </c>
      <c r="D1105" t="s">
        <v>55</v>
      </c>
      <c r="E1105" t="s">
        <v>829</v>
      </c>
      <c r="F1105" t="s">
        <v>57</v>
      </c>
      <c r="G1105" t="s">
        <v>151</v>
      </c>
      <c r="H1105" t="s">
        <v>152</v>
      </c>
      <c r="I1105" t="s">
        <v>152</v>
      </c>
      <c r="J1105" t="s">
        <v>60</v>
      </c>
      <c r="K1105" t="s">
        <v>72</v>
      </c>
      <c r="L1105" t="s">
        <v>62</v>
      </c>
      <c r="M1105" t="s">
        <v>72</v>
      </c>
      <c r="N1105" t="s">
        <v>153</v>
      </c>
      <c r="O1105" t="s">
        <v>81</v>
      </c>
      <c r="P1105">
        <v>-19.635065999999998</v>
      </c>
      <c r="Q1105">
        <v>-43.916640000000001</v>
      </c>
      <c r="R1105" s="2" t="str">
        <f>HYPERLINK("https://www.google.com/maps?q=-19.6350660,-43.9166400","Abrir no Google Maps")</f>
        <v>Abrir no Google Maps</v>
      </c>
      <c r="S1105">
        <v>4</v>
      </c>
      <c r="T1105">
        <v>245.09875796292749</v>
      </c>
      <c r="U1105">
        <v>4</v>
      </c>
      <c r="V1105">
        <v>0.45449059959349591</v>
      </c>
      <c r="W1105">
        <v>1</v>
      </c>
      <c r="X1105">
        <v>0.45449059959349591</v>
      </c>
      <c r="Y1105">
        <v>3</v>
      </c>
      <c r="Z1105">
        <v>207.74356419317499</v>
      </c>
      <c r="AA1105">
        <v>2</v>
      </c>
      <c r="AB1105">
        <v>3</v>
      </c>
      <c r="AC1105">
        <v>7</v>
      </c>
      <c r="AD1105">
        <v>27.39</v>
      </c>
      <c r="AE1105">
        <v>253</v>
      </c>
      <c r="AF1105">
        <v>20</v>
      </c>
      <c r="AG1105">
        <v>59</v>
      </c>
      <c r="AH1105">
        <v>32</v>
      </c>
      <c r="AI1105">
        <v>7.91</v>
      </c>
      <c r="AJ1105">
        <v>23.32</v>
      </c>
      <c r="AK1105">
        <v>12.65</v>
      </c>
      <c r="AL1105">
        <v>-19.63505579999995</v>
      </c>
      <c r="AM1105">
        <v>-43.916633303072622</v>
      </c>
      <c r="AN1105">
        <v>-19.63505579999995</v>
      </c>
      <c r="AO1105">
        <v>-43.916633303072622</v>
      </c>
      <c r="AP1105">
        <v>-19.635065999999998</v>
      </c>
      <c r="AQ1105">
        <v>-43.916640000000001</v>
      </c>
      <c r="AR1105">
        <v>1.335026849412978</v>
      </c>
      <c r="AS1105" t="s">
        <v>65</v>
      </c>
      <c r="AT1105">
        <v>1</v>
      </c>
      <c r="AU1105" t="s">
        <v>154</v>
      </c>
      <c r="AV1105" t="s">
        <v>155</v>
      </c>
      <c r="AW1105" t="s">
        <v>60</v>
      </c>
      <c r="AX1105" t="s">
        <v>68</v>
      </c>
      <c r="AY1105" t="s">
        <v>69</v>
      </c>
      <c r="AZ1105" t="b">
        <v>1</v>
      </c>
    </row>
    <row r="1106" spans="1:52" x14ac:dyDescent="0.3">
      <c r="A1106" t="s">
        <v>52</v>
      </c>
      <c r="B1106" t="s">
        <v>53</v>
      </c>
      <c r="C1106" t="s">
        <v>54</v>
      </c>
      <c r="D1106" t="s">
        <v>55</v>
      </c>
      <c r="E1106" t="s">
        <v>829</v>
      </c>
      <c r="F1106" t="s">
        <v>57</v>
      </c>
      <c r="G1106" t="s">
        <v>217</v>
      </c>
      <c r="H1106" t="s">
        <v>264</v>
      </c>
      <c r="I1106" t="s">
        <v>264</v>
      </c>
      <c r="J1106" t="s">
        <v>60</v>
      </c>
      <c r="K1106" t="s">
        <v>219</v>
      </c>
      <c r="L1106" t="s">
        <v>62</v>
      </c>
      <c r="M1106" t="s">
        <v>219</v>
      </c>
      <c r="N1106" t="s">
        <v>220</v>
      </c>
      <c r="O1106" t="s">
        <v>265</v>
      </c>
      <c r="P1106">
        <v>-19.668958</v>
      </c>
      <c r="Q1106">
        <v>-43.890619999999998</v>
      </c>
      <c r="R1106" s="2" t="str">
        <f>HYPERLINK("https://www.google.com/maps?q=-19.6689580,-43.8906200","Abrir no Google Maps")</f>
        <v>Abrir no Google Maps</v>
      </c>
      <c r="S1106">
        <v>4</v>
      </c>
      <c r="T1106">
        <v>893.53138484322108</v>
      </c>
      <c r="U1106">
        <v>4</v>
      </c>
      <c r="V1106">
        <v>0.48086889840816538</v>
      </c>
      <c r="W1106">
        <v>1</v>
      </c>
      <c r="X1106">
        <v>0.48086889840816538</v>
      </c>
      <c r="Y1106">
        <v>1</v>
      </c>
      <c r="Z1106">
        <v>336.68220024294959</v>
      </c>
      <c r="AA1106">
        <v>2</v>
      </c>
      <c r="AB1106">
        <v>3</v>
      </c>
      <c r="AC1106">
        <v>7</v>
      </c>
      <c r="AD1106">
        <v>27.39</v>
      </c>
      <c r="AE1106">
        <v>253</v>
      </c>
      <c r="AF1106">
        <v>20</v>
      </c>
      <c r="AG1106">
        <v>59</v>
      </c>
      <c r="AH1106">
        <v>32</v>
      </c>
      <c r="AI1106">
        <v>7.91</v>
      </c>
      <c r="AJ1106">
        <v>23.32</v>
      </c>
      <c r="AK1106">
        <v>12.65</v>
      </c>
      <c r="AL1106">
        <v>-19.669114549999961</v>
      </c>
      <c r="AM1106">
        <v>-43.890740893526242</v>
      </c>
      <c r="AN1106">
        <v>-19.669114549999961</v>
      </c>
      <c r="AO1106">
        <v>-43.890740893526242</v>
      </c>
      <c r="AP1106">
        <v>-19.668958</v>
      </c>
      <c r="AQ1106">
        <v>-43.890619999999998</v>
      </c>
      <c r="AR1106">
        <v>21.54764375256557</v>
      </c>
      <c r="AS1106" t="s">
        <v>65</v>
      </c>
      <c r="AT1106">
        <v>1</v>
      </c>
      <c r="AU1106" t="s">
        <v>266</v>
      </c>
      <c r="AV1106" t="s">
        <v>267</v>
      </c>
      <c r="AW1106" t="s">
        <v>60</v>
      </c>
      <c r="AX1106" t="s">
        <v>68</v>
      </c>
      <c r="AY1106" t="s">
        <v>69</v>
      </c>
      <c r="AZ1106" t="b">
        <v>1</v>
      </c>
    </row>
    <row r="1107" spans="1:52" x14ac:dyDescent="0.3">
      <c r="A1107" t="s">
        <v>52</v>
      </c>
      <c r="B1107" t="s">
        <v>53</v>
      </c>
      <c r="C1107" t="s">
        <v>54</v>
      </c>
      <c r="D1107" t="s">
        <v>55</v>
      </c>
      <c r="E1107" t="s">
        <v>829</v>
      </c>
      <c r="F1107" t="s">
        <v>57</v>
      </c>
      <c r="G1107" t="s">
        <v>268</v>
      </c>
      <c r="H1107" t="s">
        <v>269</v>
      </c>
      <c r="I1107" t="s">
        <v>269</v>
      </c>
      <c r="J1107" t="s">
        <v>60</v>
      </c>
      <c r="K1107" t="s">
        <v>164</v>
      </c>
      <c r="L1107" t="s">
        <v>62</v>
      </c>
      <c r="M1107" t="s">
        <v>164</v>
      </c>
      <c r="N1107" t="s">
        <v>270</v>
      </c>
      <c r="O1107" t="s">
        <v>113</v>
      </c>
      <c r="P1107">
        <v>-19.648771</v>
      </c>
      <c r="Q1107">
        <v>-43.903640000000003</v>
      </c>
      <c r="R1107" s="2" t="str">
        <f>HYPERLINK("https://www.google.com/maps?q=-19.6487710,-43.9036400","Abrir no Google Maps")</f>
        <v>Abrir no Google Maps</v>
      </c>
      <c r="S1107">
        <v>4</v>
      </c>
      <c r="T1107">
        <v>206.63717887005251</v>
      </c>
      <c r="U1107">
        <v>4</v>
      </c>
      <c r="V1107">
        <v>0.45397221688752321</v>
      </c>
      <c r="W1107">
        <v>1</v>
      </c>
      <c r="X1107">
        <v>0.45397221688752321</v>
      </c>
      <c r="Y1107">
        <v>1</v>
      </c>
      <c r="Z1107">
        <v>200.80459056276209</v>
      </c>
      <c r="AA1107">
        <v>2</v>
      </c>
      <c r="AB1107">
        <v>3</v>
      </c>
      <c r="AC1107">
        <v>7</v>
      </c>
      <c r="AD1107">
        <v>27.39</v>
      </c>
      <c r="AE1107">
        <v>253</v>
      </c>
      <c r="AF1107">
        <v>20</v>
      </c>
      <c r="AG1107">
        <v>59</v>
      </c>
      <c r="AH1107">
        <v>32</v>
      </c>
      <c r="AI1107">
        <v>7.91</v>
      </c>
      <c r="AJ1107">
        <v>23.32</v>
      </c>
      <c r="AK1107">
        <v>12.65</v>
      </c>
      <c r="AL1107">
        <v>-19.648938299999969</v>
      </c>
      <c r="AM1107">
        <v>-43.903687287450857</v>
      </c>
      <c r="AN1107">
        <v>-19.648938299999969</v>
      </c>
      <c r="AO1107">
        <v>-43.903687287450857</v>
      </c>
      <c r="AP1107">
        <v>-19.648771</v>
      </c>
      <c r="AQ1107">
        <v>-43.903640000000003</v>
      </c>
      <c r="AR1107">
        <v>19.272369946853829</v>
      </c>
      <c r="AS1107" t="s">
        <v>65</v>
      </c>
      <c r="AT1107">
        <v>1</v>
      </c>
      <c r="AU1107" t="s">
        <v>271</v>
      </c>
      <c r="AV1107" t="s">
        <v>272</v>
      </c>
      <c r="AW1107" t="s">
        <v>60</v>
      </c>
      <c r="AX1107" t="s">
        <v>68</v>
      </c>
      <c r="AY1107" t="s">
        <v>69</v>
      </c>
      <c r="AZ1107" t="b">
        <v>1</v>
      </c>
    </row>
    <row r="1108" spans="1:52" x14ac:dyDescent="0.3">
      <c r="A1108" t="s">
        <v>52</v>
      </c>
      <c r="B1108" t="s">
        <v>53</v>
      </c>
      <c r="C1108" t="s">
        <v>54</v>
      </c>
      <c r="D1108" t="s">
        <v>55</v>
      </c>
      <c r="E1108" t="s">
        <v>829</v>
      </c>
      <c r="F1108" t="s">
        <v>57</v>
      </c>
      <c r="G1108" t="s">
        <v>162</v>
      </c>
      <c r="H1108" t="s">
        <v>163</v>
      </c>
      <c r="I1108" t="s">
        <v>163</v>
      </c>
      <c r="J1108" t="s">
        <v>60</v>
      </c>
      <c r="K1108" t="s">
        <v>164</v>
      </c>
      <c r="L1108" t="s">
        <v>62</v>
      </c>
      <c r="M1108" t="s">
        <v>164</v>
      </c>
      <c r="N1108" t="s">
        <v>165</v>
      </c>
      <c r="O1108" t="s">
        <v>166</v>
      </c>
      <c r="P1108">
        <v>-19.650033000000001</v>
      </c>
      <c r="Q1108">
        <v>-43.904634000000001</v>
      </c>
      <c r="R1108" s="2" t="str">
        <f>HYPERLINK("https://www.google.com/maps?q=-19.6500330,-43.9046340","Abrir no Google Maps")</f>
        <v>Abrir no Google Maps</v>
      </c>
      <c r="S1108">
        <v>4</v>
      </c>
      <c r="T1108">
        <v>343.61469317865811</v>
      </c>
      <c r="U1108">
        <v>4</v>
      </c>
      <c r="V1108">
        <v>0.45712754555198282</v>
      </c>
      <c r="W1108">
        <v>1</v>
      </c>
      <c r="X1108">
        <v>0.45712754555198282</v>
      </c>
      <c r="Y1108">
        <v>1</v>
      </c>
      <c r="Z1108">
        <v>351.81960241626399</v>
      </c>
      <c r="AA1108">
        <v>2</v>
      </c>
      <c r="AB1108">
        <v>3</v>
      </c>
      <c r="AC1108">
        <v>7</v>
      </c>
      <c r="AD1108">
        <v>27.39</v>
      </c>
      <c r="AE1108">
        <v>253</v>
      </c>
      <c r="AF1108">
        <v>20</v>
      </c>
      <c r="AG1108">
        <v>59</v>
      </c>
      <c r="AH1108">
        <v>32</v>
      </c>
      <c r="AI1108">
        <v>7.91</v>
      </c>
      <c r="AJ1108">
        <v>23.32</v>
      </c>
      <c r="AK1108">
        <v>12.65</v>
      </c>
      <c r="AL1108">
        <v>-19.650065899999959</v>
      </c>
      <c r="AM1108">
        <v>-43.904619920569793</v>
      </c>
      <c r="AN1108">
        <v>-19.650065899999959</v>
      </c>
      <c r="AO1108">
        <v>-43.904619920569793</v>
      </c>
      <c r="AP1108">
        <v>-19.650033000000001</v>
      </c>
      <c r="AQ1108">
        <v>-43.904634000000001</v>
      </c>
      <c r="AR1108">
        <v>3.9486827164921792</v>
      </c>
      <c r="AS1108" t="s">
        <v>65</v>
      </c>
      <c r="AT1108">
        <v>1</v>
      </c>
      <c r="AU1108" t="s">
        <v>167</v>
      </c>
      <c r="AV1108" t="s">
        <v>168</v>
      </c>
      <c r="AW1108" t="s">
        <v>60</v>
      </c>
      <c r="AX1108" t="s">
        <v>68</v>
      </c>
      <c r="AY1108" t="s">
        <v>69</v>
      </c>
      <c r="AZ1108" t="b">
        <v>1</v>
      </c>
    </row>
    <row r="1109" spans="1:52" x14ac:dyDescent="0.3">
      <c r="A1109" t="s">
        <v>52</v>
      </c>
      <c r="B1109" t="s">
        <v>53</v>
      </c>
      <c r="C1109" t="s">
        <v>54</v>
      </c>
      <c r="D1109" t="s">
        <v>55</v>
      </c>
      <c r="E1109" t="s">
        <v>829</v>
      </c>
      <c r="F1109" t="s">
        <v>57</v>
      </c>
      <c r="G1109" t="s">
        <v>273</v>
      </c>
      <c r="H1109" t="s">
        <v>274</v>
      </c>
      <c r="I1109" t="s">
        <v>274</v>
      </c>
      <c r="J1109" t="s">
        <v>60</v>
      </c>
      <c r="K1109" t="s">
        <v>171</v>
      </c>
      <c r="L1109" t="s">
        <v>62</v>
      </c>
      <c r="M1109" t="s">
        <v>171</v>
      </c>
      <c r="N1109" t="s">
        <v>275</v>
      </c>
      <c r="O1109" t="s">
        <v>276</v>
      </c>
      <c r="P1109">
        <v>-19.679956000000001</v>
      </c>
      <c r="Q1109">
        <v>-43.888520999999997</v>
      </c>
      <c r="R1109" s="2" t="str">
        <f>HYPERLINK("https://www.google.com/maps?q=-19.6799560,-43.8885210","Abrir no Google Maps")</f>
        <v>Abrir no Google Maps</v>
      </c>
      <c r="S1109">
        <v>4</v>
      </c>
      <c r="T1109">
        <v>346.2974251077423</v>
      </c>
      <c r="U1109">
        <v>4</v>
      </c>
      <c r="V1109">
        <v>0.45315248358726617</v>
      </c>
      <c r="W1109">
        <v>1</v>
      </c>
      <c r="X1109">
        <v>0.45315248358726617</v>
      </c>
      <c r="Y1109">
        <v>0</v>
      </c>
      <c r="Z1109">
        <v>223.68420981797229</v>
      </c>
      <c r="AA1109">
        <v>2</v>
      </c>
      <c r="AB1109">
        <v>3</v>
      </c>
      <c r="AC1109">
        <v>7</v>
      </c>
      <c r="AD1109">
        <v>27.39</v>
      </c>
      <c r="AE1109">
        <v>253</v>
      </c>
      <c r="AF1109">
        <v>20</v>
      </c>
      <c r="AG1109">
        <v>59</v>
      </c>
      <c r="AH1109">
        <v>32</v>
      </c>
      <c r="AI1109">
        <v>7.91</v>
      </c>
      <c r="AJ1109">
        <v>23.32</v>
      </c>
      <c r="AK1109">
        <v>12.65</v>
      </c>
      <c r="AL1109">
        <v>-19.67989189999998</v>
      </c>
      <c r="AM1109">
        <v>-43.888485157753777</v>
      </c>
      <c r="AN1109">
        <v>-19.67989189999998</v>
      </c>
      <c r="AO1109">
        <v>-43.888485157753777</v>
      </c>
      <c r="AP1109">
        <v>-19.679956000000001</v>
      </c>
      <c r="AQ1109">
        <v>-43.888520999999997</v>
      </c>
      <c r="AR1109">
        <v>8.0641961934087583</v>
      </c>
      <c r="AS1109" t="s">
        <v>65</v>
      </c>
      <c r="AT1109">
        <v>1</v>
      </c>
      <c r="AU1109" t="s">
        <v>277</v>
      </c>
      <c r="AV1109" t="s">
        <v>278</v>
      </c>
      <c r="AW1109" t="s">
        <v>60</v>
      </c>
      <c r="AX1109" t="s">
        <v>68</v>
      </c>
      <c r="AY1109" t="s">
        <v>69</v>
      </c>
      <c r="AZ1109" t="b">
        <v>1</v>
      </c>
    </row>
    <row r="1110" spans="1:52" x14ac:dyDescent="0.3">
      <c r="A1110" t="s">
        <v>52</v>
      </c>
      <c r="B1110" t="s">
        <v>53</v>
      </c>
      <c r="C1110" t="s">
        <v>54</v>
      </c>
      <c r="D1110" t="s">
        <v>55</v>
      </c>
      <c r="E1110" t="s">
        <v>829</v>
      </c>
      <c r="F1110" t="s">
        <v>57</v>
      </c>
      <c r="G1110" t="s">
        <v>169</v>
      </c>
      <c r="H1110" t="s">
        <v>170</v>
      </c>
      <c r="I1110" t="s">
        <v>170</v>
      </c>
      <c r="J1110" t="s">
        <v>60</v>
      </c>
      <c r="K1110" t="s">
        <v>171</v>
      </c>
      <c r="L1110" t="s">
        <v>62</v>
      </c>
      <c r="M1110" t="s">
        <v>171</v>
      </c>
      <c r="N1110" t="s">
        <v>172</v>
      </c>
      <c r="O1110" t="s">
        <v>173</v>
      </c>
      <c r="P1110">
        <v>-19.676233</v>
      </c>
      <c r="Q1110">
        <v>-43.88861</v>
      </c>
      <c r="R1110" s="2" t="str">
        <f>HYPERLINK("https://www.google.com/maps?q=-19.6762330,-43.8886100","Abrir no Google Maps")</f>
        <v>Abrir no Google Maps</v>
      </c>
      <c r="S1110">
        <v>4</v>
      </c>
      <c r="T1110">
        <v>209.5772620412292</v>
      </c>
      <c r="U1110">
        <v>4</v>
      </c>
      <c r="V1110">
        <v>0.48011286626087391</v>
      </c>
      <c r="W1110">
        <v>1</v>
      </c>
      <c r="X1110">
        <v>0.48011286626087391</v>
      </c>
      <c r="Y1110">
        <v>0</v>
      </c>
      <c r="Z1110">
        <v>194.26571923644971</v>
      </c>
      <c r="AA1110">
        <v>2</v>
      </c>
      <c r="AB1110">
        <v>3</v>
      </c>
      <c r="AC1110">
        <v>7</v>
      </c>
      <c r="AD1110">
        <v>27.39</v>
      </c>
      <c r="AE1110">
        <v>253</v>
      </c>
      <c r="AF1110">
        <v>20</v>
      </c>
      <c r="AG1110">
        <v>59</v>
      </c>
      <c r="AH1110">
        <v>32</v>
      </c>
      <c r="AI1110">
        <v>7.91</v>
      </c>
      <c r="AJ1110">
        <v>23.32</v>
      </c>
      <c r="AK1110">
        <v>12.65</v>
      </c>
      <c r="AL1110">
        <v>-19.676097449999961</v>
      </c>
      <c r="AM1110">
        <v>-43.888455613153738</v>
      </c>
      <c r="AN1110">
        <v>-19.676097449999961</v>
      </c>
      <c r="AO1110">
        <v>-43.888455613153738</v>
      </c>
      <c r="AP1110">
        <v>-19.676233</v>
      </c>
      <c r="AQ1110">
        <v>-43.88861</v>
      </c>
      <c r="AR1110">
        <v>22.126352434234079</v>
      </c>
      <c r="AS1110" t="s">
        <v>65</v>
      </c>
      <c r="AT1110">
        <v>1</v>
      </c>
      <c r="AU1110" t="s">
        <v>174</v>
      </c>
      <c r="AV1110" t="s">
        <v>175</v>
      </c>
      <c r="AW1110" t="s">
        <v>60</v>
      </c>
      <c r="AX1110" t="s">
        <v>68</v>
      </c>
      <c r="AY1110" t="s">
        <v>69</v>
      </c>
      <c r="AZ1110" t="b">
        <v>1</v>
      </c>
    </row>
    <row r="1111" spans="1:52" x14ac:dyDescent="0.3">
      <c r="A1111" t="s">
        <v>52</v>
      </c>
      <c r="B1111" t="s">
        <v>53</v>
      </c>
      <c r="C1111" t="s">
        <v>54</v>
      </c>
      <c r="D1111" t="s">
        <v>55</v>
      </c>
      <c r="E1111" t="s">
        <v>829</v>
      </c>
      <c r="F1111" t="s">
        <v>176</v>
      </c>
      <c r="G1111" t="s">
        <v>84</v>
      </c>
      <c r="H1111" t="s">
        <v>85</v>
      </c>
      <c r="I1111" t="s">
        <v>85</v>
      </c>
      <c r="J1111" t="s">
        <v>60</v>
      </c>
      <c r="K1111" t="s">
        <v>86</v>
      </c>
      <c r="L1111" t="s">
        <v>62</v>
      </c>
      <c r="M1111" t="s">
        <v>86</v>
      </c>
      <c r="N1111" t="s">
        <v>87</v>
      </c>
      <c r="O1111" t="s">
        <v>88</v>
      </c>
      <c r="P1111">
        <v>-19.629436999999999</v>
      </c>
      <c r="Q1111">
        <v>-43.910398999999998</v>
      </c>
      <c r="R1111" s="2" t="str">
        <f>HYPERLINK("https://www.google.com/maps?q=-19.6294370,-43.9103990","Abrir no Google Maps")</f>
        <v>Abrir no Google Maps</v>
      </c>
      <c r="S1111">
        <v>4</v>
      </c>
      <c r="T1111">
        <v>888.82060643108082</v>
      </c>
      <c r="U1111">
        <v>3</v>
      </c>
      <c r="V1111">
        <v>0.43821839080459768</v>
      </c>
      <c r="W1111">
        <v>1</v>
      </c>
      <c r="X1111">
        <v>0.43821839080459768</v>
      </c>
      <c r="Y1111">
        <v>10</v>
      </c>
      <c r="Z1111">
        <v>867.42797341651737</v>
      </c>
      <c r="AA1111">
        <v>2</v>
      </c>
      <c r="AB1111">
        <v>3</v>
      </c>
      <c r="AC1111">
        <v>7</v>
      </c>
      <c r="AD1111">
        <v>27.39</v>
      </c>
      <c r="AE1111">
        <v>253</v>
      </c>
      <c r="AF1111">
        <v>20</v>
      </c>
      <c r="AG1111">
        <v>59</v>
      </c>
      <c r="AH1111">
        <v>32</v>
      </c>
      <c r="AI1111">
        <v>7.91</v>
      </c>
      <c r="AJ1111">
        <v>23.32</v>
      </c>
      <c r="AK1111">
        <v>12.65</v>
      </c>
      <c r="AL1111">
        <v>-19.62934694999996</v>
      </c>
      <c r="AM1111">
        <v>-43.910344699357317</v>
      </c>
      <c r="AN1111">
        <v>-19.62934694999996</v>
      </c>
      <c r="AO1111">
        <v>-43.910344699357331</v>
      </c>
      <c r="AP1111">
        <v>-19.629436999999999</v>
      </c>
      <c r="AQ1111">
        <v>-43.910398999999998</v>
      </c>
      <c r="AR1111">
        <v>11.52837377953678</v>
      </c>
      <c r="AS1111" t="s">
        <v>65</v>
      </c>
      <c r="AT1111">
        <v>1</v>
      </c>
      <c r="AU1111" t="s">
        <v>89</v>
      </c>
      <c r="AV1111" t="s">
        <v>90</v>
      </c>
      <c r="AW1111" t="s">
        <v>60</v>
      </c>
      <c r="AX1111" t="s">
        <v>68</v>
      </c>
      <c r="AY1111" t="s">
        <v>69</v>
      </c>
      <c r="AZ1111" t="b">
        <v>1</v>
      </c>
    </row>
    <row r="1112" spans="1:52" x14ac:dyDescent="0.3">
      <c r="A1112" t="s">
        <v>52</v>
      </c>
      <c r="B1112" t="s">
        <v>53</v>
      </c>
      <c r="C1112" t="s">
        <v>54</v>
      </c>
      <c r="D1112" t="s">
        <v>55</v>
      </c>
      <c r="E1112" t="s">
        <v>829</v>
      </c>
      <c r="F1112" t="s">
        <v>176</v>
      </c>
      <c r="G1112" t="s">
        <v>91</v>
      </c>
      <c r="H1112" t="s">
        <v>92</v>
      </c>
      <c r="I1112" t="s">
        <v>92</v>
      </c>
      <c r="J1112" t="s">
        <v>60</v>
      </c>
      <c r="K1112" t="s">
        <v>86</v>
      </c>
      <c r="L1112" t="s">
        <v>62</v>
      </c>
      <c r="M1112" t="s">
        <v>86</v>
      </c>
      <c r="N1112" t="s">
        <v>93</v>
      </c>
      <c r="O1112" t="s">
        <v>94</v>
      </c>
      <c r="P1112">
        <v>-19.630676999999999</v>
      </c>
      <c r="Q1112">
        <v>-43.907255999999997</v>
      </c>
      <c r="R1112" s="2" t="str">
        <f>HYPERLINK("https://www.google.com/maps?q=-19.6306770,-43.9072560","Abrir no Google Maps")</f>
        <v>Abrir no Google Maps</v>
      </c>
      <c r="S1112">
        <v>4</v>
      </c>
      <c r="T1112">
        <v>545.39374622597825</v>
      </c>
      <c r="U1112">
        <v>3</v>
      </c>
      <c r="V1112">
        <v>0.44518872939925569</v>
      </c>
      <c r="W1112">
        <v>1</v>
      </c>
      <c r="X1112">
        <v>0.44518872939925569</v>
      </c>
      <c r="Y1112">
        <v>10</v>
      </c>
      <c r="Z1112">
        <v>559.94033759457182</v>
      </c>
      <c r="AA1112">
        <v>2</v>
      </c>
      <c r="AB1112">
        <v>3</v>
      </c>
      <c r="AC1112">
        <v>7</v>
      </c>
      <c r="AD1112">
        <v>27.39</v>
      </c>
      <c r="AE1112">
        <v>253</v>
      </c>
      <c r="AF1112">
        <v>20</v>
      </c>
      <c r="AG1112">
        <v>59</v>
      </c>
      <c r="AH1112">
        <v>32</v>
      </c>
      <c r="AI1112">
        <v>7.91</v>
      </c>
      <c r="AJ1112">
        <v>23.32</v>
      </c>
      <c r="AK1112">
        <v>12.65</v>
      </c>
      <c r="AL1112">
        <v>-19.630448649999941</v>
      </c>
      <c r="AM1112">
        <v>-43.907268502495313</v>
      </c>
      <c r="AN1112">
        <v>-19.630448649999941</v>
      </c>
      <c r="AO1112">
        <v>-43.907268502495313</v>
      </c>
      <c r="AP1112">
        <v>-19.630676999999999</v>
      </c>
      <c r="AQ1112">
        <v>-43.907255999999997</v>
      </c>
      <c r="AR1112">
        <v>25.453700276562468</v>
      </c>
      <c r="AS1112" t="s">
        <v>65</v>
      </c>
      <c r="AT1112">
        <v>1</v>
      </c>
      <c r="AU1112" t="s">
        <v>95</v>
      </c>
      <c r="AV1112" t="s">
        <v>96</v>
      </c>
      <c r="AW1112" t="s">
        <v>60</v>
      </c>
      <c r="AX1112" t="s">
        <v>68</v>
      </c>
      <c r="AY1112" t="s">
        <v>69</v>
      </c>
      <c r="AZ1112" t="b">
        <v>1</v>
      </c>
    </row>
    <row r="1113" spans="1:52" x14ac:dyDescent="0.3">
      <c r="A1113" t="s">
        <v>52</v>
      </c>
      <c r="B1113" t="s">
        <v>53</v>
      </c>
      <c r="C1113" t="s">
        <v>54</v>
      </c>
      <c r="D1113" t="s">
        <v>55</v>
      </c>
      <c r="E1113" t="s">
        <v>829</v>
      </c>
      <c r="F1113" t="s">
        <v>176</v>
      </c>
      <c r="G1113" t="s">
        <v>183</v>
      </c>
      <c r="H1113" t="s">
        <v>184</v>
      </c>
      <c r="I1113" t="s">
        <v>184</v>
      </c>
      <c r="J1113" t="s">
        <v>60</v>
      </c>
      <c r="K1113" t="s">
        <v>185</v>
      </c>
      <c r="L1113" t="s">
        <v>62</v>
      </c>
      <c r="M1113" t="s">
        <v>185</v>
      </c>
      <c r="N1113" t="s">
        <v>186</v>
      </c>
      <c r="O1113" t="s">
        <v>187</v>
      </c>
      <c r="P1113">
        <v>-19.628589000000002</v>
      </c>
      <c r="Q1113">
        <v>-43.900232000000003</v>
      </c>
      <c r="R1113" s="2" t="str">
        <f>HYPERLINK("https://www.google.com/maps?q=-19.6285890,-43.9002320","Abrir no Google Maps")</f>
        <v>Abrir no Google Maps</v>
      </c>
      <c r="S1113">
        <v>4</v>
      </c>
      <c r="T1113">
        <v>479.31588622283061</v>
      </c>
      <c r="U1113">
        <v>3</v>
      </c>
      <c r="V1113">
        <v>0.51698551761129985</v>
      </c>
      <c r="W1113">
        <v>0.85</v>
      </c>
      <c r="X1113">
        <v>0.43943768996960492</v>
      </c>
      <c r="Y1113">
        <v>6</v>
      </c>
      <c r="Z1113">
        <v>383.34726345998263</v>
      </c>
      <c r="AA1113">
        <v>2</v>
      </c>
      <c r="AB1113">
        <v>3</v>
      </c>
      <c r="AC1113">
        <v>7</v>
      </c>
      <c r="AD1113">
        <v>27.39</v>
      </c>
      <c r="AE1113">
        <v>253</v>
      </c>
      <c r="AF1113">
        <v>20</v>
      </c>
      <c r="AG1113">
        <v>59</v>
      </c>
      <c r="AH1113">
        <v>32</v>
      </c>
      <c r="AI1113">
        <v>7.91</v>
      </c>
      <c r="AJ1113">
        <v>23.32</v>
      </c>
      <c r="AK1113">
        <v>12.65</v>
      </c>
      <c r="AL1113">
        <v>-19.628813749999949</v>
      </c>
      <c r="AM1113">
        <v>-43.90066394563523</v>
      </c>
      <c r="AN1113">
        <v>-19.628813749999949</v>
      </c>
      <c r="AO1113">
        <v>-43.90066394563523</v>
      </c>
      <c r="AP1113">
        <v>-19.628589000000002</v>
      </c>
      <c r="AQ1113">
        <v>-43.900232000000003</v>
      </c>
      <c r="AR1113">
        <v>51.741071441894853</v>
      </c>
      <c r="AS1113" t="s">
        <v>65</v>
      </c>
      <c r="AT1113">
        <v>1</v>
      </c>
      <c r="AU1113" t="s">
        <v>188</v>
      </c>
      <c r="AV1113" t="s">
        <v>189</v>
      </c>
      <c r="AW1113" t="s">
        <v>60</v>
      </c>
      <c r="AX1113" t="s">
        <v>68</v>
      </c>
      <c r="AY1113" t="s">
        <v>69</v>
      </c>
      <c r="AZ1113" t="b">
        <v>1</v>
      </c>
    </row>
    <row r="1114" spans="1:52" x14ac:dyDescent="0.3">
      <c r="A1114" t="s">
        <v>52</v>
      </c>
      <c r="B1114" t="s">
        <v>53</v>
      </c>
      <c r="C1114" t="s">
        <v>54</v>
      </c>
      <c r="D1114" t="s">
        <v>55</v>
      </c>
      <c r="E1114" t="s">
        <v>829</v>
      </c>
      <c r="F1114" t="s">
        <v>176</v>
      </c>
      <c r="G1114" t="s">
        <v>617</v>
      </c>
      <c r="H1114" t="s">
        <v>618</v>
      </c>
      <c r="I1114" t="s">
        <v>618</v>
      </c>
      <c r="J1114" t="s">
        <v>60</v>
      </c>
      <c r="K1114" t="s">
        <v>164</v>
      </c>
      <c r="L1114" t="s">
        <v>62</v>
      </c>
      <c r="M1114" t="s">
        <v>164</v>
      </c>
      <c r="N1114" t="s">
        <v>619</v>
      </c>
      <c r="O1114" t="s">
        <v>533</v>
      </c>
      <c r="P1114">
        <v>-19.647825000000001</v>
      </c>
      <c r="Q1114">
        <v>-43.908369</v>
      </c>
      <c r="R1114" s="2" t="str">
        <f>HYPERLINK("https://www.google.com/maps?q=-19.6478250,-43.9083690","Abrir no Google Maps")</f>
        <v>Abrir no Google Maps</v>
      </c>
      <c r="S1114">
        <v>4</v>
      </c>
      <c r="T1114">
        <v>492.67524679338959</v>
      </c>
      <c r="U1114">
        <v>3</v>
      </c>
      <c r="V1114">
        <v>0.43141287843574722</v>
      </c>
      <c r="W1114">
        <v>1</v>
      </c>
      <c r="X1114">
        <v>0.43141287843574722</v>
      </c>
      <c r="Y1114">
        <v>4</v>
      </c>
      <c r="Z1114">
        <v>410.3082448803296</v>
      </c>
      <c r="AA1114">
        <v>2</v>
      </c>
      <c r="AB1114">
        <v>3</v>
      </c>
      <c r="AC1114">
        <v>7</v>
      </c>
      <c r="AD1114">
        <v>27.39</v>
      </c>
      <c r="AE1114">
        <v>253</v>
      </c>
      <c r="AF1114">
        <v>20</v>
      </c>
      <c r="AG1114">
        <v>59</v>
      </c>
      <c r="AH1114">
        <v>32</v>
      </c>
      <c r="AI1114">
        <v>7.91</v>
      </c>
      <c r="AJ1114">
        <v>23.32</v>
      </c>
      <c r="AK1114">
        <v>12.65</v>
      </c>
      <c r="AL1114">
        <v>-19.647879399999969</v>
      </c>
      <c r="AM1114">
        <v>-43.908372097349897</v>
      </c>
      <c r="AN1114">
        <v>-19.647879399999969</v>
      </c>
      <c r="AO1114">
        <v>-43.908372097349897</v>
      </c>
      <c r="AP1114">
        <v>-19.647825000000001</v>
      </c>
      <c r="AQ1114">
        <v>-43.908369</v>
      </c>
      <c r="AR1114">
        <v>6.06450779015137</v>
      </c>
      <c r="AS1114" t="s">
        <v>65</v>
      </c>
      <c r="AT1114">
        <v>1</v>
      </c>
      <c r="AU1114" t="s">
        <v>620</v>
      </c>
      <c r="AV1114" t="s">
        <v>621</v>
      </c>
      <c r="AW1114" t="s">
        <v>60</v>
      </c>
      <c r="AX1114" t="s">
        <v>68</v>
      </c>
      <c r="AY1114" t="s">
        <v>69</v>
      </c>
      <c r="AZ1114" t="b">
        <v>1</v>
      </c>
    </row>
    <row r="1115" spans="1:52" x14ac:dyDescent="0.3">
      <c r="A1115" t="s">
        <v>52</v>
      </c>
      <c r="B1115" t="s">
        <v>53</v>
      </c>
      <c r="C1115" t="s">
        <v>54</v>
      </c>
      <c r="D1115" t="s">
        <v>55</v>
      </c>
      <c r="E1115" t="s">
        <v>829</v>
      </c>
      <c r="F1115" t="s">
        <v>176</v>
      </c>
      <c r="G1115" t="s">
        <v>190</v>
      </c>
      <c r="H1115" t="s">
        <v>191</v>
      </c>
      <c r="I1115" t="s">
        <v>191</v>
      </c>
      <c r="J1115" t="s">
        <v>60</v>
      </c>
      <c r="K1115" t="s">
        <v>192</v>
      </c>
      <c r="L1115" t="s">
        <v>62</v>
      </c>
      <c r="M1115" t="s">
        <v>192</v>
      </c>
      <c r="N1115" t="s">
        <v>193</v>
      </c>
      <c r="O1115" t="s">
        <v>194</v>
      </c>
      <c r="P1115">
        <v>-19.654112000000001</v>
      </c>
      <c r="Q1115">
        <v>-43.910761999999998</v>
      </c>
      <c r="R1115" s="2" t="str">
        <f>HYPERLINK("https://www.google.com/maps?q=-19.6541120,-43.9107620","Abrir no Google Maps")</f>
        <v>Abrir no Google Maps</v>
      </c>
      <c r="S1115">
        <v>4</v>
      </c>
      <c r="T1115">
        <v>1080.0524626304521</v>
      </c>
      <c r="U1115">
        <v>3</v>
      </c>
      <c r="V1115">
        <v>0.4368430930930931</v>
      </c>
      <c r="W1115">
        <v>1</v>
      </c>
      <c r="X1115">
        <v>0.4368430930930931</v>
      </c>
      <c r="Y1115">
        <v>4</v>
      </c>
      <c r="Z1115">
        <v>666.99022879086885</v>
      </c>
      <c r="AA1115">
        <v>2</v>
      </c>
      <c r="AB1115">
        <v>3</v>
      </c>
      <c r="AC1115">
        <v>7</v>
      </c>
      <c r="AD1115">
        <v>27.39</v>
      </c>
      <c r="AE1115">
        <v>253</v>
      </c>
      <c r="AF1115">
        <v>20</v>
      </c>
      <c r="AG1115">
        <v>59</v>
      </c>
      <c r="AH1115">
        <v>32</v>
      </c>
      <c r="AI1115">
        <v>7.91</v>
      </c>
      <c r="AJ1115">
        <v>23.32</v>
      </c>
      <c r="AK1115">
        <v>12.65</v>
      </c>
      <c r="AL1115">
        <v>-19.653869149999959</v>
      </c>
      <c r="AM1115">
        <v>-43.911142816432779</v>
      </c>
      <c r="AN1115">
        <v>-19.653869149999959</v>
      </c>
      <c r="AO1115">
        <v>-43.911142816432779</v>
      </c>
      <c r="AP1115">
        <v>-19.654112000000001</v>
      </c>
      <c r="AQ1115">
        <v>-43.910761999999998</v>
      </c>
      <c r="AR1115">
        <v>48.214810864237499</v>
      </c>
      <c r="AS1115" t="s">
        <v>65</v>
      </c>
      <c r="AT1115">
        <v>1</v>
      </c>
      <c r="AU1115" t="s">
        <v>195</v>
      </c>
      <c r="AV1115" t="s">
        <v>196</v>
      </c>
      <c r="AW1115" t="s">
        <v>60</v>
      </c>
      <c r="AX1115" t="s">
        <v>68</v>
      </c>
      <c r="AY1115" t="s">
        <v>69</v>
      </c>
      <c r="AZ1115" t="b">
        <v>1</v>
      </c>
    </row>
    <row r="1116" spans="1:52" x14ac:dyDescent="0.3">
      <c r="A1116" t="s">
        <v>52</v>
      </c>
      <c r="B1116" t="s">
        <v>53</v>
      </c>
      <c r="C1116" t="s">
        <v>54</v>
      </c>
      <c r="D1116" t="s">
        <v>55</v>
      </c>
      <c r="E1116" t="s">
        <v>829</v>
      </c>
      <c r="F1116" t="s">
        <v>176</v>
      </c>
      <c r="G1116" t="s">
        <v>197</v>
      </c>
      <c r="H1116" t="s">
        <v>198</v>
      </c>
      <c r="I1116" t="s">
        <v>198</v>
      </c>
      <c r="J1116" t="s">
        <v>60</v>
      </c>
      <c r="K1116" t="s">
        <v>199</v>
      </c>
      <c r="L1116" t="s">
        <v>62</v>
      </c>
      <c r="M1116" t="s">
        <v>199</v>
      </c>
      <c r="N1116" t="s">
        <v>200</v>
      </c>
      <c r="O1116" t="s">
        <v>201</v>
      </c>
      <c r="P1116">
        <v>-19.639250000000001</v>
      </c>
      <c r="Q1116">
        <v>-43.916449999999998</v>
      </c>
      <c r="R1116" s="2" t="str">
        <f>HYPERLINK("https://www.google.com/maps?q=-19.6392500,-43.9164500","Abrir no Google Maps")</f>
        <v>Abrir no Google Maps</v>
      </c>
      <c r="S1116">
        <v>4</v>
      </c>
      <c r="T1116">
        <v>249.46350881074861</v>
      </c>
      <c r="U1116">
        <v>3</v>
      </c>
      <c r="V1116">
        <v>0.4490600363856882</v>
      </c>
      <c r="W1116">
        <v>1</v>
      </c>
      <c r="X1116">
        <v>0.4490600363856882</v>
      </c>
      <c r="Y1116">
        <v>3</v>
      </c>
      <c r="Z1116">
        <v>267.54148787490578</v>
      </c>
      <c r="AA1116">
        <v>2</v>
      </c>
      <c r="AB1116">
        <v>3</v>
      </c>
      <c r="AC1116">
        <v>7</v>
      </c>
      <c r="AD1116">
        <v>27.39</v>
      </c>
      <c r="AE1116">
        <v>253</v>
      </c>
      <c r="AF1116">
        <v>20</v>
      </c>
      <c r="AG1116">
        <v>59</v>
      </c>
      <c r="AH1116">
        <v>32</v>
      </c>
      <c r="AI1116">
        <v>7.91</v>
      </c>
      <c r="AJ1116">
        <v>23.32</v>
      </c>
      <c r="AK1116">
        <v>12.65</v>
      </c>
      <c r="AL1116">
        <v>-19.639331149999951</v>
      </c>
      <c r="AM1116">
        <v>-43.916434187886892</v>
      </c>
      <c r="AN1116">
        <v>-19.639331149999951</v>
      </c>
      <c r="AO1116">
        <v>-43.916434187886892</v>
      </c>
      <c r="AP1116">
        <v>-19.639250000000001</v>
      </c>
      <c r="AQ1116">
        <v>-43.916449999999998</v>
      </c>
      <c r="AR1116">
        <v>9.1844750188843953</v>
      </c>
      <c r="AS1116" t="s">
        <v>65</v>
      </c>
      <c r="AT1116">
        <v>1</v>
      </c>
      <c r="AU1116" t="s">
        <v>202</v>
      </c>
      <c r="AV1116" t="s">
        <v>203</v>
      </c>
      <c r="AW1116" t="s">
        <v>60</v>
      </c>
      <c r="AX1116" t="s">
        <v>68</v>
      </c>
      <c r="AY1116" t="s">
        <v>69</v>
      </c>
      <c r="AZ1116" t="b">
        <v>1</v>
      </c>
    </row>
    <row r="1117" spans="1:52" x14ac:dyDescent="0.3">
      <c r="A1117" t="s">
        <v>52</v>
      </c>
      <c r="B1117" t="s">
        <v>53</v>
      </c>
      <c r="C1117" t="s">
        <v>54</v>
      </c>
      <c r="D1117" t="s">
        <v>55</v>
      </c>
      <c r="E1117" t="s">
        <v>829</v>
      </c>
      <c r="F1117" t="s">
        <v>176</v>
      </c>
      <c r="G1117" t="s">
        <v>145</v>
      </c>
      <c r="H1117" t="s">
        <v>146</v>
      </c>
      <c r="I1117" t="s">
        <v>146</v>
      </c>
      <c r="J1117" t="s">
        <v>60</v>
      </c>
      <c r="K1117" t="s">
        <v>147</v>
      </c>
      <c r="L1117" t="s">
        <v>62</v>
      </c>
      <c r="M1117" t="s">
        <v>147</v>
      </c>
      <c r="N1117" t="s">
        <v>148</v>
      </c>
      <c r="O1117" t="s">
        <v>81</v>
      </c>
      <c r="P1117">
        <v>-19.629356999999999</v>
      </c>
      <c r="Q1117">
        <v>-43.916857</v>
      </c>
      <c r="R1117" s="2" t="str">
        <f>HYPERLINK("https://www.google.com/maps?q=-19.6293570,-43.9168570","Abrir no Google Maps")</f>
        <v>Abrir no Google Maps</v>
      </c>
      <c r="S1117">
        <v>4</v>
      </c>
      <c r="T1117">
        <v>834.49898564045827</v>
      </c>
      <c r="U1117">
        <v>3</v>
      </c>
      <c r="V1117">
        <v>0.43782004908010269</v>
      </c>
      <c r="W1117">
        <v>1</v>
      </c>
      <c r="X1117">
        <v>0.43782004908010269</v>
      </c>
      <c r="Y1117">
        <v>3</v>
      </c>
      <c r="Z1117">
        <v>774.2841152512085</v>
      </c>
      <c r="AA1117">
        <v>2</v>
      </c>
      <c r="AB1117">
        <v>3</v>
      </c>
      <c r="AC1117">
        <v>7</v>
      </c>
      <c r="AD1117">
        <v>27.39</v>
      </c>
      <c r="AE1117">
        <v>253</v>
      </c>
      <c r="AF1117">
        <v>20</v>
      </c>
      <c r="AG1117">
        <v>59</v>
      </c>
      <c r="AH1117">
        <v>32</v>
      </c>
      <c r="AI1117">
        <v>7.91</v>
      </c>
      <c r="AJ1117">
        <v>23.32</v>
      </c>
      <c r="AK1117">
        <v>12.65</v>
      </c>
      <c r="AL1117">
        <v>-19.62962324999998</v>
      </c>
      <c r="AM1117">
        <v>-43.916419823634037</v>
      </c>
      <c r="AN1117">
        <v>-19.62962324999998</v>
      </c>
      <c r="AO1117">
        <v>-43.916419823634051</v>
      </c>
      <c r="AP1117">
        <v>-19.629356999999999</v>
      </c>
      <c r="AQ1117">
        <v>-43.916857</v>
      </c>
      <c r="AR1117">
        <v>54.585757388798442</v>
      </c>
      <c r="AS1117" t="s">
        <v>65</v>
      </c>
      <c r="AT1117">
        <v>1</v>
      </c>
      <c r="AU1117" t="s">
        <v>149</v>
      </c>
      <c r="AV1117" t="s">
        <v>150</v>
      </c>
      <c r="AW1117" t="s">
        <v>60</v>
      </c>
      <c r="AX1117" t="s">
        <v>68</v>
      </c>
      <c r="AY1117" t="s">
        <v>69</v>
      </c>
      <c r="AZ1117" t="b">
        <v>1</v>
      </c>
    </row>
    <row r="1118" spans="1:52" x14ac:dyDescent="0.3">
      <c r="A1118" t="s">
        <v>52</v>
      </c>
      <c r="B1118" t="s">
        <v>53</v>
      </c>
      <c r="C1118" t="s">
        <v>54</v>
      </c>
      <c r="D1118" t="s">
        <v>55</v>
      </c>
      <c r="E1118" t="s">
        <v>829</v>
      </c>
      <c r="F1118" t="s">
        <v>176</v>
      </c>
      <c r="G1118" t="s">
        <v>197</v>
      </c>
      <c r="H1118" t="s">
        <v>224</v>
      </c>
      <c r="I1118" t="s">
        <v>224</v>
      </c>
      <c r="J1118" t="s">
        <v>60</v>
      </c>
      <c r="K1118" t="s">
        <v>199</v>
      </c>
      <c r="L1118" t="s">
        <v>62</v>
      </c>
      <c r="M1118" t="s">
        <v>199</v>
      </c>
      <c r="N1118" t="s">
        <v>200</v>
      </c>
      <c r="O1118" t="s">
        <v>225</v>
      </c>
      <c r="P1118">
        <v>-19.637217</v>
      </c>
      <c r="Q1118">
        <v>-43.916117</v>
      </c>
      <c r="R1118" s="2" t="str">
        <f>HYPERLINK("https://www.google.com/maps?q=-19.6372170,-43.9161170","Abrir no Google Maps")</f>
        <v>Abrir no Google Maps</v>
      </c>
      <c r="S1118">
        <v>4</v>
      </c>
      <c r="T1118">
        <v>0</v>
      </c>
      <c r="U1118">
        <v>3</v>
      </c>
      <c r="V1118">
        <v>0.44110865154030621</v>
      </c>
      <c r="W1118">
        <v>1</v>
      </c>
      <c r="X1118">
        <v>0.44110865154030621</v>
      </c>
      <c r="Y1118">
        <v>3</v>
      </c>
      <c r="Z1118">
        <v>94.289538231800577</v>
      </c>
      <c r="AA1118">
        <v>2</v>
      </c>
      <c r="AB1118">
        <v>3</v>
      </c>
      <c r="AC1118">
        <v>7</v>
      </c>
      <c r="AD1118">
        <v>27.39</v>
      </c>
      <c r="AE1118">
        <v>253</v>
      </c>
      <c r="AF1118">
        <v>20</v>
      </c>
      <c r="AG1118">
        <v>59</v>
      </c>
      <c r="AH1118">
        <v>32</v>
      </c>
      <c r="AI1118">
        <v>7.91</v>
      </c>
      <c r="AJ1118">
        <v>23.32</v>
      </c>
      <c r="AK1118">
        <v>12.65</v>
      </c>
      <c r="AL1118">
        <v>-19.63714454999996</v>
      </c>
      <c r="AM1118">
        <v>-43.915856532303224</v>
      </c>
      <c r="AN1118">
        <v>-19.63714454999996</v>
      </c>
      <c r="AO1118">
        <v>-43.915856532303224</v>
      </c>
      <c r="AP1118">
        <v>-19.637217</v>
      </c>
      <c r="AQ1118">
        <v>-43.916117</v>
      </c>
      <c r="AR1118">
        <v>28.47493692061667</v>
      </c>
      <c r="AS1118" t="s">
        <v>65</v>
      </c>
      <c r="AT1118">
        <v>1</v>
      </c>
      <c r="AU1118" t="s">
        <v>226</v>
      </c>
      <c r="AV1118" t="s">
        <v>227</v>
      </c>
      <c r="AW1118" t="s">
        <v>60</v>
      </c>
      <c r="AX1118" t="s">
        <v>68</v>
      </c>
      <c r="AY1118" t="s">
        <v>69</v>
      </c>
      <c r="AZ1118" t="b">
        <v>1</v>
      </c>
    </row>
    <row r="1119" spans="1:52" x14ac:dyDescent="0.3">
      <c r="A1119" t="s">
        <v>52</v>
      </c>
      <c r="B1119" t="s">
        <v>53</v>
      </c>
      <c r="C1119" t="s">
        <v>54</v>
      </c>
      <c r="D1119" t="s">
        <v>55</v>
      </c>
      <c r="E1119" t="s">
        <v>829</v>
      </c>
      <c r="F1119" t="s">
        <v>176</v>
      </c>
      <c r="G1119" t="s">
        <v>228</v>
      </c>
      <c r="H1119" t="s">
        <v>229</v>
      </c>
      <c r="I1119" t="s">
        <v>229</v>
      </c>
      <c r="J1119" t="s">
        <v>60</v>
      </c>
      <c r="K1119" t="s">
        <v>199</v>
      </c>
      <c r="L1119" t="s">
        <v>62</v>
      </c>
      <c r="M1119" t="s">
        <v>199</v>
      </c>
      <c r="N1119" t="s">
        <v>230</v>
      </c>
      <c r="O1119" t="s">
        <v>88</v>
      </c>
      <c r="P1119">
        <v>-19.637703999999999</v>
      </c>
      <c r="Q1119">
        <v>-43.913817999999999</v>
      </c>
      <c r="R1119" s="2" t="str">
        <f>HYPERLINK("https://www.google.com/maps?q=-19.6377040,-43.9138180","Abrir no Google Maps")</f>
        <v>Abrir no Google Maps</v>
      </c>
      <c r="S1119">
        <v>4</v>
      </c>
      <c r="T1119">
        <v>216.67225021659709</v>
      </c>
      <c r="U1119">
        <v>3</v>
      </c>
      <c r="V1119">
        <v>0.43057998046007639</v>
      </c>
      <c r="W1119">
        <v>1</v>
      </c>
      <c r="X1119">
        <v>0.43057998046007639</v>
      </c>
      <c r="Y1119">
        <v>3</v>
      </c>
      <c r="Z1119">
        <v>250.25912407368671</v>
      </c>
      <c r="AA1119">
        <v>2</v>
      </c>
      <c r="AB1119">
        <v>3</v>
      </c>
      <c r="AC1119">
        <v>7</v>
      </c>
      <c r="AD1119">
        <v>27.39</v>
      </c>
      <c r="AE1119">
        <v>253</v>
      </c>
      <c r="AF1119">
        <v>20</v>
      </c>
      <c r="AG1119">
        <v>59</v>
      </c>
      <c r="AH1119">
        <v>32</v>
      </c>
      <c r="AI1119">
        <v>7.91</v>
      </c>
      <c r="AJ1119">
        <v>23.32</v>
      </c>
      <c r="AK1119">
        <v>12.65</v>
      </c>
      <c r="AL1119">
        <v>-19.637548049999939</v>
      </c>
      <c r="AM1119">
        <v>-43.91383458447649</v>
      </c>
      <c r="AN1119">
        <v>-19.637548049999939</v>
      </c>
      <c r="AO1119">
        <v>-43.91383458447649</v>
      </c>
      <c r="AP1119">
        <v>-19.637703999999999</v>
      </c>
      <c r="AQ1119">
        <v>-43.913817999999999</v>
      </c>
      <c r="AR1119">
        <v>17.44721566371809</v>
      </c>
      <c r="AS1119" t="s">
        <v>65</v>
      </c>
      <c r="AT1119">
        <v>1</v>
      </c>
      <c r="AU1119" t="s">
        <v>231</v>
      </c>
      <c r="AV1119" t="s">
        <v>232</v>
      </c>
      <c r="AW1119" t="s">
        <v>60</v>
      </c>
      <c r="AX1119" t="s">
        <v>68</v>
      </c>
      <c r="AY1119" t="s">
        <v>69</v>
      </c>
      <c r="AZ1119" t="b">
        <v>1</v>
      </c>
    </row>
    <row r="1120" spans="1:52" x14ac:dyDescent="0.3">
      <c r="A1120" t="s">
        <v>52</v>
      </c>
      <c r="B1120" t="s">
        <v>53</v>
      </c>
      <c r="C1120" t="s">
        <v>54</v>
      </c>
      <c r="D1120" t="s">
        <v>55</v>
      </c>
      <c r="E1120" t="s">
        <v>829</v>
      </c>
      <c r="F1120" t="s">
        <v>176</v>
      </c>
      <c r="G1120" t="s">
        <v>156</v>
      </c>
      <c r="H1120" t="s">
        <v>157</v>
      </c>
      <c r="I1120" t="s">
        <v>157</v>
      </c>
      <c r="J1120" t="s">
        <v>60</v>
      </c>
      <c r="K1120" t="s">
        <v>79</v>
      </c>
      <c r="L1120" t="s">
        <v>62</v>
      </c>
      <c r="M1120" t="s">
        <v>79</v>
      </c>
      <c r="N1120" t="s">
        <v>158</v>
      </c>
      <c r="O1120" t="s">
        <v>159</v>
      </c>
      <c r="P1120">
        <v>-19.634687</v>
      </c>
      <c r="Q1120">
        <v>-43.912925999999999</v>
      </c>
      <c r="R1120" s="2" t="str">
        <f>HYPERLINK("https://www.google.com/maps?q=-19.6346870,-43.9129260","Abrir no Google Maps")</f>
        <v>Abrir no Google Maps</v>
      </c>
      <c r="S1120">
        <v>4</v>
      </c>
      <c r="T1120">
        <v>363.69725005634331</v>
      </c>
      <c r="U1120">
        <v>3</v>
      </c>
      <c r="V1120">
        <v>0.45206044800365291</v>
      </c>
      <c r="W1120">
        <v>1</v>
      </c>
      <c r="X1120">
        <v>0.45206044800365291</v>
      </c>
      <c r="Y1120">
        <v>3</v>
      </c>
      <c r="Z1120">
        <v>343.04088334900467</v>
      </c>
      <c r="AA1120">
        <v>2</v>
      </c>
      <c r="AB1120">
        <v>3</v>
      </c>
      <c r="AC1120">
        <v>7</v>
      </c>
      <c r="AD1120">
        <v>27.39</v>
      </c>
      <c r="AE1120">
        <v>253</v>
      </c>
      <c r="AF1120">
        <v>20</v>
      </c>
      <c r="AG1120">
        <v>59</v>
      </c>
      <c r="AH1120">
        <v>32</v>
      </c>
      <c r="AI1120">
        <v>7.91</v>
      </c>
      <c r="AJ1120">
        <v>23.32</v>
      </c>
      <c r="AK1120">
        <v>12.65</v>
      </c>
      <c r="AL1120">
        <v>-19.635145849999962</v>
      </c>
      <c r="AM1120">
        <v>-43.913103387269381</v>
      </c>
      <c r="AN1120">
        <v>-19.635145849999962</v>
      </c>
      <c r="AO1120">
        <v>-43.913103387269381</v>
      </c>
      <c r="AP1120">
        <v>-19.634687</v>
      </c>
      <c r="AQ1120">
        <v>-43.912925999999999</v>
      </c>
      <c r="AR1120">
        <v>54.359794849827942</v>
      </c>
      <c r="AS1120" t="s">
        <v>65</v>
      </c>
      <c r="AT1120">
        <v>1</v>
      </c>
      <c r="AU1120" t="s">
        <v>160</v>
      </c>
      <c r="AV1120" t="s">
        <v>161</v>
      </c>
      <c r="AW1120" t="s">
        <v>60</v>
      </c>
      <c r="AX1120" t="s">
        <v>68</v>
      </c>
      <c r="AY1120" t="s">
        <v>69</v>
      </c>
      <c r="AZ1120" t="b">
        <v>1</v>
      </c>
    </row>
    <row r="1121" spans="1:52" x14ac:dyDescent="0.3">
      <c r="A1121" t="s">
        <v>52</v>
      </c>
      <c r="B1121" t="s">
        <v>53</v>
      </c>
      <c r="C1121" t="s">
        <v>54</v>
      </c>
      <c r="D1121" t="s">
        <v>55</v>
      </c>
      <c r="E1121" t="s">
        <v>829</v>
      </c>
      <c r="F1121" t="s">
        <v>176</v>
      </c>
      <c r="G1121" t="s">
        <v>239</v>
      </c>
      <c r="H1121" t="s">
        <v>240</v>
      </c>
      <c r="I1121" t="s">
        <v>240</v>
      </c>
      <c r="J1121" t="s">
        <v>60</v>
      </c>
      <c r="K1121" t="s">
        <v>241</v>
      </c>
      <c r="L1121" t="s">
        <v>62</v>
      </c>
      <c r="M1121" t="s">
        <v>241</v>
      </c>
      <c r="N1121" t="s">
        <v>242</v>
      </c>
      <c r="O1121" t="s">
        <v>243</v>
      </c>
      <c r="P1121">
        <v>-19.64987</v>
      </c>
      <c r="Q1121">
        <v>-43.901328999999997</v>
      </c>
      <c r="R1121" s="2" t="str">
        <f>HYPERLINK("https://www.google.com/maps?q=-19.6498700,-43.9013290","Abrir no Google Maps")</f>
        <v>Abrir no Google Maps</v>
      </c>
      <c r="S1121">
        <v>4</v>
      </c>
      <c r="T1121">
        <v>379.88574886534309</v>
      </c>
      <c r="U1121">
        <v>3</v>
      </c>
      <c r="V1121">
        <v>0.4136496544391281</v>
      </c>
      <c r="W1121">
        <v>1</v>
      </c>
      <c r="X1121">
        <v>0.4136496544391281</v>
      </c>
      <c r="Y1121">
        <v>1</v>
      </c>
      <c r="Z1121">
        <v>442.33649591135162</v>
      </c>
      <c r="AA1121">
        <v>2</v>
      </c>
      <c r="AB1121">
        <v>3</v>
      </c>
      <c r="AC1121">
        <v>7</v>
      </c>
      <c r="AD1121">
        <v>27.39</v>
      </c>
      <c r="AE1121">
        <v>253</v>
      </c>
      <c r="AF1121">
        <v>20</v>
      </c>
      <c r="AG1121">
        <v>59</v>
      </c>
      <c r="AH1121">
        <v>32</v>
      </c>
      <c r="AI1121">
        <v>7.91</v>
      </c>
      <c r="AJ1121">
        <v>23.32</v>
      </c>
      <c r="AK1121">
        <v>12.65</v>
      </c>
      <c r="AL1121">
        <v>-19.64971674999995</v>
      </c>
      <c r="AM1121">
        <v>-43.901441574655102</v>
      </c>
      <c r="AN1121">
        <v>-19.64971674999995</v>
      </c>
      <c r="AO1121">
        <v>-43.901441574655102</v>
      </c>
      <c r="AP1121">
        <v>-19.64987</v>
      </c>
      <c r="AQ1121">
        <v>-43.901328999999997</v>
      </c>
      <c r="AR1121">
        <v>20.744262514610401</v>
      </c>
      <c r="AS1121" t="s">
        <v>65</v>
      </c>
      <c r="AT1121">
        <v>1</v>
      </c>
      <c r="AU1121" t="s">
        <v>244</v>
      </c>
      <c r="AV1121" t="s">
        <v>245</v>
      </c>
      <c r="AW1121" t="s">
        <v>60</v>
      </c>
      <c r="AX1121" t="s">
        <v>68</v>
      </c>
      <c r="AY1121" t="s">
        <v>69</v>
      </c>
      <c r="AZ1121" t="b">
        <v>1</v>
      </c>
    </row>
    <row r="1122" spans="1:52" x14ac:dyDescent="0.3">
      <c r="A1122" t="s">
        <v>52</v>
      </c>
      <c r="B1122" t="s">
        <v>53</v>
      </c>
      <c r="C1122" t="s">
        <v>54</v>
      </c>
      <c r="D1122" t="s">
        <v>55</v>
      </c>
      <c r="E1122" t="s">
        <v>829</v>
      </c>
      <c r="F1122" t="s">
        <v>176</v>
      </c>
      <c r="G1122" t="s">
        <v>246</v>
      </c>
      <c r="H1122" t="s">
        <v>247</v>
      </c>
      <c r="I1122" t="s">
        <v>247</v>
      </c>
      <c r="J1122" t="s">
        <v>60</v>
      </c>
      <c r="K1122" t="s">
        <v>164</v>
      </c>
      <c r="L1122" t="s">
        <v>62</v>
      </c>
      <c r="M1122" t="s">
        <v>164</v>
      </c>
      <c r="N1122" t="s">
        <v>248</v>
      </c>
      <c r="O1122" t="s">
        <v>249</v>
      </c>
      <c r="P1122">
        <v>-19.6448</v>
      </c>
      <c r="Q1122">
        <v>-43.901600999999999</v>
      </c>
      <c r="R1122" s="2" t="str">
        <f>HYPERLINK("https://www.google.com/maps?q=-19.6448000,-43.9016010","Abrir no Google Maps")</f>
        <v>Abrir no Google Maps</v>
      </c>
      <c r="S1122">
        <v>4</v>
      </c>
      <c r="T1122">
        <v>317.869447308274</v>
      </c>
      <c r="U1122">
        <v>3</v>
      </c>
      <c r="V1122">
        <v>0.44542401343408899</v>
      </c>
      <c r="W1122">
        <v>1</v>
      </c>
      <c r="X1122">
        <v>0.44542401343408899</v>
      </c>
      <c r="Y1122">
        <v>1</v>
      </c>
      <c r="Z1122">
        <v>349.42631749673592</v>
      </c>
      <c r="AA1122">
        <v>2</v>
      </c>
      <c r="AB1122">
        <v>3</v>
      </c>
      <c r="AC1122">
        <v>7</v>
      </c>
      <c r="AD1122">
        <v>27.39</v>
      </c>
      <c r="AE1122">
        <v>253</v>
      </c>
      <c r="AF1122">
        <v>20</v>
      </c>
      <c r="AG1122">
        <v>59</v>
      </c>
      <c r="AH1122">
        <v>32</v>
      </c>
      <c r="AI1122">
        <v>7.91</v>
      </c>
      <c r="AJ1122">
        <v>23.32</v>
      </c>
      <c r="AK1122">
        <v>12.65</v>
      </c>
      <c r="AL1122">
        <v>-19.644877249999951</v>
      </c>
      <c r="AM1122">
        <v>-43.901796079893373</v>
      </c>
      <c r="AN1122">
        <v>-19.644877249999951</v>
      </c>
      <c r="AO1122">
        <v>-43.901796079893373</v>
      </c>
      <c r="AP1122">
        <v>-19.6448</v>
      </c>
      <c r="AQ1122">
        <v>-43.901600999999999</v>
      </c>
      <c r="AR1122">
        <v>22.186635956426102</v>
      </c>
      <c r="AS1122" t="s">
        <v>65</v>
      </c>
      <c r="AT1122">
        <v>1</v>
      </c>
      <c r="AU1122" t="s">
        <v>250</v>
      </c>
      <c r="AV1122" t="s">
        <v>251</v>
      </c>
      <c r="AW1122" t="s">
        <v>60</v>
      </c>
      <c r="AX1122" t="s">
        <v>68</v>
      </c>
      <c r="AY1122" t="s">
        <v>69</v>
      </c>
      <c r="AZ1122" t="b">
        <v>1</v>
      </c>
    </row>
    <row r="1123" spans="1:52" x14ac:dyDescent="0.3">
      <c r="A1123" t="s">
        <v>52</v>
      </c>
      <c r="B1123" t="s">
        <v>53</v>
      </c>
      <c r="C1123" t="s">
        <v>54</v>
      </c>
      <c r="D1123" t="s">
        <v>55</v>
      </c>
      <c r="E1123" t="s">
        <v>829</v>
      </c>
      <c r="F1123" t="s">
        <v>176</v>
      </c>
      <c r="G1123" t="s">
        <v>252</v>
      </c>
      <c r="H1123" t="s">
        <v>253</v>
      </c>
      <c r="I1123" t="s">
        <v>253</v>
      </c>
      <c r="J1123" t="s">
        <v>60</v>
      </c>
      <c r="K1123" t="s">
        <v>164</v>
      </c>
      <c r="L1123" t="s">
        <v>62</v>
      </c>
      <c r="M1123" t="s">
        <v>164</v>
      </c>
      <c r="N1123" t="s">
        <v>254</v>
      </c>
      <c r="O1123" t="s">
        <v>255</v>
      </c>
      <c r="P1123">
        <v>-19.652244</v>
      </c>
      <c r="Q1123">
        <v>-43.906869</v>
      </c>
      <c r="R1123" s="2" t="str">
        <f>HYPERLINK("https://www.google.com/maps?q=-19.6522440,-43.9068690","Abrir no Google Maps")</f>
        <v>Abrir no Google Maps</v>
      </c>
      <c r="S1123">
        <v>4</v>
      </c>
      <c r="T1123">
        <v>659.98887289357856</v>
      </c>
      <c r="U1123">
        <v>3</v>
      </c>
      <c r="V1123">
        <v>0.43440873626297483</v>
      </c>
      <c r="W1123">
        <v>1</v>
      </c>
      <c r="X1123">
        <v>0.43440873626297483</v>
      </c>
      <c r="Y1123">
        <v>1</v>
      </c>
      <c r="Z1123">
        <v>607.69009953455907</v>
      </c>
      <c r="AA1123">
        <v>2</v>
      </c>
      <c r="AB1123">
        <v>3</v>
      </c>
      <c r="AC1123">
        <v>7</v>
      </c>
      <c r="AD1123">
        <v>27.39</v>
      </c>
      <c r="AE1123">
        <v>253</v>
      </c>
      <c r="AF1123">
        <v>20</v>
      </c>
      <c r="AG1123">
        <v>59</v>
      </c>
      <c r="AH1123">
        <v>32</v>
      </c>
      <c r="AI1123">
        <v>7.91</v>
      </c>
      <c r="AJ1123">
        <v>23.32</v>
      </c>
      <c r="AK1123">
        <v>12.65</v>
      </c>
      <c r="AL1123">
        <v>-19.65225609999996</v>
      </c>
      <c r="AM1123">
        <v>-43.906862663911163</v>
      </c>
      <c r="AN1123">
        <v>-19.65225609999996</v>
      </c>
      <c r="AO1123">
        <v>-43.906862663911149</v>
      </c>
      <c r="AP1123">
        <v>-19.652244</v>
      </c>
      <c r="AQ1123">
        <v>-43.906869</v>
      </c>
      <c r="AR1123">
        <v>1.501852076897872</v>
      </c>
      <c r="AS1123" t="s">
        <v>65</v>
      </c>
      <c r="AT1123">
        <v>1</v>
      </c>
      <c r="AU1123" t="s">
        <v>256</v>
      </c>
      <c r="AV1123" t="s">
        <v>257</v>
      </c>
      <c r="AW1123" t="s">
        <v>60</v>
      </c>
      <c r="AX1123" t="s">
        <v>68</v>
      </c>
      <c r="AY1123" t="s">
        <v>69</v>
      </c>
      <c r="AZ1123" t="b">
        <v>1</v>
      </c>
    </row>
    <row r="1124" spans="1:52" x14ac:dyDescent="0.3">
      <c r="A1124" t="s">
        <v>52</v>
      </c>
      <c r="B1124" t="s">
        <v>53</v>
      </c>
      <c r="C1124" t="s">
        <v>54</v>
      </c>
      <c r="D1124" t="s">
        <v>55</v>
      </c>
      <c r="E1124" t="s">
        <v>829</v>
      </c>
      <c r="F1124" t="s">
        <v>176</v>
      </c>
      <c r="G1124" t="s">
        <v>258</v>
      </c>
      <c r="H1124" t="s">
        <v>259</v>
      </c>
      <c r="I1124" t="s">
        <v>259</v>
      </c>
      <c r="J1124" t="s">
        <v>60</v>
      </c>
      <c r="K1124" t="s">
        <v>192</v>
      </c>
      <c r="L1124" t="s">
        <v>62</v>
      </c>
      <c r="M1124" t="s">
        <v>192</v>
      </c>
      <c r="N1124" t="s">
        <v>260</v>
      </c>
      <c r="O1124" t="s">
        <v>261</v>
      </c>
      <c r="P1124">
        <v>-19.651322</v>
      </c>
      <c r="Q1124">
        <v>-43.909526999999997</v>
      </c>
      <c r="R1124" s="2" t="str">
        <f>HYPERLINK("https://www.google.com/maps?q=-19.6513220,-43.9095270","Abrir no Google Maps")</f>
        <v>Abrir no Google Maps</v>
      </c>
      <c r="S1124">
        <v>4</v>
      </c>
      <c r="T1124">
        <v>818.75599819160288</v>
      </c>
      <c r="U1124">
        <v>3</v>
      </c>
      <c r="V1124">
        <v>0.4224292101341281</v>
      </c>
      <c r="W1124">
        <v>1</v>
      </c>
      <c r="X1124">
        <v>0.4224292101341281</v>
      </c>
      <c r="Y1124">
        <v>1</v>
      </c>
      <c r="Z1124">
        <v>730.53961508554767</v>
      </c>
      <c r="AA1124">
        <v>2</v>
      </c>
      <c r="AB1124">
        <v>3</v>
      </c>
      <c r="AC1124">
        <v>7</v>
      </c>
      <c r="AD1124">
        <v>27.39</v>
      </c>
      <c r="AE1124">
        <v>253</v>
      </c>
      <c r="AF1124">
        <v>20</v>
      </c>
      <c r="AG1124">
        <v>59</v>
      </c>
      <c r="AH1124">
        <v>32</v>
      </c>
      <c r="AI1124">
        <v>7.91</v>
      </c>
      <c r="AJ1124">
        <v>23.32</v>
      </c>
      <c r="AK1124">
        <v>12.65</v>
      </c>
      <c r="AL1124">
        <v>-19.65143184999997</v>
      </c>
      <c r="AM1124">
        <v>-43.910059983056307</v>
      </c>
      <c r="AN1124">
        <v>-19.65143184999997</v>
      </c>
      <c r="AO1124">
        <v>-43.910059983056307</v>
      </c>
      <c r="AP1124">
        <v>-19.651322</v>
      </c>
      <c r="AQ1124">
        <v>-43.909526999999997</v>
      </c>
      <c r="AR1124">
        <v>57.198416395481701</v>
      </c>
      <c r="AS1124" t="s">
        <v>65</v>
      </c>
      <c r="AT1124">
        <v>1</v>
      </c>
      <c r="AU1124" t="s">
        <v>262</v>
      </c>
      <c r="AV1124" t="s">
        <v>263</v>
      </c>
      <c r="AW1124" t="s">
        <v>60</v>
      </c>
      <c r="AX1124" t="s">
        <v>68</v>
      </c>
      <c r="AY1124" t="s">
        <v>69</v>
      </c>
      <c r="AZ1124" t="b">
        <v>1</v>
      </c>
    </row>
    <row r="1125" spans="1:52" x14ac:dyDescent="0.3">
      <c r="A1125" t="s">
        <v>52</v>
      </c>
      <c r="B1125" t="s">
        <v>53</v>
      </c>
      <c r="C1125" t="s">
        <v>54</v>
      </c>
      <c r="D1125" t="s">
        <v>55</v>
      </c>
      <c r="E1125" t="s">
        <v>829</v>
      </c>
      <c r="F1125" t="s">
        <v>176</v>
      </c>
      <c r="G1125" t="s">
        <v>622</v>
      </c>
      <c r="H1125" t="s">
        <v>623</v>
      </c>
      <c r="I1125" t="s">
        <v>623</v>
      </c>
      <c r="J1125" t="s">
        <v>60</v>
      </c>
      <c r="K1125" t="s">
        <v>219</v>
      </c>
      <c r="L1125" t="s">
        <v>62</v>
      </c>
      <c r="M1125" t="s">
        <v>219</v>
      </c>
      <c r="N1125" t="s">
        <v>624</v>
      </c>
      <c r="O1125" t="s">
        <v>113</v>
      </c>
      <c r="P1125">
        <v>-19.670276999999999</v>
      </c>
      <c r="Q1125">
        <v>-43.893808</v>
      </c>
      <c r="R1125" s="2" t="str">
        <f>HYPERLINK("https://www.google.com/maps?q=-19.6702770,-43.8938080","Abrir no Google Maps")</f>
        <v>Abrir no Google Maps</v>
      </c>
      <c r="S1125">
        <v>4</v>
      </c>
      <c r="T1125">
        <v>846.9753608437735</v>
      </c>
      <c r="U1125">
        <v>3</v>
      </c>
      <c r="V1125">
        <v>0.44711169839638498</v>
      </c>
      <c r="W1125">
        <v>1</v>
      </c>
      <c r="X1125">
        <v>0.44711169839638498</v>
      </c>
      <c r="Y1125">
        <v>1</v>
      </c>
      <c r="Z1125">
        <v>600.43160852236622</v>
      </c>
      <c r="AA1125">
        <v>2</v>
      </c>
      <c r="AB1125">
        <v>3</v>
      </c>
      <c r="AC1125">
        <v>7</v>
      </c>
      <c r="AD1125">
        <v>27.39</v>
      </c>
      <c r="AE1125">
        <v>253</v>
      </c>
      <c r="AF1125">
        <v>20</v>
      </c>
      <c r="AG1125">
        <v>59</v>
      </c>
      <c r="AH1125">
        <v>32</v>
      </c>
      <c r="AI1125">
        <v>7.91</v>
      </c>
      <c r="AJ1125">
        <v>23.32</v>
      </c>
      <c r="AK1125">
        <v>12.65</v>
      </c>
      <c r="AL1125">
        <v>-19.670319349999971</v>
      </c>
      <c r="AM1125">
        <v>-43.893716431206371</v>
      </c>
      <c r="AN1125">
        <v>-19.670319349999971</v>
      </c>
      <c r="AO1125">
        <v>-43.893716431206371</v>
      </c>
      <c r="AP1125">
        <v>-19.670276999999999</v>
      </c>
      <c r="AQ1125">
        <v>-43.893808</v>
      </c>
      <c r="AR1125">
        <v>10.693863517034069</v>
      </c>
      <c r="AS1125" t="s">
        <v>65</v>
      </c>
      <c r="AT1125">
        <v>1</v>
      </c>
      <c r="AU1125" t="s">
        <v>625</v>
      </c>
      <c r="AV1125" t="s">
        <v>626</v>
      </c>
      <c r="AW1125" t="s">
        <v>60</v>
      </c>
      <c r="AX1125" t="s">
        <v>68</v>
      </c>
      <c r="AY1125" t="s">
        <v>69</v>
      </c>
      <c r="AZ1125" t="b">
        <v>1</v>
      </c>
    </row>
    <row r="1126" spans="1:52" x14ac:dyDescent="0.3">
      <c r="A1126" t="s">
        <v>52</v>
      </c>
      <c r="B1126" t="s">
        <v>53</v>
      </c>
      <c r="C1126" t="s">
        <v>54</v>
      </c>
      <c r="D1126" t="s">
        <v>55</v>
      </c>
      <c r="E1126" t="s">
        <v>829</v>
      </c>
      <c r="F1126" t="s">
        <v>176</v>
      </c>
      <c r="G1126" t="s">
        <v>279</v>
      </c>
      <c r="H1126" t="s">
        <v>280</v>
      </c>
      <c r="I1126" t="s">
        <v>280</v>
      </c>
      <c r="J1126" t="s">
        <v>60</v>
      </c>
      <c r="K1126" t="s">
        <v>171</v>
      </c>
      <c r="L1126" t="s">
        <v>62</v>
      </c>
      <c r="M1126" t="s">
        <v>171</v>
      </c>
      <c r="N1126" t="s">
        <v>281</v>
      </c>
      <c r="O1126" t="s">
        <v>282</v>
      </c>
      <c r="P1126">
        <v>-19.677088000000001</v>
      </c>
      <c r="Q1126">
        <v>-43.890014000000001</v>
      </c>
      <c r="R1126" s="2" t="str">
        <f>HYPERLINK("https://www.google.com/maps?q=-19.6770880,-43.8900140","Abrir no Google Maps")</f>
        <v>Abrir no Google Maps</v>
      </c>
      <c r="S1126">
        <v>4</v>
      </c>
      <c r="T1126">
        <v>0</v>
      </c>
      <c r="U1126">
        <v>3</v>
      </c>
      <c r="V1126">
        <v>0.44041511953618651</v>
      </c>
      <c r="W1126">
        <v>1</v>
      </c>
      <c r="X1126">
        <v>0.44041511953618651</v>
      </c>
      <c r="Y1126">
        <v>0</v>
      </c>
      <c r="Z1126">
        <v>151.75635194559609</v>
      </c>
      <c r="AA1126">
        <v>2</v>
      </c>
      <c r="AB1126">
        <v>3</v>
      </c>
      <c r="AC1126">
        <v>7</v>
      </c>
      <c r="AD1126">
        <v>27.39</v>
      </c>
      <c r="AE1126">
        <v>253</v>
      </c>
      <c r="AF1126">
        <v>20</v>
      </c>
      <c r="AG1126">
        <v>59</v>
      </c>
      <c r="AH1126">
        <v>32</v>
      </c>
      <c r="AI1126">
        <v>7.91</v>
      </c>
      <c r="AJ1126">
        <v>23.32</v>
      </c>
      <c r="AK1126">
        <v>12.65</v>
      </c>
      <c r="AL1126">
        <v>-19.677165649999949</v>
      </c>
      <c r="AM1126">
        <v>-43.890106299611283</v>
      </c>
      <c r="AN1126">
        <v>-19.677165649999949</v>
      </c>
      <c r="AO1126">
        <v>-43.890106299611283</v>
      </c>
      <c r="AP1126">
        <v>-19.677088000000001</v>
      </c>
      <c r="AQ1126">
        <v>-43.890014000000001</v>
      </c>
      <c r="AR1126">
        <v>12.973833126778279</v>
      </c>
      <c r="AS1126" t="s">
        <v>65</v>
      </c>
      <c r="AT1126">
        <v>1</v>
      </c>
      <c r="AU1126" t="s">
        <v>283</v>
      </c>
      <c r="AV1126" t="s">
        <v>175</v>
      </c>
      <c r="AW1126" t="s">
        <v>60</v>
      </c>
      <c r="AX1126" t="s">
        <v>68</v>
      </c>
      <c r="AY1126" t="s">
        <v>69</v>
      </c>
      <c r="AZ1126" t="b">
        <v>1</v>
      </c>
    </row>
    <row r="1127" spans="1:52" x14ac:dyDescent="0.3">
      <c r="A1127" t="s">
        <v>52</v>
      </c>
      <c r="B1127" t="s">
        <v>53</v>
      </c>
      <c r="C1127" t="s">
        <v>54</v>
      </c>
      <c r="D1127" t="s">
        <v>55</v>
      </c>
      <c r="E1127" t="s">
        <v>829</v>
      </c>
      <c r="F1127" t="s">
        <v>176</v>
      </c>
      <c r="G1127" t="s">
        <v>284</v>
      </c>
      <c r="H1127" t="s">
        <v>285</v>
      </c>
      <c r="I1127" t="s">
        <v>285</v>
      </c>
      <c r="J1127" t="s">
        <v>60</v>
      </c>
      <c r="K1127" t="s">
        <v>286</v>
      </c>
      <c r="L1127" t="s">
        <v>62</v>
      </c>
      <c r="M1127" t="s">
        <v>286</v>
      </c>
      <c r="N1127" t="s">
        <v>287</v>
      </c>
      <c r="O1127" t="s">
        <v>288</v>
      </c>
      <c r="P1127">
        <v>-19.639790000000001</v>
      </c>
      <c r="Q1127">
        <v>-43.882798999999999</v>
      </c>
      <c r="R1127" s="2" t="str">
        <f>HYPERLINK("https://www.google.com/maps?q=-19.6397900,-43.8827990","Abrir no Google Maps")</f>
        <v>Abrir no Google Maps</v>
      </c>
      <c r="S1127">
        <v>3</v>
      </c>
      <c r="T1127">
        <v>242.7052058134478</v>
      </c>
      <c r="U1127">
        <v>4</v>
      </c>
      <c r="V1127">
        <v>0.46717914027427587</v>
      </c>
      <c r="W1127">
        <v>1</v>
      </c>
      <c r="X1127">
        <v>0.46717914027427587</v>
      </c>
      <c r="Y1127">
        <v>10</v>
      </c>
      <c r="Z1127">
        <v>187.2088809462339</v>
      </c>
      <c r="AA1127">
        <v>2</v>
      </c>
      <c r="AB1127">
        <v>3</v>
      </c>
      <c r="AC1127">
        <v>7</v>
      </c>
      <c r="AD1127">
        <v>27.39</v>
      </c>
      <c r="AE1127">
        <v>253</v>
      </c>
      <c r="AF1127">
        <v>20</v>
      </c>
      <c r="AG1127">
        <v>59</v>
      </c>
      <c r="AH1127">
        <v>32</v>
      </c>
      <c r="AI1127">
        <v>7.91</v>
      </c>
      <c r="AJ1127">
        <v>23.32</v>
      </c>
      <c r="AK1127">
        <v>12.65</v>
      </c>
      <c r="AL1127">
        <v>-19.639855599999951</v>
      </c>
      <c r="AM1127">
        <v>-43.882909745178452</v>
      </c>
      <c r="AN1127">
        <v>-19.639855599999951</v>
      </c>
      <c r="AO1127">
        <v>-43.882909745178452</v>
      </c>
      <c r="AP1127">
        <v>-19.639790000000001</v>
      </c>
      <c r="AQ1127">
        <v>-43.882798999999999</v>
      </c>
      <c r="AR1127">
        <v>13.716486068571211</v>
      </c>
      <c r="AS1127" t="s">
        <v>65</v>
      </c>
      <c r="AT1127">
        <v>1</v>
      </c>
      <c r="AU1127" t="s">
        <v>289</v>
      </c>
      <c r="AV1127" t="s">
        <v>290</v>
      </c>
      <c r="AW1127" t="s">
        <v>60</v>
      </c>
      <c r="AX1127" t="s">
        <v>68</v>
      </c>
      <c r="AY1127" t="s">
        <v>69</v>
      </c>
      <c r="AZ1127" t="b">
        <v>1</v>
      </c>
    </row>
    <row r="1128" spans="1:52" x14ac:dyDescent="0.3">
      <c r="A1128" t="s">
        <v>52</v>
      </c>
      <c r="B1128" t="s">
        <v>53</v>
      </c>
      <c r="C1128" t="s">
        <v>54</v>
      </c>
      <c r="D1128" t="s">
        <v>55</v>
      </c>
      <c r="E1128" t="s">
        <v>829</v>
      </c>
      <c r="F1128" t="s">
        <v>176</v>
      </c>
      <c r="G1128" t="s">
        <v>291</v>
      </c>
      <c r="H1128" t="s">
        <v>292</v>
      </c>
      <c r="I1128" t="s">
        <v>292</v>
      </c>
      <c r="J1128" t="s">
        <v>60</v>
      </c>
      <c r="K1128" t="s">
        <v>286</v>
      </c>
      <c r="L1128" t="s">
        <v>62</v>
      </c>
      <c r="M1128" t="s">
        <v>286</v>
      </c>
      <c r="N1128" t="s">
        <v>293</v>
      </c>
      <c r="O1128" t="s">
        <v>294</v>
      </c>
      <c r="P1128">
        <v>-19.640333999999999</v>
      </c>
      <c r="Q1128">
        <v>-43.880004999999997</v>
      </c>
      <c r="R1128" s="2" t="str">
        <f>HYPERLINK("https://www.google.com/maps?q=-19.6403340,-43.8800050","Abrir no Google Maps")</f>
        <v>Abrir no Google Maps</v>
      </c>
      <c r="S1128">
        <v>3</v>
      </c>
      <c r="T1128">
        <v>276.80943817309782</v>
      </c>
      <c r="U1128">
        <v>4</v>
      </c>
      <c r="V1128">
        <v>0.48301486199575372</v>
      </c>
      <c r="W1128">
        <v>1</v>
      </c>
      <c r="X1128">
        <v>0.48301486199575372</v>
      </c>
      <c r="Y1128">
        <v>10</v>
      </c>
      <c r="Z1128">
        <v>361.98332038983392</v>
      </c>
      <c r="AA1128">
        <v>2</v>
      </c>
      <c r="AB1128">
        <v>3</v>
      </c>
      <c r="AC1128">
        <v>7</v>
      </c>
      <c r="AD1128">
        <v>27.39</v>
      </c>
      <c r="AE1128">
        <v>253</v>
      </c>
      <c r="AF1128">
        <v>20</v>
      </c>
      <c r="AG1128">
        <v>59</v>
      </c>
      <c r="AH1128">
        <v>32</v>
      </c>
      <c r="AI1128">
        <v>7.91</v>
      </c>
      <c r="AJ1128">
        <v>23.32</v>
      </c>
      <c r="AK1128">
        <v>12.65</v>
      </c>
      <c r="AL1128">
        <v>-19.640260249999951</v>
      </c>
      <c r="AM1128">
        <v>-43.880090474326408</v>
      </c>
      <c r="AN1128">
        <v>-19.640260249999951</v>
      </c>
      <c r="AO1128">
        <v>-43.880090474326408</v>
      </c>
      <c r="AP1128">
        <v>-19.640333999999999</v>
      </c>
      <c r="AQ1128">
        <v>-43.880004999999997</v>
      </c>
      <c r="AR1128">
        <v>12.153556195359609</v>
      </c>
      <c r="AS1128" t="s">
        <v>65</v>
      </c>
      <c r="AT1128">
        <v>1</v>
      </c>
      <c r="AU1128" t="s">
        <v>295</v>
      </c>
      <c r="AV1128" t="s">
        <v>296</v>
      </c>
      <c r="AW1128" t="s">
        <v>60</v>
      </c>
      <c r="AX1128" t="s">
        <v>68</v>
      </c>
      <c r="AY1128" t="s">
        <v>69</v>
      </c>
      <c r="AZ1128" t="b">
        <v>1</v>
      </c>
    </row>
    <row r="1129" spans="1:52" x14ac:dyDescent="0.3">
      <c r="A1129" t="s">
        <v>52</v>
      </c>
      <c r="B1129" t="s">
        <v>53</v>
      </c>
      <c r="C1129" t="s">
        <v>54</v>
      </c>
      <c r="D1129" t="s">
        <v>55</v>
      </c>
      <c r="E1129" t="s">
        <v>829</v>
      </c>
      <c r="F1129" t="s">
        <v>176</v>
      </c>
      <c r="G1129" t="s">
        <v>405</v>
      </c>
      <c r="H1129" t="s">
        <v>406</v>
      </c>
      <c r="I1129" t="s">
        <v>406</v>
      </c>
      <c r="J1129" t="s">
        <v>60</v>
      </c>
      <c r="K1129" t="s">
        <v>286</v>
      </c>
      <c r="L1129" t="s">
        <v>62</v>
      </c>
      <c r="M1129" t="s">
        <v>286</v>
      </c>
      <c r="N1129" t="s">
        <v>407</v>
      </c>
      <c r="O1129" t="s">
        <v>408</v>
      </c>
      <c r="P1129">
        <v>-19.646345</v>
      </c>
      <c r="Q1129">
        <v>-43.882294999999999</v>
      </c>
      <c r="R1129" s="2" t="str">
        <f>HYPERLINK("https://www.google.com/maps?q=-19.6463450,-43.8822950","Abrir no Google Maps")</f>
        <v>Abrir no Google Maps</v>
      </c>
      <c r="S1129">
        <v>3</v>
      </c>
      <c r="T1129">
        <v>450.3180538635894</v>
      </c>
      <c r="U1129">
        <v>4</v>
      </c>
      <c r="V1129">
        <v>0.45310173697270473</v>
      </c>
      <c r="W1129">
        <v>1</v>
      </c>
      <c r="X1129">
        <v>0.45310173697270473</v>
      </c>
      <c r="Y1129">
        <v>10</v>
      </c>
      <c r="Z1129">
        <v>349.23341775902583</v>
      </c>
      <c r="AA1129">
        <v>2</v>
      </c>
      <c r="AB1129">
        <v>3</v>
      </c>
      <c r="AC1129">
        <v>7</v>
      </c>
      <c r="AD1129">
        <v>27.39</v>
      </c>
      <c r="AE1129">
        <v>253</v>
      </c>
      <c r="AF1129">
        <v>20</v>
      </c>
      <c r="AG1129">
        <v>59</v>
      </c>
      <c r="AH1129">
        <v>32</v>
      </c>
      <c r="AI1129">
        <v>7.91</v>
      </c>
      <c r="AJ1129">
        <v>23.32</v>
      </c>
      <c r="AK1129">
        <v>12.65</v>
      </c>
      <c r="AL1129">
        <v>-19.646391649999941</v>
      </c>
      <c r="AM1129">
        <v>-43.882007396993302</v>
      </c>
      <c r="AN1129">
        <v>-19.646391649999941</v>
      </c>
      <c r="AO1129">
        <v>-43.882007396993302</v>
      </c>
      <c r="AP1129">
        <v>-19.646345</v>
      </c>
      <c r="AQ1129">
        <v>-43.882294999999999</v>
      </c>
      <c r="AR1129">
        <v>30.596105513395301</v>
      </c>
      <c r="AS1129" t="s">
        <v>65</v>
      </c>
      <c r="AT1129">
        <v>1</v>
      </c>
      <c r="AU1129" t="s">
        <v>409</v>
      </c>
      <c r="AV1129" t="s">
        <v>410</v>
      </c>
      <c r="AW1129" t="s">
        <v>60</v>
      </c>
      <c r="AX1129" t="s">
        <v>68</v>
      </c>
      <c r="AY1129" t="s">
        <v>69</v>
      </c>
      <c r="AZ1129" t="b">
        <v>1</v>
      </c>
    </row>
    <row r="1130" spans="1:52" x14ac:dyDescent="0.3">
      <c r="A1130" t="s">
        <v>52</v>
      </c>
      <c r="B1130" t="s">
        <v>53</v>
      </c>
      <c r="C1130" t="s">
        <v>54</v>
      </c>
      <c r="D1130" t="s">
        <v>55</v>
      </c>
      <c r="E1130" t="s">
        <v>829</v>
      </c>
      <c r="F1130" t="s">
        <v>176</v>
      </c>
      <c r="G1130" t="s">
        <v>417</v>
      </c>
      <c r="H1130" t="s">
        <v>418</v>
      </c>
      <c r="I1130" t="s">
        <v>418</v>
      </c>
      <c r="J1130" t="s">
        <v>60</v>
      </c>
      <c r="K1130" t="s">
        <v>179</v>
      </c>
      <c r="L1130" t="s">
        <v>62</v>
      </c>
      <c r="M1130" t="s">
        <v>179</v>
      </c>
      <c r="N1130" t="s">
        <v>419</v>
      </c>
      <c r="O1130" t="s">
        <v>420</v>
      </c>
      <c r="P1130">
        <v>-19.646516999999999</v>
      </c>
      <c r="Q1130">
        <v>-43.889716</v>
      </c>
      <c r="R1130" s="2" t="str">
        <f>HYPERLINK("https://www.google.com/maps?q=-19.6465170,-43.8897160","Abrir no Google Maps")</f>
        <v>Abrir no Google Maps</v>
      </c>
      <c r="S1130">
        <v>3</v>
      </c>
      <c r="T1130">
        <v>796.8355517653099</v>
      </c>
      <c r="U1130">
        <v>4</v>
      </c>
      <c r="V1130">
        <v>0.45773049298340052</v>
      </c>
      <c r="W1130">
        <v>1</v>
      </c>
      <c r="X1130">
        <v>0.45773049298340052</v>
      </c>
      <c r="Y1130">
        <v>7</v>
      </c>
      <c r="Z1130">
        <v>749.72812632947034</v>
      </c>
      <c r="AA1130">
        <v>2</v>
      </c>
      <c r="AB1130">
        <v>3</v>
      </c>
      <c r="AC1130">
        <v>7</v>
      </c>
      <c r="AD1130">
        <v>27.39</v>
      </c>
      <c r="AE1130">
        <v>253</v>
      </c>
      <c r="AF1130">
        <v>20</v>
      </c>
      <c r="AG1130">
        <v>59</v>
      </c>
      <c r="AH1130">
        <v>32</v>
      </c>
      <c r="AI1130">
        <v>7.91</v>
      </c>
      <c r="AJ1130">
        <v>23.32</v>
      </c>
      <c r="AK1130">
        <v>12.65</v>
      </c>
      <c r="AL1130">
        <v>-19.646452649999961</v>
      </c>
      <c r="AM1130">
        <v>-43.88991036523079</v>
      </c>
      <c r="AN1130">
        <v>-19.646452649999961</v>
      </c>
      <c r="AO1130">
        <v>-43.88991036523079</v>
      </c>
      <c r="AP1130">
        <v>-19.646516999999999</v>
      </c>
      <c r="AQ1130">
        <v>-43.889716</v>
      </c>
      <c r="AR1130">
        <v>21.599617922669939</v>
      </c>
      <c r="AS1130" t="s">
        <v>65</v>
      </c>
      <c r="AT1130">
        <v>1</v>
      </c>
      <c r="AU1130" t="s">
        <v>421</v>
      </c>
      <c r="AV1130" t="s">
        <v>422</v>
      </c>
      <c r="AW1130" t="s">
        <v>60</v>
      </c>
      <c r="AX1130" t="s">
        <v>68</v>
      </c>
      <c r="AY1130" t="s">
        <v>69</v>
      </c>
      <c r="AZ1130" t="b">
        <v>1</v>
      </c>
    </row>
    <row r="1131" spans="1:52" x14ac:dyDescent="0.3">
      <c r="A1131" t="s">
        <v>52</v>
      </c>
      <c r="B1131" t="s">
        <v>53</v>
      </c>
      <c r="C1131" t="s">
        <v>54</v>
      </c>
      <c r="D1131" t="s">
        <v>55</v>
      </c>
      <c r="E1131" t="s">
        <v>829</v>
      </c>
      <c r="F1131" t="s">
        <v>176</v>
      </c>
      <c r="G1131" t="s">
        <v>297</v>
      </c>
      <c r="H1131" t="s">
        <v>298</v>
      </c>
      <c r="I1131" t="s">
        <v>298</v>
      </c>
      <c r="J1131" t="s">
        <v>60</v>
      </c>
      <c r="K1131" t="s">
        <v>299</v>
      </c>
      <c r="L1131" t="s">
        <v>62</v>
      </c>
      <c r="M1131" t="s">
        <v>299</v>
      </c>
      <c r="N1131" t="s">
        <v>300</v>
      </c>
      <c r="O1131" t="s">
        <v>301</v>
      </c>
      <c r="P1131">
        <v>-19.679597000000001</v>
      </c>
      <c r="Q1131">
        <v>-43.912095000000001</v>
      </c>
      <c r="R1131" s="2" t="str">
        <f>HYPERLINK("https://www.google.com/maps?q=-19.6795970,-43.9120950","Abrir no Google Maps")</f>
        <v>Abrir no Google Maps</v>
      </c>
      <c r="S1131">
        <v>3</v>
      </c>
      <c r="T1131">
        <v>1581.3368267219889</v>
      </c>
      <c r="U1131">
        <v>4</v>
      </c>
      <c r="V1131">
        <v>0.45802120652842621</v>
      </c>
      <c r="W1131">
        <v>1</v>
      </c>
      <c r="X1131">
        <v>0.45802120652842621</v>
      </c>
      <c r="Y1131">
        <v>5</v>
      </c>
      <c r="Z1131">
        <v>2051.2590436749392</v>
      </c>
      <c r="AA1131">
        <v>2</v>
      </c>
      <c r="AB1131">
        <v>3</v>
      </c>
      <c r="AC1131">
        <v>7</v>
      </c>
      <c r="AD1131">
        <v>27.39</v>
      </c>
      <c r="AE1131">
        <v>253</v>
      </c>
      <c r="AF1131">
        <v>20</v>
      </c>
      <c r="AG1131">
        <v>59</v>
      </c>
      <c r="AH1131">
        <v>32</v>
      </c>
      <c r="AI1131">
        <v>7.91</v>
      </c>
      <c r="AJ1131">
        <v>23.32</v>
      </c>
      <c r="AK1131">
        <v>12.65</v>
      </c>
      <c r="AL1131">
        <v>-19.679572799999931</v>
      </c>
      <c r="AM1131">
        <v>-43.912071775440793</v>
      </c>
      <c r="AN1131">
        <v>-19.679572799999931</v>
      </c>
      <c r="AO1131">
        <v>-43.912071775440793</v>
      </c>
      <c r="AP1131">
        <v>-19.679597000000001</v>
      </c>
      <c r="AQ1131">
        <v>-43.912095000000001</v>
      </c>
      <c r="AR1131">
        <v>3.6308936744190978</v>
      </c>
      <c r="AS1131" t="s">
        <v>65</v>
      </c>
      <c r="AT1131">
        <v>1</v>
      </c>
      <c r="AU1131" t="s">
        <v>302</v>
      </c>
      <c r="AV1131" t="s">
        <v>303</v>
      </c>
      <c r="AW1131" t="s">
        <v>60</v>
      </c>
      <c r="AX1131" t="s">
        <v>68</v>
      </c>
      <c r="AY1131" t="s">
        <v>69</v>
      </c>
      <c r="AZ1131" t="b">
        <v>1</v>
      </c>
    </row>
    <row r="1132" spans="1:52" x14ac:dyDescent="0.3">
      <c r="A1132" t="s">
        <v>52</v>
      </c>
      <c r="B1132" t="s">
        <v>53</v>
      </c>
      <c r="C1132" t="s">
        <v>54</v>
      </c>
      <c r="D1132" t="s">
        <v>55</v>
      </c>
      <c r="E1132" t="s">
        <v>829</v>
      </c>
      <c r="F1132" t="s">
        <v>176</v>
      </c>
      <c r="G1132" t="s">
        <v>304</v>
      </c>
      <c r="H1132" t="s">
        <v>305</v>
      </c>
      <c r="I1132" t="s">
        <v>305</v>
      </c>
      <c r="J1132" t="s">
        <v>60</v>
      </c>
      <c r="K1132" t="s">
        <v>299</v>
      </c>
      <c r="L1132" t="s">
        <v>62</v>
      </c>
      <c r="M1132" t="s">
        <v>299</v>
      </c>
      <c r="N1132" t="s">
        <v>306</v>
      </c>
      <c r="O1132" t="s">
        <v>307</v>
      </c>
      <c r="P1132">
        <v>-19.681051</v>
      </c>
      <c r="Q1132">
        <v>-43.914375</v>
      </c>
      <c r="R1132" s="2" t="str">
        <f>HYPERLINK("https://www.google.com/maps?q=-19.6810510,-43.9143750","Abrir no Google Maps")</f>
        <v>Abrir no Google Maps</v>
      </c>
      <c r="S1132">
        <v>3</v>
      </c>
      <c r="T1132">
        <v>1793.507056919605</v>
      </c>
      <c r="U1132">
        <v>4</v>
      </c>
      <c r="V1132">
        <v>0.453353860070278</v>
      </c>
      <c r="W1132">
        <v>1</v>
      </c>
      <c r="X1132">
        <v>0.453353860070278</v>
      </c>
      <c r="Y1132">
        <v>5</v>
      </c>
      <c r="Z1132">
        <v>2183.7125920783069</v>
      </c>
      <c r="AA1132">
        <v>2</v>
      </c>
      <c r="AB1132">
        <v>3</v>
      </c>
      <c r="AC1132">
        <v>7</v>
      </c>
      <c r="AD1132">
        <v>27.39</v>
      </c>
      <c r="AE1132">
        <v>253</v>
      </c>
      <c r="AF1132">
        <v>20</v>
      </c>
      <c r="AG1132">
        <v>59</v>
      </c>
      <c r="AH1132">
        <v>32</v>
      </c>
      <c r="AI1132">
        <v>7.91</v>
      </c>
      <c r="AJ1132">
        <v>23.32</v>
      </c>
      <c r="AK1132">
        <v>12.65</v>
      </c>
      <c r="AL1132">
        <v>-19.680967149999962</v>
      </c>
      <c r="AM1132">
        <v>-43.914383884426663</v>
      </c>
      <c r="AN1132">
        <v>-19.680967149999962</v>
      </c>
      <c r="AO1132">
        <v>-43.914383884426663</v>
      </c>
      <c r="AP1132">
        <v>-19.681051</v>
      </c>
      <c r="AQ1132">
        <v>-43.914375</v>
      </c>
      <c r="AR1132">
        <v>9.3805201894968722</v>
      </c>
      <c r="AS1132" t="s">
        <v>65</v>
      </c>
      <c r="AT1132">
        <v>1</v>
      </c>
      <c r="AU1132" t="s">
        <v>308</v>
      </c>
      <c r="AV1132" t="s">
        <v>303</v>
      </c>
      <c r="AW1132" t="s">
        <v>60</v>
      </c>
      <c r="AX1132" t="s">
        <v>68</v>
      </c>
      <c r="AY1132" t="s">
        <v>69</v>
      </c>
      <c r="AZ1132" t="b">
        <v>1</v>
      </c>
    </row>
    <row r="1133" spans="1:52" x14ac:dyDescent="0.3">
      <c r="A1133" t="s">
        <v>52</v>
      </c>
      <c r="B1133" t="s">
        <v>53</v>
      </c>
      <c r="C1133" t="s">
        <v>54</v>
      </c>
      <c r="D1133" t="s">
        <v>55</v>
      </c>
      <c r="E1133" t="s">
        <v>829</v>
      </c>
      <c r="F1133" t="s">
        <v>176</v>
      </c>
      <c r="G1133" t="s">
        <v>309</v>
      </c>
      <c r="H1133" t="s">
        <v>310</v>
      </c>
      <c r="I1133" t="s">
        <v>310</v>
      </c>
      <c r="J1133" t="s">
        <v>60</v>
      </c>
      <c r="K1133" t="s">
        <v>311</v>
      </c>
      <c r="L1133" t="s">
        <v>62</v>
      </c>
      <c r="M1133" t="s">
        <v>311</v>
      </c>
      <c r="N1133" t="s">
        <v>312</v>
      </c>
      <c r="O1133" t="s">
        <v>313</v>
      </c>
      <c r="P1133">
        <v>-19.576996999999999</v>
      </c>
      <c r="Q1133">
        <v>-43.919024999999998</v>
      </c>
      <c r="R1133" s="2" t="str">
        <f>HYPERLINK("https://www.google.com/maps?q=-19.5769970,-43.9190250","Abrir no Google Maps")</f>
        <v>Abrir no Google Maps</v>
      </c>
      <c r="S1133">
        <v>3</v>
      </c>
      <c r="T1133">
        <v>316.64266747869789</v>
      </c>
      <c r="U1133">
        <v>4</v>
      </c>
      <c r="V1133">
        <v>0.73394729178800233</v>
      </c>
      <c r="W1133">
        <v>0.85</v>
      </c>
      <c r="X1133">
        <v>0.62385519801980194</v>
      </c>
      <c r="Y1133">
        <v>5</v>
      </c>
      <c r="Z1133">
        <v>411.74435151529269</v>
      </c>
      <c r="AA1133">
        <v>2</v>
      </c>
      <c r="AB1133">
        <v>3</v>
      </c>
      <c r="AC1133">
        <v>7</v>
      </c>
      <c r="AD1133">
        <v>27.39</v>
      </c>
      <c r="AE1133">
        <v>253</v>
      </c>
      <c r="AF1133">
        <v>20</v>
      </c>
      <c r="AG1133">
        <v>59</v>
      </c>
      <c r="AH1133">
        <v>32</v>
      </c>
      <c r="AI1133">
        <v>7.91</v>
      </c>
      <c r="AJ1133">
        <v>23.32</v>
      </c>
      <c r="AK1133">
        <v>12.65</v>
      </c>
      <c r="AL1133">
        <v>-19.576964999999941</v>
      </c>
      <c r="AM1133">
        <v>-43.919068241233632</v>
      </c>
      <c r="AN1133">
        <v>-19.576964999999941</v>
      </c>
      <c r="AO1133">
        <v>-43.919068241233632</v>
      </c>
      <c r="AP1133">
        <v>-19.576996999999999</v>
      </c>
      <c r="AQ1133">
        <v>-43.919024999999998</v>
      </c>
      <c r="AR1133">
        <v>5.7670575161946216</v>
      </c>
      <c r="AS1133" t="s">
        <v>65</v>
      </c>
      <c r="AT1133">
        <v>1</v>
      </c>
      <c r="AU1133" t="s">
        <v>314</v>
      </c>
      <c r="AV1133" t="s">
        <v>315</v>
      </c>
      <c r="AW1133" t="s">
        <v>60</v>
      </c>
      <c r="AX1133" t="s">
        <v>68</v>
      </c>
      <c r="AY1133" t="s">
        <v>69</v>
      </c>
      <c r="AZ1133" t="b">
        <v>1</v>
      </c>
    </row>
    <row r="1134" spans="1:52" x14ac:dyDescent="0.3">
      <c r="A1134" t="s">
        <v>52</v>
      </c>
      <c r="B1134" t="s">
        <v>53</v>
      </c>
      <c r="C1134" t="s">
        <v>54</v>
      </c>
      <c r="D1134" t="s">
        <v>55</v>
      </c>
      <c r="E1134" t="s">
        <v>829</v>
      </c>
      <c r="F1134" t="s">
        <v>176</v>
      </c>
      <c r="G1134" t="s">
        <v>309</v>
      </c>
      <c r="H1134" t="s">
        <v>316</v>
      </c>
      <c r="I1134" t="s">
        <v>316</v>
      </c>
      <c r="J1134" t="s">
        <v>60</v>
      </c>
      <c r="K1134" t="s">
        <v>311</v>
      </c>
      <c r="L1134" t="s">
        <v>62</v>
      </c>
      <c r="M1134" t="s">
        <v>311</v>
      </c>
      <c r="N1134" t="s">
        <v>317</v>
      </c>
      <c r="O1134" t="s">
        <v>313</v>
      </c>
      <c r="P1134">
        <v>-19.580131999999999</v>
      </c>
      <c r="Q1134">
        <v>-43.918303000000002</v>
      </c>
      <c r="R1134" s="2" t="str">
        <f>HYPERLINK("https://www.google.com/maps?q=-19.5801320,-43.9183030","Abrir no Google Maps")</f>
        <v>Abrir no Google Maps</v>
      </c>
      <c r="S1134">
        <v>3</v>
      </c>
      <c r="T1134">
        <v>665.05989403461285</v>
      </c>
      <c r="U1134">
        <v>4</v>
      </c>
      <c r="V1134">
        <v>0.72181011112104154</v>
      </c>
      <c r="W1134">
        <v>1</v>
      </c>
      <c r="X1134">
        <v>0.72181011112104154</v>
      </c>
      <c r="Y1134">
        <v>5</v>
      </c>
      <c r="Z1134">
        <v>743.64474333505098</v>
      </c>
      <c r="AA1134">
        <v>2</v>
      </c>
      <c r="AB1134">
        <v>3</v>
      </c>
      <c r="AC1134">
        <v>7</v>
      </c>
      <c r="AD1134">
        <v>27.39</v>
      </c>
      <c r="AE1134">
        <v>253</v>
      </c>
      <c r="AF1134">
        <v>20</v>
      </c>
      <c r="AG1134">
        <v>59</v>
      </c>
      <c r="AH1134">
        <v>32</v>
      </c>
      <c r="AI1134">
        <v>7.91</v>
      </c>
      <c r="AJ1134">
        <v>23.32</v>
      </c>
      <c r="AK1134">
        <v>12.65</v>
      </c>
      <c r="AL1134">
        <v>-19.58010349999995</v>
      </c>
      <c r="AM1134">
        <v>-43.918363319288602</v>
      </c>
      <c r="AN1134">
        <v>-19.58010349999995</v>
      </c>
      <c r="AO1134">
        <v>-43.918363319288602</v>
      </c>
      <c r="AP1134">
        <v>-19.580131999999999</v>
      </c>
      <c r="AQ1134">
        <v>-43.918303000000002</v>
      </c>
      <c r="AR1134">
        <v>7.0773977790944862</v>
      </c>
      <c r="AS1134" t="s">
        <v>65</v>
      </c>
      <c r="AT1134">
        <v>1</v>
      </c>
      <c r="AU1134" t="s">
        <v>318</v>
      </c>
      <c r="AV1134" t="s">
        <v>319</v>
      </c>
      <c r="AW1134" t="s">
        <v>60</v>
      </c>
      <c r="AX1134" t="s">
        <v>68</v>
      </c>
      <c r="AY1134" t="s">
        <v>69</v>
      </c>
      <c r="AZ1134" t="b">
        <v>1</v>
      </c>
    </row>
    <row r="1135" spans="1:52" x14ac:dyDescent="0.3">
      <c r="A1135" t="s">
        <v>52</v>
      </c>
      <c r="B1135" t="s">
        <v>53</v>
      </c>
      <c r="C1135" t="s">
        <v>54</v>
      </c>
      <c r="D1135" t="s">
        <v>55</v>
      </c>
      <c r="E1135" t="s">
        <v>829</v>
      </c>
      <c r="F1135" t="s">
        <v>176</v>
      </c>
      <c r="G1135" t="s">
        <v>309</v>
      </c>
      <c r="H1135" t="s">
        <v>320</v>
      </c>
      <c r="I1135" t="s">
        <v>320</v>
      </c>
      <c r="J1135" t="s">
        <v>60</v>
      </c>
      <c r="K1135" t="s">
        <v>311</v>
      </c>
      <c r="L1135" t="s">
        <v>62</v>
      </c>
      <c r="M1135" t="s">
        <v>311</v>
      </c>
      <c r="N1135" t="s">
        <v>321</v>
      </c>
      <c r="O1135" t="s">
        <v>313</v>
      </c>
      <c r="P1135">
        <v>-19.578469999999999</v>
      </c>
      <c r="Q1135">
        <v>-43.918922000000002</v>
      </c>
      <c r="R1135" s="2" t="str">
        <f>HYPERLINK("https://www.google.com/maps?q=-19.5784700,-43.9189220","Abrir no Google Maps")</f>
        <v>Abrir no Google Maps</v>
      </c>
      <c r="S1135">
        <v>3</v>
      </c>
      <c r="T1135">
        <v>474.92456146278471</v>
      </c>
      <c r="U1135">
        <v>4</v>
      </c>
      <c r="V1135">
        <v>0.69072393426636969</v>
      </c>
      <c r="W1135">
        <v>0.85</v>
      </c>
      <c r="X1135">
        <v>0.5871153441264142</v>
      </c>
      <c r="Y1135">
        <v>5</v>
      </c>
      <c r="Z1135">
        <v>562.61594151292854</v>
      </c>
      <c r="AA1135">
        <v>2</v>
      </c>
      <c r="AB1135">
        <v>3</v>
      </c>
      <c r="AC1135">
        <v>7</v>
      </c>
      <c r="AD1135">
        <v>27.39</v>
      </c>
      <c r="AE1135">
        <v>253</v>
      </c>
      <c r="AF1135">
        <v>20</v>
      </c>
      <c r="AG1135">
        <v>59</v>
      </c>
      <c r="AH1135">
        <v>32</v>
      </c>
      <c r="AI1135">
        <v>7.91</v>
      </c>
      <c r="AJ1135">
        <v>23.32</v>
      </c>
      <c r="AK1135">
        <v>12.65</v>
      </c>
      <c r="AL1135">
        <v>-19.578483899999959</v>
      </c>
      <c r="AM1135">
        <v>-43.918967993509547</v>
      </c>
      <c r="AN1135">
        <v>-19.578483899999959</v>
      </c>
      <c r="AO1135">
        <v>-43.918967993509547</v>
      </c>
      <c r="AP1135">
        <v>-19.578469999999999</v>
      </c>
      <c r="AQ1135">
        <v>-43.918922000000002</v>
      </c>
      <c r="AR1135">
        <v>5.0660669465561501</v>
      </c>
      <c r="AS1135" t="s">
        <v>65</v>
      </c>
      <c r="AT1135">
        <v>1</v>
      </c>
      <c r="AU1135" t="s">
        <v>322</v>
      </c>
      <c r="AV1135" t="s">
        <v>323</v>
      </c>
      <c r="AW1135" t="s">
        <v>60</v>
      </c>
      <c r="AX1135" t="s">
        <v>68</v>
      </c>
      <c r="AY1135" t="s">
        <v>69</v>
      </c>
      <c r="AZ1135" t="b">
        <v>1</v>
      </c>
    </row>
    <row r="1136" spans="1:52" x14ac:dyDescent="0.3">
      <c r="A1136" t="s">
        <v>52</v>
      </c>
      <c r="B1136" t="s">
        <v>53</v>
      </c>
      <c r="C1136" t="s">
        <v>54</v>
      </c>
      <c r="D1136" t="s">
        <v>55</v>
      </c>
      <c r="E1136" t="s">
        <v>829</v>
      </c>
      <c r="F1136" t="s">
        <v>176</v>
      </c>
      <c r="G1136" t="s">
        <v>338</v>
      </c>
      <c r="H1136" t="s">
        <v>339</v>
      </c>
      <c r="I1136" t="s">
        <v>339</v>
      </c>
      <c r="J1136" t="s">
        <v>60</v>
      </c>
      <c r="K1136" t="s">
        <v>219</v>
      </c>
      <c r="L1136" t="s">
        <v>62</v>
      </c>
      <c r="M1136" t="s">
        <v>219</v>
      </c>
      <c r="N1136" t="s">
        <v>340</v>
      </c>
      <c r="O1136" t="s">
        <v>341</v>
      </c>
      <c r="P1136">
        <v>-19.666964</v>
      </c>
      <c r="Q1136">
        <v>-43.884436999999998</v>
      </c>
      <c r="R1136" s="2" t="str">
        <f>HYPERLINK("https://www.google.com/maps?q=-19.6669640,-43.8844370","Abrir no Google Maps")</f>
        <v>Abrir no Google Maps</v>
      </c>
      <c r="S1136">
        <v>3</v>
      </c>
      <c r="T1136">
        <v>957.0047152726122</v>
      </c>
      <c r="U1136">
        <v>4</v>
      </c>
      <c r="V1136">
        <v>0.48093697579678879</v>
      </c>
      <c r="W1136">
        <v>1</v>
      </c>
      <c r="X1136">
        <v>0.48093697579678879</v>
      </c>
      <c r="Y1136">
        <v>3</v>
      </c>
      <c r="Z1136">
        <v>558.02655966087093</v>
      </c>
      <c r="AA1136">
        <v>2</v>
      </c>
      <c r="AB1136">
        <v>3</v>
      </c>
      <c r="AC1136">
        <v>7</v>
      </c>
      <c r="AD1136">
        <v>27.39</v>
      </c>
      <c r="AE1136">
        <v>253</v>
      </c>
      <c r="AF1136">
        <v>20</v>
      </c>
      <c r="AG1136">
        <v>59</v>
      </c>
      <c r="AH1136">
        <v>32</v>
      </c>
      <c r="AI1136">
        <v>7.91</v>
      </c>
      <c r="AJ1136">
        <v>23.32</v>
      </c>
      <c r="AK1136">
        <v>12.65</v>
      </c>
      <c r="AL1136">
        <v>-19.66693374999997</v>
      </c>
      <c r="AM1136">
        <v>-43.884551162820181</v>
      </c>
      <c r="AN1136">
        <v>-19.66693374999997</v>
      </c>
      <c r="AO1136">
        <v>-43.884551162820181</v>
      </c>
      <c r="AP1136">
        <v>-19.666964</v>
      </c>
      <c r="AQ1136">
        <v>-43.884436999999998</v>
      </c>
      <c r="AR1136">
        <v>12.43199920714442</v>
      </c>
      <c r="AS1136" t="s">
        <v>65</v>
      </c>
      <c r="AT1136">
        <v>1</v>
      </c>
      <c r="AU1136" t="s">
        <v>342</v>
      </c>
      <c r="AV1136" t="s">
        <v>343</v>
      </c>
      <c r="AW1136" t="s">
        <v>60</v>
      </c>
      <c r="AX1136" t="s">
        <v>68</v>
      </c>
      <c r="AY1136" t="s">
        <v>69</v>
      </c>
      <c r="AZ1136" t="b">
        <v>1</v>
      </c>
    </row>
    <row r="1137" spans="1:52" x14ac:dyDescent="0.3">
      <c r="A1137" t="s">
        <v>52</v>
      </c>
      <c r="B1137" t="s">
        <v>53</v>
      </c>
      <c r="C1137" t="s">
        <v>54</v>
      </c>
      <c r="D1137" t="s">
        <v>55</v>
      </c>
      <c r="E1137" t="s">
        <v>829</v>
      </c>
      <c r="F1137" t="s">
        <v>176</v>
      </c>
      <c r="G1137" t="s">
        <v>344</v>
      </c>
      <c r="H1137" t="s">
        <v>345</v>
      </c>
      <c r="I1137" t="s">
        <v>345</v>
      </c>
      <c r="J1137" t="s">
        <v>60</v>
      </c>
      <c r="K1137" t="s">
        <v>326</v>
      </c>
      <c r="L1137" t="s">
        <v>62</v>
      </c>
      <c r="M1137" t="s">
        <v>326</v>
      </c>
      <c r="N1137" t="s">
        <v>346</v>
      </c>
      <c r="O1137" t="s">
        <v>347</v>
      </c>
      <c r="P1137">
        <v>-19.659784999999999</v>
      </c>
      <c r="Q1137">
        <v>-43.868257999999997</v>
      </c>
      <c r="R1137" s="2" t="str">
        <f>HYPERLINK("https://www.google.com/maps?q=-19.6597850,-43.8682580","Abrir no Google Maps")</f>
        <v>Abrir no Google Maps</v>
      </c>
      <c r="S1137">
        <v>3</v>
      </c>
      <c r="T1137">
        <v>887.40196140413514</v>
      </c>
      <c r="U1137">
        <v>4</v>
      </c>
      <c r="V1137">
        <v>0.45396221442572182</v>
      </c>
      <c r="W1137">
        <v>1</v>
      </c>
      <c r="X1137">
        <v>0.45396221442572182</v>
      </c>
      <c r="Y1137">
        <v>3</v>
      </c>
      <c r="Z1137">
        <v>951.67106090939239</v>
      </c>
      <c r="AA1137">
        <v>2</v>
      </c>
      <c r="AB1137">
        <v>3</v>
      </c>
      <c r="AC1137">
        <v>7</v>
      </c>
      <c r="AD1137">
        <v>27.39</v>
      </c>
      <c r="AE1137">
        <v>253</v>
      </c>
      <c r="AF1137">
        <v>20</v>
      </c>
      <c r="AG1137">
        <v>59</v>
      </c>
      <c r="AH1137">
        <v>32</v>
      </c>
      <c r="AI1137">
        <v>7.91</v>
      </c>
      <c r="AJ1137">
        <v>23.32</v>
      </c>
      <c r="AK1137">
        <v>12.65</v>
      </c>
      <c r="AL1137">
        <v>-19.659938849999971</v>
      </c>
      <c r="AM1137">
        <v>-43.868426732971933</v>
      </c>
      <c r="AN1137">
        <v>-19.659938849999971</v>
      </c>
      <c r="AO1137">
        <v>-43.868426732971933</v>
      </c>
      <c r="AP1137">
        <v>-19.659784999999999</v>
      </c>
      <c r="AQ1137">
        <v>-43.868257999999997</v>
      </c>
      <c r="AR1137">
        <v>24.621113441172451</v>
      </c>
      <c r="AS1137" t="s">
        <v>65</v>
      </c>
      <c r="AT1137">
        <v>1</v>
      </c>
      <c r="AU1137" t="s">
        <v>348</v>
      </c>
      <c r="AV1137" t="s">
        <v>349</v>
      </c>
      <c r="AW1137" t="s">
        <v>60</v>
      </c>
      <c r="AX1137" t="s">
        <v>68</v>
      </c>
      <c r="AY1137" t="s">
        <v>69</v>
      </c>
      <c r="AZ1137" t="b">
        <v>1</v>
      </c>
    </row>
    <row r="1138" spans="1:52" x14ac:dyDescent="0.3">
      <c r="A1138" t="s">
        <v>52</v>
      </c>
      <c r="B1138" t="s">
        <v>53</v>
      </c>
      <c r="C1138" t="s">
        <v>54</v>
      </c>
      <c r="D1138" t="s">
        <v>55</v>
      </c>
      <c r="E1138" t="s">
        <v>829</v>
      </c>
      <c r="F1138" t="s">
        <v>176</v>
      </c>
      <c r="G1138" t="s">
        <v>350</v>
      </c>
      <c r="H1138" t="s">
        <v>351</v>
      </c>
      <c r="I1138" t="s">
        <v>351</v>
      </c>
      <c r="J1138" t="s">
        <v>60</v>
      </c>
      <c r="K1138" t="s">
        <v>352</v>
      </c>
      <c r="L1138" t="s">
        <v>62</v>
      </c>
      <c r="M1138" t="s">
        <v>352</v>
      </c>
      <c r="N1138" t="s">
        <v>353</v>
      </c>
      <c r="O1138" t="s">
        <v>354</v>
      </c>
      <c r="P1138">
        <v>-19.595734</v>
      </c>
      <c r="Q1138">
        <v>-43.900387000000002</v>
      </c>
      <c r="R1138" s="2" t="str">
        <f>HYPERLINK("https://www.google.com/maps?q=-19.5957340,-43.9003870","Abrir no Google Maps")</f>
        <v>Abrir no Google Maps</v>
      </c>
      <c r="S1138">
        <v>3</v>
      </c>
      <c r="T1138">
        <v>600.67809066127609</v>
      </c>
      <c r="U1138">
        <v>4</v>
      </c>
      <c r="V1138">
        <v>0.63600152877805249</v>
      </c>
      <c r="W1138">
        <v>1</v>
      </c>
      <c r="X1138">
        <v>0.63600152877805249</v>
      </c>
      <c r="Y1138">
        <v>2</v>
      </c>
      <c r="Z1138">
        <v>676.06682548988681</v>
      </c>
      <c r="AA1138">
        <v>2</v>
      </c>
      <c r="AB1138">
        <v>3</v>
      </c>
      <c r="AC1138">
        <v>7</v>
      </c>
      <c r="AD1138">
        <v>27.39</v>
      </c>
      <c r="AE1138">
        <v>253</v>
      </c>
      <c r="AF1138">
        <v>20</v>
      </c>
      <c r="AG1138">
        <v>59</v>
      </c>
      <c r="AH1138">
        <v>32</v>
      </c>
      <c r="AI1138">
        <v>7.91</v>
      </c>
      <c r="AJ1138">
        <v>23.32</v>
      </c>
      <c r="AK1138">
        <v>12.65</v>
      </c>
      <c r="AL1138">
        <v>-19.595574149999951</v>
      </c>
      <c r="AM1138">
        <v>-43.900265035317688</v>
      </c>
      <c r="AN1138">
        <v>-19.595574149999951</v>
      </c>
      <c r="AO1138">
        <v>-43.900265035317688</v>
      </c>
      <c r="AP1138">
        <v>-19.595734</v>
      </c>
      <c r="AQ1138">
        <v>-43.900387000000002</v>
      </c>
      <c r="AR1138">
        <v>21.91456243504582</v>
      </c>
      <c r="AS1138" t="s">
        <v>65</v>
      </c>
      <c r="AT1138">
        <v>1</v>
      </c>
      <c r="AU1138" t="s">
        <v>355</v>
      </c>
      <c r="AV1138" t="s">
        <v>356</v>
      </c>
      <c r="AW1138" t="s">
        <v>60</v>
      </c>
      <c r="AX1138" t="s">
        <v>68</v>
      </c>
      <c r="AY1138" t="s">
        <v>69</v>
      </c>
      <c r="AZ1138" t="b">
        <v>1</v>
      </c>
    </row>
    <row r="1139" spans="1:52" x14ac:dyDescent="0.3">
      <c r="A1139" t="s">
        <v>52</v>
      </c>
      <c r="B1139" t="s">
        <v>53</v>
      </c>
      <c r="C1139" t="s">
        <v>54</v>
      </c>
      <c r="D1139" t="s">
        <v>55</v>
      </c>
      <c r="E1139" t="s">
        <v>829</v>
      </c>
      <c r="F1139" t="s">
        <v>176</v>
      </c>
      <c r="G1139" t="s">
        <v>350</v>
      </c>
      <c r="H1139" t="s">
        <v>363</v>
      </c>
      <c r="I1139" t="s">
        <v>363</v>
      </c>
      <c r="J1139" t="s">
        <v>60</v>
      </c>
      <c r="K1139" t="s">
        <v>364</v>
      </c>
      <c r="L1139" t="s">
        <v>62</v>
      </c>
      <c r="M1139" t="s">
        <v>364</v>
      </c>
      <c r="N1139" t="s">
        <v>353</v>
      </c>
      <c r="O1139" t="s">
        <v>365</v>
      </c>
      <c r="P1139">
        <v>-19.594657000000002</v>
      </c>
      <c r="Q1139">
        <v>-43.901567</v>
      </c>
      <c r="R1139" s="2" t="str">
        <f>HYPERLINK("https://www.google.com/maps?q=-19.5946570,-43.9015670","Abrir no Google Maps")</f>
        <v>Abrir no Google Maps</v>
      </c>
      <c r="S1139">
        <v>3</v>
      </c>
      <c r="T1139">
        <v>592.43040989358553</v>
      </c>
      <c r="U1139">
        <v>4</v>
      </c>
      <c r="V1139">
        <v>0.61946721311475406</v>
      </c>
      <c r="W1139">
        <v>1</v>
      </c>
      <c r="X1139">
        <v>0.61946721311475406</v>
      </c>
      <c r="Y1139">
        <v>2</v>
      </c>
      <c r="Z1139">
        <v>597.4493869225131</v>
      </c>
      <c r="AA1139">
        <v>2</v>
      </c>
      <c r="AB1139">
        <v>3</v>
      </c>
      <c r="AC1139">
        <v>7</v>
      </c>
      <c r="AD1139">
        <v>27.39</v>
      </c>
      <c r="AE1139">
        <v>253</v>
      </c>
      <c r="AF1139">
        <v>20</v>
      </c>
      <c r="AG1139">
        <v>59</v>
      </c>
      <c r="AH1139">
        <v>32</v>
      </c>
      <c r="AI1139">
        <v>7.91</v>
      </c>
      <c r="AJ1139">
        <v>23.32</v>
      </c>
      <c r="AK1139">
        <v>12.65</v>
      </c>
      <c r="AL1139">
        <v>-19.59470494999994</v>
      </c>
      <c r="AM1139">
        <v>-43.901629434678291</v>
      </c>
      <c r="AN1139">
        <v>-19.59470494999994</v>
      </c>
      <c r="AO1139">
        <v>-43.901629434678291</v>
      </c>
      <c r="AP1139">
        <v>-19.594657000000002</v>
      </c>
      <c r="AQ1139">
        <v>-43.901567</v>
      </c>
      <c r="AR1139">
        <v>8.4477696105165858</v>
      </c>
      <c r="AS1139" t="s">
        <v>65</v>
      </c>
      <c r="AT1139">
        <v>1</v>
      </c>
      <c r="AU1139" t="s">
        <v>366</v>
      </c>
      <c r="AV1139" t="s">
        <v>367</v>
      </c>
      <c r="AW1139" t="s">
        <v>60</v>
      </c>
      <c r="AX1139" t="s">
        <v>68</v>
      </c>
      <c r="AY1139" t="s">
        <v>69</v>
      </c>
      <c r="AZ1139" t="b">
        <v>1</v>
      </c>
    </row>
    <row r="1140" spans="1:52" x14ac:dyDescent="0.3">
      <c r="A1140" t="s">
        <v>52</v>
      </c>
      <c r="B1140" t="s">
        <v>53</v>
      </c>
      <c r="C1140" t="s">
        <v>54</v>
      </c>
      <c r="D1140" t="s">
        <v>55</v>
      </c>
      <c r="E1140" t="s">
        <v>829</v>
      </c>
      <c r="F1140" t="s">
        <v>176</v>
      </c>
      <c r="G1140" t="s">
        <v>350</v>
      </c>
      <c r="H1140" t="s">
        <v>368</v>
      </c>
      <c r="I1140" t="s">
        <v>368</v>
      </c>
      <c r="J1140" t="s">
        <v>60</v>
      </c>
      <c r="K1140" t="s">
        <v>364</v>
      </c>
      <c r="L1140" t="s">
        <v>62</v>
      </c>
      <c r="M1140" t="s">
        <v>364</v>
      </c>
      <c r="N1140" t="s">
        <v>353</v>
      </c>
      <c r="O1140" t="s">
        <v>365</v>
      </c>
      <c r="P1140">
        <v>-19.593221</v>
      </c>
      <c r="Q1140">
        <v>-43.901839000000002</v>
      </c>
      <c r="R1140" s="2" t="str">
        <f>HYPERLINK("https://www.google.com/maps?q=-19.5932210,-43.9018390","Abrir no Google Maps")</f>
        <v>Abrir no Google Maps</v>
      </c>
      <c r="S1140">
        <v>3</v>
      </c>
      <c r="T1140">
        <v>741.77482535005606</v>
      </c>
      <c r="U1140">
        <v>4</v>
      </c>
      <c r="V1140">
        <v>0.61393540669856461</v>
      </c>
      <c r="W1140">
        <v>0.85</v>
      </c>
      <c r="X1140">
        <v>0.5218450956937799</v>
      </c>
      <c r="Y1140">
        <v>2</v>
      </c>
      <c r="Z1140">
        <v>790.59331647558088</v>
      </c>
      <c r="AA1140">
        <v>2</v>
      </c>
      <c r="AB1140">
        <v>3</v>
      </c>
      <c r="AC1140">
        <v>7</v>
      </c>
      <c r="AD1140">
        <v>27.39</v>
      </c>
      <c r="AE1140">
        <v>253</v>
      </c>
      <c r="AF1140">
        <v>20</v>
      </c>
      <c r="AG1140">
        <v>59</v>
      </c>
      <c r="AH1140">
        <v>32</v>
      </c>
      <c r="AI1140">
        <v>7.91</v>
      </c>
      <c r="AJ1140">
        <v>23.32</v>
      </c>
      <c r="AK1140">
        <v>12.65</v>
      </c>
      <c r="AL1140">
        <v>-19.593187449999959</v>
      </c>
      <c r="AM1140">
        <v>-43.901700308057322</v>
      </c>
      <c r="AN1140">
        <v>-19.593187449999959</v>
      </c>
      <c r="AO1140">
        <v>-43.901700308057322</v>
      </c>
      <c r="AP1140">
        <v>-19.593221</v>
      </c>
      <c r="AQ1140">
        <v>-43.901839000000002</v>
      </c>
      <c r="AR1140">
        <v>15.017055708279431</v>
      </c>
      <c r="AS1140" t="s">
        <v>65</v>
      </c>
      <c r="AT1140">
        <v>1</v>
      </c>
      <c r="AU1140" t="s">
        <v>369</v>
      </c>
      <c r="AV1140" t="s">
        <v>370</v>
      </c>
      <c r="AW1140" t="s">
        <v>60</v>
      </c>
      <c r="AX1140" t="s">
        <v>68</v>
      </c>
      <c r="AY1140" t="s">
        <v>69</v>
      </c>
      <c r="AZ1140" t="b">
        <v>1</v>
      </c>
    </row>
    <row r="1141" spans="1:52" x14ac:dyDescent="0.3">
      <c r="A1141" t="s">
        <v>52</v>
      </c>
      <c r="B1141" t="s">
        <v>53</v>
      </c>
      <c r="C1141" t="s">
        <v>54</v>
      </c>
      <c r="D1141" t="s">
        <v>55</v>
      </c>
      <c r="E1141" t="s">
        <v>829</v>
      </c>
      <c r="F1141" t="s">
        <v>176</v>
      </c>
      <c r="G1141" t="s">
        <v>371</v>
      </c>
      <c r="H1141" t="s">
        <v>372</v>
      </c>
      <c r="I1141" t="s">
        <v>372</v>
      </c>
      <c r="J1141" t="s">
        <v>60</v>
      </c>
      <c r="K1141" t="s">
        <v>352</v>
      </c>
      <c r="L1141" t="s">
        <v>62</v>
      </c>
      <c r="M1141" t="s">
        <v>352</v>
      </c>
      <c r="N1141" t="s">
        <v>353</v>
      </c>
      <c r="O1141" t="s">
        <v>373</v>
      </c>
      <c r="P1141">
        <v>-19.596541999999999</v>
      </c>
      <c r="Q1141">
        <v>-43.900803000000003</v>
      </c>
      <c r="R1141" s="2" t="str">
        <f>HYPERLINK("https://www.google.com/maps?q=-19.5965420,-43.9008030","Abrir no Google Maps")</f>
        <v>Abrir no Google Maps</v>
      </c>
      <c r="S1141">
        <v>3</v>
      </c>
      <c r="T1141">
        <v>401.18305899095373</v>
      </c>
      <c r="U1141">
        <v>4</v>
      </c>
      <c r="V1141">
        <v>0.6455813446660128</v>
      </c>
      <c r="W1141">
        <v>1</v>
      </c>
      <c r="X1141">
        <v>0.6455813446660128</v>
      </c>
      <c r="Y1141">
        <v>2</v>
      </c>
      <c r="Z1141">
        <v>484.51228510119228</v>
      </c>
      <c r="AA1141">
        <v>2</v>
      </c>
      <c r="AB1141">
        <v>3</v>
      </c>
      <c r="AC1141">
        <v>7</v>
      </c>
      <c r="AD1141">
        <v>27.39</v>
      </c>
      <c r="AE1141">
        <v>253</v>
      </c>
      <c r="AF1141">
        <v>20</v>
      </c>
      <c r="AG1141">
        <v>59</v>
      </c>
      <c r="AH1141">
        <v>32</v>
      </c>
      <c r="AI1141">
        <v>7.91</v>
      </c>
      <c r="AJ1141">
        <v>23.32</v>
      </c>
      <c r="AK1141">
        <v>12.65</v>
      </c>
      <c r="AL1141">
        <v>-19.596464449999932</v>
      </c>
      <c r="AM1141">
        <v>-43.902090320142641</v>
      </c>
      <c r="AN1141">
        <v>-19.596464449999932</v>
      </c>
      <c r="AO1141">
        <v>-43.902090320142641</v>
      </c>
      <c r="AP1141">
        <v>-19.596541999999999</v>
      </c>
      <c r="AQ1141">
        <v>-43.900803000000003</v>
      </c>
      <c r="AR1141">
        <v>135.27975170069479</v>
      </c>
      <c r="AS1141" t="s">
        <v>65</v>
      </c>
      <c r="AT1141">
        <v>1</v>
      </c>
      <c r="AU1141" t="s">
        <v>374</v>
      </c>
      <c r="AV1141" t="s">
        <v>375</v>
      </c>
      <c r="AW1141" t="s">
        <v>60</v>
      </c>
      <c r="AX1141" t="s">
        <v>68</v>
      </c>
      <c r="AY1141" t="s">
        <v>69</v>
      </c>
      <c r="AZ1141" t="b">
        <v>1</v>
      </c>
    </row>
    <row r="1142" spans="1:52" x14ac:dyDescent="0.3">
      <c r="A1142" t="s">
        <v>52</v>
      </c>
      <c r="B1142" t="s">
        <v>53</v>
      </c>
      <c r="C1142" t="s">
        <v>54</v>
      </c>
      <c r="D1142" t="s">
        <v>55</v>
      </c>
      <c r="E1142" t="s">
        <v>829</v>
      </c>
      <c r="F1142" t="s">
        <v>176</v>
      </c>
      <c r="G1142" t="s">
        <v>376</v>
      </c>
      <c r="H1142" t="s">
        <v>377</v>
      </c>
      <c r="I1142" t="s">
        <v>377</v>
      </c>
      <c r="J1142" t="s">
        <v>60</v>
      </c>
      <c r="K1142" t="s">
        <v>352</v>
      </c>
      <c r="L1142" t="s">
        <v>62</v>
      </c>
      <c r="M1142" t="s">
        <v>352</v>
      </c>
      <c r="N1142" t="s">
        <v>378</v>
      </c>
      <c r="O1142" t="s">
        <v>379</v>
      </c>
      <c r="P1142">
        <v>-19.596966999999999</v>
      </c>
      <c r="Q1142">
        <v>-43.90155</v>
      </c>
      <c r="R1142" s="2" t="str">
        <f>HYPERLINK("https://www.google.com/maps?q=-19.5969670,-43.9015500","Abrir no Google Maps")</f>
        <v>Abrir no Google Maps</v>
      </c>
      <c r="S1142">
        <v>3</v>
      </c>
      <c r="T1142">
        <v>366.5160120865408</v>
      </c>
      <c r="U1142">
        <v>4</v>
      </c>
      <c r="V1142">
        <v>0.53390389033254237</v>
      </c>
      <c r="W1142">
        <v>1</v>
      </c>
      <c r="X1142">
        <v>0.53390389033254237</v>
      </c>
      <c r="Y1142">
        <v>2</v>
      </c>
      <c r="Z1142">
        <v>437.88042928493138</v>
      </c>
      <c r="AA1142">
        <v>2</v>
      </c>
      <c r="AB1142">
        <v>3</v>
      </c>
      <c r="AC1142">
        <v>7</v>
      </c>
      <c r="AD1142">
        <v>27.39</v>
      </c>
      <c r="AE1142">
        <v>253</v>
      </c>
      <c r="AF1142">
        <v>20</v>
      </c>
      <c r="AG1142">
        <v>59</v>
      </c>
      <c r="AH1142">
        <v>32</v>
      </c>
      <c r="AI1142">
        <v>7.91</v>
      </c>
      <c r="AJ1142">
        <v>23.32</v>
      </c>
      <c r="AK1142">
        <v>12.65</v>
      </c>
      <c r="AL1142">
        <v>-19.597188549999942</v>
      </c>
      <c r="AM1142">
        <v>-43.901724335633787</v>
      </c>
      <c r="AN1142">
        <v>-19.597188549999942</v>
      </c>
      <c r="AO1142">
        <v>-43.901724335633787</v>
      </c>
      <c r="AP1142">
        <v>-19.596966999999999</v>
      </c>
      <c r="AQ1142">
        <v>-43.90155</v>
      </c>
      <c r="AR1142">
        <v>30.700556875456439</v>
      </c>
      <c r="AS1142" t="s">
        <v>65</v>
      </c>
      <c r="AT1142">
        <v>1</v>
      </c>
      <c r="AU1142" t="s">
        <v>380</v>
      </c>
      <c r="AV1142" t="s">
        <v>381</v>
      </c>
      <c r="AW1142" t="s">
        <v>60</v>
      </c>
      <c r="AX1142" t="s">
        <v>68</v>
      </c>
      <c r="AY1142" t="s">
        <v>69</v>
      </c>
      <c r="AZ1142" t="b">
        <v>1</v>
      </c>
    </row>
    <row r="1143" spans="1:52" x14ac:dyDescent="0.3">
      <c r="A1143" t="s">
        <v>52</v>
      </c>
      <c r="B1143" t="s">
        <v>53</v>
      </c>
      <c r="C1143" t="s">
        <v>54</v>
      </c>
      <c r="D1143" t="s">
        <v>55</v>
      </c>
      <c r="E1143" t="s">
        <v>829</v>
      </c>
      <c r="F1143" t="s">
        <v>176</v>
      </c>
      <c r="G1143" t="s">
        <v>500</v>
      </c>
      <c r="H1143" t="s">
        <v>501</v>
      </c>
      <c r="I1143" t="s">
        <v>501</v>
      </c>
      <c r="J1143" t="s">
        <v>60</v>
      </c>
      <c r="K1143" t="s">
        <v>164</v>
      </c>
      <c r="L1143" t="s">
        <v>62</v>
      </c>
      <c r="M1143" t="s">
        <v>164</v>
      </c>
      <c r="N1143" t="s">
        <v>502</v>
      </c>
      <c r="O1143" t="s">
        <v>503</v>
      </c>
      <c r="P1143">
        <v>-19.665816</v>
      </c>
      <c r="Q1143">
        <v>-43.886322999999997</v>
      </c>
      <c r="R1143" s="2" t="str">
        <f>HYPERLINK("https://www.google.com/maps?q=-19.6658160,-43.8863230","Abrir no Google Maps")</f>
        <v>Abrir no Google Maps</v>
      </c>
      <c r="S1143">
        <v>3</v>
      </c>
      <c r="T1143">
        <v>1149.957610345353</v>
      </c>
      <c r="U1143">
        <v>4</v>
      </c>
      <c r="V1143">
        <v>0.46785128485511202</v>
      </c>
      <c r="W1143">
        <v>1</v>
      </c>
      <c r="X1143">
        <v>0.46785128485511202</v>
      </c>
      <c r="Y1143">
        <v>1</v>
      </c>
      <c r="Z1143">
        <v>381.605286477493</v>
      </c>
      <c r="AA1143">
        <v>2</v>
      </c>
      <c r="AB1143">
        <v>3</v>
      </c>
      <c r="AC1143">
        <v>7</v>
      </c>
      <c r="AD1143">
        <v>27.39</v>
      </c>
      <c r="AE1143">
        <v>253</v>
      </c>
      <c r="AF1143">
        <v>20</v>
      </c>
      <c r="AG1143">
        <v>59</v>
      </c>
      <c r="AH1143">
        <v>32</v>
      </c>
      <c r="AI1143">
        <v>7.91</v>
      </c>
      <c r="AJ1143">
        <v>23.32</v>
      </c>
      <c r="AK1143">
        <v>12.65</v>
      </c>
      <c r="AL1143">
        <v>-19.665844049999951</v>
      </c>
      <c r="AM1143">
        <v>-43.886344205728712</v>
      </c>
      <c r="AN1143">
        <v>-19.665844049999951</v>
      </c>
      <c r="AO1143">
        <v>-43.886344205728712</v>
      </c>
      <c r="AP1143">
        <v>-19.665816</v>
      </c>
      <c r="AQ1143">
        <v>-43.886322999999997</v>
      </c>
      <c r="AR1143">
        <v>3.8329604058735098</v>
      </c>
      <c r="AS1143" t="s">
        <v>65</v>
      </c>
      <c r="AT1143">
        <v>1</v>
      </c>
      <c r="AU1143" t="s">
        <v>504</v>
      </c>
      <c r="AV1143" t="s">
        <v>505</v>
      </c>
      <c r="AW1143" t="s">
        <v>60</v>
      </c>
      <c r="AX1143" t="s">
        <v>68</v>
      </c>
      <c r="AY1143" t="s">
        <v>69</v>
      </c>
      <c r="AZ1143" t="b">
        <v>1</v>
      </c>
    </row>
    <row r="1144" spans="1:52" x14ac:dyDescent="0.3">
      <c r="A1144" t="s">
        <v>52</v>
      </c>
      <c r="B1144" t="s">
        <v>53</v>
      </c>
      <c r="C1144" t="s">
        <v>54</v>
      </c>
      <c r="D1144" t="s">
        <v>55</v>
      </c>
      <c r="E1144" t="s">
        <v>829</v>
      </c>
      <c r="F1144" t="s">
        <v>176</v>
      </c>
      <c r="G1144" t="s">
        <v>506</v>
      </c>
      <c r="H1144" t="s">
        <v>507</v>
      </c>
      <c r="I1144" t="s">
        <v>507</v>
      </c>
      <c r="J1144" t="s">
        <v>60</v>
      </c>
      <c r="K1144" t="s">
        <v>219</v>
      </c>
      <c r="L1144" t="s">
        <v>62</v>
      </c>
      <c r="M1144" t="s">
        <v>219</v>
      </c>
      <c r="N1144" t="s">
        <v>508</v>
      </c>
      <c r="O1144" t="s">
        <v>509</v>
      </c>
      <c r="P1144">
        <v>-19.663573</v>
      </c>
      <c r="Q1144">
        <v>-43.884306000000002</v>
      </c>
      <c r="R1144" s="2" t="str">
        <f>HYPERLINK("https://www.google.com/maps?q=-19.6635730,-43.8843060","Abrir no Google Maps")</f>
        <v>Abrir no Google Maps</v>
      </c>
      <c r="S1144">
        <v>3</v>
      </c>
      <c r="T1144">
        <v>1293.040666597964</v>
      </c>
      <c r="U1144">
        <v>4</v>
      </c>
      <c r="V1144">
        <v>0.48879273655837702</v>
      </c>
      <c r="W1144">
        <v>1</v>
      </c>
      <c r="X1144">
        <v>0.48879273655837702</v>
      </c>
      <c r="Y1144">
        <v>1</v>
      </c>
      <c r="Z1144">
        <v>649.69199246551727</v>
      </c>
      <c r="AA1144">
        <v>2</v>
      </c>
      <c r="AB1144">
        <v>3</v>
      </c>
      <c r="AC1144">
        <v>7</v>
      </c>
      <c r="AD1144">
        <v>27.39</v>
      </c>
      <c r="AE1144">
        <v>253</v>
      </c>
      <c r="AF1144">
        <v>20</v>
      </c>
      <c r="AG1144">
        <v>59</v>
      </c>
      <c r="AH1144">
        <v>32</v>
      </c>
      <c r="AI1144">
        <v>7.91</v>
      </c>
      <c r="AJ1144">
        <v>23.32</v>
      </c>
      <c r="AK1144">
        <v>12.65</v>
      </c>
      <c r="AL1144">
        <v>-19.663616899999969</v>
      </c>
      <c r="AM1144">
        <v>-43.884279937960187</v>
      </c>
      <c r="AN1144">
        <v>-19.663616899999969</v>
      </c>
      <c r="AO1144">
        <v>-43.884279937960187</v>
      </c>
      <c r="AP1144">
        <v>-19.663573</v>
      </c>
      <c r="AQ1144">
        <v>-43.884306000000002</v>
      </c>
      <c r="AR1144">
        <v>5.5987767285658263</v>
      </c>
      <c r="AS1144" t="s">
        <v>65</v>
      </c>
      <c r="AT1144">
        <v>1</v>
      </c>
      <c r="AU1144" t="s">
        <v>510</v>
      </c>
      <c r="AV1144" t="s">
        <v>511</v>
      </c>
      <c r="AW1144" t="s">
        <v>60</v>
      </c>
      <c r="AX1144" t="s">
        <v>68</v>
      </c>
      <c r="AY1144" t="s">
        <v>69</v>
      </c>
      <c r="AZ1144" t="b">
        <v>1</v>
      </c>
    </row>
    <row r="1145" spans="1:52" x14ac:dyDescent="0.3">
      <c r="A1145" t="s">
        <v>52</v>
      </c>
      <c r="B1145" t="s">
        <v>53</v>
      </c>
      <c r="C1145" t="s">
        <v>54</v>
      </c>
      <c r="D1145" t="s">
        <v>55</v>
      </c>
      <c r="E1145" t="s">
        <v>829</v>
      </c>
      <c r="F1145" t="s">
        <v>176</v>
      </c>
      <c r="G1145" t="s">
        <v>382</v>
      </c>
      <c r="H1145" t="s">
        <v>383</v>
      </c>
      <c r="I1145" t="s">
        <v>383</v>
      </c>
      <c r="J1145" t="s">
        <v>60</v>
      </c>
      <c r="K1145" t="s">
        <v>185</v>
      </c>
      <c r="L1145" t="s">
        <v>62</v>
      </c>
      <c r="M1145" t="s">
        <v>185</v>
      </c>
      <c r="N1145" t="s">
        <v>384</v>
      </c>
      <c r="O1145" t="s">
        <v>385</v>
      </c>
      <c r="P1145">
        <v>-19.623774000000001</v>
      </c>
      <c r="Q1145">
        <v>-43.886352000000002</v>
      </c>
      <c r="R1145" s="2" t="str">
        <f>HYPERLINK("https://www.google.com/maps?q=-19.6237740,-43.8863520","Abrir no Google Maps")</f>
        <v>Abrir no Google Maps</v>
      </c>
      <c r="S1145">
        <v>3</v>
      </c>
      <c r="T1145">
        <v>818.17252856383368</v>
      </c>
      <c r="U1145">
        <v>4</v>
      </c>
      <c r="V1145">
        <v>0.50425278349169034</v>
      </c>
      <c r="W1145">
        <v>1</v>
      </c>
      <c r="X1145">
        <v>0.50425278349169034</v>
      </c>
      <c r="Y1145">
        <v>0</v>
      </c>
      <c r="Z1145">
        <v>327.32213182525902</v>
      </c>
      <c r="AA1145">
        <v>2</v>
      </c>
      <c r="AB1145">
        <v>3</v>
      </c>
      <c r="AC1145">
        <v>7</v>
      </c>
      <c r="AD1145">
        <v>27.39</v>
      </c>
      <c r="AE1145">
        <v>253</v>
      </c>
      <c r="AF1145">
        <v>20</v>
      </c>
      <c r="AG1145">
        <v>59</v>
      </c>
      <c r="AH1145">
        <v>32</v>
      </c>
      <c r="AI1145">
        <v>7.91</v>
      </c>
      <c r="AJ1145">
        <v>23.32</v>
      </c>
      <c r="AK1145">
        <v>12.65</v>
      </c>
      <c r="AL1145">
        <v>-19.623056299999941</v>
      </c>
      <c r="AM1145">
        <v>-43.886837120297002</v>
      </c>
      <c r="AN1145">
        <v>-19.623056299999941</v>
      </c>
      <c r="AO1145">
        <v>-43.886837120297002</v>
      </c>
      <c r="AP1145">
        <v>-19.623774000000001</v>
      </c>
      <c r="AQ1145">
        <v>-43.886352000000002</v>
      </c>
      <c r="AR1145">
        <v>94.713149059175393</v>
      </c>
      <c r="AS1145" t="s">
        <v>65</v>
      </c>
      <c r="AT1145">
        <v>1</v>
      </c>
      <c r="AU1145" t="s">
        <v>386</v>
      </c>
      <c r="AV1145" t="s">
        <v>387</v>
      </c>
      <c r="AW1145" t="s">
        <v>60</v>
      </c>
      <c r="AX1145" t="s">
        <v>68</v>
      </c>
      <c r="AY1145" t="s">
        <v>69</v>
      </c>
      <c r="AZ1145" t="b">
        <v>1</v>
      </c>
    </row>
    <row r="1146" spans="1:52" x14ac:dyDescent="0.3">
      <c r="A1146" t="s">
        <v>52</v>
      </c>
      <c r="B1146" t="s">
        <v>53</v>
      </c>
      <c r="C1146" t="s">
        <v>54</v>
      </c>
      <c r="D1146" t="s">
        <v>55</v>
      </c>
      <c r="E1146" t="s">
        <v>829</v>
      </c>
      <c r="F1146" t="s">
        <v>176</v>
      </c>
      <c r="G1146" t="s">
        <v>388</v>
      </c>
      <c r="H1146" t="s">
        <v>389</v>
      </c>
      <c r="I1146" t="s">
        <v>389</v>
      </c>
      <c r="J1146" t="s">
        <v>60</v>
      </c>
      <c r="K1146" t="s">
        <v>185</v>
      </c>
      <c r="L1146" t="s">
        <v>62</v>
      </c>
      <c r="M1146" t="s">
        <v>185</v>
      </c>
      <c r="N1146" t="s">
        <v>390</v>
      </c>
      <c r="O1146" t="s">
        <v>391</v>
      </c>
      <c r="P1146">
        <v>-19.628802</v>
      </c>
      <c r="Q1146">
        <v>-43.891649000000001</v>
      </c>
      <c r="R1146" s="2" t="str">
        <f>HYPERLINK("https://www.google.com/maps?q=-19.6288020,-43.8916490","Abrir no Google Maps")</f>
        <v>Abrir no Google Maps</v>
      </c>
      <c r="S1146">
        <v>3</v>
      </c>
      <c r="T1146">
        <v>0</v>
      </c>
      <c r="U1146">
        <v>3</v>
      </c>
      <c r="V1146">
        <v>0.51712982358143644</v>
      </c>
      <c r="W1146">
        <v>0.85</v>
      </c>
      <c r="X1146">
        <v>0.43956035004422089</v>
      </c>
      <c r="Y1146">
        <v>18</v>
      </c>
      <c r="Z1146">
        <v>117.5064585283839</v>
      </c>
      <c r="AA1146">
        <v>2</v>
      </c>
      <c r="AB1146">
        <v>3</v>
      </c>
      <c r="AC1146">
        <v>7</v>
      </c>
      <c r="AD1146">
        <v>27.39</v>
      </c>
      <c r="AE1146">
        <v>253</v>
      </c>
      <c r="AF1146">
        <v>20</v>
      </c>
      <c r="AG1146">
        <v>59</v>
      </c>
      <c r="AH1146">
        <v>32</v>
      </c>
      <c r="AI1146">
        <v>7.91</v>
      </c>
      <c r="AJ1146">
        <v>23.32</v>
      </c>
      <c r="AK1146">
        <v>12.65</v>
      </c>
      <c r="AL1146">
        <v>-19.628865499999961</v>
      </c>
      <c r="AM1146">
        <v>-43.891662391334172</v>
      </c>
      <c r="AN1146">
        <v>-19.628865499999961</v>
      </c>
      <c r="AO1146">
        <v>-43.891662391334172</v>
      </c>
      <c r="AP1146">
        <v>-19.628802</v>
      </c>
      <c r="AQ1146">
        <v>-43.891649000000001</v>
      </c>
      <c r="AR1146">
        <v>7.2069201904448459</v>
      </c>
      <c r="AS1146" t="s">
        <v>65</v>
      </c>
      <c r="AT1146">
        <v>1</v>
      </c>
      <c r="AU1146" t="s">
        <v>392</v>
      </c>
      <c r="AV1146" t="s">
        <v>393</v>
      </c>
      <c r="AW1146" t="s">
        <v>60</v>
      </c>
      <c r="AX1146" t="s">
        <v>68</v>
      </c>
      <c r="AY1146" t="s">
        <v>69</v>
      </c>
      <c r="AZ1146" t="b">
        <v>1</v>
      </c>
    </row>
    <row r="1147" spans="1:52" x14ac:dyDescent="0.3">
      <c r="A1147" t="s">
        <v>52</v>
      </c>
      <c r="B1147" t="s">
        <v>53</v>
      </c>
      <c r="C1147" t="s">
        <v>54</v>
      </c>
      <c r="D1147" t="s">
        <v>55</v>
      </c>
      <c r="E1147" t="s">
        <v>829</v>
      </c>
      <c r="F1147" t="s">
        <v>176</v>
      </c>
      <c r="G1147" t="s">
        <v>530</v>
      </c>
      <c r="H1147" t="s">
        <v>531</v>
      </c>
      <c r="I1147" t="s">
        <v>531</v>
      </c>
      <c r="J1147" t="s">
        <v>60</v>
      </c>
      <c r="K1147" t="s">
        <v>185</v>
      </c>
      <c r="L1147" t="s">
        <v>62</v>
      </c>
      <c r="M1147" t="s">
        <v>185</v>
      </c>
      <c r="N1147" t="s">
        <v>532</v>
      </c>
      <c r="O1147" t="s">
        <v>533</v>
      </c>
      <c r="P1147">
        <v>-19.625264000000001</v>
      </c>
      <c r="Q1147">
        <v>-43.889451000000001</v>
      </c>
      <c r="R1147" s="2" t="str">
        <f>HYPERLINK("https://www.google.com/maps?q=-19.6252640,-43.8894510","Abrir no Google Maps")</f>
        <v>Abrir no Google Maps</v>
      </c>
      <c r="S1147">
        <v>3</v>
      </c>
      <c r="T1147">
        <v>466.11340370665903</v>
      </c>
      <c r="U1147">
        <v>3</v>
      </c>
      <c r="V1147">
        <v>0.4985014985014985</v>
      </c>
      <c r="W1147">
        <v>0.85</v>
      </c>
      <c r="X1147">
        <v>0.42372627372627369</v>
      </c>
      <c r="Y1147">
        <v>18</v>
      </c>
      <c r="Z1147">
        <v>320.77337440837812</v>
      </c>
      <c r="AA1147">
        <v>2</v>
      </c>
      <c r="AB1147">
        <v>3</v>
      </c>
      <c r="AC1147">
        <v>7</v>
      </c>
      <c r="AD1147">
        <v>27.39</v>
      </c>
      <c r="AE1147">
        <v>253</v>
      </c>
      <c r="AF1147">
        <v>20</v>
      </c>
      <c r="AG1147">
        <v>59</v>
      </c>
      <c r="AH1147">
        <v>32</v>
      </c>
      <c r="AI1147">
        <v>7.91</v>
      </c>
      <c r="AJ1147">
        <v>23.32</v>
      </c>
      <c r="AK1147">
        <v>12.65</v>
      </c>
      <c r="AL1147">
        <v>-19.62516189999997</v>
      </c>
      <c r="AM1147">
        <v>-43.88954614566876</v>
      </c>
      <c r="AN1147">
        <v>-19.62516189999997</v>
      </c>
      <c r="AO1147">
        <v>-43.88954614566876</v>
      </c>
      <c r="AP1147">
        <v>-19.625264000000001</v>
      </c>
      <c r="AQ1147">
        <v>-43.889451000000001</v>
      </c>
      <c r="AR1147">
        <v>15.12310549834147</v>
      </c>
      <c r="AS1147" t="s">
        <v>65</v>
      </c>
      <c r="AT1147">
        <v>1</v>
      </c>
      <c r="AU1147" t="s">
        <v>534</v>
      </c>
      <c r="AV1147" t="s">
        <v>535</v>
      </c>
      <c r="AW1147" t="s">
        <v>60</v>
      </c>
      <c r="AX1147" t="s">
        <v>68</v>
      </c>
      <c r="AY1147" t="s">
        <v>69</v>
      </c>
      <c r="AZ1147" t="b">
        <v>1</v>
      </c>
    </row>
    <row r="1148" spans="1:52" x14ac:dyDescent="0.3">
      <c r="A1148" t="s">
        <v>52</v>
      </c>
      <c r="B1148" t="s">
        <v>53</v>
      </c>
      <c r="C1148" t="s">
        <v>54</v>
      </c>
      <c r="D1148" t="s">
        <v>55</v>
      </c>
      <c r="E1148" t="s">
        <v>829</v>
      </c>
      <c r="F1148" t="s">
        <v>176</v>
      </c>
      <c r="G1148" t="s">
        <v>394</v>
      </c>
      <c r="H1148" t="s">
        <v>395</v>
      </c>
      <c r="I1148" t="s">
        <v>395</v>
      </c>
      <c r="J1148" t="s">
        <v>60</v>
      </c>
      <c r="K1148" t="s">
        <v>286</v>
      </c>
      <c r="L1148" t="s">
        <v>62</v>
      </c>
      <c r="M1148" t="s">
        <v>286</v>
      </c>
      <c r="N1148" t="s">
        <v>396</v>
      </c>
      <c r="O1148" t="s">
        <v>88</v>
      </c>
      <c r="P1148">
        <v>-19.636932999999999</v>
      </c>
      <c r="Q1148">
        <v>-43.882691999999999</v>
      </c>
      <c r="R1148" s="2" t="str">
        <f>HYPERLINK("https://www.google.com/maps?q=-19.6369330,-43.8826920","Abrir no Google Maps")</f>
        <v>Abrir no Google Maps</v>
      </c>
      <c r="S1148">
        <v>3</v>
      </c>
      <c r="T1148">
        <v>523.52675813688109</v>
      </c>
      <c r="U1148">
        <v>3</v>
      </c>
      <c r="V1148">
        <v>0.43254342936539009</v>
      </c>
      <c r="W1148">
        <v>1</v>
      </c>
      <c r="X1148">
        <v>0.43254342936539009</v>
      </c>
      <c r="Y1148">
        <v>10</v>
      </c>
      <c r="Z1148">
        <v>372.58135532659509</v>
      </c>
      <c r="AA1148">
        <v>2</v>
      </c>
      <c r="AB1148">
        <v>3</v>
      </c>
      <c r="AC1148">
        <v>7</v>
      </c>
      <c r="AD1148">
        <v>27.39</v>
      </c>
      <c r="AE1148">
        <v>253</v>
      </c>
      <c r="AF1148">
        <v>20</v>
      </c>
      <c r="AG1148">
        <v>59</v>
      </c>
      <c r="AH1148">
        <v>32</v>
      </c>
      <c r="AI1148">
        <v>7.91</v>
      </c>
      <c r="AJ1148">
        <v>23.32</v>
      </c>
      <c r="AK1148">
        <v>12.65</v>
      </c>
      <c r="AL1148">
        <v>-19.637159949999951</v>
      </c>
      <c r="AM1148">
        <v>-43.882643289441461</v>
      </c>
      <c r="AN1148">
        <v>-19.637159949999951</v>
      </c>
      <c r="AO1148">
        <v>-43.882643289441461</v>
      </c>
      <c r="AP1148">
        <v>-19.636932999999999</v>
      </c>
      <c r="AQ1148">
        <v>-43.882691999999999</v>
      </c>
      <c r="AR1148">
        <v>25.775099947452478</v>
      </c>
      <c r="AS1148" t="s">
        <v>65</v>
      </c>
      <c r="AT1148">
        <v>1</v>
      </c>
      <c r="AU1148" t="s">
        <v>397</v>
      </c>
      <c r="AV1148" t="s">
        <v>398</v>
      </c>
      <c r="AW1148" t="s">
        <v>60</v>
      </c>
      <c r="AX1148" t="s">
        <v>68</v>
      </c>
      <c r="AY1148" t="s">
        <v>69</v>
      </c>
      <c r="AZ1148" t="b">
        <v>1</v>
      </c>
    </row>
    <row r="1149" spans="1:52" x14ac:dyDescent="0.3">
      <c r="A1149" t="s">
        <v>52</v>
      </c>
      <c r="B1149" t="s">
        <v>53</v>
      </c>
      <c r="C1149" t="s">
        <v>54</v>
      </c>
      <c r="D1149" t="s">
        <v>55</v>
      </c>
      <c r="E1149" t="s">
        <v>829</v>
      </c>
      <c r="F1149" t="s">
        <v>176</v>
      </c>
      <c r="G1149" t="s">
        <v>399</v>
      </c>
      <c r="H1149" t="s">
        <v>400</v>
      </c>
      <c r="I1149" t="s">
        <v>400</v>
      </c>
      <c r="J1149" t="s">
        <v>60</v>
      </c>
      <c r="K1149" t="s">
        <v>286</v>
      </c>
      <c r="L1149" t="s">
        <v>62</v>
      </c>
      <c r="M1149" t="s">
        <v>286</v>
      </c>
      <c r="N1149" t="s">
        <v>401</v>
      </c>
      <c r="O1149" t="s">
        <v>402</v>
      </c>
      <c r="P1149">
        <v>-19.639906</v>
      </c>
      <c r="Q1149">
        <v>-43.886059000000003</v>
      </c>
      <c r="R1149" s="2" t="str">
        <f>HYPERLINK("https://www.google.com/maps?q=-19.6399060,-43.8860590","Abrir no Google Maps")</f>
        <v>Abrir no Google Maps</v>
      </c>
      <c r="S1149">
        <v>3</v>
      </c>
      <c r="T1149">
        <v>256.0748811302048</v>
      </c>
      <c r="U1149">
        <v>3</v>
      </c>
      <c r="V1149">
        <v>0.41581661092530658</v>
      </c>
      <c r="W1149">
        <v>1</v>
      </c>
      <c r="X1149">
        <v>0.41581661092530658</v>
      </c>
      <c r="Y1149">
        <v>10</v>
      </c>
      <c r="Z1149">
        <v>205.06236700857289</v>
      </c>
      <c r="AA1149">
        <v>2</v>
      </c>
      <c r="AB1149">
        <v>3</v>
      </c>
      <c r="AC1149">
        <v>7</v>
      </c>
      <c r="AD1149">
        <v>27.39</v>
      </c>
      <c r="AE1149">
        <v>253</v>
      </c>
      <c r="AF1149">
        <v>20</v>
      </c>
      <c r="AG1149">
        <v>59</v>
      </c>
      <c r="AH1149">
        <v>32</v>
      </c>
      <c r="AI1149">
        <v>7.91</v>
      </c>
      <c r="AJ1149">
        <v>23.32</v>
      </c>
      <c r="AK1149">
        <v>12.65</v>
      </c>
      <c r="AL1149">
        <v>-19.639789499999949</v>
      </c>
      <c r="AM1149">
        <v>-43.885737855031408</v>
      </c>
      <c r="AN1149">
        <v>-19.639789499999949</v>
      </c>
      <c r="AO1149">
        <v>-43.885737855031408</v>
      </c>
      <c r="AP1149">
        <v>-19.639906</v>
      </c>
      <c r="AQ1149">
        <v>-43.886059000000003</v>
      </c>
      <c r="AR1149">
        <v>36.081349702130403</v>
      </c>
      <c r="AS1149" t="s">
        <v>65</v>
      </c>
      <c r="AT1149">
        <v>1</v>
      </c>
      <c r="AU1149" t="s">
        <v>403</v>
      </c>
      <c r="AV1149" t="s">
        <v>404</v>
      </c>
      <c r="AW1149" t="s">
        <v>60</v>
      </c>
      <c r="AX1149" t="s">
        <v>68</v>
      </c>
      <c r="AY1149" t="s">
        <v>69</v>
      </c>
      <c r="AZ1149" t="b">
        <v>1</v>
      </c>
    </row>
    <row r="1150" spans="1:52" x14ac:dyDescent="0.3">
      <c r="A1150" t="s">
        <v>52</v>
      </c>
      <c r="B1150" t="s">
        <v>53</v>
      </c>
      <c r="C1150" t="s">
        <v>54</v>
      </c>
      <c r="D1150" t="s">
        <v>55</v>
      </c>
      <c r="E1150" t="s">
        <v>829</v>
      </c>
      <c r="F1150" t="s">
        <v>176</v>
      </c>
      <c r="G1150" t="s">
        <v>228</v>
      </c>
      <c r="H1150" t="s">
        <v>423</v>
      </c>
      <c r="I1150" t="s">
        <v>423</v>
      </c>
      <c r="J1150" t="s">
        <v>60</v>
      </c>
      <c r="K1150" t="s">
        <v>286</v>
      </c>
      <c r="L1150" t="s">
        <v>62</v>
      </c>
      <c r="M1150" t="s">
        <v>286</v>
      </c>
      <c r="N1150" t="s">
        <v>230</v>
      </c>
      <c r="O1150" t="s">
        <v>424</v>
      </c>
      <c r="P1150">
        <v>-19.641656999999999</v>
      </c>
      <c r="Q1150">
        <v>-43.884228999999998</v>
      </c>
      <c r="R1150" s="2" t="str">
        <f>HYPERLINK("https://www.google.com/maps?q=-19.6416570,-43.8842290","Abrir no Google Maps")</f>
        <v>Abrir no Google Maps</v>
      </c>
      <c r="S1150">
        <v>3</v>
      </c>
      <c r="T1150">
        <v>0</v>
      </c>
      <c r="U1150">
        <v>3</v>
      </c>
      <c r="V1150">
        <v>0.4465645552094149</v>
      </c>
      <c r="W1150">
        <v>1</v>
      </c>
      <c r="X1150">
        <v>0.4465645552094149</v>
      </c>
      <c r="Y1150">
        <v>7</v>
      </c>
      <c r="Z1150">
        <v>67.727401070752876</v>
      </c>
      <c r="AA1150">
        <v>2</v>
      </c>
      <c r="AB1150">
        <v>3</v>
      </c>
      <c r="AC1150">
        <v>7</v>
      </c>
      <c r="AD1150">
        <v>27.39</v>
      </c>
      <c r="AE1150">
        <v>253</v>
      </c>
      <c r="AF1150">
        <v>20</v>
      </c>
      <c r="AG1150">
        <v>59</v>
      </c>
      <c r="AH1150">
        <v>32</v>
      </c>
      <c r="AI1150">
        <v>7.91</v>
      </c>
      <c r="AJ1150">
        <v>23.32</v>
      </c>
      <c r="AK1150">
        <v>12.65</v>
      </c>
      <c r="AL1150">
        <v>-19.641634199999942</v>
      </c>
      <c r="AM1150">
        <v>-43.884263743972831</v>
      </c>
      <c r="AN1150">
        <v>-19.641634199999942</v>
      </c>
      <c r="AO1150">
        <v>-43.884263743972831</v>
      </c>
      <c r="AP1150">
        <v>-19.641656999999999</v>
      </c>
      <c r="AQ1150">
        <v>-43.884228999999998</v>
      </c>
      <c r="AR1150">
        <v>4.4396888961435659</v>
      </c>
      <c r="AS1150" t="s">
        <v>65</v>
      </c>
      <c r="AT1150">
        <v>1</v>
      </c>
      <c r="AU1150" t="s">
        <v>425</v>
      </c>
      <c r="AV1150" t="s">
        <v>426</v>
      </c>
      <c r="AW1150" t="s">
        <v>60</v>
      </c>
      <c r="AX1150" t="s">
        <v>68</v>
      </c>
      <c r="AY1150" t="s">
        <v>69</v>
      </c>
      <c r="AZ1150" t="b">
        <v>1</v>
      </c>
    </row>
    <row r="1151" spans="1:52" x14ac:dyDescent="0.3">
      <c r="A1151" t="s">
        <v>52</v>
      </c>
      <c r="B1151" t="s">
        <v>53</v>
      </c>
      <c r="C1151" t="s">
        <v>54</v>
      </c>
      <c r="D1151" t="s">
        <v>55</v>
      </c>
      <c r="E1151" t="s">
        <v>829</v>
      </c>
      <c r="F1151" t="s">
        <v>176</v>
      </c>
      <c r="G1151" t="s">
        <v>670</v>
      </c>
      <c r="H1151" t="s">
        <v>671</v>
      </c>
      <c r="I1151" t="s">
        <v>671</v>
      </c>
      <c r="J1151" t="s">
        <v>60</v>
      </c>
      <c r="K1151" t="s">
        <v>672</v>
      </c>
      <c r="L1151" t="s">
        <v>62</v>
      </c>
      <c r="M1151" t="s">
        <v>672</v>
      </c>
      <c r="N1151" t="s">
        <v>673</v>
      </c>
      <c r="O1151" t="s">
        <v>424</v>
      </c>
      <c r="P1151">
        <v>-19.574909999999999</v>
      </c>
      <c r="Q1151">
        <v>-43.906655999999998</v>
      </c>
      <c r="R1151" s="2" t="str">
        <f>HYPERLINK("https://www.google.com/maps?q=-19.5749100,-43.9066560","Abrir no Google Maps")</f>
        <v>Abrir no Google Maps</v>
      </c>
      <c r="S1151">
        <v>3</v>
      </c>
      <c r="T1151">
        <v>1366.716412286687</v>
      </c>
      <c r="U1151">
        <v>3</v>
      </c>
      <c r="V1151">
        <v>0.417163765707455</v>
      </c>
      <c r="W1151">
        <v>1</v>
      </c>
      <c r="X1151">
        <v>0.417163765707455</v>
      </c>
      <c r="Y1151">
        <v>7</v>
      </c>
      <c r="Z1151">
        <v>1153.3004962806151</v>
      </c>
      <c r="AA1151">
        <v>2</v>
      </c>
      <c r="AB1151">
        <v>3</v>
      </c>
      <c r="AC1151">
        <v>7</v>
      </c>
      <c r="AD1151">
        <v>27.39</v>
      </c>
      <c r="AE1151">
        <v>253</v>
      </c>
      <c r="AF1151">
        <v>20</v>
      </c>
      <c r="AG1151">
        <v>59</v>
      </c>
      <c r="AH1151">
        <v>32</v>
      </c>
      <c r="AI1151">
        <v>7.91</v>
      </c>
      <c r="AJ1151">
        <v>23.32</v>
      </c>
      <c r="AK1151">
        <v>12.65</v>
      </c>
      <c r="AL1151">
        <v>-19.574026899999978</v>
      </c>
      <c r="AM1151">
        <v>-43.907476033591983</v>
      </c>
      <c r="AN1151">
        <v>-19.574026899999978</v>
      </c>
      <c r="AO1151">
        <v>-43.907476033591983</v>
      </c>
      <c r="AP1151">
        <v>-19.574909999999999</v>
      </c>
      <c r="AQ1151">
        <v>-43.906655999999998</v>
      </c>
      <c r="AR1151">
        <v>130.62174183264671</v>
      </c>
      <c r="AS1151" t="s">
        <v>65</v>
      </c>
      <c r="AT1151">
        <v>1</v>
      </c>
      <c r="AU1151" t="s">
        <v>674</v>
      </c>
      <c r="AV1151" t="s">
        <v>675</v>
      </c>
      <c r="AW1151" t="s">
        <v>60</v>
      </c>
      <c r="AX1151" t="s">
        <v>68</v>
      </c>
      <c r="AY1151" t="s">
        <v>69</v>
      </c>
      <c r="AZ1151" t="b">
        <v>1</v>
      </c>
    </row>
    <row r="1152" spans="1:52" x14ac:dyDescent="0.3">
      <c r="A1152" t="s">
        <v>52</v>
      </c>
      <c r="B1152" t="s">
        <v>53</v>
      </c>
      <c r="C1152" t="s">
        <v>54</v>
      </c>
      <c r="D1152" t="s">
        <v>55</v>
      </c>
      <c r="E1152" t="s">
        <v>829</v>
      </c>
      <c r="F1152" t="s">
        <v>176</v>
      </c>
      <c r="G1152" t="s">
        <v>427</v>
      </c>
      <c r="H1152" t="s">
        <v>428</v>
      </c>
      <c r="I1152" t="s">
        <v>428</v>
      </c>
      <c r="J1152" t="s">
        <v>60</v>
      </c>
      <c r="K1152" t="s">
        <v>311</v>
      </c>
      <c r="L1152" t="s">
        <v>62</v>
      </c>
      <c r="M1152" t="s">
        <v>311</v>
      </c>
      <c r="N1152" t="s">
        <v>429</v>
      </c>
      <c r="O1152" t="s">
        <v>430</v>
      </c>
      <c r="P1152">
        <v>-19.574636999999999</v>
      </c>
      <c r="Q1152">
        <v>-43.919919999999998</v>
      </c>
      <c r="R1152" s="2" t="str">
        <f>HYPERLINK("https://www.google.com/maps?q=-19.5746370,-43.9199200","Abrir no Google Maps")</f>
        <v>Abrir no Google Maps</v>
      </c>
      <c r="S1152">
        <v>3</v>
      </c>
      <c r="T1152">
        <v>0</v>
      </c>
      <c r="U1152">
        <v>3</v>
      </c>
      <c r="V1152">
        <v>0.44048732522723461</v>
      </c>
      <c r="W1152">
        <v>1</v>
      </c>
      <c r="X1152">
        <v>0.44048732522723461</v>
      </c>
      <c r="Y1152">
        <v>5</v>
      </c>
      <c r="Z1152">
        <v>161.2304444692663</v>
      </c>
      <c r="AA1152">
        <v>2</v>
      </c>
      <c r="AB1152">
        <v>3</v>
      </c>
      <c r="AC1152">
        <v>7</v>
      </c>
      <c r="AD1152">
        <v>27.39</v>
      </c>
      <c r="AE1152">
        <v>253</v>
      </c>
      <c r="AF1152">
        <v>20</v>
      </c>
      <c r="AG1152">
        <v>59</v>
      </c>
      <c r="AH1152">
        <v>32</v>
      </c>
      <c r="AI1152">
        <v>7.91</v>
      </c>
      <c r="AJ1152">
        <v>23.32</v>
      </c>
      <c r="AK1152">
        <v>12.65</v>
      </c>
      <c r="AL1152">
        <v>-19.57444484999996</v>
      </c>
      <c r="AM1152">
        <v>-43.920497272225433</v>
      </c>
      <c r="AN1152">
        <v>-19.57444484999996</v>
      </c>
      <c r="AO1152">
        <v>-43.920497272225433</v>
      </c>
      <c r="AP1152">
        <v>-19.574636999999999</v>
      </c>
      <c r="AQ1152">
        <v>-43.919919999999998</v>
      </c>
      <c r="AR1152">
        <v>64.215298992893679</v>
      </c>
      <c r="AS1152" t="s">
        <v>65</v>
      </c>
      <c r="AT1152">
        <v>1</v>
      </c>
      <c r="AU1152" t="s">
        <v>431</v>
      </c>
      <c r="AV1152" t="s">
        <v>432</v>
      </c>
      <c r="AW1152" t="s">
        <v>60</v>
      </c>
      <c r="AX1152" t="s">
        <v>68</v>
      </c>
      <c r="AY1152" t="s">
        <v>69</v>
      </c>
      <c r="AZ1152" t="b">
        <v>1</v>
      </c>
    </row>
    <row r="1153" spans="1:52" x14ac:dyDescent="0.3">
      <c r="A1153" t="s">
        <v>52</v>
      </c>
      <c r="B1153" t="s">
        <v>53</v>
      </c>
      <c r="C1153" t="s">
        <v>54</v>
      </c>
      <c r="D1153" t="s">
        <v>55</v>
      </c>
      <c r="E1153" t="s">
        <v>829</v>
      </c>
      <c r="F1153" t="s">
        <v>176</v>
      </c>
      <c r="G1153" t="s">
        <v>433</v>
      </c>
      <c r="H1153" t="s">
        <v>434</v>
      </c>
      <c r="I1153" t="s">
        <v>434</v>
      </c>
      <c r="J1153" t="s">
        <v>60</v>
      </c>
      <c r="K1153" t="s">
        <v>311</v>
      </c>
      <c r="L1153" t="s">
        <v>62</v>
      </c>
      <c r="M1153" t="s">
        <v>311</v>
      </c>
      <c r="N1153" t="s">
        <v>435</v>
      </c>
      <c r="O1153" t="s">
        <v>120</v>
      </c>
      <c r="P1153">
        <v>-19.563834</v>
      </c>
      <c r="Q1153">
        <v>-43.917617</v>
      </c>
      <c r="R1153" s="2" t="str">
        <f>HYPERLINK("https://www.google.com/maps?q=-19.5638340,-43.9176170","Abrir no Google Maps")</f>
        <v>Abrir no Google Maps</v>
      </c>
      <c r="S1153">
        <v>3</v>
      </c>
      <c r="T1153">
        <v>1208.4380275937069</v>
      </c>
      <c r="U1153">
        <v>3</v>
      </c>
      <c r="V1153">
        <v>0.4511156186612576</v>
      </c>
      <c r="W1153">
        <v>1</v>
      </c>
      <c r="X1153">
        <v>0.4511156186612576</v>
      </c>
      <c r="Y1153">
        <v>5</v>
      </c>
      <c r="Z1153">
        <v>1239.357315084522</v>
      </c>
      <c r="AA1153">
        <v>2</v>
      </c>
      <c r="AB1153">
        <v>3</v>
      </c>
      <c r="AC1153">
        <v>7</v>
      </c>
      <c r="AD1153">
        <v>27.39</v>
      </c>
      <c r="AE1153">
        <v>253</v>
      </c>
      <c r="AF1153">
        <v>20</v>
      </c>
      <c r="AG1153">
        <v>59</v>
      </c>
      <c r="AH1153">
        <v>32</v>
      </c>
      <c r="AI1153">
        <v>7.91</v>
      </c>
      <c r="AJ1153">
        <v>23.32</v>
      </c>
      <c r="AK1153">
        <v>12.65</v>
      </c>
      <c r="AL1153">
        <v>-19.563932349999959</v>
      </c>
      <c r="AM1153">
        <v>-43.917383104532327</v>
      </c>
      <c r="AN1153">
        <v>-19.563932349999959</v>
      </c>
      <c r="AO1153">
        <v>-43.917383104532327</v>
      </c>
      <c r="AP1153">
        <v>-19.563834</v>
      </c>
      <c r="AQ1153">
        <v>-43.917617</v>
      </c>
      <c r="AR1153">
        <v>26.86608405010627</v>
      </c>
      <c r="AS1153" t="s">
        <v>65</v>
      </c>
      <c r="AT1153">
        <v>1</v>
      </c>
      <c r="AU1153" t="s">
        <v>436</v>
      </c>
      <c r="AV1153" t="s">
        <v>437</v>
      </c>
      <c r="AW1153" t="s">
        <v>60</v>
      </c>
      <c r="AX1153" t="s">
        <v>68</v>
      </c>
      <c r="AY1153" t="s">
        <v>69</v>
      </c>
      <c r="AZ1153" t="b">
        <v>1</v>
      </c>
    </row>
    <row r="1154" spans="1:52" x14ac:dyDescent="0.3">
      <c r="A1154" t="s">
        <v>52</v>
      </c>
      <c r="B1154" t="s">
        <v>53</v>
      </c>
      <c r="C1154" t="s">
        <v>54</v>
      </c>
      <c r="D1154" t="s">
        <v>55</v>
      </c>
      <c r="E1154" t="s">
        <v>829</v>
      </c>
      <c r="F1154" t="s">
        <v>176</v>
      </c>
      <c r="G1154" t="s">
        <v>712</v>
      </c>
      <c r="H1154" t="s">
        <v>713</v>
      </c>
      <c r="I1154" t="s">
        <v>713</v>
      </c>
      <c r="J1154" t="s">
        <v>60</v>
      </c>
      <c r="K1154" t="s">
        <v>192</v>
      </c>
      <c r="L1154" t="s">
        <v>62</v>
      </c>
      <c r="M1154" t="s">
        <v>192</v>
      </c>
      <c r="N1154" t="s">
        <v>714</v>
      </c>
      <c r="O1154" t="s">
        <v>715</v>
      </c>
      <c r="P1154">
        <v>-19.653379999999999</v>
      </c>
      <c r="Q1154">
        <v>-43.914634999999997</v>
      </c>
      <c r="R1154" s="2" t="str">
        <f>HYPERLINK("https://www.google.com/maps?q=-19.6533800,-43.9146350","Abrir no Google Maps")</f>
        <v>Abrir no Google Maps</v>
      </c>
      <c r="S1154">
        <v>3</v>
      </c>
      <c r="T1154">
        <v>1209.6845317210091</v>
      </c>
      <c r="U1154">
        <v>3</v>
      </c>
      <c r="V1154">
        <v>0.419047619047619</v>
      </c>
      <c r="W1154">
        <v>1</v>
      </c>
      <c r="X1154">
        <v>0.419047619047619</v>
      </c>
      <c r="Y1154">
        <v>4</v>
      </c>
      <c r="Z1154">
        <v>948.79528152345983</v>
      </c>
      <c r="AA1154">
        <v>2</v>
      </c>
      <c r="AB1154">
        <v>3</v>
      </c>
      <c r="AC1154">
        <v>7</v>
      </c>
      <c r="AD1154">
        <v>27.39</v>
      </c>
      <c r="AE1154">
        <v>253</v>
      </c>
      <c r="AF1154">
        <v>20</v>
      </c>
      <c r="AG1154">
        <v>59</v>
      </c>
      <c r="AH1154">
        <v>32</v>
      </c>
      <c r="AI1154">
        <v>7.91</v>
      </c>
      <c r="AJ1154">
        <v>23.32</v>
      </c>
      <c r="AK1154">
        <v>12.65</v>
      </c>
      <c r="AL1154">
        <v>-19.653402249999939</v>
      </c>
      <c r="AM1154">
        <v>-43.91489200796137</v>
      </c>
      <c r="AN1154">
        <v>-19.653402249999939</v>
      </c>
      <c r="AO1154">
        <v>-43.91489200796137</v>
      </c>
      <c r="AP1154">
        <v>-19.653379999999999</v>
      </c>
      <c r="AQ1154">
        <v>-43.914634999999997</v>
      </c>
      <c r="AR1154">
        <v>27.0570338493382</v>
      </c>
      <c r="AS1154" t="s">
        <v>65</v>
      </c>
      <c r="AT1154">
        <v>1</v>
      </c>
      <c r="AU1154" t="s">
        <v>716</v>
      </c>
      <c r="AV1154" t="s">
        <v>717</v>
      </c>
      <c r="AW1154" t="s">
        <v>60</v>
      </c>
      <c r="AX1154" t="s">
        <v>68</v>
      </c>
      <c r="AY1154" t="s">
        <v>69</v>
      </c>
      <c r="AZ1154" t="b">
        <v>1</v>
      </c>
    </row>
    <row r="1155" spans="1:52" x14ac:dyDescent="0.3">
      <c r="A1155" t="s">
        <v>52</v>
      </c>
      <c r="B1155" t="s">
        <v>53</v>
      </c>
      <c r="C1155" t="s">
        <v>54</v>
      </c>
      <c r="D1155" t="s">
        <v>55</v>
      </c>
      <c r="E1155" t="s">
        <v>829</v>
      </c>
      <c r="F1155" t="s">
        <v>176</v>
      </c>
      <c r="G1155" t="s">
        <v>438</v>
      </c>
      <c r="H1155" t="s">
        <v>439</v>
      </c>
      <c r="I1155" t="s">
        <v>439</v>
      </c>
      <c r="J1155" t="s">
        <v>60</v>
      </c>
      <c r="K1155" t="s">
        <v>199</v>
      </c>
      <c r="L1155" t="s">
        <v>62</v>
      </c>
      <c r="M1155" t="s">
        <v>199</v>
      </c>
      <c r="N1155" t="s">
        <v>440</v>
      </c>
      <c r="O1155" t="s">
        <v>120</v>
      </c>
      <c r="P1155">
        <v>-19.642907000000001</v>
      </c>
      <c r="Q1155">
        <v>-43.912584000000003</v>
      </c>
      <c r="R1155" s="2" t="str">
        <f>HYPERLINK("https://www.google.com/maps?q=-19.6429070,-43.9125840","Abrir no Google Maps")</f>
        <v>Abrir no Google Maps</v>
      </c>
      <c r="S1155">
        <v>3</v>
      </c>
      <c r="T1155">
        <v>0</v>
      </c>
      <c r="U1155">
        <v>3</v>
      </c>
      <c r="V1155">
        <v>0.42941065969909659</v>
      </c>
      <c r="W1155">
        <v>1</v>
      </c>
      <c r="X1155">
        <v>0.42941065969909659</v>
      </c>
      <c r="Y1155">
        <v>4</v>
      </c>
      <c r="Z1155">
        <v>617.66392653629225</v>
      </c>
      <c r="AA1155">
        <v>2</v>
      </c>
      <c r="AB1155">
        <v>3</v>
      </c>
      <c r="AC1155">
        <v>7</v>
      </c>
      <c r="AD1155">
        <v>27.39</v>
      </c>
      <c r="AE1155">
        <v>253</v>
      </c>
      <c r="AF1155">
        <v>20</v>
      </c>
      <c r="AG1155">
        <v>59</v>
      </c>
      <c r="AH1155">
        <v>32</v>
      </c>
      <c r="AI1155">
        <v>7.91</v>
      </c>
      <c r="AJ1155">
        <v>23.32</v>
      </c>
      <c r="AK1155">
        <v>12.65</v>
      </c>
      <c r="AL1155">
        <v>-19.64265969999996</v>
      </c>
      <c r="AM1155">
        <v>-43.912763285666202</v>
      </c>
      <c r="AN1155">
        <v>-19.64265969999996</v>
      </c>
      <c r="AO1155">
        <v>-43.912763285666202</v>
      </c>
      <c r="AP1155">
        <v>-19.642907000000001</v>
      </c>
      <c r="AQ1155">
        <v>-43.912584000000003</v>
      </c>
      <c r="AR1155">
        <v>33.334435483196202</v>
      </c>
      <c r="AS1155" t="s">
        <v>65</v>
      </c>
      <c r="AT1155">
        <v>1</v>
      </c>
      <c r="AU1155" t="s">
        <v>441</v>
      </c>
      <c r="AV1155" t="s">
        <v>442</v>
      </c>
      <c r="AW1155" t="s">
        <v>60</v>
      </c>
      <c r="AX1155" t="s">
        <v>68</v>
      </c>
      <c r="AY1155" t="s">
        <v>69</v>
      </c>
      <c r="AZ1155" t="b">
        <v>1</v>
      </c>
    </row>
    <row r="1156" spans="1:52" x14ac:dyDescent="0.3">
      <c r="A1156" t="s">
        <v>52</v>
      </c>
      <c r="B1156" t="s">
        <v>53</v>
      </c>
      <c r="C1156" t="s">
        <v>54</v>
      </c>
      <c r="D1156" t="s">
        <v>55</v>
      </c>
      <c r="E1156" t="s">
        <v>829</v>
      </c>
      <c r="F1156" t="s">
        <v>176</v>
      </c>
      <c r="G1156" t="s">
        <v>443</v>
      </c>
      <c r="H1156" t="s">
        <v>444</v>
      </c>
      <c r="I1156" t="s">
        <v>444</v>
      </c>
      <c r="J1156" t="s">
        <v>60</v>
      </c>
      <c r="K1156" t="s">
        <v>445</v>
      </c>
      <c r="L1156" t="s">
        <v>62</v>
      </c>
      <c r="M1156" t="s">
        <v>445</v>
      </c>
      <c r="N1156" t="s">
        <v>446</v>
      </c>
      <c r="O1156" t="s">
        <v>447</v>
      </c>
      <c r="P1156">
        <v>-19.650062999999999</v>
      </c>
      <c r="Q1156">
        <v>-43.878337000000002</v>
      </c>
      <c r="R1156" s="2" t="str">
        <f>HYPERLINK("https://www.google.com/maps?q=-19.6500630,-43.8783370","Abrir no Google Maps")</f>
        <v>Abrir no Google Maps</v>
      </c>
      <c r="S1156">
        <v>3</v>
      </c>
      <c r="T1156">
        <v>839.11860749856135</v>
      </c>
      <c r="U1156">
        <v>3</v>
      </c>
      <c r="V1156">
        <v>0.42382427606385259</v>
      </c>
      <c r="W1156">
        <v>1</v>
      </c>
      <c r="X1156">
        <v>0.42382427606385259</v>
      </c>
      <c r="Y1156">
        <v>3</v>
      </c>
      <c r="Z1156">
        <v>698.86168887476526</v>
      </c>
      <c r="AA1156">
        <v>2</v>
      </c>
      <c r="AB1156">
        <v>3</v>
      </c>
      <c r="AC1156">
        <v>7</v>
      </c>
      <c r="AD1156">
        <v>27.39</v>
      </c>
      <c r="AE1156">
        <v>253</v>
      </c>
      <c r="AF1156">
        <v>20</v>
      </c>
      <c r="AG1156">
        <v>59</v>
      </c>
      <c r="AH1156">
        <v>32</v>
      </c>
      <c r="AI1156">
        <v>7.91</v>
      </c>
      <c r="AJ1156">
        <v>23.32</v>
      </c>
      <c r="AK1156">
        <v>12.65</v>
      </c>
      <c r="AL1156">
        <v>-19.650555399999941</v>
      </c>
      <c r="AM1156">
        <v>-43.878603008553611</v>
      </c>
      <c r="AN1156">
        <v>-19.650555399999941</v>
      </c>
      <c r="AO1156">
        <v>-43.878603008553611</v>
      </c>
      <c r="AP1156">
        <v>-19.650062999999999</v>
      </c>
      <c r="AQ1156">
        <v>-43.878337000000002</v>
      </c>
      <c r="AR1156">
        <v>61.500273251918507</v>
      </c>
      <c r="AS1156" t="s">
        <v>65</v>
      </c>
      <c r="AT1156">
        <v>1</v>
      </c>
      <c r="AU1156" t="s">
        <v>448</v>
      </c>
      <c r="AV1156" t="s">
        <v>449</v>
      </c>
      <c r="AW1156" t="s">
        <v>60</v>
      </c>
      <c r="AX1156" t="s">
        <v>68</v>
      </c>
      <c r="AY1156" t="s">
        <v>69</v>
      </c>
      <c r="AZ1156" t="b">
        <v>1</v>
      </c>
    </row>
    <row r="1157" spans="1:52" x14ac:dyDescent="0.3">
      <c r="A1157" t="s">
        <v>52</v>
      </c>
      <c r="B1157" t="s">
        <v>53</v>
      </c>
      <c r="C1157" t="s">
        <v>54</v>
      </c>
      <c r="D1157" t="s">
        <v>55</v>
      </c>
      <c r="E1157" t="s">
        <v>829</v>
      </c>
      <c r="F1157" t="s">
        <v>176</v>
      </c>
      <c r="G1157" t="s">
        <v>450</v>
      </c>
      <c r="H1157" t="s">
        <v>451</v>
      </c>
      <c r="I1157" t="s">
        <v>451</v>
      </c>
      <c r="J1157" t="s">
        <v>60</v>
      </c>
      <c r="K1157" t="s">
        <v>452</v>
      </c>
      <c r="L1157" t="s">
        <v>62</v>
      </c>
      <c r="M1157" t="s">
        <v>452</v>
      </c>
      <c r="N1157" t="s">
        <v>453</v>
      </c>
      <c r="O1157" t="s">
        <v>454</v>
      </c>
      <c r="P1157">
        <v>-19.649691000000001</v>
      </c>
      <c r="Q1157">
        <v>-43.873970999999997</v>
      </c>
      <c r="R1157" s="2" t="str">
        <f>HYPERLINK("https://www.google.com/maps?q=-19.6496910,-43.8739710","Abrir no Google Maps")</f>
        <v>Abrir no Google Maps</v>
      </c>
      <c r="S1157">
        <v>3</v>
      </c>
      <c r="T1157">
        <v>433.54329587849469</v>
      </c>
      <c r="U1157">
        <v>3</v>
      </c>
      <c r="V1157">
        <v>0.44567219152854509</v>
      </c>
      <c r="W1157">
        <v>1</v>
      </c>
      <c r="X1157">
        <v>0.44567219152854509</v>
      </c>
      <c r="Y1157">
        <v>3</v>
      </c>
      <c r="Z1157">
        <v>298.71042308886041</v>
      </c>
      <c r="AA1157">
        <v>2</v>
      </c>
      <c r="AB1157">
        <v>3</v>
      </c>
      <c r="AC1157">
        <v>7</v>
      </c>
      <c r="AD1157">
        <v>27.39</v>
      </c>
      <c r="AE1157">
        <v>253</v>
      </c>
      <c r="AF1157">
        <v>20</v>
      </c>
      <c r="AG1157">
        <v>59</v>
      </c>
      <c r="AH1157">
        <v>32</v>
      </c>
      <c r="AI1157">
        <v>7.91</v>
      </c>
      <c r="AJ1157">
        <v>23.32</v>
      </c>
      <c r="AK1157">
        <v>12.65</v>
      </c>
      <c r="AL1157">
        <v>-19.64973869999994</v>
      </c>
      <c r="AM1157">
        <v>-43.873980587601103</v>
      </c>
      <c r="AN1157">
        <v>-19.64973869999994</v>
      </c>
      <c r="AO1157">
        <v>-43.873980587601103</v>
      </c>
      <c r="AP1157">
        <v>-19.649691000000001</v>
      </c>
      <c r="AQ1157">
        <v>-43.873970999999997</v>
      </c>
      <c r="AR1157">
        <v>5.4042596125531333</v>
      </c>
      <c r="AS1157" t="s">
        <v>65</v>
      </c>
      <c r="AT1157">
        <v>1</v>
      </c>
      <c r="AU1157" t="s">
        <v>455</v>
      </c>
      <c r="AV1157" t="s">
        <v>456</v>
      </c>
      <c r="AW1157" t="s">
        <v>60</v>
      </c>
      <c r="AX1157" t="s">
        <v>68</v>
      </c>
      <c r="AY1157" t="s">
        <v>69</v>
      </c>
      <c r="AZ1157" t="b">
        <v>1</v>
      </c>
    </row>
    <row r="1158" spans="1:52" x14ac:dyDescent="0.3">
      <c r="A1158" t="s">
        <v>52</v>
      </c>
      <c r="B1158" t="s">
        <v>53</v>
      </c>
      <c r="C1158" t="s">
        <v>54</v>
      </c>
      <c r="D1158" t="s">
        <v>55</v>
      </c>
      <c r="E1158" t="s">
        <v>829</v>
      </c>
      <c r="F1158" t="s">
        <v>176</v>
      </c>
      <c r="G1158" t="s">
        <v>324</v>
      </c>
      <c r="H1158" t="s">
        <v>325</v>
      </c>
      <c r="I1158" t="s">
        <v>325</v>
      </c>
      <c r="J1158" t="s">
        <v>60</v>
      </c>
      <c r="K1158" t="s">
        <v>326</v>
      </c>
      <c r="L1158" t="s">
        <v>62</v>
      </c>
      <c r="M1158" t="s">
        <v>326</v>
      </c>
      <c r="N1158" t="s">
        <v>327</v>
      </c>
      <c r="O1158" t="s">
        <v>328</v>
      </c>
      <c r="P1158">
        <v>-19.654454000000001</v>
      </c>
      <c r="Q1158">
        <v>-43.874654</v>
      </c>
      <c r="R1158" s="2" t="str">
        <f>HYPERLINK("https://www.google.com/maps?q=-19.6544540,-43.8746540","Abrir no Google Maps")</f>
        <v>Abrir no Google Maps</v>
      </c>
      <c r="S1158">
        <v>3</v>
      </c>
      <c r="T1158">
        <v>461.71515786258828</v>
      </c>
      <c r="U1158">
        <v>3</v>
      </c>
      <c r="V1158">
        <v>0.42786537441535261</v>
      </c>
      <c r="W1158">
        <v>1</v>
      </c>
      <c r="X1158">
        <v>0.42786537441535261</v>
      </c>
      <c r="Y1158">
        <v>3</v>
      </c>
      <c r="Z1158">
        <v>321.42492762576637</v>
      </c>
      <c r="AA1158">
        <v>2</v>
      </c>
      <c r="AB1158">
        <v>3</v>
      </c>
      <c r="AC1158">
        <v>7</v>
      </c>
      <c r="AD1158">
        <v>27.39</v>
      </c>
      <c r="AE1158">
        <v>253</v>
      </c>
      <c r="AF1158">
        <v>20</v>
      </c>
      <c r="AG1158">
        <v>59</v>
      </c>
      <c r="AH1158">
        <v>32</v>
      </c>
      <c r="AI1158">
        <v>7.91</v>
      </c>
      <c r="AJ1158">
        <v>23.32</v>
      </c>
      <c r="AK1158">
        <v>12.65</v>
      </c>
      <c r="AL1158">
        <v>-19.654399599999941</v>
      </c>
      <c r="AM1158">
        <v>-43.87457008070222</v>
      </c>
      <c r="AN1158">
        <v>-19.654399599999941</v>
      </c>
      <c r="AO1158">
        <v>-43.87457008070222</v>
      </c>
      <c r="AP1158">
        <v>-19.654454000000001</v>
      </c>
      <c r="AQ1158">
        <v>-43.874654</v>
      </c>
      <c r="AR1158">
        <v>10.68040226290562</v>
      </c>
      <c r="AS1158" t="s">
        <v>65</v>
      </c>
      <c r="AT1158">
        <v>1</v>
      </c>
      <c r="AU1158" t="s">
        <v>329</v>
      </c>
      <c r="AV1158" t="s">
        <v>330</v>
      </c>
      <c r="AW1158" t="s">
        <v>60</v>
      </c>
      <c r="AX1158" t="s">
        <v>68</v>
      </c>
      <c r="AY1158" t="s">
        <v>69</v>
      </c>
      <c r="AZ1158" t="b">
        <v>1</v>
      </c>
    </row>
    <row r="1159" spans="1:52" x14ac:dyDescent="0.3">
      <c r="A1159" t="s">
        <v>52</v>
      </c>
      <c r="B1159" t="s">
        <v>53</v>
      </c>
      <c r="C1159" t="s">
        <v>54</v>
      </c>
      <c r="D1159" t="s">
        <v>55</v>
      </c>
      <c r="E1159" t="s">
        <v>829</v>
      </c>
      <c r="F1159" t="s">
        <v>176</v>
      </c>
      <c r="G1159" t="s">
        <v>457</v>
      </c>
      <c r="H1159" t="s">
        <v>458</v>
      </c>
      <c r="I1159" t="s">
        <v>458</v>
      </c>
      <c r="J1159" t="s">
        <v>60</v>
      </c>
      <c r="K1159" t="s">
        <v>286</v>
      </c>
      <c r="L1159" t="s">
        <v>62</v>
      </c>
      <c r="M1159" t="s">
        <v>286</v>
      </c>
      <c r="N1159" t="s">
        <v>459</v>
      </c>
      <c r="O1159" t="s">
        <v>408</v>
      </c>
      <c r="P1159">
        <v>-19.648675000000001</v>
      </c>
      <c r="Q1159">
        <v>-43.876176999999998</v>
      </c>
      <c r="R1159" s="2" t="str">
        <f>HYPERLINK("https://www.google.com/maps?q=-19.6486750,-43.8761770","Abrir no Google Maps")</f>
        <v>Abrir no Google Maps</v>
      </c>
      <c r="S1159">
        <v>3</v>
      </c>
      <c r="T1159">
        <v>696.15049931004592</v>
      </c>
      <c r="U1159">
        <v>3</v>
      </c>
      <c r="V1159">
        <v>0.45022818901827549</v>
      </c>
      <c r="W1159">
        <v>1</v>
      </c>
      <c r="X1159">
        <v>0.45022818901827549</v>
      </c>
      <c r="Y1159">
        <v>3</v>
      </c>
      <c r="Z1159">
        <v>617.40976221624703</v>
      </c>
      <c r="AA1159">
        <v>2</v>
      </c>
      <c r="AB1159">
        <v>3</v>
      </c>
      <c r="AC1159">
        <v>7</v>
      </c>
      <c r="AD1159">
        <v>27.39</v>
      </c>
      <c r="AE1159">
        <v>253</v>
      </c>
      <c r="AF1159">
        <v>20</v>
      </c>
      <c r="AG1159">
        <v>59</v>
      </c>
      <c r="AH1159">
        <v>32</v>
      </c>
      <c r="AI1159">
        <v>7.91</v>
      </c>
      <c r="AJ1159">
        <v>23.32</v>
      </c>
      <c r="AK1159">
        <v>12.65</v>
      </c>
      <c r="AL1159">
        <v>-19.648626649999951</v>
      </c>
      <c r="AM1159">
        <v>-43.876233357879343</v>
      </c>
      <c r="AN1159">
        <v>-19.648626649999951</v>
      </c>
      <c r="AO1159">
        <v>-43.876233357879343</v>
      </c>
      <c r="AP1159">
        <v>-19.648675000000001</v>
      </c>
      <c r="AQ1159">
        <v>-43.876176999999998</v>
      </c>
      <c r="AR1159">
        <v>7.9924470956447653</v>
      </c>
      <c r="AS1159" t="s">
        <v>65</v>
      </c>
      <c r="AT1159">
        <v>1</v>
      </c>
      <c r="AU1159" t="s">
        <v>460</v>
      </c>
      <c r="AV1159" t="s">
        <v>461</v>
      </c>
      <c r="AW1159" t="s">
        <v>60</v>
      </c>
      <c r="AX1159" t="s">
        <v>68</v>
      </c>
      <c r="AY1159" t="s">
        <v>69</v>
      </c>
      <c r="AZ1159" t="b">
        <v>1</v>
      </c>
    </row>
    <row r="1160" spans="1:52" x14ac:dyDescent="0.3">
      <c r="A1160" t="s">
        <v>52</v>
      </c>
      <c r="B1160" t="s">
        <v>53</v>
      </c>
      <c r="C1160" t="s">
        <v>54</v>
      </c>
      <c r="D1160" t="s">
        <v>55</v>
      </c>
      <c r="E1160" t="s">
        <v>829</v>
      </c>
      <c r="F1160" t="s">
        <v>176</v>
      </c>
      <c r="G1160" t="s">
        <v>462</v>
      </c>
      <c r="H1160" t="s">
        <v>463</v>
      </c>
      <c r="I1160" t="s">
        <v>463</v>
      </c>
      <c r="J1160" t="s">
        <v>60</v>
      </c>
      <c r="K1160" t="s">
        <v>464</v>
      </c>
      <c r="L1160" t="s">
        <v>62</v>
      </c>
      <c r="M1160" t="s">
        <v>464</v>
      </c>
      <c r="N1160" t="s">
        <v>465</v>
      </c>
      <c r="O1160" t="s">
        <v>414</v>
      </c>
      <c r="P1160">
        <v>-19.655408000000001</v>
      </c>
      <c r="Q1160">
        <v>-43.862772999999997</v>
      </c>
      <c r="R1160" s="2" t="str">
        <f>HYPERLINK("https://www.google.com/maps?q=-19.6554080,-43.8627730","Abrir no Google Maps")</f>
        <v>Abrir no Google Maps</v>
      </c>
      <c r="S1160">
        <v>3</v>
      </c>
      <c r="T1160">
        <v>877.50781603676592</v>
      </c>
      <c r="U1160">
        <v>3</v>
      </c>
      <c r="V1160">
        <v>0.43828835748544898</v>
      </c>
      <c r="W1160">
        <v>1</v>
      </c>
      <c r="X1160">
        <v>0.43828835748544898</v>
      </c>
      <c r="Y1160">
        <v>3</v>
      </c>
      <c r="Z1160">
        <v>1005.9680098732809</v>
      </c>
      <c r="AA1160">
        <v>2</v>
      </c>
      <c r="AB1160">
        <v>3</v>
      </c>
      <c r="AC1160">
        <v>7</v>
      </c>
      <c r="AD1160">
        <v>27.39</v>
      </c>
      <c r="AE1160">
        <v>253</v>
      </c>
      <c r="AF1160">
        <v>20</v>
      </c>
      <c r="AG1160">
        <v>59</v>
      </c>
      <c r="AH1160">
        <v>32</v>
      </c>
      <c r="AI1160">
        <v>7.91</v>
      </c>
      <c r="AJ1160">
        <v>23.32</v>
      </c>
      <c r="AK1160">
        <v>12.65</v>
      </c>
      <c r="AL1160">
        <v>-19.655455099999951</v>
      </c>
      <c r="AM1160">
        <v>-43.863149342001513</v>
      </c>
      <c r="AN1160">
        <v>-19.655455099999951</v>
      </c>
      <c r="AO1160">
        <v>-43.863149342001513</v>
      </c>
      <c r="AP1160">
        <v>-19.655408000000001</v>
      </c>
      <c r="AQ1160">
        <v>-43.862772999999997</v>
      </c>
      <c r="AR1160">
        <v>39.800175805630573</v>
      </c>
      <c r="AS1160" t="s">
        <v>65</v>
      </c>
      <c r="AT1160">
        <v>1</v>
      </c>
      <c r="AU1160" t="s">
        <v>466</v>
      </c>
      <c r="AV1160" t="s">
        <v>467</v>
      </c>
      <c r="AW1160" t="s">
        <v>60</v>
      </c>
      <c r="AX1160" t="s">
        <v>68</v>
      </c>
      <c r="AY1160" t="s">
        <v>69</v>
      </c>
      <c r="AZ1160" t="b">
        <v>1</v>
      </c>
    </row>
    <row r="1161" spans="1:52" x14ac:dyDescent="0.3">
      <c r="A1161" t="s">
        <v>52</v>
      </c>
      <c r="B1161" t="s">
        <v>53</v>
      </c>
      <c r="C1161" t="s">
        <v>54</v>
      </c>
      <c r="D1161" t="s">
        <v>55</v>
      </c>
      <c r="E1161" t="s">
        <v>829</v>
      </c>
      <c r="F1161" t="s">
        <v>176</v>
      </c>
      <c r="G1161" t="s">
        <v>468</v>
      </c>
      <c r="H1161" t="s">
        <v>469</v>
      </c>
      <c r="I1161" t="s">
        <v>469</v>
      </c>
      <c r="J1161" t="s">
        <v>60</v>
      </c>
      <c r="K1161" t="s">
        <v>326</v>
      </c>
      <c r="L1161" t="s">
        <v>62</v>
      </c>
      <c r="M1161" t="s">
        <v>326</v>
      </c>
      <c r="N1161" t="s">
        <v>470</v>
      </c>
      <c r="O1161" t="s">
        <v>471</v>
      </c>
      <c r="P1161">
        <v>-19.655975999999999</v>
      </c>
      <c r="Q1161">
        <v>-43.870057000000003</v>
      </c>
      <c r="R1161" s="2" t="str">
        <f>HYPERLINK("https://www.google.com/maps?q=-19.6559760,-43.8700570","Abrir no Google Maps")</f>
        <v>Abrir no Google Maps</v>
      </c>
      <c r="S1161">
        <v>3</v>
      </c>
      <c r="T1161">
        <v>409.25016374145417</v>
      </c>
      <c r="U1161">
        <v>3</v>
      </c>
      <c r="V1161">
        <v>0.4375029420269389</v>
      </c>
      <c r="W1161">
        <v>1</v>
      </c>
      <c r="X1161">
        <v>0.4375029420269389</v>
      </c>
      <c r="Y1161">
        <v>3</v>
      </c>
      <c r="Z1161">
        <v>484.59511175905197</v>
      </c>
      <c r="AA1161">
        <v>2</v>
      </c>
      <c r="AB1161">
        <v>3</v>
      </c>
      <c r="AC1161">
        <v>7</v>
      </c>
      <c r="AD1161">
        <v>27.39</v>
      </c>
      <c r="AE1161">
        <v>253</v>
      </c>
      <c r="AF1161">
        <v>20</v>
      </c>
      <c r="AG1161">
        <v>59</v>
      </c>
      <c r="AH1161">
        <v>32</v>
      </c>
      <c r="AI1161">
        <v>7.91</v>
      </c>
      <c r="AJ1161">
        <v>23.32</v>
      </c>
      <c r="AK1161">
        <v>12.65</v>
      </c>
      <c r="AL1161">
        <v>-19.655869499999969</v>
      </c>
      <c r="AM1161">
        <v>-43.870040006843681</v>
      </c>
      <c r="AN1161">
        <v>-19.655869499999969</v>
      </c>
      <c r="AO1161">
        <v>-43.870040006843681</v>
      </c>
      <c r="AP1161">
        <v>-19.655975999999999</v>
      </c>
      <c r="AQ1161">
        <v>-43.870057000000003</v>
      </c>
      <c r="AR1161">
        <v>11.98867552929476</v>
      </c>
      <c r="AS1161" t="s">
        <v>65</v>
      </c>
      <c r="AT1161">
        <v>1</v>
      </c>
      <c r="AU1161" t="s">
        <v>472</v>
      </c>
      <c r="AV1161" t="s">
        <v>473</v>
      </c>
      <c r="AW1161" t="s">
        <v>60</v>
      </c>
      <c r="AX1161" t="s">
        <v>68</v>
      </c>
      <c r="AY1161" t="s">
        <v>69</v>
      </c>
      <c r="AZ1161" t="b">
        <v>1</v>
      </c>
    </row>
    <row r="1162" spans="1:52" x14ac:dyDescent="0.3">
      <c r="A1162" t="s">
        <v>52</v>
      </c>
      <c r="B1162" t="s">
        <v>53</v>
      </c>
      <c r="C1162" t="s">
        <v>54</v>
      </c>
      <c r="D1162" t="s">
        <v>55</v>
      </c>
      <c r="E1162" t="s">
        <v>829</v>
      </c>
      <c r="F1162" t="s">
        <v>176</v>
      </c>
      <c r="G1162" t="s">
        <v>331</v>
      </c>
      <c r="H1162" t="s">
        <v>332</v>
      </c>
      <c r="I1162" t="s">
        <v>332</v>
      </c>
      <c r="J1162" t="s">
        <v>60</v>
      </c>
      <c r="K1162" t="s">
        <v>333</v>
      </c>
      <c r="L1162" t="s">
        <v>62</v>
      </c>
      <c r="M1162" t="s">
        <v>333</v>
      </c>
      <c r="N1162" t="s">
        <v>334</v>
      </c>
      <c r="O1162" t="s">
        <v>335</v>
      </c>
      <c r="P1162">
        <v>-19.638455</v>
      </c>
      <c r="Q1162">
        <v>-43.911239000000002</v>
      </c>
      <c r="R1162" s="2" t="str">
        <f>HYPERLINK("https://www.google.com/maps?q=-19.6384550,-43.9112390","Abrir no Google Maps")</f>
        <v>Abrir no Google Maps</v>
      </c>
      <c r="S1162">
        <v>3</v>
      </c>
      <c r="T1162">
        <v>488.53051432983438</v>
      </c>
      <c r="U1162">
        <v>3</v>
      </c>
      <c r="V1162">
        <v>0.42592592592592587</v>
      </c>
      <c r="W1162">
        <v>1</v>
      </c>
      <c r="X1162">
        <v>0.42592592592592587</v>
      </c>
      <c r="Y1162">
        <v>3</v>
      </c>
      <c r="Z1162">
        <v>503.17412324010428</v>
      </c>
      <c r="AA1162">
        <v>2</v>
      </c>
      <c r="AB1162">
        <v>3</v>
      </c>
      <c r="AC1162">
        <v>7</v>
      </c>
      <c r="AD1162">
        <v>27.39</v>
      </c>
      <c r="AE1162">
        <v>253</v>
      </c>
      <c r="AF1162">
        <v>20</v>
      </c>
      <c r="AG1162">
        <v>59</v>
      </c>
      <c r="AH1162">
        <v>32</v>
      </c>
      <c r="AI1162">
        <v>7.91</v>
      </c>
      <c r="AJ1162">
        <v>23.32</v>
      </c>
      <c r="AK1162">
        <v>12.65</v>
      </c>
      <c r="AL1162">
        <v>-19.63853704999994</v>
      </c>
      <c r="AM1162">
        <v>-43.911098254478723</v>
      </c>
      <c r="AN1162">
        <v>-19.63853704999994</v>
      </c>
      <c r="AO1162">
        <v>-43.911098254478723</v>
      </c>
      <c r="AP1162">
        <v>-19.638455</v>
      </c>
      <c r="AQ1162">
        <v>-43.911239000000002</v>
      </c>
      <c r="AR1162">
        <v>17.354491692685801</v>
      </c>
      <c r="AS1162" t="s">
        <v>65</v>
      </c>
      <c r="AT1162">
        <v>1</v>
      </c>
      <c r="AU1162" t="s">
        <v>336</v>
      </c>
      <c r="AV1162" t="s">
        <v>337</v>
      </c>
      <c r="AW1162" t="s">
        <v>60</v>
      </c>
      <c r="AX1162" t="s">
        <v>68</v>
      </c>
      <c r="AY1162" t="s">
        <v>69</v>
      </c>
      <c r="AZ1162" t="b">
        <v>1</v>
      </c>
    </row>
    <row r="1163" spans="1:52" x14ac:dyDescent="0.3">
      <c r="A1163" t="s">
        <v>52</v>
      </c>
      <c r="B1163" t="s">
        <v>53</v>
      </c>
      <c r="C1163" t="s">
        <v>54</v>
      </c>
      <c r="D1163" t="s">
        <v>55</v>
      </c>
      <c r="E1163" t="s">
        <v>829</v>
      </c>
      <c r="F1163" t="s">
        <v>176</v>
      </c>
      <c r="G1163" t="s">
        <v>474</v>
      </c>
      <c r="H1163" t="s">
        <v>475</v>
      </c>
      <c r="I1163" t="s">
        <v>475</v>
      </c>
      <c r="J1163" t="s">
        <v>60</v>
      </c>
      <c r="K1163" t="s">
        <v>326</v>
      </c>
      <c r="L1163" t="s">
        <v>62</v>
      </c>
      <c r="M1163" t="s">
        <v>326</v>
      </c>
      <c r="N1163" t="s">
        <v>476</v>
      </c>
      <c r="O1163" t="s">
        <v>477</v>
      </c>
      <c r="P1163">
        <v>-19.658083000000001</v>
      </c>
      <c r="Q1163">
        <v>-43.866957999999997</v>
      </c>
      <c r="R1163" s="2" t="str">
        <f>HYPERLINK("https://www.google.com/maps?q=-19.6580830,-43.8669580","Abrir no Google Maps")</f>
        <v>Abrir no Google Maps</v>
      </c>
      <c r="S1163">
        <v>3</v>
      </c>
      <c r="T1163">
        <v>753.45055811539748</v>
      </c>
      <c r="U1163">
        <v>3</v>
      </c>
      <c r="V1163">
        <v>0.42689161554192229</v>
      </c>
      <c r="W1163">
        <v>1</v>
      </c>
      <c r="X1163">
        <v>0.42689161554192229</v>
      </c>
      <c r="Y1163">
        <v>3</v>
      </c>
      <c r="Z1163">
        <v>808.47816984050394</v>
      </c>
      <c r="AA1163">
        <v>2</v>
      </c>
      <c r="AB1163">
        <v>3</v>
      </c>
      <c r="AC1163">
        <v>7</v>
      </c>
      <c r="AD1163">
        <v>27.39</v>
      </c>
      <c r="AE1163">
        <v>253</v>
      </c>
      <c r="AF1163">
        <v>20</v>
      </c>
      <c r="AG1163">
        <v>59</v>
      </c>
      <c r="AH1163">
        <v>32</v>
      </c>
      <c r="AI1163">
        <v>7.91</v>
      </c>
      <c r="AJ1163">
        <v>23.32</v>
      </c>
      <c r="AK1163">
        <v>12.65</v>
      </c>
      <c r="AL1163">
        <v>-19.658034899999929</v>
      </c>
      <c r="AM1163">
        <v>-43.867024921196148</v>
      </c>
      <c r="AN1163">
        <v>-19.658034899999929</v>
      </c>
      <c r="AO1163">
        <v>-43.867024921196148</v>
      </c>
      <c r="AP1163">
        <v>-19.658083000000001</v>
      </c>
      <c r="AQ1163">
        <v>-43.866957999999997</v>
      </c>
      <c r="AR1163">
        <v>8.8253920204286462</v>
      </c>
      <c r="AS1163" t="s">
        <v>65</v>
      </c>
      <c r="AT1163">
        <v>1</v>
      </c>
      <c r="AU1163" t="s">
        <v>478</v>
      </c>
      <c r="AV1163" t="s">
        <v>349</v>
      </c>
      <c r="AW1163" t="s">
        <v>60</v>
      </c>
      <c r="AX1163" t="s">
        <v>68</v>
      </c>
      <c r="AY1163" t="s">
        <v>69</v>
      </c>
      <c r="AZ1163" t="b">
        <v>1</v>
      </c>
    </row>
    <row r="1164" spans="1:52" x14ac:dyDescent="0.3">
      <c r="A1164" t="s">
        <v>52</v>
      </c>
      <c r="B1164" t="s">
        <v>53</v>
      </c>
      <c r="C1164" t="s">
        <v>54</v>
      </c>
      <c r="D1164" t="s">
        <v>55</v>
      </c>
      <c r="E1164" t="s">
        <v>829</v>
      </c>
      <c r="F1164" t="s">
        <v>176</v>
      </c>
      <c r="G1164" t="s">
        <v>479</v>
      </c>
      <c r="H1164" t="s">
        <v>480</v>
      </c>
      <c r="I1164" t="s">
        <v>480</v>
      </c>
      <c r="J1164" t="s">
        <v>60</v>
      </c>
      <c r="K1164" t="s">
        <v>286</v>
      </c>
      <c r="L1164" t="s">
        <v>62</v>
      </c>
      <c r="M1164" t="s">
        <v>286</v>
      </c>
      <c r="N1164" t="s">
        <v>481</v>
      </c>
      <c r="O1164" t="s">
        <v>159</v>
      </c>
      <c r="P1164">
        <v>-19.635337</v>
      </c>
      <c r="Q1164">
        <v>-43.884400999999997</v>
      </c>
      <c r="R1164" s="2" t="str">
        <f>HYPERLINK("https://www.google.com/maps?q=-19.6353370,-43.8844010","Abrir no Google Maps")</f>
        <v>Abrir no Google Maps</v>
      </c>
      <c r="S1164">
        <v>3</v>
      </c>
      <c r="T1164">
        <v>697.1404216088763</v>
      </c>
      <c r="U1164">
        <v>3</v>
      </c>
      <c r="V1164">
        <v>0.44090383842443731</v>
      </c>
      <c r="W1164">
        <v>1</v>
      </c>
      <c r="X1164">
        <v>0.44090383842443731</v>
      </c>
      <c r="Y1164">
        <v>2</v>
      </c>
      <c r="Z1164">
        <v>178.9017814618079</v>
      </c>
      <c r="AA1164">
        <v>2</v>
      </c>
      <c r="AB1164">
        <v>3</v>
      </c>
      <c r="AC1164">
        <v>7</v>
      </c>
      <c r="AD1164">
        <v>27.39</v>
      </c>
      <c r="AE1164">
        <v>253</v>
      </c>
      <c r="AF1164">
        <v>20</v>
      </c>
      <c r="AG1164">
        <v>59</v>
      </c>
      <c r="AH1164">
        <v>32</v>
      </c>
      <c r="AI1164">
        <v>7.91</v>
      </c>
      <c r="AJ1164">
        <v>23.32</v>
      </c>
      <c r="AK1164">
        <v>12.65</v>
      </c>
      <c r="AL1164">
        <v>-19.635338699999949</v>
      </c>
      <c r="AM1164">
        <v>-43.884486286355838</v>
      </c>
      <c r="AN1164">
        <v>-19.635338699999949</v>
      </c>
      <c r="AO1164">
        <v>-43.884486286355838</v>
      </c>
      <c r="AP1164">
        <v>-19.635337</v>
      </c>
      <c r="AQ1164">
        <v>-43.884400999999997</v>
      </c>
      <c r="AR1164">
        <v>8.9440024153343494</v>
      </c>
      <c r="AS1164" t="s">
        <v>65</v>
      </c>
      <c r="AT1164">
        <v>1</v>
      </c>
      <c r="AU1164" t="s">
        <v>482</v>
      </c>
      <c r="AV1164" t="s">
        <v>483</v>
      </c>
      <c r="AW1164" t="s">
        <v>60</v>
      </c>
      <c r="AX1164" t="s">
        <v>68</v>
      </c>
      <c r="AY1164" t="s">
        <v>69</v>
      </c>
      <c r="AZ1164" t="b">
        <v>1</v>
      </c>
    </row>
    <row r="1165" spans="1:52" x14ac:dyDescent="0.3">
      <c r="A1165" t="s">
        <v>52</v>
      </c>
      <c r="B1165" t="s">
        <v>53</v>
      </c>
      <c r="C1165" t="s">
        <v>54</v>
      </c>
      <c r="D1165" t="s">
        <v>55</v>
      </c>
      <c r="E1165" t="s">
        <v>829</v>
      </c>
      <c r="F1165" t="s">
        <v>176</v>
      </c>
      <c r="G1165" t="s">
        <v>484</v>
      </c>
      <c r="H1165" t="s">
        <v>485</v>
      </c>
      <c r="I1165" t="s">
        <v>485</v>
      </c>
      <c r="J1165" t="s">
        <v>60</v>
      </c>
      <c r="K1165" t="s">
        <v>486</v>
      </c>
      <c r="L1165" t="s">
        <v>62</v>
      </c>
      <c r="M1165" t="s">
        <v>486</v>
      </c>
      <c r="N1165" t="s">
        <v>487</v>
      </c>
      <c r="O1165" t="s">
        <v>488</v>
      </c>
      <c r="P1165">
        <v>-19.599471999999999</v>
      </c>
      <c r="Q1165">
        <v>-43.904423999999999</v>
      </c>
      <c r="R1165" s="2" t="str">
        <f>HYPERLINK("https://www.google.com/maps?q=-19.5994720,-43.9044240","Abrir no Google Maps")</f>
        <v>Abrir no Google Maps</v>
      </c>
      <c r="S1165">
        <v>3</v>
      </c>
      <c r="T1165">
        <v>0</v>
      </c>
      <c r="U1165">
        <v>3</v>
      </c>
      <c r="V1165">
        <v>0.4377406292110112</v>
      </c>
      <c r="W1165">
        <v>1</v>
      </c>
      <c r="X1165">
        <v>0.4377406292110112</v>
      </c>
      <c r="Y1165">
        <v>2</v>
      </c>
      <c r="Z1165">
        <v>112.207711482489</v>
      </c>
      <c r="AA1165">
        <v>2</v>
      </c>
      <c r="AB1165">
        <v>3</v>
      </c>
      <c r="AC1165">
        <v>7</v>
      </c>
      <c r="AD1165">
        <v>27.39</v>
      </c>
      <c r="AE1165">
        <v>253</v>
      </c>
      <c r="AF1165">
        <v>20</v>
      </c>
      <c r="AG1165">
        <v>59</v>
      </c>
      <c r="AH1165">
        <v>32</v>
      </c>
      <c r="AI1165">
        <v>7.91</v>
      </c>
      <c r="AJ1165">
        <v>23.32</v>
      </c>
      <c r="AK1165">
        <v>12.65</v>
      </c>
      <c r="AL1165">
        <v>-19.599417149999969</v>
      </c>
      <c r="AM1165">
        <v>-43.904309145074677</v>
      </c>
      <c r="AN1165">
        <v>-19.599417149999969</v>
      </c>
      <c r="AO1165">
        <v>-43.904309145074677</v>
      </c>
      <c r="AP1165">
        <v>-19.599471999999999</v>
      </c>
      <c r="AQ1165">
        <v>-43.904423999999999</v>
      </c>
      <c r="AR1165">
        <v>13.50409975769734</v>
      </c>
      <c r="AS1165" t="s">
        <v>65</v>
      </c>
      <c r="AT1165">
        <v>1</v>
      </c>
      <c r="AU1165" t="s">
        <v>489</v>
      </c>
      <c r="AV1165" t="s">
        <v>490</v>
      </c>
      <c r="AW1165" t="s">
        <v>60</v>
      </c>
      <c r="AX1165" t="s">
        <v>68</v>
      </c>
      <c r="AY1165" t="s">
        <v>69</v>
      </c>
      <c r="AZ1165" t="b">
        <v>1</v>
      </c>
    </row>
    <row r="1166" spans="1:52" x14ac:dyDescent="0.3">
      <c r="A1166" t="s">
        <v>52</v>
      </c>
      <c r="B1166" t="s">
        <v>53</v>
      </c>
      <c r="C1166" t="s">
        <v>54</v>
      </c>
      <c r="D1166" t="s">
        <v>55</v>
      </c>
      <c r="E1166" t="s">
        <v>829</v>
      </c>
      <c r="F1166" t="s">
        <v>176</v>
      </c>
      <c r="G1166" t="s">
        <v>438</v>
      </c>
      <c r="H1166" t="s">
        <v>491</v>
      </c>
      <c r="I1166" t="s">
        <v>491</v>
      </c>
      <c r="J1166" t="s">
        <v>60</v>
      </c>
      <c r="K1166" t="s">
        <v>492</v>
      </c>
      <c r="L1166" t="s">
        <v>62</v>
      </c>
      <c r="M1166" t="s">
        <v>492</v>
      </c>
      <c r="N1166" t="s">
        <v>493</v>
      </c>
      <c r="O1166" t="s">
        <v>81</v>
      </c>
      <c r="P1166">
        <v>-19.599810999999999</v>
      </c>
      <c r="Q1166">
        <v>-43.906267</v>
      </c>
      <c r="R1166" s="2" t="str">
        <f>HYPERLINK("https://www.google.com/maps?q=-19.5998110,-43.9062670","Abrir no Google Maps")</f>
        <v>Abrir no Google Maps</v>
      </c>
      <c r="S1166">
        <v>3</v>
      </c>
      <c r="T1166">
        <v>214.87460546260371</v>
      </c>
      <c r="U1166">
        <v>3</v>
      </c>
      <c r="V1166">
        <v>0.4314641744548286</v>
      </c>
      <c r="W1166">
        <v>1</v>
      </c>
      <c r="X1166">
        <v>0.4314641744548286</v>
      </c>
      <c r="Y1166">
        <v>2</v>
      </c>
      <c r="Z1166">
        <v>211.0648412523515</v>
      </c>
      <c r="AA1166">
        <v>2</v>
      </c>
      <c r="AB1166">
        <v>3</v>
      </c>
      <c r="AC1166">
        <v>7</v>
      </c>
      <c r="AD1166">
        <v>27.39</v>
      </c>
      <c r="AE1166">
        <v>253</v>
      </c>
      <c r="AF1166">
        <v>20</v>
      </c>
      <c r="AG1166">
        <v>59</v>
      </c>
      <c r="AH1166">
        <v>32</v>
      </c>
      <c r="AI1166">
        <v>7.91</v>
      </c>
      <c r="AJ1166">
        <v>23.32</v>
      </c>
      <c r="AK1166">
        <v>12.65</v>
      </c>
      <c r="AL1166">
        <v>-19.600032099999961</v>
      </c>
      <c r="AM1166">
        <v>-43.906252350845229</v>
      </c>
      <c r="AN1166">
        <v>-19.600032099999961</v>
      </c>
      <c r="AO1166">
        <v>-43.906252350845229</v>
      </c>
      <c r="AP1166">
        <v>-19.599810999999999</v>
      </c>
      <c r="AQ1166">
        <v>-43.906267</v>
      </c>
      <c r="AR1166">
        <v>24.660749384148179</v>
      </c>
      <c r="AS1166" t="s">
        <v>65</v>
      </c>
      <c r="AT1166">
        <v>1</v>
      </c>
      <c r="AU1166" t="s">
        <v>494</v>
      </c>
      <c r="AV1166" t="s">
        <v>495</v>
      </c>
      <c r="AW1166" t="s">
        <v>60</v>
      </c>
      <c r="AX1166" t="s">
        <v>68</v>
      </c>
      <c r="AY1166" t="s">
        <v>69</v>
      </c>
      <c r="AZ1166" t="b">
        <v>1</v>
      </c>
    </row>
    <row r="1167" spans="1:52" x14ac:dyDescent="0.3">
      <c r="A1167" t="s">
        <v>52</v>
      </c>
      <c r="B1167" t="s">
        <v>53</v>
      </c>
      <c r="C1167" t="s">
        <v>54</v>
      </c>
      <c r="D1167" t="s">
        <v>55</v>
      </c>
      <c r="E1167" t="s">
        <v>829</v>
      </c>
      <c r="F1167" t="s">
        <v>176</v>
      </c>
      <c r="G1167" t="s">
        <v>371</v>
      </c>
      <c r="H1167" t="s">
        <v>496</v>
      </c>
      <c r="I1167" t="s">
        <v>496</v>
      </c>
      <c r="J1167" t="s">
        <v>60</v>
      </c>
      <c r="K1167" t="s">
        <v>352</v>
      </c>
      <c r="L1167" t="s">
        <v>62</v>
      </c>
      <c r="M1167" t="s">
        <v>352</v>
      </c>
      <c r="N1167" t="s">
        <v>497</v>
      </c>
      <c r="O1167" t="s">
        <v>120</v>
      </c>
      <c r="P1167">
        <v>-19.599603999999999</v>
      </c>
      <c r="Q1167">
        <v>-43.899650000000001</v>
      </c>
      <c r="R1167" s="2" t="str">
        <f>HYPERLINK("https://www.google.com/maps?q=-19.5996040,-43.8996500","Abrir no Google Maps")</f>
        <v>Abrir no Google Maps</v>
      </c>
      <c r="S1167">
        <v>3</v>
      </c>
      <c r="T1167">
        <v>381.13553853255752</v>
      </c>
      <c r="U1167">
        <v>3</v>
      </c>
      <c r="V1167">
        <v>0.50524078400830741</v>
      </c>
      <c r="W1167">
        <v>0.85</v>
      </c>
      <c r="X1167">
        <v>0.42945466640706131</v>
      </c>
      <c r="Y1167">
        <v>2</v>
      </c>
      <c r="Z1167">
        <v>445.30611048306139</v>
      </c>
      <c r="AA1167">
        <v>2</v>
      </c>
      <c r="AB1167">
        <v>3</v>
      </c>
      <c r="AC1167">
        <v>7</v>
      </c>
      <c r="AD1167">
        <v>27.39</v>
      </c>
      <c r="AE1167">
        <v>253</v>
      </c>
      <c r="AF1167">
        <v>20</v>
      </c>
      <c r="AG1167">
        <v>59</v>
      </c>
      <c r="AH1167">
        <v>32</v>
      </c>
      <c r="AI1167">
        <v>7.91</v>
      </c>
      <c r="AJ1167">
        <v>23.32</v>
      </c>
      <c r="AK1167">
        <v>12.65</v>
      </c>
      <c r="AL1167">
        <v>-19.59984999999995</v>
      </c>
      <c r="AM1167">
        <v>-43.90070409772008</v>
      </c>
      <c r="AN1167">
        <v>-19.59984999999995</v>
      </c>
      <c r="AO1167">
        <v>-43.90070409772008</v>
      </c>
      <c r="AP1167">
        <v>-19.599603999999999</v>
      </c>
      <c r="AQ1167">
        <v>-43.899650000000001</v>
      </c>
      <c r="AR1167">
        <v>113.8846460473157</v>
      </c>
      <c r="AS1167" t="s">
        <v>65</v>
      </c>
      <c r="AT1167">
        <v>1</v>
      </c>
      <c r="AU1167" t="s">
        <v>498</v>
      </c>
      <c r="AV1167" t="s">
        <v>499</v>
      </c>
      <c r="AW1167" t="s">
        <v>60</v>
      </c>
      <c r="AX1167" t="s">
        <v>68</v>
      </c>
      <c r="AY1167" t="s">
        <v>69</v>
      </c>
      <c r="AZ1167" t="b">
        <v>1</v>
      </c>
    </row>
    <row r="1168" spans="1:52" x14ac:dyDescent="0.3">
      <c r="A1168" t="s">
        <v>52</v>
      </c>
      <c r="B1168" t="s">
        <v>53</v>
      </c>
      <c r="C1168" t="s">
        <v>54</v>
      </c>
      <c r="D1168" t="s">
        <v>55</v>
      </c>
      <c r="E1168" t="s">
        <v>829</v>
      </c>
      <c r="F1168" t="s">
        <v>176</v>
      </c>
      <c r="G1168" t="s">
        <v>357</v>
      </c>
      <c r="H1168" t="s">
        <v>358</v>
      </c>
      <c r="I1168" t="s">
        <v>358</v>
      </c>
      <c r="J1168" t="s">
        <v>60</v>
      </c>
      <c r="K1168" t="s">
        <v>359</v>
      </c>
      <c r="L1168" t="s">
        <v>62</v>
      </c>
      <c r="M1168" t="s">
        <v>359</v>
      </c>
      <c r="N1168" t="s">
        <v>360</v>
      </c>
      <c r="O1168" t="s">
        <v>201</v>
      </c>
      <c r="P1168">
        <v>-19.601168000000001</v>
      </c>
      <c r="Q1168">
        <v>-43.896143000000002</v>
      </c>
      <c r="R1168" s="2" t="str">
        <f>HYPERLINK("https://www.google.com/maps?q=-19.6011680,-43.8961430","Abrir no Google Maps")</f>
        <v>Abrir no Google Maps</v>
      </c>
      <c r="S1168">
        <v>3</v>
      </c>
      <c r="T1168">
        <v>886.80074895427902</v>
      </c>
      <c r="U1168">
        <v>3</v>
      </c>
      <c r="V1168">
        <v>0.42416378316032288</v>
      </c>
      <c r="W1168">
        <v>1</v>
      </c>
      <c r="X1168">
        <v>0.42416378316032288</v>
      </c>
      <c r="Y1168">
        <v>2</v>
      </c>
      <c r="Z1168">
        <v>807.27931110193254</v>
      </c>
      <c r="AA1168">
        <v>2</v>
      </c>
      <c r="AB1168">
        <v>3</v>
      </c>
      <c r="AC1168">
        <v>7</v>
      </c>
      <c r="AD1168">
        <v>27.39</v>
      </c>
      <c r="AE1168">
        <v>253</v>
      </c>
      <c r="AF1168">
        <v>20</v>
      </c>
      <c r="AG1168">
        <v>59</v>
      </c>
      <c r="AH1168">
        <v>32</v>
      </c>
      <c r="AI1168">
        <v>7.91</v>
      </c>
      <c r="AJ1168">
        <v>23.32</v>
      </c>
      <c r="AK1168">
        <v>12.65</v>
      </c>
      <c r="AL1168">
        <v>-19.60112959999995</v>
      </c>
      <c r="AM1168">
        <v>-43.896049426747439</v>
      </c>
      <c r="AN1168">
        <v>-19.60112959999995</v>
      </c>
      <c r="AO1168">
        <v>-43.896049426747439</v>
      </c>
      <c r="AP1168">
        <v>-19.601168000000001</v>
      </c>
      <c r="AQ1168">
        <v>-43.896143000000002</v>
      </c>
      <c r="AR1168">
        <v>10.703588298793671</v>
      </c>
      <c r="AS1168" t="s">
        <v>65</v>
      </c>
      <c r="AT1168">
        <v>1</v>
      </c>
      <c r="AU1168" t="s">
        <v>361</v>
      </c>
      <c r="AV1168" t="s">
        <v>362</v>
      </c>
      <c r="AW1168" t="s">
        <v>60</v>
      </c>
      <c r="AX1168" t="s">
        <v>68</v>
      </c>
      <c r="AY1168" t="s">
        <v>69</v>
      </c>
      <c r="AZ1168" t="b">
        <v>1</v>
      </c>
    </row>
    <row r="1169" spans="1:52" x14ac:dyDescent="0.3">
      <c r="A1169" t="s">
        <v>52</v>
      </c>
      <c r="B1169" t="s">
        <v>53</v>
      </c>
      <c r="C1169" t="s">
        <v>54</v>
      </c>
      <c r="D1169" t="s">
        <v>55</v>
      </c>
      <c r="E1169" t="s">
        <v>829</v>
      </c>
      <c r="F1169" t="s">
        <v>176</v>
      </c>
      <c r="G1169" t="s">
        <v>664</v>
      </c>
      <c r="H1169" t="s">
        <v>687</v>
      </c>
      <c r="I1169" t="s">
        <v>687</v>
      </c>
      <c r="J1169" t="s">
        <v>60</v>
      </c>
      <c r="K1169" t="s">
        <v>683</v>
      </c>
      <c r="L1169" t="s">
        <v>62</v>
      </c>
      <c r="M1169" t="s">
        <v>683</v>
      </c>
      <c r="N1169" t="s">
        <v>688</v>
      </c>
      <c r="O1169" t="s">
        <v>354</v>
      </c>
      <c r="P1169">
        <v>-19.564990999999999</v>
      </c>
      <c r="Q1169">
        <v>-43.947169000000002</v>
      </c>
      <c r="R1169" s="2" t="str">
        <f>HYPERLINK("https://www.google.com/maps?q=-19.5649910,-43.9471690","Abrir no Google Maps")</f>
        <v>Abrir no Google Maps</v>
      </c>
      <c r="S1169">
        <v>3</v>
      </c>
      <c r="T1169">
        <v>686.62887321451433</v>
      </c>
      <c r="U1169">
        <v>3</v>
      </c>
      <c r="V1169">
        <v>0.41797032555459518</v>
      </c>
      <c r="W1169">
        <v>1</v>
      </c>
      <c r="X1169">
        <v>0.41797032555459518</v>
      </c>
      <c r="Y1169">
        <v>1</v>
      </c>
      <c r="Z1169">
        <v>848.87718642784125</v>
      </c>
      <c r="AA1169">
        <v>2</v>
      </c>
      <c r="AB1169">
        <v>3</v>
      </c>
      <c r="AC1169">
        <v>7</v>
      </c>
      <c r="AD1169">
        <v>27.39</v>
      </c>
      <c r="AE1169">
        <v>253</v>
      </c>
      <c r="AF1169">
        <v>20</v>
      </c>
      <c r="AG1169">
        <v>59</v>
      </c>
      <c r="AH1169">
        <v>32</v>
      </c>
      <c r="AI1169">
        <v>7.91</v>
      </c>
      <c r="AJ1169">
        <v>23.32</v>
      </c>
      <c r="AK1169">
        <v>12.65</v>
      </c>
      <c r="AL1169">
        <v>-19.564904949999971</v>
      </c>
      <c r="AM1169">
        <v>-43.94746329903581</v>
      </c>
      <c r="AN1169">
        <v>-19.564904949999971</v>
      </c>
      <c r="AO1169">
        <v>-43.94746329903581</v>
      </c>
      <c r="AP1169">
        <v>-19.564990999999999</v>
      </c>
      <c r="AQ1169">
        <v>-43.947169000000002</v>
      </c>
      <c r="AR1169">
        <v>32.321888980844889</v>
      </c>
      <c r="AS1169" t="s">
        <v>65</v>
      </c>
      <c r="AT1169">
        <v>1</v>
      </c>
      <c r="AU1169" t="s">
        <v>689</v>
      </c>
      <c r="AV1169" t="s">
        <v>690</v>
      </c>
      <c r="AW1169" t="s">
        <v>60</v>
      </c>
      <c r="AX1169" t="s">
        <v>68</v>
      </c>
      <c r="AY1169" t="s">
        <v>69</v>
      </c>
      <c r="AZ1169" t="b">
        <v>1</v>
      </c>
    </row>
    <row r="1170" spans="1:52" x14ac:dyDescent="0.3">
      <c r="A1170" t="s">
        <v>52</v>
      </c>
      <c r="B1170" t="s">
        <v>53</v>
      </c>
      <c r="C1170" t="s">
        <v>54</v>
      </c>
      <c r="D1170" t="s">
        <v>55</v>
      </c>
      <c r="E1170" t="s">
        <v>829</v>
      </c>
      <c r="F1170" t="s">
        <v>512</v>
      </c>
      <c r="G1170" t="s">
        <v>58</v>
      </c>
      <c r="H1170" t="s">
        <v>59</v>
      </c>
      <c r="I1170" t="s">
        <v>59</v>
      </c>
      <c r="J1170" t="s">
        <v>60</v>
      </c>
      <c r="K1170" t="s">
        <v>61</v>
      </c>
      <c r="L1170" t="s">
        <v>62</v>
      </c>
      <c r="M1170" t="s">
        <v>61</v>
      </c>
      <c r="N1170" t="s">
        <v>63</v>
      </c>
      <c r="O1170" t="s">
        <v>64</v>
      </c>
      <c r="P1170">
        <v>-19.631502000000001</v>
      </c>
      <c r="Q1170">
        <v>-43.910241999999997</v>
      </c>
      <c r="R1170" s="2" t="str">
        <f>HYPERLINK("https://www.google.com/maps?q=-19.6315020,-43.9102420","Abrir no Google Maps")</f>
        <v>Abrir no Google Maps</v>
      </c>
      <c r="S1170">
        <v>4</v>
      </c>
      <c r="T1170">
        <v>789.20099406682743</v>
      </c>
      <c r="U1170">
        <v>4</v>
      </c>
      <c r="V1170">
        <v>0.45498416029173577</v>
      </c>
      <c r="W1170">
        <v>1</v>
      </c>
      <c r="X1170">
        <v>0.45498416029173577</v>
      </c>
      <c r="Y1170">
        <v>10</v>
      </c>
      <c r="Z1170">
        <v>691.44930074509864</v>
      </c>
      <c r="AA1170">
        <v>2</v>
      </c>
      <c r="AB1170">
        <v>3</v>
      </c>
      <c r="AC1170">
        <v>7</v>
      </c>
      <c r="AD1170">
        <v>27.39</v>
      </c>
      <c r="AE1170">
        <v>253</v>
      </c>
      <c r="AF1170">
        <v>20</v>
      </c>
      <c r="AG1170">
        <v>59</v>
      </c>
      <c r="AH1170">
        <v>32</v>
      </c>
      <c r="AI1170">
        <v>7.91</v>
      </c>
      <c r="AJ1170">
        <v>23.32</v>
      </c>
      <c r="AK1170">
        <v>12.65</v>
      </c>
      <c r="AL1170">
        <v>-19.631719749999949</v>
      </c>
      <c r="AM1170">
        <v>-43.910102324517517</v>
      </c>
      <c r="AN1170">
        <v>-19.631719749999949</v>
      </c>
      <c r="AO1170">
        <v>-43.910102324517517</v>
      </c>
      <c r="AP1170">
        <v>-19.631502000000001</v>
      </c>
      <c r="AQ1170">
        <v>-43.910241999999997</v>
      </c>
      <c r="AR1170">
        <v>28.320416429206599</v>
      </c>
      <c r="AS1170" t="s">
        <v>65</v>
      </c>
      <c r="AT1170">
        <v>1</v>
      </c>
      <c r="AU1170" t="s">
        <v>66</v>
      </c>
      <c r="AV1170" t="s">
        <v>67</v>
      </c>
      <c r="AW1170" t="s">
        <v>60</v>
      </c>
      <c r="AX1170" t="s">
        <v>68</v>
      </c>
      <c r="AY1170" t="s">
        <v>69</v>
      </c>
      <c r="AZ1170" t="b">
        <v>1</v>
      </c>
    </row>
    <row r="1171" spans="1:52" x14ac:dyDescent="0.3">
      <c r="A1171" t="s">
        <v>52</v>
      </c>
      <c r="B1171" t="s">
        <v>53</v>
      </c>
      <c r="C1171" t="s">
        <v>54</v>
      </c>
      <c r="D1171" t="s">
        <v>55</v>
      </c>
      <c r="E1171" t="s">
        <v>829</v>
      </c>
      <c r="F1171" t="s">
        <v>512</v>
      </c>
      <c r="G1171" t="s">
        <v>70</v>
      </c>
      <c r="H1171" t="s">
        <v>71</v>
      </c>
      <c r="I1171" t="s">
        <v>71</v>
      </c>
      <c r="J1171" t="s">
        <v>60</v>
      </c>
      <c r="K1171" t="s">
        <v>72</v>
      </c>
      <c r="L1171" t="s">
        <v>62</v>
      </c>
      <c r="M1171" t="s">
        <v>72</v>
      </c>
      <c r="N1171" t="s">
        <v>73</v>
      </c>
      <c r="O1171" t="s">
        <v>74</v>
      </c>
      <c r="P1171">
        <v>-19.632581999999999</v>
      </c>
      <c r="Q1171">
        <v>-43.902416000000002</v>
      </c>
      <c r="R1171" s="2" t="str">
        <f>HYPERLINK("https://www.google.com/maps?q=-19.6325820,-43.9024160","Abrir no Google Maps")</f>
        <v>Abrir no Google Maps</v>
      </c>
      <c r="S1171">
        <v>4</v>
      </c>
      <c r="T1171">
        <v>0</v>
      </c>
      <c r="U1171">
        <v>4</v>
      </c>
      <c r="V1171">
        <v>0.47577405953774471</v>
      </c>
      <c r="W1171">
        <v>1</v>
      </c>
      <c r="X1171">
        <v>0.47577405953774471</v>
      </c>
      <c r="Y1171">
        <v>10</v>
      </c>
      <c r="Z1171">
        <v>146.6968158874696</v>
      </c>
      <c r="AA1171">
        <v>2</v>
      </c>
      <c r="AB1171">
        <v>3</v>
      </c>
      <c r="AC1171">
        <v>7</v>
      </c>
      <c r="AD1171">
        <v>27.39</v>
      </c>
      <c r="AE1171">
        <v>253</v>
      </c>
      <c r="AF1171">
        <v>20</v>
      </c>
      <c r="AG1171">
        <v>59</v>
      </c>
      <c r="AH1171">
        <v>32</v>
      </c>
      <c r="AI1171">
        <v>7.91</v>
      </c>
      <c r="AJ1171">
        <v>23.32</v>
      </c>
      <c r="AK1171">
        <v>12.65</v>
      </c>
      <c r="AL1171">
        <v>-19.63271449999996</v>
      </c>
      <c r="AM1171">
        <v>-43.902649897389402</v>
      </c>
      <c r="AN1171">
        <v>-19.63271449999996</v>
      </c>
      <c r="AO1171">
        <v>-43.902649897389402</v>
      </c>
      <c r="AP1171">
        <v>-19.632581999999999</v>
      </c>
      <c r="AQ1171">
        <v>-43.902416000000002</v>
      </c>
      <c r="AR1171">
        <v>28.617753432996459</v>
      </c>
      <c r="AS1171" t="s">
        <v>65</v>
      </c>
      <c r="AT1171">
        <v>1</v>
      </c>
      <c r="AU1171" t="s">
        <v>75</v>
      </c>
      <c r="AV1171" t="s">
        <v>76</v>
      </c>
      <c r="AW1171" t="s">
        <v>60</v>
      </c>
      <c r="AX1171" t="s">
        <v>68</v>
      </c>
      <c r="AY1171" t="s">
        <v>69</v>
      </c>
      <c r="AZ1171" t="b">
        <v>1</v>
      </c>
    </row>
    <row r="1172" spans="1:52" x14ac:dyDescent="0.3">
      <c r="A1172" t="s">
        <v>52</v>
      </c>
      <c r="B1172" t="s">
        <v>53</v>
      </c>
      <c r="C1172" t="s">
        <v>54</v>
      </c>
      <c r="D1172" t="s">
        <v>55</v>
      </c>
      <c r="E1172" t="s">
        <v>829</v>
      </c>
      <c r="F1172" t="s">
        <v>512</v>
      </c>
      <c r="G1172" t="s">
        <v>77</v>
      </c>
      <c r="H1172" t="s">
        <v>78</v>
      </c>
      <c r="I1172" t="s">
        <v>78</v>
      </c>
      <c r="J1172" t="s">
        <v>60</v>
      </c>
      <c r="K1172" t="s">
        <v>79</v>
      </c>
      <c r="L1172" t="s">
        <v>62</v>
      </c>
      <c r="M1172" t="s">
        <v>79</v>
      </c>
      <c r="N1172" t="s">
        <v>80</v>
      </c>
      <c r="O1172" t="s">
        <v>81</v>
      </c>
      <c r="P1172">
        <v>-19.632463999999999</v>
      </c>
      <c r="Q1172">
        <v>-43.904927999999998</v>
      </c>
      <c r="R1172" s="2" t="str">
        <f>HYPERLINK("https://www.google.com/maps?q=-19.6324640,-43.9049280","Abrir no Google Maps")</f>
        <v>Abrir no Google Maps</v>
      </c>
      <c r="S1172">
        <v>4</v>
      </c>
      <c r="T1172">
        <v>244.1735197453369</v>
      </c>
      <c r="U1172">
        <v>4</v>
      </c>
      <c r="V1172">
        <v>0.46395595483186719</v>
      </c>
      <c r="W1172">
        <v>1</v>
      </c>
      <c r="X1172">
        <v>0.46395595483186719</v>
      </c>
      <c r="Y1172">
        <v>10</v>
      </c>
      <c r="Z1172">
        <v>287.26068152447448</v>
      </c>
      <c r="AA1172">
        <v>2</v>
      </c>
      <c r="AB1172">
        <v>3</v>
      </c>
      <c r="AC1172">
        <v>7</v>
      </c>
      <c r="AD1172">
        <v>27.39</v>
      </c>
      <c r="AE1172">
        <v>253</v>
      </c>
      <c r="AF1172">
        <v>20</v>
      </c>
      <c r="AG1172">
        <v>59</v>
      </c>
      <c r="AH1172">
        <v>32</v>
      </c>
      <c r="AI1172">
        <v>7.91</v>
      </c>
      <c r="AJ1172">
        <v>23.32</v>
      </c>
      <c r="AK1172">
        <v>12.65</v>
      </c>
      <c r="AL1172">
        <v>-19.63247099999996</v>
      </c>
      <c r="AM1172">
        <v>-43.904964174285787</v>
      </c>
      <c r="AN1172">
        <v>-19.63247099999996</v>
      </c>
      <c r="AO1172">
        <v>-43.904964174285787</v>
      </c>
      <c r="AP1172">
        <v>-19.632463999999999</v>
      </c>
      <c r="AQ1172">
        <v>-43.904927999999998</v>
      </c>
      <c r="AR1172">
        <v>3.8720457500200469</v>
      </c>
      <c r="AS1172" t="s">
        <v>65</v>
      </c>
      <c r="AT1172">
        <v>1</v>
      </c>
      <c r="AU1172" t="s">
        <v>82</v>
      </c>
      <c r="AV1172" t="s">
        <v>83</v>
      </c>
      <c r="AW1172" t="s">
        <v>60</v>
      </c>
      <c r="AX1172" t="s">
        <v>68</v>
      </c>
      <c r="AY1172" t="s">
        <v>69</v>
      </c>
      <c r="AZ1172" t="b">
        <v>1</v>
      </c>
    </row>
    <row r="1173" spans="1:52" x14ac:dyDescent="0.3">
      <c r="A1173" t="s">
        <v>52</v>
      </c>
      <c r="B1173" t="s">
        <v>53</v>
      </c>
      <c r="C1173" t="s">
        <v>54</v>
      </c>
      <c r="D1173" t="s">
        <v>55</v>
      </c>
      <c r="E1173" t="s">
        <v>829</v>
      </c>
      <c r="F1173" t="s">
        <v>512</v>
      </c>
      <c r="G1173" t="s">
        <v>97</v>
      </c>
      <c r="H1173" t="s">
        <v>98</v>
      </c>
      <c r="I1173" t="s">
        <v>98</v>
      </c>
      <c r="J1173" t="s">
        <v>60</v>
      </c>
      <c r="K1173" t="s">
        <v>99</v>
      </c>
      <c r="L1173" t="s">
        <v>62</v>
      </c>
      <c r="M1173" t="s">
        <v>99</v>
      </c>
      <c r="N1173" t="s">
        <v>100</v>
      </c>
      <c r="O1173" t="s">
        <v>101</v>
      </c>
      <c r="P1173">
        <v>-19.629822000000001</v>
      </c>
      <c r="Q1173">
        <v>-43.905341</v>
      </c>
      <c r="R1173" s="2" t="str">
        <f>HYPERLINK("https://www.google.com/maps?q=-19.6298220,-43.9053410","Abrir no Google Maps")</f>
        <v>Abrir no Google Maps</v>
      </c>
      <c r="S1173">
        <v>4</v>
      </c>
      <c r="T1173">
        <v>441.30597341744129</v>
      </c>
      <c r="U1173">
        <v>4</v>
      </c>
      <c r="V1173">
        <v>0.4645749648933738</v>
      </c>
      <c r="W1173">
        <v>1</v>
      </c>
      <c r="X1173">
        <v>0.4645749648933738</v>
      </c>
      <c r="Y1173">
        <v>10</v>
      </c>
      <c r="Z1173">
        <v>513.56493751010987</v>
      </c>
      <c r="AA1173">
        <v>2</v>
      </c>
      <c r="AB1173">
        <v>3</v>
      </c>
      <c r="AC1173">
        <v>7</v>
      </c>
      <c r="AD1173">
        <v>27.39</v>
      </c>
      <c r="AE1173">
        <v>253</v>
      </c>
      <c r="AF1173">
        <v>20</v>
      </c>
      <c r="AG1173">
        <v>59</v>
      </c>
      <c r="AH1173">
        <v>32</v>
      </c>
      <c r="AI1173">
        <v>7.91</v>
      </c>
      <c r="AJ1173">
        <v>23.32</v>
      </c>
      <c r="AK1173">
        <v>12.65</v>
      </c>
      <c r="AL1173">
        <v>-19.629671599999941</v>
      </c>
      <c r="AM1173">
        <v>-43.905369597920988</v>
      </c>
      <c r="AN1173">
        <v>-19.629671599999931</v>
      </c>
      <c r="AO1173">
        <v>-43.905369597920988</v>
      </c>
      <c r="AP1173">
        <v>-19.629822000000001</v>
      </c>
      <c r="AQ1173">
        <v>-43.905341</v>
      </c>
      <c r="AR1173">
        <v>17.008917699186132</v>
      </c>
      <c r="AS1173" t="s">
        <v>65</v>
      </c>
      <c r="AT1173">
        <v>1</v>
      </c>
      <c r="AU1173" t="s">
        <v>102</v>
      </c>
      <c r="AV1173" t="s">
        <v>103</v>
      </c>
      <c r="AW1173" t="s">
        <v>60</v>
      </c>
      <c r="AX1173" t="s">
        <v>68</v>
      </c>
      <c r="AY1173" t="s">
        <v>69</v>
      </c>
      <c r="AZ1173" t="b">
        <v>1</v>
      </c>
    </row>
    <row r="1174" spans="1:52" x14ac:dyDescent="0.3">
      <c r="A1174" t="s">
        <v>52</v>
      </c>
      <c r="B1174" t="s">
        <v>53</v>
      </c>
      <c r="C1174" t="s">
        <v>54</v>
      </c>
      <c r="D1174" t="s">
        <v>55</v>
      </c>
      <c r="E1174" t="s">
        <v>829</v>
      </c>
      <c r="F1174" t="s">
        <v>512</v>
      </c>
      <c r="G1174" t="s">
        <v>84</v>
      </c>
      <c r="H1174" t="s">
        <v>85</v>
      </c>
      <c r="I1174" t="s">
        <v>85</v>
      </c>
      <c r="J1174" t="s">
        <v>60</v>
      </c>
      <c r="K1174" t="s">
        <v>86</v>
      </c>
      <c r="L1174" t="s">
        <v>62</v>
      </c>
      <c r="M1174" t="s">
        <v>86</v>
      </c>
      <c r="N1174" t="s">
        <v>87</v>
      </c>
      <c r="O1174" t="s">
        <v>88</v>
      </c>
      <c r="P1174">
        <v>-19.629436999999999</v>
      </c>
      <c r="Q1174">
        <v>-43.910398999999998</v>
      </c>
      <c r="R1174" s="2" t="str">
        <f>HYPERLINK("https://www.google.com/maps?q=-19.6294370,-43.9103990","Abrir no Google Maps")</f>
        <v>Abrir no Google Maps</v>
      </c>
      <c r="S1174">
        <v>4</v>
      </c>
      <c r="T1174">
        <v>888.82060643108082</v>
      </c>
      <c r="U1174">
        <v>3</v>
      </c>
      <c r="V1174">
        <v>0.43821839080459768</v>
      </c>
      <c r="W1174">
        <v>1</v>
      </c>
      <c r="X1174">
        <v>0.43821839080459768</v>
      </c>
      <c r="Y1174">
        <v>10</v>
      </c>
      <c r="Z1174">
        <v>867.42797341651737</v>
      </c>
      <c r="AA1174">
        <v>2</v>
      </c>
      <c r="AB1174">
        <v>3</v>
      </c>
      <c r="AC1174">
        <v>7</v>
      </c>
      <c r="AD1174">
        <v>27.39</v>
      </c>
      <c r="AE1174">
        <v>253</v>
      </c>
      <c r="AF1174">
        <v>20</v>
      </c>
      <c r="AG1174">
        <v>59</v>
      </c>
      <c r="AH1174">
        <v>32</v>
      </c>
      <c r="AI1174">
        <v>7.91</v>
      </c>
      <c r="AJ1174">
        <v>23.32</v>
      </c>
      <c r="AK1174">
        <v>12.65</v>
      </c>
      <c r="AL1174">
        <v>-19.62934694999996</v>
      </c>
      <c r="AM1174">
        <v>-43.910344699357317</v>
      </c>
      <c r="AN1174">
        <v>-19.62934694999996</v>
      </c>
      <c r="AO1174">
        <v>-43.910344699357331</v>
      </c>
      <c r="AP1174">
        <v>-19.629436999999999</v>
      </c>
      <c r="AQ1174">
        <v>-43.910398999999998</v>
      </c>
      <c r="AR1174">
        <v>11.52837377953678</v>
      </c>
      <c r="AS1174" t="s">
        <v>65</v>
      </c>
      <c r="AT1174">
        <v>1</v>
      </c>
      <c r="AU1174" t="s">
        <v>89</v>
      </c>
      <c r="AV1174" t="s">
        <v>90</v>
      </c>
      <c r="AW1174" t="s">
        <v>60</v>
      </c>
      <c r="AX1174" t="s">
        <v>68</v>
      </c>
      <c r="AY1174" t="s">
        <v>69</v>
      </c>
      <c r="AZ1174" t="b">
        <v>1</v>
      </c>
    </row>
    <row r="1175" spans="1:52" x14ac:dyDescent="0.3">
      <c r="A1175" t="s">
        <v>52</v>
      </c>
      <c r="B1175" t="s">
        <v>53</v>
      </c>
      <c r="C1175" t="s">
        <v>54</v>
      </c>
      <c r="D1175" t="s">
        <v>55</v>
      </c>
      <c r="E1175" t="s">
        <v>829</v>
      </c>
      <c r="F1175" t="s">
        <v>512</v>
      </c>
      <c r="G1175" t="s">
        <v>91</v>
      </c>
      <c r="H1175" t="s">
        <v>92</v>
      </c>
      <c r="I1175" t="s">
        <v>92</v>
      </c>
      <c r="J1175" t="s">
        <v>60</v>
      </c>
      <c r="K1175" t="s">
        <v>86</v>
      </c>
      <c r="L1175" t="s">
        <v>62</v>
      </c>
      <c r="M1175" t="s">
        <v>86</v>
      </c>
      <c r="N1175" t="s">
        <v>93</v>
      </c>
      <c r="O1175" t="s">
        <v>94</v>
      </c>
      <c r="P1175">
        <v>-19.630676999999999</v>
      </c>
      <c r="Q1175">
        <v>-43.907255999999997</v>
      </c>
      <c r="R1175" s="2" t="str">
        <f>HYPERLINK("https://www.google.com/maps?q=-19.6306770,-43.9072560","Abrir no Google Maps")</f>
        <v>Abrir no Google Maps</v>
      </c>
      <c r="S1175">
        <v>4</v>
      </c>
      <c r="T1175">
        <v>545.39374622597825</v>
      </c>
      <c r="U1175">
        <v>3</v>
      </c>
      <c r="V1175">
        <v>0.44518872939925569</v>
      </c>
      <c r="W1175">
        <v>1</v>
      </c>
      <c r="X1175">
        <v>0.44518872939925569</v>
      </c>
      <c r="Y1175">
        <v>10</v>
      </c>
      <c r="Z1175">
        <v>559.94033759457182</v>
      </c>
      <c r="AA1175">
        <v>2</v>
      </c>
      <c r="AB1175">
        <v>3</v>
      </c>
      <c r="AC1175">
        <v>7</v>
      </c>
      <c r="AD1175">
        <v>27.39</v>
      </c>
      <c r="AE1175">
        <v>253</v>
      </c>
      <c r="AF1175">
        <v>20</v>
      </c>
      <c r="AG1175">
        <v>59</v>
      </c>
      <c r="AH1175">
        <v>32</v>
      </c>
      <c r="AI1175">
        <v>7.91</v>
      </c>
      <c r="AJ1175">
        <v>23.32</v>
      </c>
      <c r="AK1175">
        <v>12.65</v>
      </c>
      <c r="AL1175">
        <v>-19.630448649999941</v>
      </c>
      <c r="AM1175">
        <v>-43.907268502495313</v>
      </c>
      <c r="AN1175">
        <v>-19.630448649999941</v>
      </c>
      <c r="AO1175">
        <v>-43.907268502495313</v>
      </c>
      <c r="AP1175">
        <v>-19.630676999999999</v>
      </c>
      <c r="AQ1175">
        <v>-43.907255999999997</v>
      </c>
      <c r="AR1175">
        <v>25.453700276562468</v>
      </c>
      <c r="AS1175" t="s">
        <v>65</v>
      </c>
      <c r="AT1175">
        <v>1</v>
      </c>
      <c r="AU1175" t="s">
        <v>95</v>
      </c>
      <c r="AV1175" t="s">
        <v>96</v>
      </c>
      <c r="AW1175" t="s">
        <v>60</v>
      </c>
      <c r="AX1175" t="s">
        <v>68</v>
      </c>
      <c r="AY1175" t="s">
        <v>69</v>
      </c>
      <c r="AZ1175" t="b">
        <v>1</v>
      </c>
    </row>
    <row r="1176" spans="1:52" x14ac:dyDescent="0.3">
      <c r="A1176" t="s">
        <v>52</v>
      </c>
      <c r="B1176" t="s">
        <v>53</v>
      </c>
      <c r="C1176" t="s">
        <v>54</v>
      </c>
      <c r="D1176" t="s">
        <v>55</v>
      </c>
      <c r="E1176" t="s">
        <v>829</v>
      </c>
      <c r="F1176" t="s">
        <v>512</v>
      </c>
      <c r="G1176" t="s">
        <v>513</v>
      </c>
      <c r="H1176" t="s">
        <v>514</v>
      </c>
      <c r="I1176" t="s">
        <v>514</v>
      </c>
      <c r="J1176" t="s">
        <v>60</v>
      </c>
      <c r="K1176" t="s">
        <v>185</v>
      </c>
      <c r="L1176" t="s">
        <v>62</v>
      </c>
      <c r="M1176" t="s">
        <v>185</v>
      </c>
      <c r="N1176" t="s">
        <v>515</v>
      </c>
      <c r="O1176" t="s">
        <v>516</v>
      </c>
      <c r="P1176">
        <v>-19.63184</v>
      </c>
      <c r="Q1176">
        <v>-43.899625999999998</v>
      </c>
      <c r="R1176" s="2" t="str">
        <f>HYPERLINK("https://www.google.com/maps?q=-19.6318400,-43.8996260","Abrir no Google Maps")</f>
        <v>Abrir no Google Maps</v>
      </c>
      <c r="S1176">
        <v>4</v>
      </c>
      <c r="T1176">
        <v>317.05369638212568</v>
      </c>
      <c r="U1176">
        <v>2</v>
      </c>
      <c r="V1176">
        <v>0.45245340183099519</v>
      </c>
      <c r="W1176">
        <v>0.85</v>
      </c>
      <c r="X1176">
        <v>0.38458539155634591</v>
      </c>
      <c r="Y1176">
        <v>10</v>
      </c>
      <c r="Z1176">
        <v>467.39112963581732</v>
      </c>
      <c r="AA1176">
        <v>2</v>
      </c>
      <c r="AB1176">
        <v>3</v>
      </c>
      <c r="AC1176">
        <v>7</v>
      </c>
      <c r="AD1176">
        <v>27.39</v>
      </c>
      <c r="AE1176">
        <v>253</v>
      </c>
      <c r="AF1176">
        <v>20</v>
      </c>
      <c r="AG1176">
        <v>59</v>
      </c>
      <c r="AH1176">
        <v>32</v>
      </c>
      <c r="AI1176">
        <v>7.91</v>
      </c>
      <c r="AJ1176">
        <v>23.32</v>
      </c>
      <c r="AK1176">
        <v>12.65</v>
      </c>
      <c r="AL1176">
        <v>-19.631819699999941</v>
      </c>
      <c r="AM1176">
        <v>-43.89977767057065</v>
      </c>
      <c r="AN1176">
        <v>-19.631819699999941</v>
      </c>
      <c r="AO1176">
        <v>-43.89977767057065</v>
      </c>
      <c r="AP1176">
        <v>-19.63184</v>
      </c>
      <c r="AQ1176">
        <v>-43.899625999999998</v>
      </c>
      <c r="AR1176">
        <v>16.062279375806241</v>
      </c>
      <c r="AS1176" t="s">
        <v>65</v>
      </c>
      <c r="AT1176">
        <v>1</v>
      </c>
      <c r="AU1176" t="s">
        <v>517</v>
      </c>
      <c r="AV1176" t="s">
        <v>518</v>
      </c>
      <c r="AW1176" t="s">
        <v>60</v>
      </c>
      <c r="AX1176" t="s">
        <v>68</v>
      </c>
      <c r="AY1176" t="s">
        <v>69</v>
      </c>
      <c r="AZ1176" t="b">
        <v>1</v>
      </c>
    </row>
    <row r="1177" spans="1:52" x14ac:dyDescent="0.3">
      <c r="A1177" t="s">
        <v>52</v>
      </c>
      <c r="B1177" t="s">
        <v>53</v>
      </c>
      <c r="C1177" t="s">
        <v>54</v>
      </c>
      <c r="D1177" t="s">
        <v>55</v>
      </c>
      <c r="E1177" t="s">
        <v>829</v>
      </c>
      <c r="F1177" t="s">
        <v>512</v>
      </c>
      <c r="G1177" t="s">
        <v>519</v>
      </c>
      <c r="H1177" t="s">
        <v>520</v>
      </c>
      <c r="I1177" t="s">
        <v>520</v>
      </c>
      <c r="J1177" t="s">
        <v>60</v>
      </c>
      <c r="K1177" t="s">
        <v>72</v>
      </c>
      <c r="L1177" t="s">
        <v>62</v>
      </c>
      <c r="M1177" t="s">
        <v>72</v>
      </c>
      <c r="N1177" t="s">
        <v>521</v>
      </c>
      <c r="O1177" t="s">
        <v>522</v>
      </c>
      <c r="P1177">
        <v>-19.634713000000001</v>
      </c>
      <c r="Q1177">
        <v>-43.908909999999999</v>
      </c>
      <c r="R1177" s="2" t="str">
        <f>HYPERLINK("https://www.google.com/maps?q=-19.6347130,-43.9089100","Abrir no Google Maps")</f>
        <v>Abrir no Google Maps</v>
      </c>
      <c r="S1177">
        <v>4</v>
      </c>
      <c r="T1177">
        <v>700.74700083720154</v>
      </c>
      <c r="U1177">
        <v>1</v>
      </c>
      <c r="V1177">
        <v>0.4217146640185368</v>
      </c>
      <c r="W1177">
        <v>0.85</v>
      </c>
      <c r="X1177">
        <v>0.35845746441575632</v>
      </c>
      <c r="Y1177">
        <v>10</v>
      </c>
      <c r="Z1177">
        <v>557.86159429038207</v>
      </c>
      <c r="AA1177">
        <v>2</v>
      </c>
      <c r="AB1177">
        <v>3</v>
      </c>
      <c r="AC1177">
        <v>7</v>
      </c>
      <c r="AD1177">
        <v>27.39</v>
      </c>
      <c r="AE1177">
        <v>253</v>
      </c>
      <c r="AF1177">
        <v>20</v>
      </c>
      <c r="AG1177">
        <v>59</v>
      </c>
      <c r="AH1177">
        <v>32</v>
      </c>
      <c r="AI1177">
        <v>7.91</v>
      </c>
      <c r="AJ1177">
        <v>23.32</v>
      </c>
      <c r="AK1177">
        <v>12.65</v>
      </c>
      <c r="AL1177">
        <v>-19.634626949999959</v>
      </c>
      <c r="AM1177">
        <v>-43.909020333181857</v>
      </c>
      <c r="AN1177">
        <v>-19.634626949999959</v>
      </c>
      <c r="AO1177">
        <v>-43.909020333181857</v>
      </c>
      <c r="AP1177">
        <v>-19.634713000000001</v>
      </c>
      <c r="AQ1177">
        <v>-43.908909999999999</v>
      </c>
      <c r="AR1177">
        <v>15.01933861967664</v>
      </c>
      <c r="AS1177" t="s">
        <v>65</v>
      </c>
      <c r="AT1177">
        <v>1</v>
      </c>
      <c r="AU1177" t="s">
        <v>523</v>
      </c>
      <c r="AV1177" t="s">
        <v>524</v>
      </c>
      <c r="AW1177" t="s">
        <v>60</v>
      </c>
      <c r="AX1177" t="s">
        <v>68</v>
      </c>
      <c r="AY1177" t="s">
        <v>69</v>
      </c>
      <c r="AZ1177" t="b">
        <v>1</v>
      </c>
    </row>
    <row r="1178" spans="1:52" x14ac:dyDescent="0.3">
      <c r="A1178" t="s">
        <v>52</v>
      </c>
      <c r="B1178" t="s">
        <v>53</v>
      </c>
      <c r="C1178" t="s">
        <v>54</v>
      </c>
      <c r="D1178" t="s">
        <v>55</v>
      </c>
      <c r="E1178" t="s">
        <v>829</v>
      </c>
      <c r="F1178" t="s">
        <v>512</v>
      </c>
      <c r="G1178" t="s">
        <v>284</v>
      </c>
      <c r="H1178" t="s">
        <v>285</v>
      </c>
      <c r="I1178" t="s">
        <v>285</v>
      </c>
      <c r="J1178" t="s">
        <v>60</v>
      </c>
      <c r="K1178" t="s">
        <v>286</v>
      </c>
      <c r="L1178" t="s">
        <v>62</v>
      </c>
      <c r="M1178" t="s">
        <v>286</v>
      </c>
      <c r="N1178" t="s">
        <v>287</v>
      </c>
      <c r="O1178" t="s">
        <v>288</v>
      </c>
      <c r="P1178">
        <v>-19.639790000000001</v>
      </c>
      <c r="Q1178">
        <v>-43.882798999999999</v>
      </c>
      <c r="R1178" s="2" t="str">
        <f>HYPERLINK("https://www.google.com/maps?q=-19.6397900,-43.8827990","Abrir no Google Maps")</f>
        <v>Abrir no Google Maps</v>
      </c>
      <c r="S1178">
        <v>3</v>
      </c>
      <c r="T1178">
        <v>242.7052058134478</v>
      </c>
      <c r="U1178">
        <v>4</v>
      </c>
      <c r="V1178">
        <v>0.46717914027427587</v>
      </c>
      <c r="W1178">
        <v>1</v>
      </c>
      <c r="X1178">
        <v>0.46717914027427587</v>
      </c>
      <c r="Y1178">
        <v>10</v>
      </c>
      <c r="Z1178">
        <v>187.2088809462339</v>
      </c>
      <c r="AA1178">
        <v>2</v>
      </c>
      <c r="AB1178">
        <v>3</v>
      </c>
      <c r="AC1178">
        <v>7</v>
      </c>
      <c r="AD1178">
        <v>27.39</v>
      </c>
      <c r="AE1178">
        <v>253</v>
      </c>
      <c r="AF1178">
        <v>20</v>
      </c>
      <c r="AG1178">
        <v>59</v>
      </c>
      <c r="AH1178">
        <v>32</v>
      </c>
      <c r="AI1178">
        <v>7.91</v>
      </c>
      <c r="AJ1178">
        <v>23.32</v>
      </c>
      <c r="AK1178">
        <v>12.65</v>
      </c>
      <c r="AL1178">
        <v>-19.639855599999951</v>
      </c>
      <c r="AM1178">
        <v>-43.882909745178452</v>
      </c>
      <c r="AN1178">
        <v>-19.639855599999951</v>
      </c>
      <c r="AO1178">
        <v>-43.882909745178452</v>
      </c>
      <c r="AP1178">
        <v>-19.639790000000001</v>
      </c>
      <c r="AQ1178">
        <v>-43.882798999999999</v>
      </c>
      <c r="AR1178">
        <v>13.716486068571211</v>
      </c>
      <c r="AS1178" t="s">
        <v>65</v>
      </c>
      <c r="AT1178">
        <v>1</v>
      </c>
      <c r="AU1178" t="s">
        <v>289</v>
      </c>
      <c r="AV1178" t="s">
        <v>290</v>
      </c>
      <c r="AW1178" t="s">
        <v>60</v>
      </c>
      <c r="AX1178" t="s">
        <v>68</v>
      </c>
      <c r="AY1178" t="s">
        <v>69</v>
      </c>
      <c r="AZ1178" t="b">
        <v>1</v>
      </c>
    </row>
    <row r="1179" spans="1:52" x14ac:dyDescent="0.3">
      <c r="A1179" t="s">
        <v>52</v>
      </c>
      <c r="B1179" t="s">
        <v>53</v>
      </c>
      <c r="C1179" t="s">
        <v>54</v>
      </c>
      <c r="D1179" t="s">
        <v>55</v>
      </c>
      <c r="E1179" t="s">
        <v>829</v>
      </c>
      <c r="F1179" t="s">
        <v>512</v>
      </c>
      <c r="G1179" t="s">
        <v>291</v>
      </c>
      <c r="H1179" t="s">
        <v>292</v>
      </c>
      <c r="I1179" t="s">
        <v>292</v>
      </c>
      <c r="J1179" t="s">
        <v>60</v>
      </c>
      <c r="K1179" t="s">
        <v>286</v>
      </c>
      <c r="L1179" t="s">
        <v>62</v>
      </c>
      <c r="M1179" t="s">
        <v>286</v>
      </c>
      <c r="N1179" t="s">
        <v>293</v>
      </c>
      <c r="O1179" t="s">
        <v>294</v>
      </c>
      <c r="P1179">
        <v>-19.640333999999999</v>
      </c>
      <c r="Q1179">
        <v>-43.880004999999997</v>
      </c>
      <c r="R1179" s="2" t="str">
        <f>HYPERLINK("https://www.google.com/maps?q=-19.6403340,-43.8800050","Abrir no Google Maps")</f>
        <v>Abrir no Google Maps</v>
      </c>
      <c r="S1179">
        <v>3</v>
      </c>
      <c r="T1179">
        <v>276.80943817309782</v>
      </c>
      <c r="U1179">
        <v>4</v>
      </c>
      <c r="V1179">
        <v>0.48301486199575372</v>
      </c>
      <c r="W1179">
        <v>1</v>
      </c>
      <c r="X1179">
        <v>0.48301486199575372</v>
      </c>
      <c r="Y1179">
        <v>10</v>
      </c>
      <c r="Z1179">
        <v>361.98332038983392</v>
      </c>
      <c r="AA1179">
        <v>2</v>
      </c>
      <c r="AB1179">
        <v>3</v>
      </c>
      <c r="AC1179">
        <v>7</v>
      </c>
      <c r="AD1179">
        <v>27.39</v>
      </c>
      <c r="AE1179">
        <v>253</v>
      </c>
      <c r="AF1179">
        <v>20</v>
      </c>
      <c r="AG1179">
        <v>59</v>
      </c>
      <c r="AH1179">
        <v>32</v>
      </c>
      <c r="AI1179">
        <v>7.91</v>
      </c>
      <c r="AJ1179">
        <v>23.32</v>
      </c>
      <c r="AK1179">
        <v>12.65</v>
      </c>
      <c r="AL1179">
        <v>-19.640260249999951</v>
      </c>
      <c r="AM1179">
        <v>-43.880090474326408</v>
      </c>
      <c r="AN1179">
        <v>-19.640260249999951</v>
      </c>
      <c r="AO1179">
        <v>-43.880090474326408</v>
      </c>
      <c r="AP1179">
        <v>-19.640333999999999</v>
      </c>
      <c r="AQ1179">
        <v>-43.880004999999997</v>
      </c>
      <c r="AR1179">
        <v>12.153556195359609</v>
      </c>
      <c r="AS1179" t="s">
        <v>65</v>
      </c>
      <c r="AT1179">
        <v>1</v>
      </c>
      <c r="AU1179" t="s">
        <v>295</v>
      </c>
      <c r="AV1179" t="s">
        <v>296</v>
      </c>
      <c r="AW1179" t="s">
        <v>60</v>
      </c>
      <c r="AX1179" t="s">
        <v>68</v>
      </c>
      <c r="AY1179" t="s">
        <v>69</v>
      </c>
      <c r="AZ1179" t="b">
        <v>1</v>
      </c>
    </row>
    <row r="1180" spans="1:52" x14ac:dyDescent="0.3">
      <c r="A1180" t="s">
        <v>52</v>
      </c>
      <c r="B1180" t="s">
        <v>53</v>
      </c>
      <c r="C1180" t="s">
        <v>54</v>
      </c>
      <c r="D1180" t="s">
        <v>55</v>
      </c>
      <c r="E1180" t="s">
        <v>829</v>
      </c>
      <c r="F1180" t="s">
        <v>512</v>
      </c>
      <c r="G1180" t="s">
        <v>405</v>
      </c>
      <c r="H1180" t="s">
        <v>406</v>
      </c>
      <c r="I1180" t="s">
        <v>406</v>
      </c>
      <c r="J1180" t="s">
        <v>60</v>
      </c>
      <c r="K1180" t="s">
        <v>286</v>
      </c>
      <c r="L1180" t="s">
        <v>62</v>
      </c>
      <c r="M1180" t="s">
        <v>286</v>
      </c>
      <c r="N1180" t="s">
        <v>407</v>
      </c>
      <c r="O1180" t="s">
        <v>408</v>
      </c>
      <c r="P1180">
        <v>-19.646345</v>
      </c>
      <c r="Q1180">
        <v>-43.882294999999999</v>
      </c>
      <c r="R1180" s="2" t="str">
        <f>HYPERLINK("https://www.google.com/maps?q=-19.6463450,-43.8822950","Abrir no Google Maps")</f>
        <v>Abrir no Google Maps</v>
      </c>
      <c r="S1180">
        <v>3</v>
      </c>
      <c r="T1180">
        <v>450.3180538635894</v>
      </c>
      <c r="U1180">
        <v>4</v>
      </c>
      <c r="V1180">
        <v>0.45310173697270473</v>
      </c>
      <c r="W1180">
        <v>1</v>
      </c>
      <c r="X1180">
        <v>0.45310173697270473</v>
      </c>
      <c r="Y1180">
        <v>10</v>
      </c>
      <c r="Z1180">
        <v>349.23341775902583</v>
      </c>
      <c r="AA1180">
        <v>2</v>
      </c>
      <c r="AB1180">
        <v>3</v>
      </c>
      <c r="AC1180">
        <v>7</v>
      </c>
      <c r="AD1180">
        <v>27.39</v>
      </c>
      <c r="AE1180">
        <v>253</v>
      </c>
      <c r="AF1180">
        <v>20</v>
      </c>
      <c r="AG1180">
        <v>59</v>
      </c>
      <c r="AH1180">
        <v>32</v>
      </c>
      <c r="AI1180">
        <v>7.91</v>
      </c>
      <c r="AJ1180">
        <v>23.32</v>
      </c>
      <c r="AK1180">
        <v>12.65</v>
      </c>
      <c r="AL1180">
        <v>-19.646391649999941</v>
      </c>
      <c r="AM1180">
        <v>-43.882007396993302</v>
      </c>
      <c r="AN1180">
        <v>-19.646391649999941</v>
      </c>
      <c r="AO1180">
        <v>-43.882007396993302</v>
      </c>
      <c r="AP1180">
        <v>-19.646345</v>
      </c>
      <c r="AQ1180">
        <v>-43.882294999999999</v>
      </c>
      <c r="AR1180">
        <v>30.596105513395301</v>
      </c>
      <c r="AS1180" t="s">
        <v>65</v>
      </c>
      <c r="AT1180">
        <v>1</v>
      </c>
      <c r="AU1180" t="s">
        <v>409</v>
      </c>
      <c r="AV1180" t="s">
        <v>410</v>
      </c>
      <c r="AW1180" t="s">
        <v>60</v>
      </c>
      <c r="AX1180" t="s">
        <v>68</v>
      </c>
      <c r="AY1180" t="s">
        <v>69</v>
      </c>
      <c r="AZ1180" t="b">
        <v>1</v>
      </c>
    </row>
    <row r="1181" spans="1:52" x14ac:dyDescent="0.3">
      <c r="A1181" t="s">
        <v>52</v>
      </c>
      <c r="B1181" t="s">
        <v>53</v>
      </c>
      <c r="C1181" t="s">
        <v>54</v>
      </c>
      <c r="D1181" t="s">
        <v>55</v>
      </c>
      <c r="E1181" t="s">
        <v>829</v>
      </c>
      <c r="F1181" t="s">
        <v>512</v>
      </c>
      <c r="G1181" t="s">
        <v>388</v>
      </c>
      <c r="H1181" t="s">
        <v>389</v>
      </c>
      <c r="I1181" t="s">
        <v>389</v>
      </c>
      <c r="J1181" t="s">
        <v>60</v>
      </c>
      <c r="K1181" t="s">
        <v>185</v>
      </c>
      <c r="L1181" t="s">
        <v>62</v>
      </c>
      <c r="M1181" t="s">
        <v>185</v>
      </c>
      <c r="N1181" t="s">
        <v>390</v>
      </c>
      <c r="O1181" t="s">
        <v>391</v>
      </c>
      <c r="P1181">
        <v>-19.628802</v>
      </c>
      <c r="Q1181">
        <v>-43.891649000000001</v>
      </c>
      <c r="R1181" s="2" t="str">
        <f>HYPERLINK("https://www.google.com/maps?q=-19.6288020,-43.8916490","Abrir no Google Maps")</f>
        <v>Abrir no Google Maps</v>
      </c>
      <c r="S1181">
        <v>3</v>
      </c>
      <c r="T1181">
        <v>0</v>
      </c>
      <c r="U1181">
        <v>3</v>
      </c>
      <c r="V1181">
        <v>0.51712982358143644</v>
      </c>
      <c r="W1181">
        <v>0.85</v>
      </c>
      <c r="X1181">
        <v>0.43956035004422089</v>
      </c>
      <c r="Y1181">
        <v>18</v>
      </c>
      <c r="Z1181">
        <v>117.5064585283839</v>
      </c>
      <c r="AA1181">
        <v>2</v>
      </c>
      <c r="AB1181">
        <v>3</v>
      </c>
      <c r="AC1181">
        <v>7</v>
      </c>
      <c r="AD1181">
        <v>27.39</v>
      </c>
      <c r="AE1181">
        <v>253</v>
      </c>
      <c r="AF1181">
        <v>20</v>
      </c>
      <c r="AG1181">
        <v>59</v>
      </c>
      <c r="AH1181">
        <v>32</v>
      </c>
      <c r="AI1181">
        <v>7.91</v>
      </c>
      <c r="AJ1181">
        <v>23.32</v>
      </c>
      <c r="AK1181">
        <v>12.65</v>
      </c>
      <c r="AL1181">
        <v>-19.628865499999961</v>
      </c>
      <c r="AM1181">
        <v>-43.891662391334172</v>
      </c>
      <c r="AN1181">
        <v>-19.628865499999961</v>
      </c>
      <c r="AO1181">
        <v>-43.891662391334172</v>
      </c>
      <c r="AP1181">
        <v>-19.628802</v>
      </c>
      <c r="AQ1181">
        <v>-43.891649000000001</v>
      </c>
      <c r="AR1181">
        <v>7.2069201904448459</v>
      </c>
      <c r="AS1181" t="s">
        <v>65</v>
      </c>
      <c r="AT1181">
        <v>1</v>
      </c>
      <c r="AU1181" t="s">
        <v>392</v>
      </c>
      <c r="AV1181" t="s">
        <v>393</v>
      </c>
      <c r="AW1181" t="s">
        <v>60</v>
      </c>
      <c r="AX1181" t="s">
        <v>68</v>
      </c>
      <c r="AY1181" t="s">
        <v>69</v>
      </c>
      <c r="AZ1181" t="b">
        <v>1</v>
      </c>
    </row>
    <row r="1182" spans="1:52" x14ac:dyDescent="0.3">
      <c r="A1182" t="s">
        <v>52</v>
      </c>
      <c r="B1182" t="s">
        <v>53</v>
      </c>
      <c r="C1182" t="s">
        <v>54</v>
      </c>
      <c r="D1182" t="s">
        <v>55</v>
      </c>
      <c r="E1182" t="s">
        <v>829</v>
      </c>
      <c r="F1182" t="s">
        <v>512</v>
      </c>
      <c r="G1182" t="s">
        <v>530</v>
      </c>
      <c r="H1182" t="s">
        <v>531</v>
      </c>
      <c r="I1182" t="s">
        <v>531</v>
      </c>
      <c r="J1182" t="s">
        <v>60</v>
      </c>
      <c r="K1182" t="s">
        <v>185</v>
      </c>
      <c r="L1182" t="s">
        <v>62</v>
      </c>
      <c r="M1182" t="s">
        <v>185</v>
      </c>
      <c r="N1182" t="s">
        <v>532</v>
      </c>
      <c r="O1182" t="s">
        <v>533</v>
      </c>
      <c r="P1182">
        <v>-19.625264000000001</v>
      </c>
      <c r="Q1182">
        <v>-43.889451000000001</v>
      </c>
      <c r="R1182" s="2" t="str">
        <f>HYPERLINK("https://www.google.com/maps?q=-19.6252640,-43.8894510","Abrir no Google Maps")</f>
        <v>Abrir no Google Maps</v>
      </c>
      <c r="S1182">
        <v>3</v>
      </c>
      <c r="T1182">
        <v>466.11340370665903</v>
      </c>
      <c r="U1182">
        <v>3</v>
      </c>
      <c r="V1182">
        <v>0.4985014985014985</v>
      </c>
      <c r="W1182">
        <v>0.85</v>
      </c>
      <c r="X1182">
        <v>0.42372627372627369</v>
      </c>
      <c r="Y1182">
        <v>18</v>
      </c>
      <c r="Z1182">
        <v>320.77337440837812</v>
      </c>
      <c r="AA1182">
        <v>2</v>
      </c>
      <c r="AB1182">
        <v>3</v>
      </c>
      <c r="AC1182">
        <v>7</v>
      </c>
      <c r="AD1182">
        <v>27.39</v>
      </c>
      <c r="AE1182">
        <v>253</v>
      </c>
      <c r="AF1182">
        <v>20</v>
      </c>
      <c r="AG1182">
        <v>59</v>
      </c>
      <c r="AH1182">
        <v>32</v>
      </c>
      <c r="AI1182">
        <v>7.91</v>
      </c>
      <c r="AJ1182">
        <v>23.32</v>
      </c>
      <c r="AK1182">
        <v>12.65</v>
      </c>
      <c r="AL1182">
        <v>-19.62516189999997</v>
      </c>
      <c r="AM1182">
        <v>-43.88954614566876</v>
      </c>
      <c r="AN1182">
        <v>-19.62516189999997</v>
      </c>
      <c r="AO1182">
        <v>-43.88954614566876</v>
      </c>
      <c r="AP1182">
        <v>-19.625264000000001</v>
      </c>
      <c r="AQ1182">
        <v>-43.889451000000001</v>
      </c>
      <c r="AR1182">
        <v>15.12310549834147</v>
      </c>
      <c r="AS1182" t="s">
        <v>65</v>
      </c>
      <c r="AT1182">
        <v>1</v>
      </c>
      <c r="AU1182" t="s">
        <v>534</v>
      </c>
      <c r="AV1182" t="s">
        <v>535</v>
      </c>
      <c r="AW1182" t="s">
        <v>60</v>
      </c>
      <c r="AX1182" t="s">
        <v>68</v>
      </c>
      <c r="AY1182" t="s">
        <v>69</v>
      </c>
      <c r="AZ1182" t="b">
        <v>1</v>
      </c>
    </row>
    <row r="1183" spans="1:52" x14ac:dyDescent="0.3">
      <c r="A1183" t="s">
        <v>52</v>
      </c>
      <c r="B1183" t="s">
        <v>53</v>
      </c>
      <c r="C1183" t="s">
        <v>54</v>
      </c>
      <c r="D1183" t="s">
        <v>55</v>
      </c>
      <c r="E1183" t="s">
        <v>829</v>
      </c>
      <c r="F1183" t="s">
        <v>512</v>
      </c>
      <c r="G1183" t="s">
        <v>394</v>
      </c>
      <c r="H1183" t="s">
        <v>395</v>
      </c>
      <c r="I1183" t="s">
        <v>395</v>
      </c>
      <c r="J1183" t="s">
        <v>60</v>
      </c>
      <c r="K1183" t="s">
        <v>286</v>
      </c>
      <c r="L1183" t="s">
        <v>62</v>
      </c>
      <c r="M1183" t="s">
        <v>286</v>
      </c>
      <c r="N1183" t="s">
        <v>396</v>
      </c>
      <c r="O1183" t="s">
        <v>88</v>
      </c>
      <c r="P1183">
        <v>-19.636932999999999</v>
      </c>
      <c r="Q1183">
        <v>-43.882691999999999</v>
      </c>
      <c r="R1183" s="2" t="str">
        <f>HYPERLINK("https://www.google.com/maps?q=-19.6369330,-43.8826920","Abrir no Google Maps")</f>
        <v>Abrir no Google Maps</v>
      </c>
      <c r="S1183">
        <v>3</v>
      </c>
      <c r="T1183">
        <v>523.52675813688109</v>
      </c>
      <c r="U1183">
        <v>3</v>
      </c>
      <c r="V1183">
        <v>0.43254342936539009</v>
      </c>
      <c r="W1183">
        <v>1</v>
      </c>
      <c r="X1183">
        <v>0.43254342936539009</v>
      </c>
      <c r="Y1183">
        <v>10</v>
      </c>
      <c r="Z1183">
        <v>372.58135532659509</v>
      </c>
      <c r="AA1183">
        <v>2</v>
      </c>
      <c r="AB1183">
        <v>3</v>
      </c>
      <c r="AC1183">
        <v>7</v>
      </c>
      <c r="AD1183">
        <v>27.39</v>
      </c>
      <c r="AE1183">
        <v>253</v>
      </c>
      <c r="AF1183">
        <v>20</v>
      </c>
      <c r="AG1183">
        <v>59</v>
      </c>
      <c r="AH1183">
        <v>32</v>
      </c>
      <c r="AI1183">
        <v>7.91</v>
      </c>
      <c r="AJ1183">
        <v>23.32</v>
      </c>
      <c r="AK1183">
        <v>12.65</v>
      </c>
      <c r="AL1183">
        <v>-19.637159949999951</v>
      </c>
      <c r="AM1183">
        <v>-43.882643289441461</v>
      </c>
      <c r="AN1183">
        <v>-19.637159949999951</v>
      </c>
      <c r="AO1183">
        <v>-43.882643289441461</v>
      </c>
      <c r="AP1183">
        <v>-19.636932999999999</v>
      </c>
      <c r="AQ1183">
        <v>-43.882691999999999</v>
      </c>
      <c r="AR1183">
        <v>25.775099947452478</v>
      </c>
      <c r="AS1183" t="s">
        <v>65</v>
      </c>
      <c r="AT1183">
        <v>1</v>
      </c>
      <c r="AU1183" t="s">
        <v>397</v>
      </c>
      <c r="AV1183" t="s">
        <v>398</v>
      </c>
      <c r="AW1183" t="s">
        <v>60</v>
      </c>
      <c r="AX1183" t="s">
        <v>68</v>
      </c>
      <c r="AY1183" t="s">
        <v>69</v>
      </c>
      <c r="AZ1183" t="b">
        <v>1</v>
      </c>
    </row>
    <row r="1184" spans="1:52" x14ac:dyDescent="0.3">
      <c r="A1184" t="s">
        <v>52</v>
      </c>
      <c r="B1184" t="s">
        <v>53</v>
      </c>
      <c r="C1184" t="s">
        <v>54</v>
      </c>
      <c r="D1184" t="s">
        <v>55</v>
      </c>
      <c r="E1184" t="s">
        <v>829</v>
      </c>
      <c r="F1184" t="s">
        <v>512</v>
      </c>
      <c r="G1184" t="s">
        <v>399</v>
      </c>
      <c r="H1184" t="s">
        <v>400</v>
      </c>
      <c r="I1184" t="s">
        <v>400</v>
      </c>
      <c r="J1184" t="s">
        <v>60</v>
      </c>
      <c r="K1184" t="s">
        <v>286</v>
      </c>
      <c r="L1184" t="s">
        <v>62</v>
      </c>
      <c r="M1184" t="s">
        <v>286</v>
      </c>
      <c r="N1184" t="s">
        <v>401</v>
      </c>
      <c r="O1184" t="s">
        <v>402</v>
      </c>
      <c r="P1184">
        <v>-19.639906</v>
      </c>
      <c r="Q1184">
        <v>-43.886059000000003</v>
      </c>
      <c r="R1184" s="2" t="str">
        <f>HYPERLINK("https://www.google.com/maps?q=-19.6399060,-43.8860590","Abrir no Google Maps")</f>
        <v>Abrir no Google Maps</v>
      </c>
      <c r="S1184">
        <v>3</v>
      </c>
      <c r="T1184">
        <v>256.0748811302048</v>
      </c>
      <c r="U1184">
        <v>3</v>
      </c>
      <c r="V1184">
        <v>0.41581661092530658</v>
      </c>
      <c r="W1184">
        <v>1</v>
      </c>
      <c r="X1184">
        <v>0.41581661092530658</v>
      </c>
      <c r="Y1184">
        <v>10</v>
      </c>
      <c r="Z1184">
        <v>205.06236700857289</v>
      </c>
      <c r="AA1184">
        <v>2</v>
      </c>
      <c r="AB1184">
        <v>3</v>
      </c>
      <c r="AC1184">
        <v>7</v>
      </c>
      <c r="AD1184">
        <v>27.39</v>
      </c>
      <c r="AE1184">
        <v>253</v>
      </c>
      <c r="AF1184">
        <v>20</v>
      </c>
      <c r="AG1184">
        <v>59</v>
      </c>
      <c r="AH1184">
        <v>32</v>
      </c>
      <c r="AI1184">
        <v>7.91</v>
      </c>
      <c r="AJ1184">
        <v>23.32</v>
      </c>
      <c r="AK1184">
        <v>12.65</v>
      </c>
      <c r="AL1184">
        <v>-19.639789499999949</v>
      </c>
      <c r="AM1184">
        <v>-43.885737855031408</v>
      </c>
      <c r="AN1184">
        <v>-19.639789499999949</v>
      </c>
      <c r="AO1184">
        <v>-43.885737855031408</v>
      </c>
      <c r="AP1184">
        <v>-19.639906</v>
      </c>
      <c r="AQ1184">
        <v>-43.886059000000003</v>
      </c>
      <c r="AR1184">
        <v>36.081349702130403</v>
      </c>
      <c r="AS1184" t="s">
        <v>65</v>
      </c>
      <c r="AT1184">
        <v>1</v>
      </c>
      <c r="AU1184" t="s">
        <v>403</v>
      </c>
      <c r="AV1184" t="s">
        <v>404</v>
      </c>
      <c r="AW1184" t="s">
        <v>60</v>
      </c>
      <c r="AX1184" t="s">
        <v>68</v>
      </c>
      <c r="AY1184" t="s">
        <v>69</v>
      </c>
      <c r="AZ1184" t="b">
        <v>1</v>
      </c>
    </row>
    <row r="1185" spans="1:52" x14ac:dyDescent="0.3">
      <c r="A1185" t="s">
        <v>52</v>
      </c>
      <c r="B1185" t="s">
        <v>53</v>
      </c>
      <c r="C1185" t="s">
        <v>54</v>
      </c>
      <c r="D1185" t="s">
        <v>55</v>
      </c>
      <c r="E1185" t="s">
        <v>829</v>
      </c>
      <c r="F1185" t="s">
        <v>512</v>
      </c>
      <c r="G1185" t="s">
        <v>525</v>
      </c>
      <c r="H1185" t="s">
        <v>526</v>
      </c>
      <c r="I1185" t="s">
        <v>526</v>
      </c>
      <c r="J1185" t="s">
        <v>60</v>
      </c>
      <c r="K1185" t="s">
        <v>286</v>
      </c>
      <c r="L1185" t="s">
        <v>62</v>
      </c>
      <c r="M1185" t="s">
        <v>286</v>
      </c>
      <c r="N1185" t="s">
        <v>527</v>
      </c>
      <c r="O1185" t="s">
        <v>113</v>
      </c>
      <c r="P1185">
        <v>-19.629049999999999</v>
      </c>
      <c r="Q1185">
        <v>-43.887543000000001</v>
      </c>
      <c r="R1185" s="2" t="str">
        <f>HYPERLINK("https://www.google.com/maps?q=-19.6290500,-43.8875430","Abrir no Google Maps")</f>
        <v>Abrir no Google Maps</v>
      </c>
      <c r="S1185">
        <v>3</v>
      </c>
      <c r="T1185">
        <v>420.9244758141914</v>
      </c>
      <c r="U1185">
        <v>2</v>
      </c>
      <c r="V1185">
        <v>0.44532279314888013</v>
      </c>
      <c r="W1185">
        <v>0.85</v>
      </c>
      <c r="X1185">
        <v>0.37852437417654811</v>
      </c>
      <c r="Y1185">
        <v>18</v>
      </c>
      <c r="Z1185">
        <v>298.16529694300579</v>
      </c>
      <c r="AA1185">
        <v>2</v>
      </c>
      <c r="AB1185">
        <v>3</v>
      </c>
      <c r="AC1185">
        <v>7</v>
      </c>
      <c r="AD1185">
        <v>27.39</v>
      </c>
      <c r="AE1185">
        <v>253</v>
      </c>
      <c r="AF1185">
        <v>20</v>
      </c>
      <c r="AG1185">
        <v>59</v>
      </c>
      <c r="AH1185">
        <v>32</v>
      </c>
      <c r="AI1185">
        <v>7.91</v>
      </c>
      <c r="AJ1185">
        <v>23.32</v>
      </c>
      <c r="AK1185">
        <v>12.65</v>
      </c>
      <c r="AL1185">
        <v>-19.62914789999996</v>
      </c>
      <c r="AM1185">
        <v>-43.887659532387332</v>
      </c>
      <c r="AN1185">
        <v>-19.62914789999996</v>
      </c>
      <c r="AO1185">
        <v>-43.887659532387332</v>
      </c>
      <c r="AP1185">
        <v>-19.629049999999999</v>
      </c>
      <c r="AQ1185">
        <v>-43.887543000000001</v>
      </c>
      <c r="AR1185">
        <v>16.372645779361299</v>
      </c>
      <c r="AS1185" t="s">
        <v>65</v>
      </c>
      <c r="AT1185">
        <v>1</v>
      </c>
      <c r="AU1185" t="s">
        <v>528</v>
      </c>
      <c r="AV1185" t="s">
        <v>529</v>
      </c>
      <c r="AW1185" t="s">
        <v>60</v>
      </c>
      <c r="AX1185" t="s">
        <v>68</v>
      </c>
      <c r="AY1185" t="s">
        <v>69</v>
      </c>
      <c r="AZ1185" t="b">
        <v>1</v>
      </c>
    </row>
    <row r="1186" spans="1:52" x14ac:dyDescent="0.3">
      <c r="A1186" t="s">
        <v>52</v>
      </c>
      <c r="B1186" t="s">
        <v>53</v>
      </c>
      <c r="C1186" t="s">
        <v>54</v>
      </c>
      <c r="D1186" t="s">
        <v>55</v>
      </c>
      <c r="E1186" t="s">
        <v>829</v>
      </c>
      <c r="F1186" t="s">
        <v>512</v>
      </c>
      <c r="G1186" t="s">
        <v>536</v>
      </c>
      <c r="H1186" t="s">
        <v>537</v>
      </c>
      <c r="I1186" t="s">
        <v>537</v>
      </c>
      <c r="J1186" t="s">
        <v>60</v>
      </c>
      <c r="K1186" t="s">
        <v>185</v>
      </c>
      <c r="L1186" t="s">
        <v>62</v>
      </c>
      <c r="M1186" t="s">
        <v>185</v>
      </c>
      <c r="N1186" t="s">
        <v>538</v>
      </c>
      <c r="O1186" t="s">
        <v>408</v>
      </c>
      <c r="P1186">
        <v>-19.630147999999998</v>
      </c>
      <c r="Q1186">
        <v>-43.893844000000001</v>
      </c>
      <c r="R1186" s="2" t="str">
        <f>HYPERLINK("https://www.google.com/maps?q=-19.6301480,-43.8938440","Abrir no Google Maps")</f>
        <v>Abrir no Google Maps</v>
      </c>
      <c r="S1186">
        <v>3</v>
      </c>
      <c r="T1186">
        <v>262.94285160220159</v>
      </c>
      <c r="U1186">
        <v>2</v>
      </c>
      <c r="V1186">
        <v>0.44208132691278762</v>
      </c>
      <c r="W1186">
        <v>0.85</v>
      </c>
      <c r="X1186">
        <v>0.37576912787586952</v>
      </c>
      <c r="Y1186">
        <v>18</v>
      </c>
      <c r="Z1186">
        <v>351.25774094845309</v>
      </c>
      <c r="AA1186">
        <v>2</v>
      </c>
      <c r="AB1186">
        <v>3</v>
      </c>
      <c r="AC1186">
        <v>7</v>
      </c>
      <c r="AD1186">
        <v>27.39</v>
      </c>
      <c r="AE1186">
        <v>253</v>
      </c>
      <c r="AF1186">
        <v>20</v>
      </c>
      <c r="AG1186">
        <v>59</v>
      </c>
      <c r="AH1186">
        <v>32</v>
      </c>
      <c r="AI1186">
        <v>7.91</v>
      </c>
      <c r="AJ1186">
        <v>23.32</v>
      </c>
      <c r="AK1186">
        <v>12.65</v>
      </c>
      <c r="AL1186">
        <v>-19.630177599999939</v>
      </c>
      <c r="AM1186">
        <v>-43.893752755034278</v>
      </c>
      <c r="AN1186">
        <v>-19.630177599999939</v>
      </c>
      <c r="AO1186">
        <v>-43.893752755034278</v>
      </c>
      <c r="AP1186">
        <v>-19.630147999999998</v>
      </c>
      <c r="AQ1186">
        <v>-43.893844000000001</v>
      </c>
      <c r="AR1186">
        <v>10.1185927114604</v>
      </c>
      <c r="AS1186" t="s">
        <v>65</v>
      </c>
      <c r="AT1186">
        <v>1</v>
      </c>
      <c r="AU1186" t="s">
        <v>539</v>
      </c>
      <c r="AV1186" t="s">
        <v>540</v>
      </c>
      <c r="AW1186" t="s">
        <v>60</v>
      </c>
      <c r="AX1186" t="s">
        <v>68</v>
      </c>
      <c r="AY1186" t="s">
        <v>69</v>
      </c>
      <c r="AZ1186" t="b">
        <v>1</v>
      </c>
    </row>
    <row r="1187" spans="1:52" x14ac:dyDescent="0.3">
      <c r="A1187" t="s">
        <v>52</v>
      </c>
      <c r="B1187" t="s">
        <v>53</v>
      </c>
      <c r="C1187" t="s">
        <v>54</v>
      </c>
      <c r="D1187" t="s">
        <v>55</v>
      </c>
      <c r="E1187" t="s">
        <v>829</v>
      </c>
      <c r="F1187" t="s">
        <v>512</v>
      </c>
      <c r="G1187" t="s">
        <v>546</v>
      </c>
      <c r="H1187" t="s">
        <v>547</v>
      </c>
      <c r="I1187" t="s">
        <v>547</v>
      </c>
      <c r="J1187" t="s">
        <v>60</v>
      </c>
      <c r="K1187" t="s">
        <v>445</v>
      </c>
      <c r="L1187" t="s">
        <v>62</v>
      </c>
      <c r="M1187" t="s">
        <v>445</v>
      </c>
      <c r="N1187" t="s">
        <v>548</v>
      </c>
      <c r="O1187" t="s">
        <v>549</v>
      </c>
      <c r="P1187">
        <v>-19.642752999999999</v>
      </c>
      <c r="Q1187">
        <v>-43.879080999999999</v>
      </c>
      <c r="R1187" s="2" t="str">
        <f>HYPERLINK("https://www.google.com/maps?q=-19.6427530,-43.8790810","Abrir no Google Maps")</f>
        <v>Abrir no Google Maps</v>
      </c>
      <c r="S1187">
        <v>3</v>
      </c>
      <c r="T1187">
        <v>256.19518367376457</v>
      </c>
      <c r="U1187">
        <v>2</v>
      </c>
      <c r="V1187">
        <v>0.42271880819366853</v>
      </c>
      <c r="W1187">
        <v>0.85</v>
      </c>
      <c r="X1187">
        <v>0.35931098696461822</v>
      </c>
      <c r="Y1187">
        <v>10</v>
      </c>
      <c r="Z1187">
        <v>192.73978446408199</v>
      </c>
      <c r="AA1187">
        <v>2</v>
      </c>
      <c r="AB1187">
        <v>3</v>
      </c>
      <c r="AC1187">
        <v>7</v>
      </c>
      <c r="AD1187">
        <v>27.39</v>
      </c>
      <c r="AE1187">
        <v>253</v>
      </c>
      <c r="AF1187">
        <v>20</v>
      </c>
      <c r="AG1187">
        <v>59</v>
      </c>
      <c r="AH1187">
        <v>32</v>
      </c>
      <c r="AI1187">
        <v>7.91</v>
      </c>
      <c r="AJ1187">
        <v>23.32</v>
      </c>
      <c r="AK1187">
        <v>12.65</v>
      </c>
      <c r="AL1187">
        <v>-19.642703749999949</v>
      </c>
      <c r="AM1187">
        <v>-43.879132974738582</v>
      </c>
      <c r="AN1187">
        <v>-19.642703749999949</v>
      </c>
      <c r="AO1187">
        <v>-43.879132974738582</v>
      </c>
      <c r="AP1187">
        <v>-19.642752999999999</v>
      </c>
      <c r="AQ1187">
        <v>-43.879080999999999</v>
      </c>
      <c r="AR1187">
        <v>7.7298757823687696</v>
      </c>
      <c r="AS1187" t="s">
        <v>65</v>
      </c>
      <c r="AT1187">
        <v>1</v>
      </c>
      <c r="AU1187" t="s">
        <v>550</v>
      </c>
      <c r="AV1187" t="s">
        <v>551</v>
      </c>
      <c r="AW1187" t="s">
        <v>60</v>
      </c>
      <c r="AX1187" t="s">
        <v>68</v>
      </c>
      <c r="AY1187" t="s">
        <v>69</v>
      </c>
      <c r="AZ1187" t="b">
        <v>1</v>
      </c>
    </row>
    <row r="1188" spans="1:52" x14ac:dyDescent="0.3">
      <c r="A1188" t="s">
        <v>52</v>
      </c>
      <c r="B1188" t="s">
        <v>53</v>
      </c>
      <c r="C1188" t="s">
        <v>54</v>
      </c>
      <c r="D1188" t="s">
        <v>55</v>
      </c>
      <c r="E1188" t="s">
        <v>829</v>
      </c>
      <c r="F1188" t="s">
        <v>512</v>
      </c>
      <c r="G1188" t="s">
        <v>557</v>
      </c>
      <c r="H1188" t="s">
        <v>558</v>
      </c>
      <c r="I1188" t="s">
        <v>558</v>
      </c>
      <c r="J1188" t="s">
        <v>60</v>
      </c>
      <c r="K1188" t="s">
        <v>445</v>
      </c>
      <c r="L1188" t="s">
        <v>62</v>
      </c>
      <c r="M1188" t="s">
        <v>445</v>
      </c>
      <c r="N1188" t="s">
        <v>559</v>
      </c>
      <c r="O1188" t="s">
        <v>560</v>
      </c>
      <c r="P1188">
        <v>-19.641839000000001</v>
      </c>
      <c r="Q1188">
        <v>-43.876227</v>
      </c>
      <c r="R1188" s="2" t="str">
        <f>HYPERLINK("https://www.google.com/maps?q=-19.6418390,-43.8762270","Abrir no Google Maps")</f>
        <v>Abrir no Google Maps</v>
      </c>
      <c r="S1188">
        <v>3</v>
      </c>
      <c r="T1188">
        <v>564.50471877254449</v>
      </c>
      <c r="U1188">
        <v>2</v>
      </c>
      <c r="V1188">
        <v>0.42458808618504429</v>
      </c>
      <c r="W1188">
        <v>0.85</v>
      </c>
      <c r="X1188">
        <v>0.36089987325728762</v>
      </c>
      <c r="Y1188">
        <v>10</v>
      </c>
      <c r="Z1188">
        <v>490.40238336341412</v>
      </c>
      <c r="AA1188">
        <v>2</v>
      </c>
      <c r="AB1188">
        <v>3</v>
      </c>
      <c r="AC1188">
        <v>7</v>
      </c>
      <c r="AD1188">
        <v>27.39</v>
      </c>
      <c r="AE1188">
        <v>253</v>
      </c>
      <c r="AF1188">
        <v>20</v>
      </c>
      <c r="AG1188">
        <v>59</v>
      </c>
      <c r="AH1188">
        <v>32</v>
      </c>
      <c r="AI1188">
        <v>7.91</v>
      </c>
      <c r="AJ1188">
        <v>23.32</v>
      </c>
      <c r="AK1188">
        <v>12.65</v>
      </c>
      <c r="AL1188">
        <v>-19.641880699999941</v>
      </c>
      <c r="AM1188">
        <v>-43.876185869580858</v>
      </c>
      <c r="AN1188">
        <v>-19.641880699999941</v>
      </c>
      <c r="AO1188">
        <v>-43.876185869580858</v>
      </c>
      <c r="AP1188">
        <v>-19.641839000000001</v>
      </c>
      <c r="AQ1188">
        <v>-43.876227</v>
      </c>
      <c r="AR1188">
        <v>6.3359121862683301</v>
      </c>
      <c r="AS1188" t="s">
        <v>65</v>
      </c>
      <c r="AT1188">
        <v>1</v>
      </c>
      <c r="AU1188" t="s">
        <v>561</v>
      </c>
      <c r="AV1188" t="s">
        <v>562</v>
      </c>
      <c r="AW1188" t="s">
        <v>60</v>
      </c>
      <c r="AX1188" t="s">
        <v>68</v>
      </c>
      <c r="AY1188" t="s">
        <v>69</v>
      </c>
      <c r="AZ1188" t="b">
        <v>1</v>
      </c>
    </row>
    <row r="1189" spans="1:52" x14ac:dyDescent="0.3">
      <c r="A1189" t="s">
        <v>52</v>
      </c>
      <c r="B1189" t="s">
        <v>53</v>
      </c>
      <c r="C1189" t="s">
        <v>54</v>
      </c>
      <c r="D1189" t="s">
        <v>55</v>
      </c>
      <c r="E1189" t="s">
        <v>829</v>
      </c>
      <c r="F1189" t="s">
        <v>512</v>
      </c>
      <c r="G1189" t="s">
        <v>580</v>
      </c>
      <c r="H1189" t="s">
        <v>581</v>
      </c>
      <c r="I1189" t="s">
        <v>581</v>
      </c>
      <c r="J1189" t="s">
        <v>60</v>
      </c>
      <c r="K1189" t="s">
        <v>179</v>
      </c>
      <c r="L1189" t="s">
        <v>62</v>
      </c>
      <c r="M1189" t="s">
        <v>179</v>
      </c>
      <c r="N1189" t="s">
        <v>582</v>
      </c>
      <c r="O1189" t="s">
        <v>583</v>
      </c>
      <c r="P1189">
        <v>-19.651917999999998</v>
      </c>
      <c r="Q1189">
        <v>-43.888081</v>
      </c>
      <c r="R1189" s="2" t="str">
        <f>HYPERLINK("https://www.google.com/maps?q=-19.6519180,-43.8880810","Abrir no Google Maps")</f>
        <v>Abrir no Google Maps</v>
      </c>
      <c r="S1189">
        <v>3</v>
      </c>
      <c r="T1189">
        <v>1192.758363020145</v>
      </c>
      <c r="U1189">
        <v>2</v>
      </c>
      <c r="V1189">
        <v>0.43669859213900658</v>
      </c>
      <c r="W1189">
        <v>0.85</v>
      </c>
      <c r="X1189">
        <v>0.3711938033181556</v>
      </c>
      <c r="Y1189">
        <v>10</v>
      </c>
      <c r="Z1189">
        <v>1164.020417046748</v>
      </c>
      <c r="AA1189">
        <v>2</v>
      </c>
      <c r="AB1189">
        <v>3</v>
      </c>
      <c r="AC1189">
        <v>7</v>
      </c>
      <c r="AD1189">
        <v>27.39</v>
      </c>
      <c r="AE1189">
        <v>253</v>
      </c>
      <c r="AF1189">
        <v>20</v>
      </c>
      <c r="AG1189">
        <v>59</v>
      </c>
      <c r="AH1189">
        <v>32</v>
      </c>
      <c r="AI1189">
        <v>7.91</v>
      </c>
      <c r="AJ1189">
        <v>23.32</v>
      </c>
      <c r="AK1189">
        <v>12.65</v>
      </c>
      <c r="AL1189">
        <v>-19.65182809999996</v>
      </c>
      <c r="AM1189">
        <v>-43.887955347266519</v>
      </c>
      <c r="AN1189">
        <v>-19.65182809999996</v>
      </c>
      <c r="AO1189">
        <v>-43.887955347266519</v>
      </c>
      <c r="AP1189">
        <v>-19.651917999999998</v>
      </c>
      <c r="AQ1189">
        <v>-43.888081</v>
      </c>
      <c r="AR1189">
        <v>16.543262936495491</v>
      </c>
      <c r="AS1189" t="s">
        <v>65</v>
      </c>
      <c r="AT1189">
        <v>1</v>
      </c>
      <c r="AU1189" t="s">
        <v>584</v>
      </c>
      <c r="AV1189" t="s">
        <v>585</v>
      </c>
      <c r="AW1189" t="s">
        <v>60</v>
      </c>
      <c r="AX1189" t="s">
        <v>68</v>
      </c>
      <c r="AY1189" t="s">
        <v>69</v>
      </c>
      <c r="AZ1189" t="b">
        <v>1</v>
      </c>
    </row>
    <row r="1190" spans="1:52" x14ac:dyDescent="0.3">
      <c r="A1190" t="s">
        <v>52</v>
      </c>
      <c r="B1190" t="s">
        <v>53</v>
      </c>
      <c r="C1190" t="s">
        <v>54</v>
      </c>
      <c r="D1190" t="s">
        <v>55</v>
      </c>
      <c r="E1190" t="s">
        <v>829</v>
      </c>
      <c r="F1190" t="s">
        <v>512</v>
      </c>
      <c r="G1190" t="s">
        <v>411</v>
      </c>
      <c r="H1190" t="s">
        <v>412</v>
      </c>
      <c r="I1190" t="s">
        <v>412</v>
      </c>
      <c r="J1190" t="s">
        <v>60</v>
      </c>
      <c r="K1190" t="s">
        <v>179</v>
      </c>
      <c r="L1190" t="s">
        <v>62</v>
      </c>
      <c r="M1190" t="s">
        <v>179</v>
      </c>
      <c r="N1190" t="s">
        <v>413</v>
      </c>
      <c r="O1190" t="s">
        <v>414</v>
      </c>
      <c r="P1190">
        <v>-19.650079000000002</v>
      </c>
      <c r="Q1190">
        <v>-43.884253999999999</v>
      </c>
      <c r="R1190" s="2" t="str">
        <f>HYPERLINK("https://www.google.com/maps?q=-19.6500790,-43.8842540","Abrir no Google Maps")</f>
        <v>Abrir no Google Maps</v>
      </c>
      <c r="S1190">
        <v>3</v>
      </c>
      <c r="T1190">
        <v>797.21430129715498</v>
      </c>
      <c r="U1190">
        <v>2</v>
      </c>
      <c r="V1190">
        <v>0.40218384502923971</v>
      </c>
      <c r="W1190">
        <v>1</v>
      </c>
      <c r="X1190">
        <v>0.40218384502923971</v>
      </c>
      <c r="Y1190">
        <v>10</v>
      </c>
      <c r="Z1190">
        <v>774.04145012702554</v>
      </c>
      <c r="AA1190">
        <v>2</v>
      </c>
      <c r="AB1190">
        <v>3</v>
      </c>
      <c r="AC1190">
        <v>7</v>
      </c>
      <c r="AD1190">
        <v>27.39</v>
      </c>
      <c r="AE1190">
        <v>253</v>
      </c>
      <c r="AF1190">
        <v>20</v>
      </c>
      <c r="AG1190">
        <v>59</v>
      </c>
      <c r="AH1190">
        <v>32</v>
      </c>
      <c r="AI1190">
        <v>7.91</v>
      </c>
      <c r="AJ1190">
        <v>23.32</v>
      </c>
      <c r="AK1190">
        <v>12.65</v>
      </c>
      <c r="AL1190">
        <v>-19.649199399999961</v>
      </c>
      <c r="AM1190">
        <v>-43.883888390043637</v>
      </c>
      <c r="AN1190">
        <v>-19.649199399999961</v>
      </c>
      <c r="AO1190">
        <v>-43.883888390043637</v>
      </c>
      <c r="AP1190">
        <v>-19.650079000000002</v>
      </c>
      <c r="AQ1190">
        <v>-43.884253999999999</v>
      </c>
      <c r="AR1190">
        <v>105.1518915696123</v>
      </c>
      <c r="AS1190" t="s">
        <v>65</v>
      </c>
      <c r="AT1190">
        <v>1</v>
      </c>
      <c r="AU1190" t="s">
        <v>415</v>
      </c>
      <c r="AV1190" t="s">
        <v>416</v>
      </c>
      <c r="AW1190" t="s">
        <v>60</v>
      </c>
      <c r="AX1190" t="s">
        <v>68</v>
      </c>
      <c r="AY1190" t="s">
        <v>69</v>
      </c>
      <c r="AZ1190" t="b">
        <v>1</v>
      </c>
    </row>
    <row r="1191" spans="1:52" x14ac:dyDescent="0.3">
      <c r="A1191" t="s">
        <v>52</v>
      </c>
      <c r="B1191" t="s">
        <v>53</v>
      </c>
      <c r="C1191" t="s">
        <v>54</v>
      </c>
      <c r="D1191" t="s">
        <v>55</v>
      </c>
      <c r="E1191" t="s">
        <v>829</v>
      </c>
      <c r="F1191" t="s">
        <v>512</v>
      </c>
      <c r="G1191" t="s">
        <v>541</v>
      </c>
      <c r="H1191" t="s">
        <v>542</v>
      </c>
      <c r="I1191" t="s">
        <v>542</v>
      </c>
      <c r="J1191" t="s">
        <v>60</v>
      </c>
      <c r="K1191" t="s">
        <v>445</v>
      </c>
      <c r="L1191" t="s">
        <v>62</v>
      </c>
      <c r="M1191" t="s">
        <v>445</v>
      </c>
      <c r="N1191" t="s">
        <v>543</v>
      </c>
      <c r="O1191" t="s">
        <v>328</v>
      </c>
      <c r="P1191">
        <v>-19.642263</v>
      </c>
      <c r="Q1191">
        <v>-43.881428999999997</v>
      </c>
      <c r="R1191" s="2" t="str">
        <f>HYPERLINK("https://www.google.com/maps?q=-19.6422630,-43.8814290","Abrir no Google Maps")</f>
        <v>Abrir no Google Maps</v>
      </c>
      <c r="S1191">
        <v>3</v>
      </c>
      <c r="T1191">
        <v>0</v>
      </c>
      <c r="U1191">
        <v>1</v>
      </c>
      <c r="V1191">
        <v>0.4195402298850574</v>
      </c>
      <c r="W1191">
        <v>0.85</v>
      </c>
      <c r="X1191">
        <v>0.3566091954022988</v>
      </c>
      <c r="Y1191">
        <v>10</v>
      </c>
      <c r="Z1191">
        <v>162.4764384685345</v>
      </c>
      <c r="AA1191">
        <v>2</v>
      </c>
      <c r="AB1191">
        <v>3</v>
      </c>
      <c r="AC1191">
        <v>7</v>
      </c>
      <c r="AD1191">
        <v>27.39</v>
      </c>
      <c r="AE1191">
        <v>253</v>
      </c>
      <c r="AF1191">
        <v>20</v>
      </c>
      <c r="AG1191">
        <v>59</v>
      </c>
      <c r="AH1191">
        <v>32</v>
      </c>
      <c r="AI1191">
        <v>7.91</v>
      </c>
      <c r="AJ1191">
        <v>23.32</v>
      </c>
      <c r="AK1191">
        <v>12.65</v>
      </c>
      <c r="AL1191">
        <v>-19.642346249999949</v>
      </c>
      <c r="AM1191">
        <v>-43.881546938715289</v>
      </c>
      <c r="AN1191">
        <v>-19.642346249999939</v>
      </c>
      <c r="AO1191">
        <v>-43.881546938715289</v>
      </c>
      <c r="AP1191">
        <v>-19.642263</v>
      </c>
      <c r="AQ1191">
        <v>-43.881428999999997</v>
      </c>
      <c r="AR1191">
        <v>15.45239906956777</v>
      </c>
      <c r="AS1191" t="s">
        <v>65</v>
      </c>
      <c r="AT1191">
        <v>1</v>
      </c>
      <c r="AU1191" t="s">
        <v>544</v>
      </c>
      <c r="AV1191" t="s">
        <v>545</v>
      </c>
      <c r="AW1191" t="s">
        <v>60</v>
      </c>
      <c r="AX1191" t="s">
        <v>68</v>
      </c>
      <c r="AY1191" t="s">
        <v>69</v>
      </c>
      <c r="AZ1191" t="b">
        <v>1</v>
      </c>
    </row>
    <row r="1192" spans="1:52" x14ac:dyDescent="0.3">
      <c r="A1192" t="s">
        <v>52</v>
      </c>
      <c r="B1192" t="s">
        <v>53</v>
      </c>
      <c r="C1192" t="s">
        <v>54</v>
      </c>
      <c r="D1192" t="s">
        <v>55</v>
      </c>
      <c r="E1192" t="s">
        <v>829</v>
      </c>
      <c r="F1192" t="s">
        <v>512</v>
      </c>
      <c r="G1192" t="s">
        <v>552</v>
      </c>
      <c r="H1192" t="s">
        <v>553</v>
      </c>
      <c r="I1192" t="s">
        <v>553</v>
      </c>
      <c r="J1192" t="s">
        <v>60</v>
      </c>
      <c r="K1192" t="s">
        <v>445</v>
      </c>
      <c r="L1192" t="s">
        <v>62</v>
      </c>
      <c r="M1192" t="s">
        <v>445</v>
      </c>
      <c r="N1192" t="s">
        <v>554</v>
      </c>
      <c r="O1192" t="s">
        <v>207</v>
      </c>
      <c r="P1192">
        <v>-19.641549999999999</v>
      </c>
      <c r="Q1192">
        <v>-43.873263999999999</v>
      </c>
      <c r="R1192" s="2" t="str">
        <f>HYPERLINK("https://www.google.com/maps?q=-19.6415500,-43.8732640","Abrir no Google Maps")</f>
        <v>Abrir no Google Maps</v>
      </c>
      <c r="S1192">
        <v>3</v>
      </c>
      <c r="T1192">
        <v>879.45465995735231</v>
      </c>
      <c r="U1192">
        <v>1</v>
      </c>
      <c r="V1192">
        <v>0.41965291863871979</v>
      </c>
      <c r="W1192">
        <v>0.85</v>
      </c>
      <c r="X1192">
        <v>0.3567049808429118</v>
      </c>
      <c r="Y1192">
        <v>10</v>
      </c>
      <c r="Z1192">
        <v>830.70905214077095</v>
      </c>
      <c r="AA1192">
        <v>2</v>
      </c>
      <c r="AB1192">
        <v>3</v>
      </c>
      <c r="AC1192">
        <v>7</v>
      </c>
      <c r="AD1192">
        <v>27.39</v>
      </c>
      <c r="AE1192">
        <v>253</v>
      </c>
      <c r="AF1192">
        <v>20</v>
      </c>
      <c r="AG1192">
        <v>59</v>
      </c>
      <c r="AH1192">
        <v>32</v>
      </c>
      <c r="AI1192">
        <v>7.91</v>
      </c>
      <c r="AJ1192">
        <v>23.32</v>
      </c>
      <c r="AK1192">
        <v>12.65</v>
      </c>
      <c r="AL1192">
        <v>-19.641459949999959</v>
      </c>
      <c r="AM1192">
        <v>-43.873212145688711</v>
      </c>
      <c r="AN1192">
        <v>-19.641459949999959</v>
      </c>
      <c r="AO1192">
        <v>-43.873212145688711</v>
      </c>
      <c r="AP1192">
        <v>-19.641549999999999</v>
      </c>
      <c r="AQ1192">
        <v>-43.873263999999999</v>
      </c>
      <c r="AR1192">
        <v>11.40368340137019</v>
      </c>
      <c r="AS1192" t="s">
        <v>65</v>
      </c>
      <c r="AT1192">
        <v>1</v>
      </c>
      <c r="AU1192" t="s">
        <v>555</v>
      </c>
      <c r="AV1192" t="s">
        <v>556</v>
      </c>
      <c r="AW1192" t="s">
        <v>60</v>
      </c>
      <c r="AX1192" t="s">
        <v>68</v>
      </c>
      <c r="AY1192" t="s">
        <v>69</v>
      </c>
      <c r="AZ1192" t="b">
        <v>1</v>
      </c>
    </row>
    <row r="1193" spans="1:52" x14ac:dyDescent="0.3">
      <c r="A1193" t="s">
        <v>52</v>
      </c>
      <c r="B1193" t="s">
        <v>53</v>
      </c>
      <c r="C1193" t="s">
        <v>54</v>
      </c>
      <c r="D1193" t="s">
        <v>55</v>
      </c>
      <c r="E1193" t="s">
        <v>829</v>
      </c>
      <c r="F1193" t="s">
        <v>512</v>
      </c>
      <c r="G1193" t="s">
        <v>563</v>
      </c>
      <c r="H1193" t="s">
        <v>564</v>
      </c>
      <c r="I1193" t="s">
        <v>564</v>
      </c>
      <c r="J1193" t="s">
        <v>60</v>
      </c>
      <c r="K1193" t="s">
        <v>445</v>
      </c>
      <c r="L1193" t="s">
        <v>62</v>
      </c>
      <c r="M1193" t="s">
        <v>445</v>
      </c>
      <c r="N1193" t="s">
        <v>565</v>
      </c>
      <c r="O1193" t="s">
        <v>566</v>
      </c>
      <c r="P1193">
        <v>-19.645859000000002</v>
      </c>
      <c r="Q1193">
        <v>-43.878008000000001</v>
      </c>
      <c r="R1193" s="2" t="str">
        <f>HYPERLINK("https://www.google.com/maps?q=-19.6458590,-43.8780080","Abrir no Google Maps")</f>
        <v>Abrir no Google Maps</v>
      </c>
      <c r="S1193">
        <v>3</v>
      </c>
      <c r="T1193">
        <v>535.60651658514928</v>
      </c>
      <c r="U1193">
        <v>1</v>
      </c>
      <c r="V1193">
        <v>0.4130283705338893</v>
      </c>
      <c r="W1193">
        <v>0.85</v>
      </c>
      <c r="X1193">
        <v>0.35107411495380592</v>
      </c>
      <c r="Y1193">
        <v>10</v>
      </c>
      <c r="Z1193">
        <v>356.77070476702067</v>
      </c>
      <c r="AA1193">
        <v>2</v>
      </c>
      <c r="AB1193">
        <v>3</v>
      </c>
      <c r="AC1193">
        <v>7</v>
      </c>
      <c r="AD1193">
        <v>27.39</v>
      </c>
      <c r="AE1193">
        <v>253</v>
      </c>
      <c r="AF1193">
        <v>20</v>
      </c>
      <c r="AG1193">
        <v>59</v>
      </c>
      <c r="AH1193">
        <v>32</v>
      </c>
      <c r="AI1193">
        <v>7.91</v>
      </c>
      <c r="AJ1193">
        <v>23.32</v>
      </c>
      <c r="AK1193">
        <v>12.65</v>
      </c>
      <c r="AL1193">
        <v>-19.645894599999959</v>
      </c>
      <c r="AM1193">
        <v>-43.878073476665591</v>
      </c>
      <c r="AN1193">
        <v>-19.645894599999959</v>
      </c>
      <c r="AO1193">
        <v>-43.878073476665591</v>
      </c>
      <c r="AP1193">
        <v>-19.645859000000002</v>
      </c>
      <c r="AQ1193">
        <v>-43.878008000000001</v>
      </c>
      <c r="AR1193">
        <v>7.9263849189726594</v>
      </c>
      <c r="AS1193" t="s">
        <v>65</v>
      </c>
      <c r="AT1193">
        <v>1</v>
      </c>
      <c r="AU1193" t="s">
        <v>567</v>
      </c>
      <c r="AV1193" t="s">
        <v>568</v>
      </c>
      <c r="AW1193" t="s">
        <v>60</v>
      </c>
      <c r="AX1193" t="s">
        <v>68</v>
      </c>
      <c r="AY1193" t="s">
        <v>69</v>
      </c>
      <c r="AZ1193" t="b">
        <v>1</v>
      </c>
    </row>
    <row r="1194" spans="1:52" x14ac:dyDescent="0.3">
      <c r="A1194" t="s">
        <v>52</v>
      </c>
      <c r="B1194" t="s">
        <v>53</v>
      </c>
      <c r="C1194" t="s">
        <v>54</v>
      </c>
      <c r="D1194" t="s">
        <v>55</v>
      </c>
      <c r="E1194" t="s">
        <v>829</v>
      </c>
      <c r="F1194" t="s">
        <v>512</v>
      </c>
      <c r="G1194" t="s">
        <v>569</v>
      </c>
      <c r="H1194" t="s">
        <v>570</v>
      </c>
      <c r="I1194" t="s">
        <v>570</v>
      </c>
      <c r="J1194" t="s">
        <v>60</v>
      </c>
      <c r="K1194" t="s">
        <v>445</v>
      </c>
      <c r="L1194" t="s">
        <v>62</v>
      </c>
      <c r="M1194" t="s">
        <v>445</v>
      </c>
      <c r="N1194" t="s">
        <v>571</v>
      </c>
      <c r="O1194" t="s">
        <v>572</v>
      </c>
      <c r="P1194">
        <v>-19.646602999999999</v>
      </c>
      <c r="Q1194">
        <v>-43.879826000000001</v>
      </c>
      <c r="R1194" s="2" t="str">
        <f>HYPERLINK("https://www.google.com/maps?q=-19.6466030,-43.8798260","Abrir no Google Maps")</f>
        <v>Abrir no Google Maps</v>
      </c>
      <c r="S1194">
        <v>3</v>
      </c>
      <c r="T1194">
        <v>497.89126003830972</v>
      </c>
      <c r="U1194">
        <v>1</v>
      </c>
      <c r="V1194">
        <v>0.42124542124542119</v>
      </c>
      <c r="W1194">
        <v>0.85</v>
      </c>
      <c r="X1194">
        <v>0.35805860805860801</v>
      </c>
      <c r="Y1194">
        <v>10</v>
      </c>
      <c r="Z1194">
        <v>228.69190976735251</v>
      </c>
      <c r="AA1194">
        <v>2</v>
      </c>
      <c r="AB1194">
        <v>3</v>
      </c>
      <c r="AC1194">
        <v>7</v>
      </c>
      <c r="AD1194">
        <v>27.39</v>
      </c>
      <c r="AE1194">
        <v>253</v>
      </c>
      <c r="AF1194">
        <v>20</v>
      </c>
      <c r="AG1194">
        <v>59</v>
      </c>
      <c r="AH1194">
        <v>32</v>
      </c>
      <c r="AI1194">
        <v>7.91</v>
      </c>
      <c r="AJ1194">
        <v>23.32</v>
      </c>
      <c r="AK1194">
        <v>12.65</v>
      </c>
      <c r="AL1194">
        <v>-19.646577499999982</v>
      </c>
      <c r="AM1194">
        <v>-43.879934131171261</v>
      </c>
      <c r="AN1194">
        <v>-19.646577499999971</v>
      </c>
      <c r="AO1194">
        <v>-43.879934131171261</v>
      </c>
      <c r="AP1194">
        <v>-19.646602999999999</v>
      </c>
      <c r="AQ1194">
        <v>-43.879826000000001</v>
      </c>
      <c r="AR1194">
        <v>11.68641198848764</v>
      </c>
      <c r="AS1194" t="s">
        <v>65</v>
      </c>
      <c r="AT1194">
        <v>1</v>
      </c>
      <c r="AU1194" t="s">
        <v>573</v>
      </c>
      <c r="AV1194" t="s">
        <v>574</v>
      </c>
      <c r="AW1194" t="s">
        <v>60</v>
      </c>
      <c r="AX1194" t="s">
        <v>68</v>
      </c>
      <c r="AY1194" t="s">
        <v>69</v>
      </c>
      <c r="AZ1194" t="b">
        <v>1</v>
      </c>
    </row>
    <row r="1195" spans="1:52" x14ac:dyDescent="0.3">
      <c r="A1195" t="s">
        <v>52</v>
      </c>
      <c r="B1195" t="s">
        <v>53</v>
      </c>
      <c r="C1195" t="s">
        <v>54</v>
      </c>
      <c r="D1195" t="s">
        <v>55</v>
      </c>
      <c r="E1195" t="s">
        <v>829</v>
      </c>
      <c r="F1195" t="s">
        <v>512</v>
      </c>
      <c r="G1195" t="s">
        <v>586</v>
      </c>
      <c r="H1195" t="s">
        <v>587</v>
      </c>
      <c r="I1195" t="s">
        <v>587</v>
      </c>
      <c r="J1195" t="s">
        <v>60</v>
      </c>
      <c r="K1195" t="s">
        <v>286</v>
      </c>
      <c r="L1195" t="s">
        <v>62</v>
      </c>
      <c r="M1195" t="s">
        <v>286</v>
      </c>
      <c r="N1195" t="s">
        <v>588</v>
      </c>
      <c r="O1195" t="s">
        <v>589</v>
      </c>
      <c r="P1195">
        <v>-19.638362999999998</v>
      </c>
      <c r="Q1195">
        <v>-43.887081000000002</v>
      </c>
      <c r="R1195" s="2" t="str">
        <f>HYPERLINK("https://www.google.com/maps?q=-19.6383630,-43.8870810","Abrir no Google Maps")</f>
        <v>Abrir no Google Maps</v>
      </c>
      <c r="S1195">
        <v>3</v>
      </c>
      <c r="T1195">
        <v>521.16909902210193</v>
      </c>
      <c r="U1195">
        <v>1</v>
      </c>
      <c r="V1195">
        <v>0.40566860465116278</v>
      </c>
      <c r="W1195">
        <v>0.85</v>
      </c>
      <c r="X1195">
        <v>0.34481831395348828</v>
      </c>
      <c r="Y1195">
        <v>10</v>
      </c>
      <c r="Z1195">
        <v>416.66355243950221</v>
      </c>
      <c r="AA1195">
        <v>2</v>
      </c>
      <c r="AB1195">
        <v>3</v>
      </c>
      <c r="AC1195">
        <v>7</v>
      </c>
      <c r="AD1195">
        <v>27.39</v>
      </c>
      <c r="AE1195">
        <v>253</v>
      </c>
      <c r="AF1195">
        <v>20</v>
      </c>
      <c r="AG1195">
        <v>59</v>
      </c>
      <c r="AH1195">
        <v>32</v>
      </c>
      <c r="AI1195">
        <v>7.91</v>
      </c>
      <c r="AJ1195">
        <v>23.32</v>
      </c>
      <c r="AK1195">
        <v>12.65</v>
      </c>
      <c r="AL1195">
        <v>-19.638074649999961</v>
      </c>
      <c r="AM1195">
        <v>-43.887517684870552</v>
      </c>
      <c r="AN1195">
        <v>-19.638074649999961</v>
      </c>
      <c r="AO1195">
        <v>-43.887517684870552</v>
      </c>
      <c r="AP1195">
        <v>-19.638362999999998</v>
      </c>
      <c r="AQ1195">
        <v>-43.887081000000002</v>
      </c>
      <c r="AR1195">
        <v>55.915550702564907</v>
      </c>
      <c r="AS1195" t="s">
        <v>65</v>
      </c>
      <c r="AT1195">
        <v>1</v>
      </c>
      <c r="AU1195" t="s">
        <v>590</v>
      </c>
      <c r="AV1195" t="s">
        <v>591</v>
      </c>
      <c r="AW1195" t="s">
        <v>60</v>
      </c>
      <c r="AX1195" t="s">
        <v>68</v>
      </c>
      <c r="AY1195" t="s">
        <v>69</v>
      </c>
      <c r="AZ1195" t="b">
        <v>1</v>
      </c>
    </row>
    <row r="1196" spans="1:52" x14ac:dyDescent="0.3">
      <c r="A1196" t="s">
        <v>52</v>
      </c>
      <c r="B1196" t="s">
        <v>53</v>
      </c>
      <c r="C1196" t="s">
        <v>54</v>
      </c>
      <c r="D1196" t="s">
        <v>55</v>
      </c>
      <c r="E1196" t="s">
        <v>829</v>
      </c>
      <c r="F1196" t="s">
        <v>512</v>
      </c>
      <c r="G1196" t="s">
        <v>575</v>
      </c>
      <c r="H1196" t="s">
        <v>576</v>
      </c>
      <c r="I1196" t="s">
        <v>576</v>
      </c>
      <c r="J1196" t="s">
        <v>60</v>
      </c>
      <c r="K1196" t="s">
        <v>445</v>
      </c>
      <c r="L1196" t="s">
        <v>62</v>
      </c>
      <c r="M1196" t="s">
        <v>445</v>
      </c>
      <c r="N1196" t="s">
        <v>577</v>
      </c>
      <c r="O1196" t="s">
        <v>214</v>
      </c>
      <c r="P1196">
        <v>-19.639865</v>
      </c>
      <c r="Q1196">
        <v>-43.877858000000003</v>
      </c>
      <c r="R1196" s="2" t="str">
        <f>HYPERLINK("https://www.google.com/maps?q=-19.6398650,-43.8778580","Abrir no Google Maps")</f>
        <v>Abrir no Google Maps</v>
      </c>
      <c r="S1196">
        <v>3</v>
      </c>
      <c r="T1196">
        <v>497.47318171010488</v>
      </c>
      <c r="U1196">
        <v>1</v>
      </c>
      <c r="V1196">
        <v>0.41228070175438591</v>
      </c>
      <c r="W1196">
        <v>0.85</v>
      </c>
      <c r="X1196">
        <v>0.35043859649122799</v>
      </c>
      <c r="Y1196">
        <v>10</v>
      </c>
      <c r="Z1196">
        <v>547.08184956634818</v>
      </c>
      <c r="AA1196">
        <v>2</v>
      </c>
      <c r="AB1196">
        <v>3</v>
      </c>
      <c r="AC1196">
        <v>7</v>
      </c>
      <c r="AD1196">
        <v>27.39</v>
      </c>
      <c r="AE1196">
        <v>253</v>
      </c>
      <c r="AF1196">
        <v>20</v>
      </c>
      <c r="AG1196">
        <v>59</v>
      </c>
      <c r="AH1196">
        <v>32</v>
      </c>
      <c r="AI1196">
        <v>7.91</v>
      </c>
      <c r="AJ1196">
        <v>23.32</v>
      </c>
      <c r="AK1196">
        <v>12.65</v>
      </c>
      <c r="AL1196">
        <v>-19.639907499999961</v>
      </c>
      <c r="AM1196">
        <v>-43.877561677180587</v>
      </c>
      <c r="AN1196">
        <v>-19.639907499999961</v>
      </c>
      <c r="AO1196">
        <v>-43.877561677180587</v>
      </c>
      <c r="AP1196">
        <v>-19.639865</v>
      </c>
      <c r="AQ1196">
        <v>-43.877858000000003</v>
      </c>
      <c r="AR1196">
        <v>31.4257813556037</v>
      </c>
      <c r="AS1196" t="s">
        <v>65</v>
      </c>
      <c r="AT1196">
        <v>1</v>
      </c>
      <c r="AU1196" t="s">
        <v>578</v>
      </c>
      <c r="AV1196" t="s">
        <v>579</v>
      </c>
      <c r="AW1196" t="s">
        <v>60</v>
      </c>
      <c r="AX1196" t="s">
        <v>68</v>
      </c>
      <c r="AY1196" t="s">
        <v>69</v>
      </c>
      <c r="AZ1196" t="b">
        <v>1</v>
      </c>
    </row>
    <row r="1197" spans="1:52" x14ac:dyDescent="0.3">
      <c r="A1197" t="s">
        <v>52</v>
      </c>
      <c r="B1197" t="s">
        <v>53</v>
      </c>
      <c r="C1197" t="s">
        <v>54</v>
      </c>
      <c r="D1197" t="s">
        <v>55</v>
      </c>
      <c r="E1197" t="s">
        <v>829</v>
      </c>
      <c r="F1197" t="s">
        <v>512</v>
      </c>
      <c r="G1197" t="s">
        <v>602</v>
      </c>
      <c r="H1197" t="s">
        <v>603</v>
      </c>
      <c r="I1197" t="s">
        <v>603</v>
      </c>
      <c r="J1197" t="s">
        <v>60</v>
      </c>
      <c r="K1197" t="s">
        <v>185</v>
      </c>
      <c r="L1197" t="s">
        <v>62</v>
      </c>
      <c r="M1197" t="s">
        <v>185</v>
      </c>
      <c r="N1197" t="s">
        <v>604</v>
      </c>
      <c r="O1197" t="s">
        <v>341</v>
      </c>
      <c r="P1197">
        <v>-19.624801999999999</v>
      </c>
      <c r="Q1197">
        <v>-43.891128999999999</v>
      </c>
      <c r="R1197" s="2" t="str">
        <f>HYPERLINK("https://www.google.com/maps?q=-19.6248020,-43.8911290","Abrir no Google Maps")</f>
        <v>Abrir no Google Maps</v>
      </c>
      <c r="S1197">
        <v>1</v>
      </c>
      <c r="T1197">
        <v>340.53720321500958</v>
      </c>
      <c r="U1197">
        <v>2</v>
      </c>
      <c r="V1197">
        <v>0.4848318713450292</v>
      </c>
      <c r="W1197">
        <v>0.85</v>
      </c>
      <c r="X1197">
        <v>0.41210709064327478</v>
      </c>
      <c r="Y1197">
        <v>18</v>
      </c>
      <c r="Z1197">
        <v>362.68114540183888</v>
      </c>
      <c r="AA1197">
        <v>2</v>
      </c>
      <c r="AB1197">
        <v>3</v>
      </c>
      <c r="AC1197">
        <v>7</v>
      </c>
      <c r="AD1197">
        <v>27.39</v>
      </c>
      <c r="AE1197">
        <v>253</v>
      </c>
      <c r="AF1197">
        <v>20</v>
      </c>
      <c r="AG1197">
        <v>59</v>
      </c>
      <c r="AH1197">
        <v>32</v>
      </c>
      <c r="AI1197">
        <v>7.91</v>
      </c>
      <c r="AJ1197">
        <v>23.32</v>
      </c>
      <c r="AK1197">
        <v>12.65</v>
      </c>
      <c r="AL1197">
        <v>-19.625033299999959</v>
      </c>
      <c r="AM1197">
        <v>-43.891084256403538</v>
      </c>
      <c r="AN1197">
        <v>-19.625033299999959</v>
      </c>
      <c r="AO1197">
        <v>-43.891084256403538</v>
      </c>
      <c r="AP1197">
        <v>-19.624801999999999</v>
      </c>
      <c r="AQ1197">
        <v>-43.891128999999999</v>
      </c>
      <c r="AR1197">
        <v>26.172240371022362</v>
      </c>
      <c r="AS1197" t="s">
        <v>65</v>
      </c>
      <c r="AT1197">
        <v>1</v>
      </c>
      <c r="AU1197" t="s">
        <v>605</v>
      </c>
      <c r="AV1197" t="s">
        <v>606</v>
      </c>
      <c r="AW1197" t="s">
        <v>60</v>
      </c>
      <c r="AX1197" t="s">
        <v>68</v>
      </c>
      <c r="AY1197" t="s">
        <v>69</v>
      </c>
      <c r="AZ1197" t="b">
        <v>1</v>
      </c>
    </row>
    <row r="1198" spans="1:52" x14ac:dyDescent="0.3">
      <c r="A1198" t="s">
        <v>52</v>
      </c>
      <c r="B1198" t="s">
        <v>53</v>
      </c>
      <c r="C1198" t="s">
        <v>54</v>
      </c>
      <c r="D1198" t="s">
        <v>55</v>
      </c>
      <c r="E1198" t="s">
        <v>829</v>
      </c>
      <c r="F1198" t="s">
        <v>512</v>
      </c>
      <c r="G1198" t="s">
        <v>592</v>
      </c>
      <c r="H1198" t="s">
        <v>593</v>
      </c>
      <c r="I1198" t="s">
        <v>593</v>
      </c>
      <c r="J1198" t="s">
        <v>60</v>
      </c>
      <c r="K1198" t="s">
        <v>445</v>
      </c>
      <c r="L1198" t="s">
        <v>62</v>
      </c>
      <c r="M1198" t="s">
        <v>445</v>
      </c>
      <c r="N1198" t="s">
        <v>594</v>
      </c>
      <c r="O1198" t="s">
        <v>477</v>
      </c>
      <c r="P1198">
        <v>-19.640709000000001</v>
      </c>
      <c r="Q1198">
        <v>-43.868687999999999</v>
      </c>
      <c r="R1198" s="2" t="str">
        <f>HYPERLINK("https://www.google.com/maps?q=-19.6407090,-43.8686880","Abrir no Google Maps")</f>
        <v>Abrir no Google Maps</v>
      </c>
      <c r="S1198">
        <v>1</v>
      </c>
      <c r="T1198">
        <v>1174.9679995958841</v>
      </c>
      <c r="U1198">
        <v>2</v>
      </c>
      <c r="V1198">
        <v>0.41174017790956258</v>
      </c>
      <c r="W1198">
        <v>1</v>
      </c>
      <c r="X1198">
        <v>0.41174017790956258</v>
      </c>
      <c r="Y1198">
        <v>10</v>
      </c>
      <c r="Z1198">
        <v>1230.8029594060461</v>
      </c>
      <c r="AA1198">
        <v>2</v>
      </c>
      <c r="AB1198">
        <v>3</v>
      </c>
      <c r="AC1198">
        <v>7</v>
      </c>
      <c r="AD1198">
        <v>27.39</v>
      </c>
      <c r="AE1198">
        <v>253</v>
      </c>
      <c r="AF1198">
        <v>20</v>
      </c>
      <c r="AG1198">
        <v>59</v>
      </c>
      <c r="AH1198">
        <v>32</v>
      </c>
      <c r="AI1198">
        <v>7.91</v>
      </c>
      <c r="AJ1198">
        <v>23.32</v>
      </c>
      <c r="AK1198">
        <v>12.65</v>
      </c>
      <c r="AL1198">
        <v>-19.641057949999979</v>
      </c>
      <c r="AM1198">
        <v>-43.868800137485707</v>
      </c>
      <c r="AN1198">
        <v>-19.641057949999979</v>
      </c>
      <c r="AO1198">
        <v>-43.868800137485707</v>
      </c>
      <c r="AP1198">
        <v>-19.640709000000001</v>
      </c>
      <c r="AQ1198">
        <v>-43.868687999999999</v>
      </c>
      <c r="AR1198">
        <v>40.585293798071682</v>
      </c>
      <c r="AS1198" t="s">
        <v>65</v>
      </c>
      <c r="AT1198">
        <v>1</v>
      </c>
      <c r="AU1198" t="s">
        <v>595</v>
      </c>
      <c r="AV1198" t="s">
        <v>596</v>
      </c>
      <c r="AW1198" t="s">
        <v>60</v>
      </c>
      <c r="AX1198" t="s">
        <v>68</v>
      </c>
      <c r="AY1198" t="s">
        <v>69</v>
      </c>
      <c r="AZ1198" t="b">
        <v>1</v>
      </c>
    </row>
    <row r="1199" spans="1:52" x14ac:dyDescent="0.3">
      <c r="A1199" t="s">
        <v>52</v>
      </c>
      <c r="B1199" t="s">
        <v>53</v>
      </c>
      <c r="C1199" t="s">
        <v>54</v>
      </c>
      <c r="D1199" t="s">
        <v>55</v>
      </c>
      <c r="E1199" t="s">
        <v>829</v>
      </c>
      <c r="F1199" t="s">
        <v>512</v>
      </c>
      <c r="G1199" t="s">
        <v>597</v>
      </c>
      <c r="H1199" t="s">
        <v>598</v>
      </c>
      <c r="I1199" t="s">
        <v>598</v>
      </c>
      <c r="J1199" t="s">
        <v>60</v>
      </c>
      <c r="K1199" t="s">
        <v>445</v>
      </c>
      <c r="L1199" t="s">
        <v>62</v>
      </c>
      <c r="M1199" t="s">
        <v>445</v>
      </c>
      <c r="N1199" t="s">
        <v>599</v>
      </c>
      <c r="O1199" t="s">
        <v>391</v>
      </c>
      <c r="P1199">
        <v>-19.637060999999999</v>
      </c>
      <c r="Q1199">
        <v>-43.871026000000001</v>
      </c>
      <c r="R1199" s="2" t="str">
        <f>HYPERLINK("https://www.google.com/maps?q=-19.6370610,-43.8710260","Abrir no Google Maps")</f>
        <v>Abrir no Google Maps</v>
      </c>
      <c r="S1199">
        <v>1</v>
      </c>
      <c r="T1199">
        <v>737.61884389282102</v>
      </c>
      <c r="U1199">
        <v>2</v>
      </c>
      <c r="V1199">
        <v>0.40886203423967771</v>
      </c>
      <c r="W1199">
        <v>1</v>
      </c>
      <c r="X1199">
        <v>0.40886203423967771</v>
      </c>
      <c r="Y1199">
        <v>10</v>
      </c>
      <c r="Z1199">
        <v>1331.4501394006061</v>
      </c>
      <c r="AA1199">
        <v>2</v>
      </c>
      <c r="AB1199">
        <v>3</v>
      </c>
      <c r="AC1199">
        <v>7</v>
      </c>
      <c r="AD1199">
        <v>27.39</v>
      </c>
      <c r="AE1199">
        <v>253</v>
      </c>
      <c r="AF1199">
        <v>20</v>
      </c>
      <c r="AG1199">
        <v>59</v>
      </c>
      <c r="AH1199">
        <v>32</v>
      </c>
      <c r="AI1199">
        <v>7.91</v>
      </c>
      <c r="AJ1199">
        <v>23.32</v>
      </c>
      <c r="AK1199">
        <v>12.65</v>
      </c>
      <c r="AL1199">
        <v>-19.637111899999951</v>
      </c>
      <c r="AM1199">
        <v>-43.870888931681193</v>
      </c>
      <c r="AN1199">
        <v>-19.637111899999951</v>
      </c>
      <c r="AO1199">
        <v>-43.870888931681193</v>
      </c>
      <c r="AP1199">
        <v>-19.637060999999999</v>
      </c>
      <c r="AQ1199">
        <v>-43.871026000000001</v>
      </c>
      <c r="AR1199">
        <v>15.44770924391884</v>
      </c>
      <c r="AS1199" t="s">
        <v>65</v>
      </c>
      <c r="AT1199">
        <v>1</v>
      </c>
      <c r="AU1199" t="s">
        <v>600</v>
      </c>
      <c r="AV1199" t="s">
        <v>601</v>
      </c>
      <c r="AW1199" t="s">
        <v>60</v>
      </c>
      <c r="AX1199" t="s">
        <v>68</v>
      </c>
      <c r="AY1199" t="s">
        <v>69</v>
      </c>
      <c r="AZ1199" t="b">
        <v>1</v>
      </c>
    </row>
    <row r="1200" spans="1:52" x14ac:dyDescent="0.3">
      <c r="A1200" t="s">
        <v>52</v>
      </c>
      <c r="B1200" t="s">
        <v>53</v>
      </c>
      <c r="C1200" t="s">
        <v>54</v>
      </c>
      <c r="D1200" t="s">
        <v>55</v>
      </c>
      <c r="E1200" t="s">
        <v>829</v>
      </c>
      <c r="F1200" t="s">
        <v>512</v>
      </c>
      <c r="G1200" t="s">
        <v>123</v>
      </c>
      <c r="H1200" t="s">
        <v>607</v>
      </c>
      <c r="I1200" t="s">
        <v>607</v>
      </c>
      <c r="J1200" t="s">
        <v>60</v>
      </c>
      <c r="K1200" t="s">
        <v>333</v>
      </c>
      <c r="L1200" t="s">
        <v>62</v>
      </c>
      <c r="M1200" t="s">
        <v>333</v>
      </c>
      <c r="N1200" t="s">
        <v>125</v>
      </c>
      <c r="O1200" t="s">
        <v>608</v>
      </c>
      <c r="P1200">
        <v>-19.636002999999999</v>
      </c>
      <c r="Q1200">
        <v>-43.908445</v>
      </c>
      <c r="R1200" s="2" t="str">
        <f>HYPERLINK("https://www.google.com/maps?q=-19.6360030,-43.9084450","Abrir no Google Maps")</f>
        <v>Abrir no Google Maps</v>
      </c>
      <c r="S1200">
        <v>1</v>
      </c>
      <c r="T1200">
        <v>612.64850802557942</v>
      </c>
      <c r="U1200">
        <v>2</v>
      </c>
      <c r="V1200">
        <v>0.46005961251862892</v>
      </c>
      <c r="W1200">
        <v>0.85</v>
      </c>
      <c r="X1200">
        <v>0.3910506706408346</v>
      </c>
      <c r="Y1200">
        <v>10</v>
      </c>
      <c r="Z1200">
        <v>606.91793961222209</v>
      </c>
      <c r="AA1200">
        <v>2</v>
      </c>
      <c r="AB1200">
        <v>3</v>
      </c>
      <c r="AC1200">
        <v>7</v>
      </c>
      <c r="AD1200">
        <v>27.39</v>
      </c>
      <c r="AE1200">
        <v>253</v>
      </c>
      <c r="AF1200">
        <v>20</v>
      </c>
      <c r="AG1200">
        <v>59</v>
      </c>
      <c r="AH1200">
        <v>32</v>
      </c>
      <c r="AI1200">
        <v>7.91</v>
      </c>
      <c r="AJ1200">
        <v>23.32</v>
      </c>
      <c r="AK1200">
        <v>12.65</v>
      </c>
      <c r="AL1200">
        <v>-19.63618049999997</v>
      </c>
      <c r="AM1200">
        <v>-43.908471095478113</v>
      </c>
      <c r="AN1200">
        <v>-19.63618049999997</v>
      </c>
      <c r="AO1200">
        <v>-43.908471095478113</v>
      </c>
      <c r="AP1200">
        <v>-19.636002999999999</v>
      </c>
      <c r="AQ1200">
        <v>-43.908445</v>
      </c>
      <c r="AR1200">
        <v>19.947824476218141</v>
      </c>
      <c r="AS1200" t="s">
        <v>65</v>
      </c>
      <c r="AT1200">
        <v>1</v>
      </c>
      <c r="AU1200" t="s">
        <v>609</v>
      </c>
      <c r="AV1200" t="s">
        <v>610</v>
      </c>
      <c r="AW1200" t="s">
        <v>60</v>
      </c>
      <c r="AX1200" t="s">
        <v>68</v>
      </c>
      <c r="AY1200" t="s">
        <v>69</v>
      </c>
      <c r="AZ1200" t="b">
        <v>1</v>
      </c>
    </row>
    <row r="1201" spans="1:52" x14ac:dyDescent="0.3">
      <c r="A1201" t="s">
        <v>52</v>
      </c>
      <c r="B1201" t="s">
        <v>53</v>
      </c>
      <c r="C1201" t="s">
        <v>54</v>
      </c>
      <c r="D1201" t="s">
        <v>55</v>
      </c>
      <c r="E1201" t="s">
        <v>829</v>
      </c>
      <c r="F1201" t="s">
        <v>512</v>
      </c>
      <c r="G1201" t="s">
        <v>611</v>
      </c>
      <c r="H1201" t="s">
        <v>612</v>
      </c>
      <c r="I1201" t="s">
        <v>612</v>
      </c>
      <c r="J1201" t="s">
        <v>60</v>
      </c>
      <c r="K1201" t="s">
        <v>445</v>
      </c>
      <c r="L1201" t="s">
        <v>62</v>
      </c>
      <c r="M1201" t="s">
        <v>445</v>
      </c>
      <c r="N1201" t="s">
        <v>613</v>
      </c>
      <c r="O1201" t="s">
        <v>94</v>
      </c>
      <c r="P1201">
        <v>-19.639271999999998</v>
      </c>
      <c r="Q1201">
        <v>-43.875624000000002</v>
      </c>
      <c r="R1201" s="2" t="str">
        <f>HYPERLINK("https://www.google.com/maps?q=-19.6392720,-43.8756240","Abrir no Google Maps")</f>
        <v>Abrir no Google Maps</v>
      </c>
      <c r="S1201">
        <v>1</v>
      </c>
      <c r="T1201">
        <v>618.4798639458262</v>
      </c>
      <c r="U1201">
        <v>2</v>
      </c>
      <c r="V1201">
        <v>0.42844202898550721</v>
      </c>
      <c r="W1201">
        <v>0.85</v>
      </c>
      <c r="X1201">
        <v>0.36417572463768111</v>
      </c>
      <c r="Y1201">
        <v>10</v>
      </c>
      <c r="Z1201">
        <v>724.62991660382431</v>
      </c>
      <c r="AA1201">
        <v>2</v>
      </c>
      <c r="AB1201">
        <v>3</v>
      </c>
      <c r="AC1201">
        <v>7</v>
      </c>
      <c r="AD1201">
        <v>27.39</v>
      </c>
      <c r="AE1201">
        <v>253</v>
      </c>
      <c r="AF1201">
        <v>20</v>
      </c>
      <c r="AG1201">
        <v>59</v>
      </c>
      <c r="AH1201">
        <v>32</v>
      </c>
      <c r="AI1201">
        <v>7.91</v>
      </c>
      <c r="AJ1201">
        <v>23.32</v>
      </c>
      <c r="AK1201">
        <v>12.65</v>
      </c>
      <c r="AL1201">
        <v>-19.639239899999978</v>
      </c>
      <c r="AM1201">
        <v>-43.875497463228079</v>
      </c>
      <c r="AN1201">
        <v>-19.639239899999978</v>
      </c>
      <c r="AO1201">
        <v>-43.875497463228079</v>
      </c>
      <c r="AP1201">
        <v>-19.639271999999998</v>
      </c>
      <c r="AQ1201">
        <v>-43.875624000000002</v>
      </c>
      <c r="AR1201">
        <v>13.73946951590594</v>
      </c>
      <c r="AS1201" t="s">
        <v>65</v>
      </c>
      <c r="AT1201">
        <v>1</v>
      </c>
      <c r="AU1201" t="s">
        <v>614</v>
      </c>
      <c r="AV1201" t="s">
        <v>615</v>
      </c>
      <c r="AW1201" t="s">
        <v>60</v>
      </c>
      <c r="AX1201" t="s">
        <v>68</v>
      </c>
      <c r="AY1201" t="s">
        <v>69</v>
      </c>
      <c r="AZ1201" t="b">
        <v>1</v>
      </c>
    </row>
    <row r="1202" spans="1:52" x14ac:dyDescent="0.3">
      <c r="A1202" t="s">
        <v>52</v>
      </c>
      <c r="B1202" t="s">
        <v>53</v>
      </c>
      <c r="C1202" t="s">
        <v>54</v>
      </c>
      <c r="D1202" t="s">
        <v>55</v>
      </c>
      <c r="E1202" t="s">
        <v>830</v>
      </c>
      <c r="F1202" t="s">
        <v>512</v>
      </c>
      <c r="G1202" t="s">
        <v>58</v>
      </c>
      <c r="H1202" t="s">
        <v>59</v>
      </c>
      <c r="I1202" t="s">
        <v>59</v>
      </c>
      <c r="J1202" t="s">
        <v>60</v>
      </c>
      <c r="K1202" t="s">
        <v>61</v>
      </c>
      <c r="L1202" t="s">
        <v>62</v>
      </c>
      <c r="M1202" t="s">
        <v>61</v>
      </c>
      <c r="N1202" t="s">
        <v>63</v>
      </c>
      <c r="O1202" t="s">
        <v>64</v>
      </c>
      <c r="P1202">
        <v>-19.631502000000001</v>
      </c>
      <c r="Q1202">
        <v>-43.910241999999997</v>
      </c>
      <c r="R1202" s="2" t="str">
        <f>HYPERLINK("https://www.google.com/maps?q=-19.6315020,-43.9102420","Abrir no Google Maps")</f>
        <v>Abrir no Google Maps</v>
      </c>
      <c r="S1202">
        <v>4</v>
      </c>
      <c r="T1202">
        <v>789.20099406682743</v>
      </c>
      <c r="U1202">
        <v>1</v>
      </c>
      <c r="V1202">
        <v>0</v>
      </c>
      <c r="W1202">
        <v>1</v>
      </c>
      <c r="X1202">
        <v>0</v>
      </c>
      <c r="Y1202">
        <v>10</v>
      </c>
      <c r="Z1202">
        <v>691.44930074509864</v>
      </c>
      <c r="AA1202">
        <v>2</v>
      </c>
      <c r="AB1202">
        <v>3</v>
      </c>
      <c r="AC1202">
        <v>7</v>
      </c>
      <c r="AD1202">
        <v>0</v>
      </c>
      <c r="AE1202">
        <v>253</v>
      </c>
      <c r="AF1202">
        <v>0</v>
      </c>
      <c r="AG1202">
        <v>0</v>
      </c>
      <c r="AH1202">
        <v>32</v>
      </c>
      <c r="AI1202">
        <v>0</v>
      </c>
      <c r="AJ1202">
        <v>0</v>
      </c>
      <c r="AK1202">
        <v>12.65</v>
      </c>
      <c r="AL1202">
        <v>-19.631719749999949</v>
      </c>
      <c r="AM1202">
        <v>-43.910102324517517</v>
      </c>
      <c r="AN1202">
        <v>-19.631719749999949</v>
      </c>
      <c r="AO1202">
        <v>-43.910102324517517</v>
      </c>
      <c r="AP1202">
        <v>-19.631502000000001</v>
      </c>
      <c r="AQ1202">
        <v>-43.910241999999997</v>
      </c>
      <c r="AR1202">
        <v>28.320416429206599</v>
      </c>
      <c r="AS1202" t="s">
        <v>65</v>
      </c>
      <c r="AT1202">
        <v>1</v>
      </c>
      <c r="AU1202" t="s">
        <v>66</v>
      </c>
      <c r="AV1202" t="s">
        <v>67</v>
      </c>
      <c r="AW1202" t="s">
        <v>60</v>
      </c>
      <c r="AX1202" t="s">
        <v>68</v>
      </c>
      <c r="AY1202" t="s">
        <v>69</v>
      </c>
      <c r="AZ1202" t="b">
        <v>1</v>
      </c>
    </row>
    <row r="1203" spans="1:52" x14ac:dyDescent="0.3">
      <c r="A1203" t="s">
        <v>52</v>
      </c>
      <c r="B1203" t="s">
        <v>53</v>
      </c>
      <c r="C1203" t="s">
        <v>54</v>
      </c>
      <c r="D1203" t="s">
        <v>55</v>
      </c>
      <c r="E1203" t="s">
        <v>830</v>
      </c>
      <c r="F1203" t="s">
        <v>512</v>
      </c>
      <c r="G1203" t="s">
        <v>513</v>
      </c>
      <c r="H1203" t="s">
        <v>514</v>
      </c>
      <c r="I1203" t="s">
        <v>514</v>
      </c>
      <c r="J1203" t="s">
        <v>60</v>
      </c>
      <c r="K1203" t="s">
        <v>185</v>
      </c>
      <c r="L1203" t="s">
        <v>62</v>
      </c>
      <c r="M1203" t="s">
        <v>185</v>
      </c>
      <c r="N1203" t="s">
        <v>515</v>
      </c>
      <c r="O1203" t="s">
        <v>516</v>
      </c>
      <c r="P1203">
        <v>-19.63184</v>
      </c>
      <c r="Q1203">
        <v>-43.899625999999998</v>
      </c>
      <c r="R1203" s="2" t="str">
        <f>HYPERLINK("https://www.google.com/maps?q=-19.6318400,-43.8996260","Abrir no Google Maps")</f>
        <v>Abrir no Google Maps</v>
      </c>
      <c r="S1203">
        <v>4</v>
      </c>
      <c r="T1203">
        <v>317.05369638212568</v>
      </c>
      <c r="U1203">
        <v>1</v>
      </c>
      <c r="V1203">
        <v>0</v>
      </c>
      <c r="W1203">
        <v>0.85</v>
      </c>
      <c r="X1203">
        <v>0</v>
      </c>
      <c r="Y1203">
        <v>10</v>
      </c>
      <c r="Z1203">
        <v>467.39112963581732</v>
      </c>
      <c r="AA1203">
        <v>2</v>
      </c>
      <c r="AB1203">
        <v>3</v>
      </c>
      <c r="AC1203">
        <v>7</v>
      </c>
      <c r="AD1203">
        <v>0</v>
      </c>
      <c r="AE1203">
        <v>253</v>
      </c>
      <c r="AF1203">
        <v>0</v>
      </c>
      <c r="AG1203">
        <v>0</v>
      </c>
      <c r="AH1203">
        <v>32</v>
      </c>
      <c r="AI1203">
        <v>0</v>
      </c>
      <c r="AJ1203">
        <v>0</v>
      </c>
      <c r="AK1203">
        <v>12.65</v>
      </c>
      <c r="AL1203">
        <v>-19.631819699999941</v>
      </c>
      <c r="AM1203">
        <v>-43.89977767057065</v>
      </c>
      <c r="AN1203">
        <v>-19.631819699999941</v>
      </c>
      <c r="AO1203">
        <v>-43.89977767057065</v>
      </c>
      <c r="AP1203">
        <v>-19.63184</v>
      </c>
      <c r="AQ1203">
        <v>-43.899625999999998</v>
      </c>
      <c r="AR1203">
        <v>16.062279375806241</v>
      </c>
      <c r="AS1203" t="s">
        <v>65</v>
      </c>
      <c r="AT1203">
        <v>1</v>
      </c>
      <c r="AU1203" t="s">
        <v>517</v>
      </c>
      <c r="AV1203" t="s">
        <v>518</v>
      </c>
      <c r="AW1203" t="s">
        <v>60</v>
      </c>
      <c r="AX1203" t="s">
        <v>68</v>
      </c>
      <c r="AY1203" t="s">
        <v>69</v>
      </c>
      <c r="AZ1203" t="b">
        <v>1</v>
      </c>
    </row>
    <row r="1204" spans="1:52" x14ac:dyDescent="0.3">
      <c r="A1204" t="s">
        <v>52</v>
      </c>
      <c r="B1204" t="s">
        <v>53</v>
      </c>
      <c r="C1204" t="s">
        <v>54</v>
      </c>
      <c r="D1204" t="s">
        <v>55</v>
      </c>
      <c r="E1204" t="s">
        <v>830</v>
      </c>
      <c r="F1204" t="s">
        <v>512</v>
      </c>
      <c r="G1204" t="s">
        <v>70</v>
      </c>
      <c r="H1204" t="s">
        <v>71</v>
      </c>
      <c r="I1204" t="s">
        <v>71</v>
      </c>
      <c r="J1204" t="s">
        <v>60</v>
      </c>
      <c r="K1204" t="s">
        <v>72</v>
      </c>
      <c r="L1204" t="s">
        <v>62</v>
      </c>
      <c r="M1204" t="s">
        <v>72</v>
      </c>
      <c r="N1204" t="s">
        <v>73</v>
      </c>
      <c r="O1204" t="s">
        <v>74</v>
      </c>
      <c r="P1204">
        <v>-19.632581999999999</v>
      </c>
      <c r="Q1204">
        <v>-43.902416000000002</v>
      </c>
      <c r="R1204" s="2" t="str">
        <f>HYPERLINK("https://www.google.com/maps?q=-19.6325820,-43.9024160","Abrir no Google Maps")</f>
        <v>Abrir no Google Maps</v>
      </c>
      <c r="S1204">
        <v>4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10</v>
      </c>
      <c r="Z1204">
        <v>146.6968158874696</v>
      </c>
      <c r="AA1204">
        <v>2</v>
      </c>
      <c r="AB1204">
        <v>3</v>
      </c>
      <c r="AC1204">
        <v>7</v>
      </c>
      <c r="AD1204">
        <v>0</v>
      </c>
      <c r="AE1204">
        <v>253</v>
      </c>
      <c r="AF1204">
        <v>0</v>
      </c>
      <c r="AG1204">
        <v>0</v>
      </c>
      <c r="AH1204">
        <v>32</v>
      </c>
      <c r="AI1204">
        <v>0</v>
      </c>
      <c r="AJ1204">
        <v>0</v>
      </c>
      <c r="AK1204">
        <v>12.65</v>
      </c>
      <c r="AL1204">
        <v>-19.63271449999996</v>
      </c>
      <c r="AM1204">
        <v>-43.902649897389402</v>
      </c>
      <c r="AN1204">
        <v>-19.63271449999996</v>
      </c>
      <c r="AO1204">
        <v>-43.902649897389402</v>
      </c>
      <c r="AP1204">
        <v>-19.632581999999999</v>
      </c>
      <c r="AQ1204">
        <v>-43.902416000000002</v>
      </c>
      <c r="AR1204">
        <v>28.617753432996459</v>
      </c>
      <c r="AS1204" t="s">
        <v>65</v>
      </c>
      <c r="AT1204">
        <v>1</v>
      </c>
      <c r="AU1204" t="s">
        <v>75</v>
      </c>
      <c r="AV1204" t="s">
        <v>76</v>
      </c>
      <c r="AW1204" t="s">
        <v>60</v>
      </c>
      <c r="AX1204" t="s">
        <v>68</v>
      </c>
      <c r="AY1204" t="s">
        <v>69</v>
      </c>
      <c r="AZ1204" t="b">
        <v>1</v>
      </c>
    </row>
    <row r="1205" spans="1:52" x14ac:dyDescent="0.3">
      <c r="A1205" t="s">
        <v>52</v>
      </c>
      <c r="B1205" t="s">
        <v>53</v>
      </c>
      <c r="C1205" t="s">
        <v>54</v>
      </c>
      <c r="D1205" t="s">
        <v>55</v>
      </c>
      <c r="E1205" t="s">
        <v>830</v>
      </c>
      <c r="F1205" t="s">
        <v>512</v>
      </c>
      <c r="G1205" t="s">
        <v>77</v>
      </c>
      <c r="H1205" t="s">
        <v>78</v>
      </c>
      <c r="I1205" t="s">
        <v>78</v>
      </c>
      <c r="J1205" t="s">
        <v>60</v>
      </c>
      <c r="K1205" t="s">
        <v>79</v>
      </c>
      <c r="L1205" t="s">
        <v>62</v>
      </c>
      <c r="M1205" t="s">
        <v>79</v>
      </c>
      <c r="N1205" t="s">
        <v>80</v>
      </c>
      <c r="O1205" t="s">
        <v>81</v>
      </c>
      <c r="P1205">
        <v>-19.632463999999999</v>
      </c>
      <c r="Q1205">
        <v>-43.904927999999998</v>
      </c>
      <c r="R1205" s="2" t="str">
        <f>HYPERLINK("https://www.google.com/maps?q=-19.6324640,-43.9049280","Abrir no Google Maps")</f>
        <v>Abrir no Google Maps</v>
      </c>
      <c r="S1205">
        <v>4</v>
      </c>
      <c r="T1205">
        <v>244.1735197453369</v>
      </c>
      <c r="U1205">
        <v>1</v>
      </c>
      <c r="V1205">
        <v>0</v>
      </c>
      <c r="W1205">
        <v>1</v>
      </c>
      <c r="X1205">
        <v>0</v>
      </c>
      <c r="Y1205">
        <v>10</v>
      </c>
      <c r="Z1205">
        <v>287.26068152447448</v>
      </c>
      <c r="AA1205">
        <v>2</v>
      </c>
      <c r="AB1205">
        <v>3</v>
      </c>
      <c r="AC1205">
        <v>7</v>
      </c>
      <c r="AD1205">
        <v>0</v>
      </c>
      <c r="AE1205">
        <v>253</v>
      </c>
      <c r="AF1205">
        <v>0</v>
      </c>
      <c r="AG1205">
        <v>0</v>
      </c>
      <c r="AH1205">
        <v>32</v>
      </c>
      <c r="AI1205">
        <v>0</v>
      </c>
      <c r="AJ1205">
        <v>0</v>
      </c>
      <c r="AK1205">
        <v>12.65</v>
      </c>
      <c r="AL1205">
        <v>-19.63247099999996</v>
      </c>
      <c r="AM1205">
        <v>-43.904964174285787</v>
      </c>
      <c r="AN1205">
        <v>-19.63247099999996</v>
      </c>
      <c r="AO1205">
        <v>-43.904964174285787</v>
      </c>
      <c r="AP1205">
        <v>-19.632463999999999</v>
      </c>
      <c r="AQ1205">
        <v>-43.904927999999998</v>
      </c>
      <c r="AR1205">
        <v>3.8720457500200469</v>
      </c>
      <c r="AS1205" t="s">
        <v>65</v>
      </c>
      <c r="AT1205">
        <v>1</v>
      </c>
      <c r="AU1205" t="s">
        <v>82</v>
      </c>
      <c r="AV1205" t="s">
        <v>83</v>
      </c>
      <c r="AW1205" t="s">
        <v>60</v>
      </c>
      <c r="AX1205" t="s">
        <v>68</v>
      </c>
      <c r="AY1205" t="s">
        <v>69</v>
      </c>
      <c r="AZ1205" t="b">
        <v>1</v>
      </c>
    </row>
    <row r="1206" spans="1:52" x14ac:dyDescent="0.3">
      <c r="A1206" t="s">
        <v>52</v>
      </c>
      <c r="B1206" t="s">
        <v>53</v>
      </c>
      <c r="C1206" t="s">
        <v>54</v>
      </c>
      <c r="D1206" t="s">
        <v>55</v>
      </c>
      <c r="E1206" t="s">
        <v>830</v>
      </c>
      <c r="F1206" t="s">
        <v>512</v>
      </c>
      <c r="G1206" t="s">
        <v>519</v>
      </c>
      <c r="H1206" t="s">
        <v>520</v>
      </c>
      <c r="I1206" t="s">
        <v>520</v>
      </c>
      <c r="J1206" t="s">
        <v>60</v>
      </c>
      <c r="K1206" t="s">
        <v>72</v>
      </c>
      <c r="L1206" t="s">
        <v>62</v>
      </c>
      <c r="M1206" t="s">
        <v>72</v>
      </c>
      <c r="N1206" t="s">
        <v>521</v>
      </c>
      <c r="O1206" t="s">
        <v>522</v>
      </c>
      <c r="P1206">
        <v>-19.634713000000001</v>
      </c>
      <c r="Q1206">
        <v>-43.908909999999999</v>
      </c>
      <c r="R1206" s="2" t="str">
        <f>HYPERLINK("https://www.google.com/maps?q=-19.6347130,-43.9089100","Abrir no Google Maps")</f>
        <v>Abrir no Google Maps</v>
      </c>
      <c r="S1206">
        <v>4</v>
      </c>
      <c r="T1206">
        <v>700.74700083720154</v>
      </c>
      <c r="U1206">
        <v>1</v>
      </c>
      <c r="V1206">
        <v>0</v>
      </c>
      <c r="W1206">
        <v>0.85</v>
      </c>
      <c r="X1206">
        <v>0</v>
      </c>
      <c r="Y1206">
        <v>10</v>
      </c>
      <c r="Z1206">
        <v>557.86159429038207</v>
      </c>
      <c r="AA1206">
        <v>2</v>
      </c>
      <c r="AB1206">
        <v>3</v>
      </c>
      <c r="AC1206">
        <v>7</v>
      </c>
      <c r="AD1206">
        <v>0</v>
      </c>
      <c r="AE1206">
        <v>253</v>
      </c>
      <c r="AF1206">
        <v>0</v>
      </c>
      <c r="AG1206">
        <v>0</v>
      </c>
      <c r="AH1206">
        <v>32</v>
      </c>
      <c r="AI1206">
        <v>0</v>
      </c>
      <c r="AJ1206">
        <v>0</v>
      </c>
      <c r="AK1206">
        <v>12.65</v>
      </c>
      <c r="AL1206">
        <v>-19.634626949999959</v>
      </c>
      <c r="AM1206">
        <v>-43.909020333181857</v>
      </c>
      <c r="AN1206">
        <v>-19.634626949999959</v>
      </c>
      <c r="AO1206">
        <v>-43.909020333181857</v>
      </c>
      <c r="AP1206">
        <v>-19.634713000000001</v>
      </c>
      <c r="AQ1206">
        <v>-43.908909999999999</v>
      </c>
      <c r="AR1206">
        <v>15.01933861967664</v>
      </c>
      <c r="AS1206" t="s">
        <v>65</v>
      </c>
      <c r="AT1206">
        <v>1</v>
      </c>
      <c r="AU1206" t="s">
        <v>523</v>
      </c>
      <c r="AV1206" t="s">
        <v>524</v>
      </c>
      <c r="AW1206" t="s">
        <v>60</v>
      </c>
      <c r="AX1206" t="s">
        <v>68</v>
      </c>
      <c r="AY1206" t="s">
        <v>69</v>
      </c>
      <c r="AZ1206" t="b">
        <v>1</v>
      </c>
    </row>
    <row r="1207" spans="1:52" x14ac:dyDescent="0.3">
      <c r="A1207" t="s">
        <v>52</v>
      </c>
      <c r="B1207" t="s">
        <v>53</v>
      </c>
      <c r="C1207" t="s">
        <v>54</v>
      </c>
      <c r="D1207" t="s">
        <v>55</v>
      </c>
      <c r="E1207" t="s">
        <v>830</v>
      </c>
      <c r="F1207" t="s">
        <v>512</v>
      </c>
      <c r="G1207" t="s">
        <v>84</v>
      </c>
      <c r="H1207" t="s">
        <v>85</v>
      </c>
      <c r="I1207" t="s">
        <v>85</v>
      </c>
      <c r="J1207" t="s">
        <v>60</v>
      </c>
      <c r="K1207" t="s">
        <v>86</v>
      </c>
      <c r="L1207" t="s">
        <v>62</v>
      </c>
      <c r="M1207" t="s">
        <v>86</v>
      </c>
      <c r="N1207" t="s">
        <v>87</v>
      </c>
      <c r="O1207" t="s">
        <v>88</v>
      </c>
      <c r="P1207">
        <v>-19.629436999999999</v>
      </c>
      <c r="Q1207">
        <v>-43.910398999999998</v>
      </c>
      <c r="R1207" s="2" t="str">
        <f>HYPERLINK("https://www.google.com/maps?q=-19.6294370,-43.9103990","Abrir no Google Maps")</f>
        <v>Abrir no Google Maps</v>
      </c>
      <c r="S1207">
        <v>4</v>
      </c>
      <c r="T1207">
        <v>888.82060643108082</v>
      </c>
      <c r="U1207">
        <v>1</v>
      </c>
      <c r="V1207">
        <v>0</v>
      </c>
      <c r="W1207">
        <v>1</v>
      </c>
      <c r="X1207">
        <v>0</v>
      </c>
      <c r="Y1207">
        <v>10</v>
      </c>
      <c r="Z1207">
        <v>867.42797341651737</v>
      </c>
      <c r="AA1207">
        <v>2</v>
      </c>
      <c r="AB1207">
        <v>3</v>
      </c>
      <c r="AC1207">
        <v>7</v>
      </c>
      <c r="AD1207">
        <v>0</v>
      </c>
      <c r="AE1207">
        <v>253</v>
      </c>
      <c r="AF1207">
        <v>0</v>
      </c>
      <c r="AG1207">
        <v>0</v>
      </c>
      <c r="AH1207">
        <v>32</v>
      </c>
      <c r="AI1207">
        <v>0</v>
      </c>
      <c r="AJ1207">
        <v>0</v>
      </c>
      <c r="AK1207">
        <v>12.65</v>
      </c>
      <c r="AL1207">
        <v>-19.62934694999996</v>
      </c>
      <c r="AM1207">
        <v>-43.910344699357317</v>
      </c>
      <c r="AN1207">
        <v>-19.62934694999996</v>
      </c>
      <c r="AO1207">
        <v>-43.910344699357331</v>
      </c>
      <c r="AP1207">
        <v>-19.629436999999999</v>
      </c>
      <c r="AQ1207">
        <v>-43.910398999999998</v>
      </c>
      <c r="AR1207">
        <v>11.52837377953678</v>
      </c>
      <c r="AS1207" t="s">
        <v>65</v>
      </c>
      <c r="AT1207">
        <v>1</v>
      </c>
      <c r="AU1207" t="s">
        <v>89</v>
      </c>
      <c r="AV1207" t="s">
        <v>90</v>
      </c>
      <c r="AW1207" t="s">
        <v>60</v>
      </c>
      <c r="AX1207" t="s">
        <v>68</v>
      </c>
      <c r="AY1207" t="s">
        <v>69</v>
      </c>
      <c r="AZ1207" t="b">
        <v>1</v>
      </c>
    </row>
    <row r="1208" spans="1:52" x14ac:dyDescent="0.3">
      <c r="A1208" t="s">
        <v>52</v>
      </c>
      <c r="B1208" t="s">
        <v>53</v>
      </c>
      <c r="C1208" t="s">
        <v>54</v>
      </c>
      <c r="D1208" t="s">
        <v>55</v>
      </c>
      <c r="E1208" t="s">
        <v>830</v>
      </c>
      <c r="F1208" t="s">
        <v>512</v>
      </c>
      <c r="G1208" t="s">
        <v>91</v>
      </c>
      <c r="H1208" t="s">
        <v>92</v>
      </c>
      <c r="I1208" t="s">
        <v>92</v>
      </c>
      <c r="J1208" t="s">
        <v>60</v>
      </c>
      <c r="K1208" t="s">
        <v>86</v>
      </c>
      <c r="L1208" t="s">
        <v>62</v>
      </c>
      <c r="M1208" t="s">
        <v>86</v>
      </c>
      <c r="N1208" t="s">
        <v>93</v>
      </c>
      <c r="O1208" t="s">
        <v>94</v>
      </c>
      <c r="P1208">
        <v>-19.630676999999999</v>
      </c>
      <c r="Q1208">
        <v>-43.907255999999997</v>
      </c>
      <c r="R1208" s="2" t="str">
        <f>HYPERLINK("https://www.google.com/maps?q=-19.6306770,-43.9072560","Abrir no Google Maps")</f>
        <v>Abrir no Google Maps</v>
      </c>
      <c r="S1208">
        <v>4</v>
      </c>
      <c r="T1208">
        <v>545.39374622597825</v>
      </c>
      <c r="U1208">
        <v>1</v>
      </c>
      <c r="V1208">
        <v>0</v>
      </c>
      <c r="W1208">
        <v>1</v>
      </c>
      <c r="X1208">
        <v>0</v>
      </c>
      <c r="Y1208">
        <v>10</v>
      </c>
      <c r="Z1208">
        <v>559.94033759457182</v>
      </c>
      <c r="AA1208">
        <v>2</v>
      </c>
      <c r="AB1208">
        <v>3</v>
      </c>
      <c r="AC1208">
        <v>7</v>
      </c>
      <c r="AD1208">
        <v>0</v>
      </c>
      <c r="AE1208">
        <v>253</v>
      </c>
      <c r="AF1208">
        <v>0</v>
      </c>
      <c r="AG1208">
        <v>0</v>
      </c>
      <c r="AH1208">
        <v>32</v>
      </c>
      <c r="AI1208">
        <v>0</v>
      </c>
      <c r="AJ1208">
        <v>0</v>
      </c>
      <c r="AK1208">
        <v>12.65</v>
      </c>
      <c r="AL1208">
        <v>-19.630448649999941</v>
      </c>
      <c r="AM1208">
        <v>-43.907268502495313</v>
      </c>
      <c r="AN1208">
        <v>-19.630448649999941</v>
      </c>
      <c r="AO1208">
        <v>-43.907268502495313</v>
      </c>
      <c r="AP1208">
        <v>-19.630676999999999</v>
      </c>
      <c r="AQ1208">
        <v>-43.907255999999997</v>
      </c>
      <c r="AR1208">
        <v>25.453700276562468</v>
      </c>
      <c r="AS1208" t="s">
        <v>65</v>
      </c>
      <c r="AT1208">
        <v>1</v>
      </c>
      <c r="AU1208" t="s">
        <v>95</v>
      </c>
      <c r="AV1208" t="s">
        <v>96</v>
      </c>
      <c r="AW1208" t="s">
        <v>60</v>
      </c>
      <c r="AX1208" t="s">
        <v>68</v>
      </c>
      <c r="AY1208" t="s">
        <v>69</v>
      </c>
      <c r="AZ1208" t="b">
        <v>1</v>
      </c>
    </row>
    <row r="1209" spans="1:52" x14ac:dyDescent="0.3">
      <c r="A1209" t="s">
        <v>52</v>
      </c>
      <c r="B1209" t="s">
        <v>53</v>
      </c>
      <c r="C1209" t="s">
        <v>54</v>
      </c>
      <c r="D1209" t="s">
        <v>55</v>
      </c>
      <c r="E1209" t="s">
        <v>830</v>
      </c>
      <c r="F1209" t="s">
        <v>512</v>
      </c>
      <c r="G1209" t="s">
        <v>97</v>
      </c>
      <c r="H1209" t="s">
        <v>98</v>
      </c>
      <c r="I1209" t="s">
        <v>98</v>
      </c>
      <c r="J1209" t="s">
        <v>60</v>
      </c>
      <c r="K1209" t="s">
        <v>99</v>
      </c>
      <c r="L1209" t="s">
        <v>62</v>
      </c>
      <c r="M1209" t="s">
        <v>99</v>
      </c>
      <c r="N1209" t="s">
        <v>100</v>
      </c>
      <c r="O1209" t="s">
        <v>101</v>
      </c>
      <c r="P1209">
        <v>-19.629822000000001</v>
      </c>
      <c r="Q1209">
        <v>-43.905341</v>
      </c>
      <c r="R1209" s="2" t="str">
        <f>HYPERLINK("https://www.google.com/maps?q=-19.6298220,-43.9053410","Abrir no Google Maps")</f>
        <v>Abrir no Google Maps</v>
      </c>
      <c r="S1209">
        <v>4</v>
      </c>
      <c r="T1209">
        <v>441.30597341744129</v>
      </c>
      <c r="U1209">
        <v>1</v>
      </c>
      <c r="V1209">
        <v>0</v>
      </c>
      <c r="W1209">
        <v>1</v>
      </c>
      <c r="X1209">
        <v>0</v>
      </c>
      <c r="Y1209">
        <v>10</v>
      </c>
      <c r="Z1209">
        <v>513.56493751010987</v>
      </c>
      <c r="AA1209">
        <v>2</v>
      </c>
      <c r="AB1209">
        <v>3</v>
      </c>
      <c r="AC1209">
        <v>7</v>
      </c>
      <c r="AD1209">
        <v>0</v>
      </c>
      <c r="AE1209">
        <v>253</v>
      </c>
      <c r="AF1209">
        <v>0</v>
      </c>
      <c r="AG1209">
        <v>0</v>
      </c>
      <c r="AH1209">
        <v>32</v>
      </c>
      <c r="AI1209">
        <v>0</v>
      </c>
      <c r="AJ1209">
        <v>0</v>
      </c>
      <c r="AK1209">
        <v>12.65</v>
      </c>
      <c r="AL1209">
        <v>-19.629671599999941</v>
      </c>
      <c r="AM1209">
        <v>-43.905369597920988</v>
      </c>
      <c r="AN1209">
        <v>-19.629671599999931</v>
      </c>
      <c r="AO1209">
        <v>-43.905369597920988</v>
      </c>
      <c r="AP1209">
        <v>-19.629822000000001</v>
      </c>
      <c r="AQ1209">
        <v>-43.905341</v>
      </c>
      <c r="AR1209">
        <v>17.008917699186132</v>
      </c>
      <c r="AS1209" t="s">
        <v>65</v>
      </c>
      <c r="AT1209">
        <v>1</v>
      </c>
      <c r="AU1209" t="s">
        <v>102</v>
      </c>
      <c r="AV1209" t="s">
        <v>103</v>
      </c>
      <c r="AW1209" t="s">
        <v>60</v>
      </c>
      <c r="AX1209" t="s">
        <v>68</v>
      </c>
      <c r="AY1209" t="s">
        <v>69</v>
      </c>
      <c r="AZ1209" t="b">
        <v>1</v>
      </c>
    </row>
    <row r="1210" spans="1:52" x14ac:dyDescent="0.3">
      <c r="A1210" t="s">
        <v>52</v>
      </c>
      <c r="B1210" t="s">
        <v>53</v>
      </c>
      <c r="C1210" t="s">
        <v>54</v>
      </c>
      <c r="D1210" t="s">
        <v>55</v>
      </c>
      <c r="E1210" t="s">
        <v>830</v>
      </c>
      <c r="F1210" t="s">
        <v>512</v>
      </c>
      <c r="G1210" t="s">
        <v>525</v>
      </c>
      <c r="H1210" t="s">
        <v>526</v>
      </c>
      <c r="I1210" t="s">
        <v>526</v>
      </c>
      <c r="J1210" t="s">
        <v>60</v>
      </c>
      <c r="K1210" t="s">
        <v>286</v>
      </c>
      <c r="L1210" t="s">
        <v>62</v>
      </c>
      <c r="M1210" t="s">
        <v>286</v>
      </c>
      <c r="N1210" t="s">
        <v>527</v>
      </c>
      <c r="O1210" t="s">
        <v>113</v>
      </c>
      <c r="P1210">
        <v>-19.629049999999999</v>
      </c>
      <c r="Q1210">
        <v>-43.887543000000001</v>
      </c>
      <c r="R1210" s="2" t="str">
        <f>HYPERLINK("https://www.google.com/maps?q=-19.6290500,-43.8875430","Abrir no Google Maps")</f>
        <v>Abrir no Google Maps</v>
      </c>
      <c r="S1210">
        <v>3</v>
      </c>
      <c r="T1210">
        <v>420.9244758141914</v>
      </c>
      <c r="U1210">
        <v>1</v>
      </c>
      <c r="V1210">
        <v>0</v>
      </c>
      <c r="W1210">
        <v>0.85</v>
      </c>
      <c r="X1210">
        <v>0</v>
      </c>
      <c r="Y1210">
        <v>18</v>
      </c>
      <c r="Z1210">
        <v>298.16529694300579</v>
      </c>
      <c r="AA1210">
        <v>2</v>
      </c>
      <c r="AB1210">
        <v>3</v>
      </c>
      <c r="AC1210">
        <v>7</v>
      </c>
      <c r="AD1210">
        <v>0</v>
      </c>
      <c r="AE1210">
        <v>253</v>
      </c>
      <c r="AF1210">
        <v>0</v>
      </c>
      <c r="AG1210">
        <v>0</v>
      </c>
      <c r="AH1210">
        <v>32</v>
      </c>
      <c r="AI1210">
        <v>0</v>
      </c>
      <c r="AJ1210">
        <v>0</v>
      </c>
      <c r="AK1210">
        <v>12.65</v>
      </c>
      <c r="AL1210">
        <v>-19.62914789999996</v>
      </c>
      <c r="AM1210">
        <v>-43.887659532387332</v>
      </c>
      <c r="AN1210">
        <v>-19.62914789999996</v>
      </c>
      <c r="AO1210">
        <v>-43.887659532387332</v>
      </c>
      <c r="AP1210">
        <v>-19.629049999999999</v>
      </c>
      <c r="AQ1210">
        <v>-43.887543000000001</v>
      </c>
      <c r="AR1210">
        <v>16.372645779361299</v>
      </c>
      <c r="AS1210" t="s">
        <v>65</v>
      </c>
      <c r="AT1210">
        <v>1</v>
      </c>
      <c r="AU1210" t="s">
        <v>528</v>
      </c>
      <c r="AV1210" t="s">
        <v>529</v>
      </c>
      <c r="AW1210" t="s">
        <v>60</v>
      </c>
      <c r="AX1210" t="s">
        <v>68</v>
      </c>
      <c r="AY1210" t="s">
        <v>69</v>
      </c>
      <c r="AZ1210" t="b">
        <v>1</v>
      </c>
    </row>
    <row r="1211" spans="1:52" x14ac:dyDescent="0.3">
      <c r="A1211" t="s">
        <v>52</v>
      </c>
      <c r="B1211" t="s">
        <v>53</v>
      </c>
      <c r="C1211" t="s">
        <v>54</v>
      </c>
      <c r="D1211" t="s">
        <v>55</v>
      </c>
      <c r="E1211" t="s">
        <v>830</v>
      </c>
      <c r="F1211" t="s">
        <v>512</v>
      </c>
      <c r="G1211" t="s">
        <v>388</v>
      </c>
      <c r="H1211" t="s">
        <v>389</v>
      </c>
      <c r="I1211" t="s">
        <v>389</v>
      </c>
      <c r="J1211" t="s">
        <v>60</v>
      </c>
      <c r="K1211" t="s">
        <v>185</v>
      </c>
      <c r="L1211" t="s">
        <v>62</v>
      </c>
      <c r="M1211" t="s">
        <v>185</v>
      </c>
      <c r="N1211" t="s">
        <v>390</v>
      </c>
      <c r="O1211" t="s">
        <v>391</v>
      </c>
      <c r="P1211">
        <v>-19.628802</v>
      </c>
      <c r="Q1211">
        <v>-43.891649000000001</v>
      </c>
      <c r="R1211" s="2" t="str">
        <f>HYPERLINK("https://www.google.com/maps?q=-19.6288020,-43.8916490","Abrir no Google Maps")</f>
        <v>Abrir no Google Maps</v>
      </c>
      <c r="S1211">
        <v>3</v>
      </c>
      <c r="T1211">
        <v>0</v>
      </c>
      <c r="U1211">
        <v>1</v>
      </c>
      <c r="V1211">
        <v>0</v>
      </c>
      <c r="W1211">
        <v>0.85</v>
      </c>
      <c r="X1211">
        <v>0</v>
      </c>
      <c r="Y1211">
        <v>18</v>
      </c>
      <c r="Z1211">
        <v>117.5064585283839</v>
      </c>
      <c r="AA1211">
        <v>2</v>
      </c>
      <c r="AB1211">
        <v>3</v>
      </c>
      <c r="AC1211">
        <v>7</v>
      </c>
      <c r="AD1211">
        <v>0</v>
      </c>
      <c r="AE1211">
        <v>253</v>
      </c>
      <c r="AF1211">
        <v>0</v>
      </c>
      <c r="AG1211">
        <v>0</v>
      </c>
      <c r="AH1211">
        <v>32</v>
      </c>
      <c r="AI1211">
        <v>0</v>
      </c>
      <c r="AJ1211">
        <v>0</v>
      </c>
      <c r="AK1211">
        <v>12.65</v>
      </c>
      <c r="AL1211">
        <v>-19.628865499999961</v>
      </c>
      <c r="AM1211">
        <v>-43.891662391334172</v>
      </c>
      <c r="AN1211">
        <v>-19.628865499999961</v>
      </c>
      <c r="AO1211">
        <v>-43.891662391334172</v>
      </c>
      <c r="AP1211">
        <v>-19.628802</v>
      </c>
      <c r="AQ1211">
        <v>-43.891649000000001</v>
      </c>
      <c r="AR1211">
        <v>7.2069201904448459</v>
      </c>
      <c r="AS1211" t="s">
        <v>65</v>
      </c>
      <c r="AT1211">
        <v>1</v>
      </c>
      <c r="AU1211" t="s">
        <v>392</v>
      </c>
      <c r="AV1211" t="s">
        <v>393</v>
      </c>
      <c r="AW1211" t="s">
        <v>60</v>
      </c>
      <c r="AX1211" t="s">
        <v>68</v>
      </c>
      <c r="AY1211" t="s">
        <v>69</v>
      </c>
      <c r="AZ1211" t="b">
        <v>1</v>
      </c>
    </row>
    <row r="1212" spans="1:52" x14ac:dyDescent="0.3">
      <c r="A1212" t="s">
        <v>52</v>
      </c>
      <c r="B1212" t="s">
        <v>53</v>
      </c>
      <c r="C1212" t="s">
        <v>54</v>
      </c>
      <c r="D1212" t="s">
        <v>55</v>
      </c>
      <c r="E1212" t="s">
        <v>830</v>
      </c>
      <c r="F1212" t="s">
        <v>512</v>
      </c>
      <c r="G1212" t="s">
        <v>530</v>
      </c>
      <c r="H1212" t="s">
        <v>531</v>
      </c>
      <c r="I1212" t="s">
        <v>531</v>
      </c>
      <c r="J1212" t="s">
        <v>60</v>
      </c>
      <c r="K1212" t="s">
        <v>185</v>
      </c>
      <c r="L1212" t="s">
        <v>62</v>
      </c>
      <c r="M1212" t="s">
        <v>185</v>
      </c>
      <c r="N1212" t="s">
        <v>532</v>
      </c>
      <c r="O1212" t="s">
        <v>533</v>
      </c>
      <c r="P1212">
        <v>-19.625264000000001</v>
      </c>
      <c r="Q1212">
        <v>-43.889451000000001</v>
      </c>
      <c r="R1212" s="2" t="str">
        <f>HYPERLINK("https://www.google.com/maps?q=-19.6252640,-43.8894510","Abrir no Google Maps")</f>
        <v>Abrir no Google Maps</v>
      </c>
      <c r="S1212">
        <v>3</v>
      </c>
      <c r="T1212">
        <v>466.11340370665903</v>
      </c>
      <c r="U1212">
        <v>1</v>
      </c>
      <c r="V1212">
        <v>0</v>
      </c>
      <c r="W1212">
        <v>0.85</v>
      </c>
      <c r="X1212">
        <v>0</v>
      </c>
      <c r="Y1212">
        <v>18</v>
      </c>
      <c r="Z1212">
        <v>320.77337440837812</v>
      </c>
      <c r="AA1212">
        <v>2</v>
      </c>
      <c r="AB1212">
        <v>3</v>
      </c>
      <c r="AC1212">
        <v>7</v>
      </c>
      <c r="AD1212">
        <v>0</v>
      </c>
      <c r="AE1212">
        <v>253</v>
      </c>
      <c r="AF1212">
        <v>0</v>
      </c>
      <c r="AG1212">
        <v>0</v>
      </c>
      <c r="AH1212">
        <v>32</v>
      </c>
      <c r="AI1212">
        <v>0</v>
      </c>
      <c r="AJ1212">
        <v>0</v>
      </c>
      <c r="AK1212">
        <v>12.65</v>
      </c>
      <c r="AL1212">
        <v>-19.62516189999997</v>
      </c>
      <c r="AM1212">
        <v>-43.88954614566876</v>
      </c>
      <c r="AN1212">
        <v>-19.62516189999997</v>
      </c>
      <c r="AO1212">
        <v>-43.88954614566876</v>
      </c>
      <c r="AP1212">
        <v>-19.625264000000001</v>
      </c>
      <c r="AQ1212">
        <v>-43.889451000000001</v>
      </c>
      <c r="AR1212">
        <v>15.12310549834147</v>
      </c>
      <c r="AS1212" t="s">
        <v>65</v>
      </c>
      <c r="AT1212">
        <v>1</v>
      </c>
      <c r="AU1212" t="s">
        <v>534</v>
      </c>
      <c r="AV1212" t="s">
        <v>535</v>
      </c>
      <c r="AW1212" t="s">
        <v>60</v>
      </c>
      <c r="AX1212" t="s">
        <v>68</v>
      </c>
      <c r="AY1212" t="s">
        <v>69</v>
      </c>
      <c r="AZ1212" t="b">
        <v>1</v>
      </c>
    </row>
    <row r="1213" spans="1:52" x14ac:dyDescent="0.3">
      <c r="A1213" t="s">
        <v>52</v>
      </c>
      <c r="B1213" t="s">
        <v>53</v>
      </c>
      <c r="C1213" t="s">
        <v>54</v>
      </c>
      <c r="D1213" t="s">
        <v>55</v>
      </c>
      <c r="E1213" t="s">
        <v>830</v>
      </c>
      <c r="F1213" t="s">
        <v>512</v>
      </c>
      <c r="G1213" t="s">
        <v>536</v>
      </c>
      <c r="H1213" t="s">
        <v>537</v>
      </c>
      <c r="I1213" t="s">
        <v>537</v>
      </c>
      <c r="J1213" t="s">
        <v>60</v>
      </c>
      <c r="K1213" t="s">
        <v>185</v>
      </c>
      <c r="L1213" t="s">
        <v>62</v>
      </c>
      <c r="M1213" t="s">
        <v>185</v>
      </c>
      <c r="N1213" t="s">
        <v>538</v>
      </c>
      <c r="O1213" t="s">
        <v>408</v>
      </c>
      <c r="P1213">
        <v>-19.630147999999998</v>
      </c>
      <c r="Q1213">
        <v>-43.893844000000001</v>
      </c>
      <c r="R1213" s="2" t="str">
        <f>HYPERLINK("https://www.google.com/maps?q=-19.6301480,-43.8938440","Abrir no Google Maps")</f>
        <v>Abrir no Google Maps</v>
      </c>
      <c r="S1213">
        <v>3</v>
      </c>
      <c r="T1213">
        <v>262.94285160220159</v>
      </c>
      <c r="U1213">
        <v>1</v>
      </c>
      <c r="V1213">
        <v>0</v>
      </c>
      <c r="W1213">
        <v>0.85</v>
      </c>
      <c r="X1213">
        <v>0</v>
      </c>
      <c r="Y1213">
        <v>18</v>
      </c>
      <c r="Z1213">
        <v>351.25774094845309</v>
      </c>
      <c r="AA1213">
        <v>2</v>
      </c>
      <c r="AB1213">
        <v>3</v>
      </c>
      <c r="AC1213">
        <v>7</v>
      </c>
      <c r="AD1213">
        <v>0</v>
      </c>
      <c r="AE1213">
        <v>253</v>
      </c>
      <c r="AF1213">
        <v>0</v>
      </c>
      <c r="AG1213">
        <v>0</v>
      </c>
      <c r="AH1213">
        <v>32</v>
      </c>
      <c r="AI1213">
        <v>0</v>
      </c>
      <c r="AJ1213">
        <v>0</v>
      </c>
      <c r="AK1213">
        <v>12.65</v>
      </c>
      <c r="AL1213">
        <v>-19.630177599999939</v>
      </c>
      <c r="AM1213">
        <v>-43.893752755034278</v>
      </c>
      <c r="AN1213">
        <v>-19.630177599999939</v>
      </c>
      <c r="AO1213">
        <v>-43.893752755034278</v>
      </c>
      <c r="AP1213">
        <v>-19.630147999999998</v>
      </c>
      <c r="AQ1213">
        <v>-43.893844000000001</v>
      </c>
      <c r="AR1213">
        <v>10.1185927114604</v>
      </c>
      <c r="AS1213" t="s">
        <v>65</v>
      </c>
      <c r="AT1213">
        <v>1</v>
      </c>
      <c r="AU1213" t="s">
        <v>539</v>
      </c>
      <c r="AV1213" t="s">
        <v>540</v>
      </c>
      <c r="AW1213" t="s">
        <v>60</v>
      </c>
      <c r="AX1213" t="s">
        <v>68</v>
      </c>
      <c r="AY1213" t="s">
        <v>69</v>
      </c>
      <c r="AZ1213" t="b">
        <v>1</v>
      </c>
    </row>
    <row r="1214" spans="1:52" x14ac:dyDescent="0.3">
      <c r="A1214" t="s">
        <v>52</v>
      </c>
      <c r="B1214" t="s">
        <v>53</v>
      </c>
      <c r="C1214" t="s">
        <v>54</v>
      </c>
      <c r="D1214" t="s">
        <v>55</v>
      </c>
      <c r="E1214" t="s">
        <v>830</v>
      </c>
      <c r="F1214" t="s">
        <v>512</v>
      </c>
      <c r="G1214" t="s">
        <v>394</v>
      </c>
      <c r="H1214" t="s">
        <v>395</v>
      </c>
      <c r="I1214" t="s">
        <v>395</v>
      </c>
      <c r="J1214" t="s">
        <v>60</v>
      </c>
      <c r="K1214" t="s">
        <v>286</v>
      </c>
      <c r="L1214" t="s">
        <v>62</v>
      </c>
      <c r="M1214" t="s">
        <v>286</v>
      </c>
      <c r="N1214" t="s">
        <v>396</v>
      </c>
      <c r="O1214" t="s">
        <v>88</v>
      </c>
      <c r="P1214">
        <v>-19.636932999999999</v>
      </c>
      <c r="Q1214">
        <v>-43.882691999999999</v>
      </c>
      <c r="R1214" s="2" t="str">
        <f>HYPERLINK("https://www.google.com/maps?q=-19.6369330,-43.8826920","Abrir no Google Maps")</f>
        <v>Abrir no Google Maps</v>
      </c>
      <c r="S1214">
        <v>3</v>
      </c>
      <c r="T1214">
        <v>523.52675813688109</v>
      </c>
      <c r="U1214">
        <v>1</v>
      </c>
      <c r="V1214">
        <v>0</v>
      </c>
      <c r="W1214">
        <v>1</v>
      </c>
      <c r="X1214">
        <v>0</v>
      </c>
      <c r="Y1214">
        <v>10</v>
      </c>
      <c r="Z1214">
        <v>372.58135532659509</v>
      </c>
      <c r="AA1214">
        <v>2</v>
      </c>
      <c r="AB1214">
        <v>3</v>
      </c>
      <c r="AC1214">
        <v>7</v>
      </c>
      <c r="AD1214">
        <v>0</v>
      </c>
      <c r="AE1214">
        <v>253</v>
      </c>
      <c r="AF1214">
        <v>0</v>
      </c>
      <c r="AG1214">
        <v>0</v>
      </c>
      <c r="AH1214">
        <v>32</v>
      </c>
      <c r="AI1214">
        <v>0</v>
      </c>
      <c r="AJ1214">
        <v>0</v>
      </c>
      <c r="AK1214">
        <v>12.65</v>
      </c>
      <c r="AL1214">
        <v>-19.637159949999951</v>
      </c>
      <c r="AM1214">
        <v>-43.882643289441461</v>
      </c>
      <c r="AN1214">
        <v>-19.637159949999951</v>
      </c>
      <c r="AO1214">
        <v>-43.882643289441461</v>
      </c>
      <c r="AP1214">
        <v>-19.636932999999999</v>
      </c>
      <c r="AQ1214">
        <v>-43.882691999999999</v>
      </c>
      <c r="AR1214">
        <v>25.775099947452478</v>
      </c>
      <c r="AS1214" t="s">
        <v>65</v>
      </c>
      <c r="AT1214">
        <v>1</v>
      </c>
      <c r="AU1214" t="s">
        <v>397</v>
      </c>
      <c r="AV1214" t="s">
        <v>398</v>
      </c>
      <c r="AW1214" t="s">
        <v>60</v>
      </c>
      <c r="AX1214" t="s">
        <v>68</v>
      </c>
      <c r="AY1214" t="s">
        <v>69</v>
      </c>
      <c r="AZ1214" t="b">
        <v>1</v>
      </c>
    </row>
    <row r="1215" spans="1:52" x14ac:dyDescent="0.3">
      <c r="A1215" t="s">
        <v>52</v>
      </c>
      <c r="B1215" t="s">
        <v>53</v>
      </c>
      <c r="C1215" t="s">
        <v>54</v>
      </c>
      <c r="D1215" t="s">
        <v>55</v>
      </c>
      <c r="E1215" t="s">
        <v>830</v>
      </c>
      <c r="F1215" t="s">
        <v>512</v>
      </c>
      <c r="G1215" t="s">
        <v>399</v>
      </c>
      <c r="H1215" t="s">
        <v>400</v>
      </c>
      <c r="I1215" t="s">
        <v>400</v>
      </c>
      <c r="J1215" t="s">
        <v>60</v>
      </c>
      <c r="K1215" t="s">
        <v>286</v>
      </c>
      <c r="L1215" t="s">
        <v>62</v>
      </c>
      <c r="M1215" t="s">
        <v>286</v>
      </c>
      <c r="N1215" t="s">
        <v>401</v>
      </c>
      <c r="O1215" t="s">
        <v>402</v>
      </c>
      <c r="P1215">
        <v>-19.639906</v>
      </c>
      <c r="Q1215">
        <v>-43.886059000000003</v>
      </c>
      <c r="R1215" s="2" t="str">
        <f>HYPERLINK("https://www.google.com/maps?q=-19.6399060,-43.8860590","Abrir no Google Maps")</f>
        <v>Abrir no Google Maps</v>
      </c>
      <c r="S1215">
        <v>3</v>
      </c>
      <c r="T1215">
        <v>256.0748811302048</v>
      </c>
      <c r="U1215">
        <v>1</v>
      </c>
      <c r="V1215">
        <v>0</v>
      </c>
      <c r="W1215">
        <v>1</v>
      </c>
      <c r="X1215">
        <v>0</v>
      </c>
      <c r="Y1215">
        <v>10</v>
      </c>
      <c r="Z1215">
        <v>205.06236700857289</v>
      </c>
      <c r="AA1215">
        <v>2</v>
      </c>
      <c r="AB1215">
        <v>3</v>
      </c>
      <c r="AC1215">
        <v>7</v>
      </c>
      <c r="AD1215">
        <v>0</v>
      </c>
      <c r="AE1215">
        <v>253</v>
      </c>
      <c r="AF1215">
        <v>0</v>
      </c>
      <c r="AG1215">
        <v>0</v>
      </c>
      <c r="AH1215">
        <v>32</v>
      </c>
      <c r="AI1215">
        <v>0</v>
      </c>
      <c r="AJ1215">
        <v>0</v>
      </c>
      <c r="AK1215">
        <v>12.65</v>
      </c>
      <c r="AL1215">
        <v>-19.639789499999949</v>
      </c>
      <c r="AM1215">
        <v>-43.885737855031408</v>
      </c>
      <c r="AN1215">
        <v>-19.639789499999949</v>
      </c>
      <c r="AO1215">
        <v>-43.885737855031408</v>
      </c>
      <c r="AP1215">
        <v>-19.639906</v>
      </c>
      <c r="AQ1215">
        <v>-43.886059000000003</v>
      </c>
      <c r="AR1215">
        <v>36.081349702130403</v>
      </c>
      <c r="AS1215" t="s">
        <v>65</v>
      </c>
      <c r="AT1215">
        <v>1</v>
      </c>
      <c r="AU1215" t="s">
        <v>403</v>
      </c>
      <c r="AV1215" t="s">
        <v>404</v>
      </c>
      <c r="AW1215" t="s">
        <v>60</v>
      </c>
      <c r="AX1215" t="s">
        <v>68</v>
      </c>
      <c r="AY1215" t="s">
        <v>69</v>
      </c>
      <c r="AZ1215" t="b">
        <v>1</v>
      </c>
    </row>
    <row r="1216" spans="1:52" x14ac:dyDescent="0.3">
      <c r="A1216" t="s">
        <v>52</v>
      </c>
      <c r="B1216" t="s">
        <v>53</v>
      </c>
      <c r="C1216" t="s">
        <v>54</v>
      </c>
      <c r="D1216" t="s">
        <v>55</v>
      </c>
      <c r="E1216" t="s">
        <v>830</v>
      </c>
      <c r="F1216" t="s">
        <v>512</v>
      </c>
      <c r="G1216" t="s">
        <v>284</v>
      </c>
      <c r="H1216" t="s">
        <v>285</v>
      </c>
      <c r="I1216" t="s">
        <v>285</v>
      </c>
      <c r="J1216" t="s">
        <v>60</v>
      </c>
      <c r="K1216" t="s">
        <v>286</v>
      </c>
      <c r="L1216" t="s">
        <v>62</v>
      </c>
      <c r="M1216" t="s">
        <v>286</v>
      </c>
      <c r="N1216" t="s">
        <v>287</v>
      </c>
      <c r="O1216" t="s">
        <v>288</v>
      </c>
      <c r="P1216">
        <v>-19.639790000000001</v>
      </c>
      <c r="Q1216">
        <v>-43.882798999999999</v>
      </c>
      <c r="R1216" s="2" t="str">
        <f>HYPERLINK("https://www.google.com/maps?q=-19.6397900,-43.8827990","Abrir no Google Maps")</f>
        <v>Abrir no Google Maps</v>
      </c>
      <c r="S1216">
        <v>3</v>
      </c>
      <c r="T1216">
        <v>242.7052058134478</v>
      </c>
      <c r="U1216">
        <v>1</v>
      </c>
      <c r="V1216">
        <v>0</v>
      </c>
      <c r="W1216">
        <v>1</v>
      </c>
      <c r="X1216">
        <v>0</v>
      </c>
      <c r="Y1216">
        <v>10</v>
      </c>
      <c r="Z1216">
        <v>187.2088809462339</v>
      </c>
      <c r="AA1216">
        <v>2</v>
      </c>
      <c r="AB1216">
        <v>3</v>
      </c>
      <c r="AC1216">
        <v>7</v>
      </c>
      <c r="AD1216">
        <v>0</v>
      </c>
      <c r="AE1216">
        <v>253</v>
      </c>
      <c r="AF1216">
        <v>0</v>
      </c>
      <c r="AG1216">
        <v>0</v>
      </c>
      <c r="AH1216">
        <v>32</v>
      </c>
      <c r="AI1216">
        <v>0</v>
      </c>
      <c r="AJ1216">
        <v>0</v>
      </c>
      <c r="AK1216">
        <v>12.65</v>
      </c>
      <c r="AL1216">
        <v>-19.639855599999951</v>
      </c>
      <c r="AM1216">
        <v>-43.882909745178452</v>
      </c>
      <c r="AN1216">
        <v>-19.639855599999951</v>
      </c>
      <c r="AO1216">
        <v>-43.882909745178452</v>
      </c>
      <c r="AP1216">
        <v>-19.639790000000001</v>
      </c>
      <c r="AQ1216">
        <v>-43.882798999999999</v>
      </c>
      <c r="AR1216">
        <v>13.716486068571211</v>
      </c>
      <c r="AS1216" t="s">
        <v>65</v>
      </c>
      <c r="AT1216">
        <v>1</v>
      </c>
      <c r="AU1216" t="s">
        <v>289</v>
      </c>
      <c r="AV1216" t="s">
        <v>290</v>
      </c>
      <c r="AW1216" t="s">
        <v>60</v>
      </c>
      <c r="AX1216" t="s">
        <v>68</v>
      </c>
      <c r="AY1216" t="s">
        <v>69</v>
      </c>
      <c r="AZ1216" t="b">
        <v>1</v>
      </c>
    </row>
    <row r="1217" spans="1:52" x14ac:dyDescent="0.3">
      <c r="A1217" t="s">
        <v>52</v>
      </c>
      <c r="B1217" t="s">
        <v>53</v>
      </c>
      <c r="C1217" t="s">
        <v>54</v>
      </c>
      <c r="D1217" t="s">
        <v>55</v>
      </c>
      <c r="E1217" t="s">
        <v>830</v>
      </c>
      <c r="F1217" t="s">
        <v>512</v>
      </c>
      <c r="G1217" t="s">
        <v>541</v>
      </c>
      <c r="H1217" t="s">
        <v>542</v>
      </c>
      <c r="I1217" t="s">
        <v>542</v>
      </c>
      <c r="J1217" t="s">
        <v>60</v>
      </c>
      <c r="K1217" t="s">
        <v>445</v>
      </c>
      <c r="L1217" t="s">
        <v>62</v>
      </c>
      <c r="M1217" t="s">
        <v>445</v>
      </c>
      <c r="N1217" t="s">
        <v>543</v>
      </c>
      <c r="O1217" t="s">
        <v>328</v>
      </c>
      <c r="P1217">
        <v>-19.642263</v>
      </c>
      <c r="Q1217">
        <v>-43.881428999999997</v>
      </c>
      <c r="R1217" s="2" t="str">
        <f>HYPERLINK("https://www.google.com/maps?q=-19.6422630,-43.8814290","Abrir no Google Maps")</f>
        <v>Abrir no Google Maps</v>
      </c>
      <c r="S1217">
        <v>3</v>
      </c>
      <c r="T1217">
        <v>0</v>
      </c>
      <c r="U1217">
        <v>1</v>
      </c>
      <c r="V1217">
        <v>0</v>
      </c>
      <c r="W1217">
        <v>0.85</v>
      </c>
      <c r="X1217">
        <v>0</v>
      </c>
      <c r="Y1217">
        <v>10</v>
      </c>
      <c r="Z1217">
        <v>162.4764384685345</v>
      </c>
      <c r="AA1217">
        <v>2</v>
      </c>
      <c r="AB1217">
        <v>3</v>
      </c>
      <c r="AC1217">
        <v>7</v>
      </c>
      <c r="AD1217">
        <v>0</v>
      </c>
      <c r="AE1217">
        <v>253</v>
      </c>
      <c r="AF1217">
        <v>0</v>
      </c>
      <c r="AG1217">
        <v>0</v>
      </c>
      <c r="AH1217">
        <v>32</v>
      </c>
      <c r="AI1217">
        <v>0</v>
      </c>
      <c r="AJ1217">
        <v>0</v>
      </c>
      <c r="AK1217">
        <v>12.65</v>
      </c>
      <c r="AL1217">
        <v>-19.642346249999949</v>
      </c>
      <c r="AM1217">
        <v>-43.881546938715289</v>
      </c>
      <c r="AN1217">
        <v>-19.642346249999939</v>
      </c>
      <c r="AO1217">
        <v>-43.881546938715289</v>
      </c>
      <c r="AP1217">
        <v>-19.642263</v>
      </c>
      <c r="AQ1217">
        <v>-43.881428999999997</v>
      </c>
      <c r="AR1217">
        <v>15.45239906956777</v>
      </c>
      <c r="AS1217" t="s">
        <v>65</v>
      </c>
      <c r="AT1217">
        <v>1</v>
      </c>
      <c r="AU1217" t="s">
        <v>544</v>
      </c>
      <c r="AV1217" t="s">
        <v>545</v>
      </c>
      <c r="AW1217" t="s">
        <v>60</v>
      </c>
      <c r="AX1217" t="s">
        <v>68</v>
      </c>
      <c r="AY1217" t="s">
        <v>69</v>
      </c>
      <c r="AZ1217" t="b">
        <v>1</v>
      </c>
    </row>
    <row r="1218" spans="1:52" x14ac:dyDescent="0.3">
      <c r="A1218" t="s">
        <v>52</v>
      </c>
      <c r="B1218" t="s">
        <v>53</v>
      </c>
      <c r="C1218" t="s">
        <v>54</v>
      </c>
      <c r="D1218" t="s">
        <v>55</v>
      </c>
      <c r="E1218" t="s">
        <v>830</v>
      </c>
      <c r="F1218" t="s">
        <v>512</v>
      </c>
      <c r="G1218" t="s">
        <v>546</v>
      </c>
      <c r="H1218" t="s">
        <v>547</v>
      </c>
      <c r="I1218" t="s">
        <v>547</v>
      </c>
      <c r="J1218" t="s">
        <v>60</v>
      </c>
      <c r="K1218" t="s">
        <v>445</v>
      </c>
      <c r="L1218" t="s">
        <v>62</v>
      </c>
      <c r="M1218" t="s">
        <v>445</v>
      </c>
      <c r="N1218" t="s">
        <v>548</v>
      </c>
      <c r="O1218" t="s">
        <v>549</v>
      </c>
      <c r="P1218">
        <v>-19.642752999999999</v>
      </c>
      <c r="Q1218">
        <v>-43.879080999999999</v>
      </c>
      <c r="R1218" s="2" t="str">
        <f>HYPERLINK("https://www.google.com/maps?q=-19.6427530,-43.8790810","Abrir no Google Maps")</f>
        <v>Abrir no Google Maps</v>
      </c>
      <c r="S1218">
        <v>3</v>
      </c>
      <c r="T1218">
        <v>256.19518367376457</v>
      </c>
      <c r="U1218">
        <v>1</v>
      </c>
      <c r="V1218">
        <v>0</v>
      </c>
      <c r="W1218">
        <v>0.85</v>
      </c>
      <c r="X1218">
        <v>0</v>
      </c>
      <c r="Y1218">
        <v>10</v>
      </c>
      <c r="Z1218">
        <v>192.73978446408199</v>
      </c>
      <c r="AA1218">
        <v>2</v>
      </c>
      <c r="AB1218">
        <v>3</v>
      </c>
      <c r="AC1218">
        <v>7</v>
      </c>
      <c r="AD1218">
        <v>0</v>
      </c>
      <c r="AE1218">
        <v>253</v>
      </c>
      <c r="AF1218">
        <v>0</v>
      </c>
      <c r="AG1218">
        <v>0</v>
      </c>
      <c r="AH1218">
        <v>32</v>
      </c>
      <c r="AI1218">
        <v>0</v>
      </c>
      <c r="AJ1218">
        <v>0</v>
      </c>
      <c r="AK1218">
        <v>12.65</v>
      </c>
      <c r="AL1218">
        <v>-19.642703749999949</v>
      </c>
      <c r="AM1218">
        <v>-43.879132974738582</v>
      </c>
      <c r="AN1218">
        <v>-19.642703749999949</v>
      </c>
      <c r="AO1218">
        <v>-43.879132974738582</v>
      </c>
      <c r="AP1218">
        <v>-19.642752999999999</v>
      </c>
      <c r="AQ1218">
        <v>-43.879080999999999</v>
      </c>
      <c r="AR1218">
        <v>7.7298757823687696</v>
      </c>
      <c r="AS1218" t="s">
        <v>65</v>
      </c>
      <c r="AT1218">
        <v>1</v>
      </c>
      <c r="AU1218" t="s">
        <v>550</v>
      </c>
      <c r="AV1218" t="s">
        <v>551</v>
      </c>
      <c r="AW1218" t="s">
        <v>60</v>
      </c>
      <c r="AX1218" t="s">
        <v>68</v>
      </c>
      <c r="AY1218" t="s">
        <v>69</v>
      </c>
      <c r="AZ1218" t="b">
        <v>1</v>
      </c>
    </row>
    <row r="1219" spans="1:52" x14ac:dyDescent="0.3">
      <c r="A1219" t="s">
        <v>52</v>
      </c>
      <c r="B1219" t="s">
        <v>53</v>
      </c>
      <c r="C1219" t="s">
        <v>54</v>
      </c>
      <c r="D1219" t="s">
        <v>55</v>
      </c>
      <c r="E1219" t="s">
        <v>830</v>
      </c>
      <c r="F1219" t="s">
        <v>512</v>
      </c>
      <c r="G1219" t="s">
        <v>291</v>
      </c>
      <c r="H1219" t="s">
        <v>292</v>
      </c>
      <c r="I1219" t="s">
        <v>292</v>
      </c>
      <c r="J1219" t="s">
        <v>60</v>
      </c>
      <c r="K1219" t="s">
        <v>286</v>
      </c>
      <c r="L1219" t="s">
        <v>62</v>
      </c>
      <c r="M1219" t="s">
        <v>286</v>
      </c>
      <c r="N1219" t="s">
        <v>293</v>
      </c>
      <c r="O1219" t="s">
        <v>294</v>
      </c>
      <c r="P1219">
        <v>-19.640333999999999</v>
      </c>
      <c r="Q1219">
        <v>-43.880004999999997</v>
      </c>
      <c r="R1219" s="2" t="str">
        <f>HYPERLINK("https://www.google.com/maps?q=-19.6403340,-43.8800050","Abrir no Google Maps")</f>
        <v>Abrir no Google Maps</v>
      </c>
      <c r="S1219">
        <v>3</v>
      </c>
      <c r="T1219">
        <v>276.80943817309782</v>
      </c>
      <c r="U1219">
        <v>1</v>
      </c>
      <c r="V1219">
        <v>0</v>
      </c>
      <c r="W1219">
        <v>1</v>
      </c>
      <c r="X1219">
        <v>0</v>
      </c>
      <c r="Y1219">
        <v>10</v>
      </c>
      <c r="Z1219">
        <v>361.98332038983392</v>
      </c>
      <c r="AA1219">
        <v>2</v>
      </c>
      <c r="AB1219">
        <v>3</v>
      </c>
      <c r="AC1219">
        <v>7</v>
      </c>
      <c r="AD1219">
        <v>0</v>
      </c>
      <c r="AE1219">
        <v>253</v>
      </c>
      <c r="AF1219">
        <v>0</v>
      </c>
      <c r="AG1219">
        <v>0</v>
      </c>
      <c r="AH1219">
        <v>32</v>
      </c>
      <c r="AI1219">
        <v>0</v>
      </c>
      <c r="AJ1219">
        <v>0</v>
      </c>
      <c r="AK1219">
        <v>12.65</v>
      </c>
      <c r="AL1219">
        <v>-19.640260249999951</v>
      </c>
      <c r="AM1219">
        <v>-43.880090474326408</v>
      </c>
      <c r="AN1219">
        <v>-19.640260249999951</v>
      </c>
      <c r="AO1219">
        <v>-43.880090474326408</v>
      </c>
      <c r="AP1219">
        <v>-19.640333999999999</v>
      </c>
      <c r="AQ1219">
        <v>-43.880004999999997</v>
      </c>
      <c r="AR1219">
        <v>12.153556195359609</v>
      </c>
      <c r="AS1219" t="s">
        <v>65</v>
      </c>
      <c r="AT1219">
        <v>1</v>
      </c>
      <c r="AU1219" t="s">
        <v>295</v>
      </c>
      <c r="AV1219" t="s">
        <v>296</v>
      </c>
      <c r="AW1219" t="s">
        <v>60</v>
      </c>
      <c r="AX1219" t="s">
        <v>68</v>
      </c>
      <c r="AY1219" t="s">
        <v>69</v>
      </c>
      <c r="AZ1219" t="b">
        <v>1</v>
      </c>
    </row>
    <row r="1220" spans="1:52" x14ac:dyDescent="0.3">
      <c r="A1220" t="s">
        <v>52</v>
      </c>
      <c r="B1220" t="s">
        <v>53</v>
      </c>
      <c r="C1220" t="s">
        <v>54</v>
      </c>
      <c r="D1220" t="s">
        <v>55</v>
      </c>
      <c r="E1220" t="s">
        <v>830</v>
      </c>
      <c r="F1220" t="s">
        <v>512</v>
      </c>
      <c r="G1220" t="s">
        <v>552</v>
      </c>
      <c r="H1220" t="s">
        <v>553</v>
      </c>
      <c r="I1220" t="s">
        <v>553</v>
      </c>
      <c r="J1220" t="s">
        <v>60</v>
      </c>
      <c r="K1220" t="s">
        <v>445</v>
      </c>
      <c r="L1220" t="s">
        <v>62</v>
      </c>
      <c r="M1220" t="s">
        <v>445</v>
      </c>
      <c r="N1220" t="s">
        <v>554</v>
      </c>
      <c r="O1220" t="s">
        <v>207</v>
      </c>
      <c r="P1220">
        <v>-19.641549999999999</v>
      </c>
      <c r="Q1220">
        <v>-43.873263999999999</v>
      </c>
      <c r="R1220" s="2" t="str">
        <f>HYPERLINK("https://www.google.com/maps?q=-19.6415500,-43.8732640","Abrir no Google Maps")</f>
        <v>Abrir no Google Maps</v>
      </c>
      <c r="S1220">
        <v>3</v>
      </c>
      <c r="T1220">
        <v>879.45465995735231</v>
      </c>
      <c r="U1220">
        <v>1</v>
      </c>
      <c r="V1220">
        <v>0</v>
      </c>
      <c r="W1220">
        <v>0.85</v>
      </c>
      <c r="X1220">
        <v>0</v>
      </c>
      <c r="Y1220">
        <v>10</v>
      </c>
      <c r="Z1220">
        <v>830.70905214077095</v>
      </c>
      <c r="AA1220">
        <v>2</v>
      </c>
      <c r="AB1220">
        <v>3</v>
      </c>
      <c r="AC1220">
        <v>7</v>
      </c>
      <c r="AD1220">
        <v>0</v>
      </c>
      <c r="AE1220">
        <v>253</v>
      </c>
      <c r="AF1220">
        <v>0</v>
      </c>
      <c r="AG1220">
        <v>0</v>
      </c>
      <c r="AH1220">
        <v>32</v>
      </c>
      <c r="AI1220">
        <v>0</v>
      </c>
      <c r="AJ1220">
        <v>0</v>
      </c>
      <c r="AK1220">
        <v>12.65</v>
      </c>
      <c r="AL1220">
        <v>-19.641459949999959</v>
      </c>
      <c r="AM1220">
        <v>-43.873212145688711</v>
      </c>
      <c r="AN1220">
        <v>-19.641459949999959</v>
      </c>
      <c r="AO1220">
        <v>-43.873212145688711</v>
      </c>
      <c r="AP1220">
        <v>-19.641549999999999</v>
      </c>
      <c r="AQ1220">
        <v>-43.873263999999999</v>
      </c>
      <c r="AR1220">
        <v>11.40368340137019</v>
      </c>
      <c r="AS1220" t="s">
        <v>65</v>
      </c>
      <c r="AT1220">
        <v>1</v>
      </c>
      <c r="AU1220" t="s">
        <v>555</v>
      </c>
      <c r="AV1220" t="s">
        <v>556</v>
      </c>
      <c r="AW1220" t="s">
        <v>60</v>
      </c>
      <c r="AX1220" t="s">
        <v>68</v>
      </c>
      <c r="AY1220" t="s">
        <v>69</v>
      </c>
      <c r="AZ1220" t="b">
        <v>1</v>
      </c>
    </row>
    <row r="1221" spans="1:52" x14ac:dyDescent="0.3">
      <c r="A1221" t="s">
        <v>52</v>
      </c>
      <c r="B1221" t="s">
        <v>53</v>
      </c>
      <c r="C1221" t="s">
        <v>54</v>
      </c>
      <c r="D1221" t="s">
        <v>55</v>
      </c>
      <c r="E1221" t="s">
        <v>830</v>
      </c>
      <c r="F1221" t="s">
        <v>512</v>
      </c>
      <c r="G1221" t="s">
        <v>557</v>
      </c>
      <c r="H1221" t="s">
        <v>558</v>
      </c>
      <c r="I1221" t="s">
        <v>558</v>
      </c>
      <c r="J1221" t="s">
        <v>60</v>
      </c>
      <c r="K1221" t="s">
        <v>445</v>
      </c>
      <c r="L1221" t="s">
        <v>62</v>
      </c>
      <c r="M1221" t="s">
        <v>445</v>
      </c>
      <c r="N1221" t="s">
        <v>559</v>
      </c>
      <c r="O1221" t="s">
        <v>560</v>
      </c>
      <c r="P1221">
        <v>-19.641839000000001</v>
      </c>
      <c r="Q1221">
        <v>-43.876227</v>
      </c>
      <c r="R1221" s="2" t="str">
        <f>HYPERLINK("https://www.google.com/maps?q=-19.6418390,-43.8762270","Abrir no Google Maps")</f>
        <v>Abrir no Google Maps</v>
      </c>
      <c r="S1221">
        <v>3</v>
      </c>
      <c r="T1221">
        <v>564.50471877254449</v>
      </c>
      <c r="U1221">
        <v>1</v>
      </c>
      <c r="V1221">
        <v>0</v>
      </c>
      <c r="W1221">
        <v>0.85</v>
      </c>
      <c r="X1221">
        <v>0</v>
      </c>
      <c r="Y1221">
        <v>10</v>
      </c>
      <c r="Z1221">
        <v>490.40238336341412</v>
      </c>
      <c r="AA1221">
        <v>2</v>
      </c>
      <c r="AB1221">
        <v>3</v>
      </c>
      <c r="AC1221">
        <v>7</v>
      </c>
      <c r="AD1221">
        <v>0</v>
      </c>
      <c r="AE1221">
        <v>253</v>
      </c>
      <c r="AF1221">
        <v>0</v>
      </c>
      <c r="AG1221">
        <v>0</v>
      </c>
      <c r="AH1221">
        <v>32</v>
      </c>
      <c r="AI1221">
        <v>0</v>
      </c>
      <c r="AJ1221">
        <v>0</v>
      </c>
      <c r="AK1221">
        <v>12.65</v>
      </c>
      <c r="AL1221">
        <v>-19.641880699999941</v>
      </c>
      <c r="AM1221">
        <v>-43.876185869580858</v>
      </c>
      <c r="AN1221">
        <v>-19.641880699999941</v>
      </c>
      <c r="AO1221">
        <v>-43.876185869580858</v>
      </c>
      <c r="AP1221">
        <v>-19.641839000000001</v>
      </c>
      <c r="AQ1221">
        <v>-43.876227</v>
      </c>
      <c r="AR1221">
        <v>6.3359121862683301</v>
      </c>
      <c r="AS1221" t="s">
        <v>65</v>
      </c>
      <c r="AT1221">
        <v>1</v>
      </c>
      <c r="AU1221" t="s">
        <v>561</v>
      </c>
      <c r="AV1221" t="s">
        <v>562</v>
      </c>
      <c r="AW1221" t="s">
        <v>60</v>
      </c>
      <c r="AX1221" t="s">
        <v>68</v>
      </c>
      <c r="AY1221" t="s">
        <v>69</v>
      </c>
      <c r="AZ1221" t="b">
        <v>1</v>
      </c>
    </row>
    <row r="1222" spans="1:52" x14ac:dyDescent="0.3">
      <c r="A1222" t="s">
        <v>52</v>
      </c>
      <c r="B1222" t="s">
        <v>53</v>
      </c>
      <c r="C1222" t="s">
        <v>54</v>
      </c>
      <c r="D1222" t="s">
        <v>55</v>
      </c>
      <c r="E1222" t="s">
        <v>830</v>
      </c>
      <c r="F1222" t="s">
        <v>512</v>
      </c>
      <c r="G1222" t="s">
        <v>563</v>
      </c>
      <c r="H1222" t="s">
        <v>564</v>
      </c>
      <c r="I1222" t="s">
        <v>564</v>
      </c>
      <c r="J1222" t="s">
        <v>60</v>
      </c>
      <c r="K1222" t="s">
        <v>445</v>
      </c>
      <c r="L1222" t="s">
        <v>62</v>
      </c>
      <c r="M1222" t="s">
        <v>445</v>
      </c>
      <c r="N1222" t="s">
        <v>565</v>
      </c>
      <c r="O1222" t="s">
        <v>566</v>
      </c>
      <c r="P1222">
        <v>-19.645859000000002</v>
      </c>
      <c r="Q1222">
        <v>-43.878008000000001</v>
      </c>
      <c r="R1222" s="2" t="str">
        <f>HYPERLINK("https://www.google.com/maps?q=-19.6458590,-43.8780080","Abrir no Google Maps")</f>
        <v>Abrir no Google Maps</v>
      </c>
      <c r="S1222">
        <v>3</v>
      </c>
      <c r="T1222">
        <v>535.60651658514928</v>
      </c>
      <c r="U1222">
        <v>1</v>
      </c>
      <c r="V1222">
        <v>0</v>
      </c>
      <c r="W1222">
        <v>0.85</v>
      </c>
      <c r="X1222">
        <v>0</v>
      </c>
      <c r="Y1222">
        <v>10</v>
      </c>
      <c r="Z1222">
        <v>356.77070476702067</v>
      </c>
      <c r="AA1222">
        <v>2</v>
      </c>
      <c r="AB1222">
        <v>3</v>
      </c>
      <c r="AC1222">
        <v>7</v>
      </c>
      <c r="AD1222">
        <v>0</v>
      </c>
      <c r="AE1222">
        <v>253</v>
      </c>
      <c r="AF1222">
        <v>0</v>
      </c>
      <c r="AG1222">
        <v>0</v>
      </c>
      <c r="AH1222">
        <v>32</v>
      </c>
      <c r="AI1222">
        <v>0</v>
      </c>
      <c r="AJ1222">
        <v>0</v>
      </c>
      <c r="AK1222">
        <v>12.65</v>
      </c>
      <c r="AL1222">
        <v>-19.645894599999959</v>
      </c>
      <c r="AM1222">
        <v>-43.878073476665591</v>
      </c>
      <c r="AN1222">
        <v>-19.645894599999959</v>
      </c>
      <c r="AO1222">
        <v>-43.878073476665591</v>
      </c>
      <c r="AP1222">
        <v>-19.645859000000002</v>
      </c>
      <c r="AQ1222">
        <v>-43.878008000000001</v>
      </c>
      <c r="AR1222">
        <v>7.9263849189726594</v>
      </c>
      <c r="AS1222" t="s">
        <v>65</v>
      </c>
      <c r="AT1222">
        <v>1</v>
      </c>
      <c r="AU1222" t="s">
        <v>567</v>
      </c>
      <c r="AV1222" t="s">
        <v>568</v>
      </c>
      <c r="AW1222" t="s">
        <v>60</v>
      </c>
      <c r="AX1222" t="s">
        <v>68</v>
      </c>
      <c r="AY1222" t="s">
        <v>69</v>
      </c>
      <c r="AZ1222" t="b">
        <v>1</v>
      </c>
    </row>
    <row r="1223" spans="1:52" x14ac:dyDescent="0.3">
      <c r="A1223" t="s">
        <v>52</v>
      </c>
      <c r="B1223" t="s">
        <v>53</v>
      </c>
      <c r="C1223" t="s">
        <v>54</v>
      </c>
      <c r="D1223" t="s">
        <v>55</v>
      </c>
      <c r="E1223" t="s">
        <v>830</v>
      </c>
      <c r="F1223" t="s">
        <v>512</v>
      </c>
      <c r="G1223" t="s">
        <v>569</v>
      </c>
      <c r="H1223" t="s">
        <v>570</v>
      </c>
      <c r="I1223" t="s">
        <v>570</v>
      </c>
      <c r="J1223" t="s">
        <v>60</v>
      </c>
      <c r="K1223" t="s">
        <v>445</v>
      </c>
      <c r="L1223" t="s">
        <v>62</v>
      </c>
      <c r="M1223" t="s">
        <v>445</v>
      </c>
      <c r="N1223" t="s">
        <v>571</v>
      </c>
      <c r="O1223" t="s">
        <v>572</v>
      </c>
      <c r="P1223">
        <v>-19.646602999999999</v>
      </c>
      <c r="Q1223">
        <v>-43.879826000000001</v>
      </c>
      <c r="R1223" s="2" t="str">
        <f>HYPERLINK("https://www.google.com/maps?q=-19.6466030,-43.8798260","Abrir no Google Maps")</f>
        <v>Abrir no Google Maps</v>
      </c>
      <c r="S1223">
        <v>3</v>
      </c>
      <c r="T1223">
        <v>497.89126003830972</v>
      </c>
      <c r="U1223">
        <v>1</v>
      </c>
      <c r="V1223">
        <v>0</v>
      </c>
      <c r="W1223">
        <v>0.85</v>
      </c>
      <c r="X1223">
        <v>0</v>
      </c>
      <c r="Y1223">
        <v>10</v>
      </c>
      <c r="Z1223">
        <v>228.69190976735251</v>
      </c>
      <c r="AA1223">
        <v>2</v>
      </c>
      <c r="AB1223">
        <v>3</v>
      </c>
      <c r="AC1223">
        <v>7</v>
      </c>
      <c r="AD1223">
        <v>0</v>
      </c>
      <c r="AE1223">
        <v>253</v>
      </c>
      <c r="AF1223">
        <v>0</v>
      </c>
      <c r="AG1223">
        <v>0</v>
      </c>
      <c r="AH1223">
        <v>32</v>
      </c>
      <c r="AI1223">
        <v>0</v>
      </c>
      <c r="AJ1223">
        <v>0</v>
      </c>
      <c r="AK1223">
        <v>12.65</v>
      </c>
      <c r="AL1223">
        <v>-19.646577499999982</v>
      </c>
      <c r="AM1223">
        <v>-43.879934131171261</v>
      </c>
      <c r="AN1223">
        <v>-19.646577499999971</v>
      </c>
      <c r="AO1223">
        <v>-43.879934131171261</v>
      </c>
      <c r="AP1223">
        <v>-19.646602999999999</v>
      </c>
      <c r="AQ1223">
        <v>-43.879826000000001</v>
      </c>
      <c r="AR1223">
        <v>11.68641198848764</v>
      </c>
      <c r="AS1223" t="s">
        <v>65</v>
      </c>
      <c r="AT1223">
        <v>1</v>
      </c>
      <c r="AU1223" t="s">
        <v>573</v>
      </c>
      <c r="AV1223" t="s">
        <v>574</v>
      </c>
      <c r="AW1223" t="s">
        <v>60</v>
      </c>
      <c r="AX1223" t="s">
        <v>68</v>
      </c>
      <c r="AY1223" t="s">
        <v>69</v>
      </c>
      <c r="AZ1223" t="b">
        <v>1</v>
      </c>
    </row>
    <row r="1224" spans="1:52" x14ac:dyDescent="0.3">
      <c r="A1224" t="s">
        <v>52</v>
      </c>
      <c r="B1224" t="s">
        <v>53</v>
      </c>
      <c r="C1224" t="s">
        <v>54</v>
      </c>
      <c r="D1224" t="s">
        <v>55</v>
      </c>
      <c r="E1224" t="s">
        <v>830</v>
      </c>
      <c r="F1224" t="s">
        <v>512</v>
      </c>
      <c r="G1224" t="s">
        <v>405</v>
      </c>
      <c r="H1224" t="s">
        <v>406</v>
      </c>
      <c r="I1224" t="s">
        <v>406</v>
      </c>
      <c r="J1224" t="s">
        <v>60</v>
      </c>
      <c r="K1224" t="s">
        <v>286</v>
      </c>
      <c r="L1224" t="s">
        <v>62</v>
      </c>
      <c r="M1224" t="s">
        <v>286</v>
      </c>
      <c r="N1224" t="s">
        <v>407</v>
      </c>
      <c r="O1224" t="s">
        <v>408</v>
      </c>
      <c r="P1224">
        <v>-19.646345</v>
      </c>
      <c r="Q1224">
        <v>-43.882294999999999</v>
      </c>
      <c r="R1224" s="2" t="str">
        <f>HYPERLINK("https://www.google.com/maps?q=-19.6463450,-43.8822950","Abrir no Google Maps")</f>
        <v>Abrir no Google Maps</v>
      </c>
      <c r="S1224">
        <v>3</v>
      </c>
      <c r="T1224">
        <v>450.3180538635894</v>
      </c>
      <c r="U1224">
        <v>1</v>
      </c>
      <c r="V1224">
        <v>0</v>
      </c>
      <c r="W1224">
        <v>1</v>
      </c>
      <c r="X1224">
        <v>0</v>
      </c>
      <c r="Y1224">
        <v>10</v>
      </c>
      <c r="Z1224">
        <v>349.23341775902583</v>
      </c>
      <c r="AA1224">
        <v>2</v>
      </c>
      <c r="AB1224">
        <v>3</v>
      </c>
      <c r="AC1224">
        <v>7</v>
      </c>
      <c r="AD1224">
        <v>0</v>
      </c>
      <c r="AE1224">
        <v>253</v>
      </c>
      <c r="AF1224">
        <v>0</v>
      </c>
      <c r="AG1224">
        <v>0</v>
      </c>
      <c r="AH1224">
        <v>32</v>
      </c>
      <c r="AI1224">
        <v>0</v>
      </c>
      <c r="AJ1224">
        <v>0</v>
      </c>
      <c r="AK1224">
        <v>12.65</v>
      </c>
      <c r="AL1224">
        <v>-19.646391649999941</v>
      </c>
      <c r="AM1224">
        <v>-43.882007396993302</v>
      </c>
      <c r="AN1224">
        <v>-19.646391649999941</v>
      </c>
      <c r="AO1224">
        <v>-43.882007396993302</v>
      </c>
      <c r="AP1224">
        <v>-19.646345</v>
      </c>
      <c r="AQ1224">
        <v>-43.882294999999999</v>
      </c>
      <c r="AR1224">
        <v>30.596105513395301</v>
      </c>
      <c r="AS1224" t="s">
        <v>65</v>
      </c>
      <c r="AT1224">
        <v>1</v>
      </c>
      <c r="AU1224" t="s">
        <v>409</v>
      </c>
      <c r="AV1224" t="s">
        <v>410</v>
      </c>
      <c r="AW1224" t="s">
        <v>60</v>
      </c>
      <c r="AX1224" t="s">
        <v>68</v>
      </c>
      <c r="AY1224" t="s">
        <v>69</v>
      </c>
      <c r="AZ1224" t="b">
        <v>1</v>
      </c>
    </row>
    <row r="1225" spans="1:52" x14ac:dyDescent="0.3">
      <c r="A1225" t="s">
        <v>52</v>
      </c>
      <c r="B1225" t="s">
        <v>53</v>
      </c>
      <c r="C1225" t="s">
        <v>54</v>
      </c>
      <c r="D1225" t="s">
        <v>55</v>
      </c>
      <c r="E1225" t="s">
        <v>830</v>
      </c>
      <c r="F1225" t="s">
        <v>512</v>
      </c>
      <c r="G1225" t="s">
        <v>580</v>
      </c>
      <c r="H1225" t="s">
        <v>581</v>
      </c>
      <c r="I1225" t="s">
        <v>581</v>
      </c>
      <c r="J1225" t="s">
        <v>60</v>
      </c>
      <c r="K1225" t="s">
        <v>179</v>
      </c>
      <c r="L1225" t="s">
        <v>62</v>
      </c>
      <c r="M1225" t="s">
        <v>179</v>
      </c>
      <c r="N1225" t="s">
        <v>582</v>
      </c>
      <c r="O1225" t="s">
        <v>583</v>
      </c>
      <c r="P1225">
        <v>-19.651917999999998</v>
      </c>
      <c r="Q1225">
        <v>-43.888081</v>
      </c>
      <c r="R1225" s="2" t="str">
        <f>HYPERLINK("https://www.google.com/maps?q=-19.6519180,-43.8880810","Abrir no Google Maps")</f>
        <v>Abrir no Google Maps</v>
      </c>
      <c r="S1225">
        <v>3</v>
      </c>
      <c r="T1225">
        <v>1192.758363020145</v>
      </c>
      <c r="U1225">
        <v>1</v>
      </c>
      <c r="V1225">
        <v>0</v>
      </c>
      <c r="W1225">
        <v>0.85</v>
      </c>
      <c r="X1225">
        <v>0</v>
      </c>
      <c r="Y1225">
        <v>10</v>
      </c>
      <c r="Z1225">
        <v>1164.020417046748</v>
      </c>
      <c r="AA1225">
        <v>2</v>
      </c>
      <c r="AB1225">
        <v>3</v>
      </c>
      <c r="AC1225">
        <v>7</v>
      </c>
      <c r="AD1225">
        <v>0</v>
      </c>
      <c r="AE1225">
        <v>253</v>
      </c>
      <c r="AF1225">
        <v>0</v>
      </c>
      <c r="AG1225">
        <v>0</v>
      </c>
      <c r="AH1225">
        <v>32</v>
      </c>
      <c r="AI1225">
        <v>0</v>
      </c>
      <c r="AJ1225">
        <v>0</v>
      </c>
      <c r="AK1225">
        <v>12.65</v>
      </c>
      <c r="AL1225">
        <v>-19.65182809999996</v>
      </c>
      <c r="AM1225">
        <v>-43.887955347266519</v>
      </c>
      <c r="AN1225">
        <v>-19.65182809999996</v>
      </c>
      <c r="AO1225">
        <v>-43.887955347266519</v>
      </c>
      <c r="AP1225">
        <v>-19.651917999999998</v>
      </c>
      <c r="AQ1225">
        <v>-43.888081</v>
      </c>
      <c r="AR1225">
        <v>16.543262936495491</v>
      </c>
      <c r="AS1225" t="s">
        <v>65</v>
      </c>
      <c r="AT1225">
        <v>1</v>
      </c>
      <c r="AU1225" t="s">
        <v>584</v>
      </c>
      <c r="AV1225" t="s">
        <v>585</v>
      </c>
      <c r="AW1225" t="s">
        <v>60</v>
      </c>
      <c r="AX1225" t="s">
        <v>68</v>
      </c>
      <c r="AY1225" t="s">
        <v>69</v>
      </c>
      <c r="AZ1225" t="b">
        <v>1</v>
      </c>
    </row>
    <row r="1226" spans="1:52" x14ac:dyDescent="0.3">
      <c r="A1226" t="s">
        <v>52</v>
      </c>
      <c r="B1226" t="s">
        <v>53</v>
      </c>
      <c r="C1226" t="s">
        <v>54</v>
      </c>
      <c r="D1226" t="s">
        <v>55</v>
      </c>
      <c r="E1226" t="s">
        <v>830</v>
      </c>
      <c r="F1226" t="s">
        <v>512</v>
      </c>
      <c r="G1226" t="s">
        <v>586</v>
      </c>
      <c r="H1226" t="s">
        <v>587</v>
      </c>
      <c r="I1226" t="s">
        <v>587</v>
      </c>
      <c r="J1226" t="s">
        <v>60</v>
      </c>
      <c r="K1226" t="s">
        <v>286</v>
      </c>
      <c r="L1226" t="s">
        <v>62</v>
      </c>
      <c r="M1226" t="s">
        <v>286</v>
      </c>
      <c r="N1226" t="s">
        <v>588</v>
      </c>
      <c r="O1226" t="s">
        <v>589</v>
      </c>
      <c r="P1226">
        <v>-19.638362999999998</v>
      </c>
      <c r="Q1226">
        <v>-43.887081000000002</v>
      </c>
      <c r="R1226" s="2" t="str">
        <f>HYPERLINK("https://www.google.com/maps?q=-19.6383630,-43.8870810","Abrir no Google Maps")</f>
        <v>Abrir no Google Maps</v>
      </c>
      <c r="S1226">
        <v>3</v>
      </c>
      <c r="T1226">
        <v>521.16909902210193</v>
      </c>
      <c r="U1226">
        <v>1</v>
      </c>
      <c r="V1226">
        <v>0</v>
      </c>
      <c r="W1226">
        <v>0.85</v>
      </c>
      <c r="X1226">
        <v>0</v>
      </c>
      <c r="Y1226">
        <v>10</v>
      </c>
      <c r="Z1226">
        <v>416.66355243950221</v>
      </c>
      <c r="AA1226">
        <v>2</v>
      </c>
      <c r="AB1226">
        <v>3</v>
      </c>
      <c r="AC1226">
        <v>7</v>
      </c>
      <c r="AD1226">
        <v>0</v>
      </c>
      <c r="AE1226">
        <v>253</v>
      </c>
      <c r="AF1226">
        <v>0</v>
      </c>
      <c r="AG1226">
        <v>0</v>
      </c>
      <c r="AH1226">
        <v>32</v>
      </c>
      <c r="AI1226">
        <v>0</v>
      </c>
      <c r="AJ1226">
        <v>0</v>
      </c>
      <c r="AK1226">
        <v>12.65</v>
      </c>
      <c r="AL1226">
        <v>-19.638074649999961</v>
      </c>
      <c r="AM1226">
        <v>-43.887517684870552</v>
      </c>
      <c r="AN1226">
        <v>-19.638074649999961</v>
      </c>
      <c r="AO1226">
        <v>-43.887517684870552</v>
      </c>
      <c r="AP1226">
        <v>-19.638362999999998</v>
      </c>
      <c r="AQ1226">
        <v>-43.887081000000002</v>
      </c>
      <c r="AR1226">
        <v>55.915550702564907</v>
      </c>
      <c r="AS1226" t="s">
        <v>65</v>
      </c>
      <c r="AT1226">
        <v>1</v>
      </c>
      <c r="AU1226" t="s">
        <v>590</v>
      </c>
      <c r="AV1226" t="s">
        <v>591</v>
      </c>
      <c r="AW1226" t="s">
        <v>60</v>
      </c>
      <c r="AX1226" t="s">
        <v>68</v>
      </c>
      <c r="AY1226" t="s">
        <v>69</v>
      </c>
      <c r="AZ1226" t="b">
        <v>1</v>
      </c>
    </row>
    <row r="1227" spans="1:52" x14ac:dyDescent="0.3">
      <c r="A1227" t="s">
        <v>52</v>
      </c>
      <c r="B1227" t="s">
        <v>53</v>
      </c>
      <c r="C1227" t="s">
        <v>54</v>
      </c>
      <c r="D1227" t="s">
        <v>55</v>
      </c>
      <c r="E1227" t="s">
        <v>830</v>
      </c>
      <c r="F1227" t="s">
        <v>512</v>
      </c>
      <c r="G1227" t="s">
        <v>411</v>
      </c>
      <c r="H1227" t="s">
        <v>412</v>
      </c>
      <c r="I1227" t="s">
        <v>412</v>
      </c>
      <c r="J1227" t="s">
        <v>60</v>
      </c>
      <c r="K1227" t="s">
        <v>179</v>
      </c>
      <c r="L1227" t="s">
        <v>62</v>
      </c>
      <c r="M1227" t="s">
        <v>179</v>
      </c>
      <c r="N1227" t="s">
        <v>413</v>
      </c>
      <c r="O1227" t="s">
        <v>414</v>
      </c>
      <c r="P1227">
        <v>-19.650079000000002</v>
      </c>
      <c r="Q1227">
        <v>-43.884253999999999</v>
      </c>
      <c r="R1227" s="2" t="str">
        <f>HYPERLINK("https://www.google.com/maps?q=-19.6500790,-43.8842540","Abrir no Google Maps")</f>
        <v>Abrir no Google Maps</v>
      </c>
      <c r="S1227">
        <v>3</v>
      </c>
      <c r="T1227">
        <v>797.21430129715498</v>
      </c>
      <c r="U1227">
        <v>1</v>
      </c>
      <c r="V1227">
        <v>0</v>
      </c>
      <c r="W1227">
        <v>1</v>
      </c>
      <c r="X1227">
        <v>0</v>
      </c>
      <c r="Y1227">
        <v>10</v>
      </c>
      <c r="Z1227">
        <v>774.04145012702554</v>
      </c>
      <c r="AA1227">
        <v>2</v>
      </c>
      <c r="AB1227">
        <v>3</v>
      </c>
      <c r="AC1227">
        <v>7</v>
      </c>
      <c r="AD1227">
        <v>0</v>
      </c>
      <c r="AE1227">
        <v>253</v>
      </c>
      <c r="AF1227">
        <v>0</v>
      </c>
      <c r="AG1227">
        <v>0</v>
      </c>
      <c r="AH1227">
        <v>32</v>
      </c>
      <c r="AI1227">
        <v>0</v>
      </c>
      <c r="AJ1227">
        <v>0</v>
      </c>
      <c r="AK1227">
        <v>12.65</v>
      </c>
      <c r="AL1227">
        <v>-19.649199399999961</v>
      </c>
      <c r="AM1227">
        <v>-43.883888390043637</v>
      </c>
      <c r="AN1227">
        <v>-19.649199399999961</v>
      </c>
      <c r="AO1227">
        <v>-43.883888390043637</v>
      </c>
      <c r="AP1227">
        <v>-19.650079000000002</v>
      </c>
      <c r="AQ1227">
        <v>-43.884253999999999</v>
      </c>
      <c r="AR1227">
        <v>105.1518915696123</v>
      </c>
      <c r="AS1227" t="s">
        <v>65</v>
      </c>
      <c r="AT1227">
        <v>1</v>
      </c>
      <c r="AU1227" t="s">
        <v>415</v>
      </c>
      <c r="AV1227" t="s">
        <v>416</v>
      </c>
      <c r="AW1227" t="s">
        <v>60</v>
      </c>
      <c r="AX1227" t="s">
        <v>68</v>
      </c>
      <c r="AY1227" t="s">
        <v>69</v>
      </c>
      <c r="AZ1227" t="b">
        <v>1</v>
      </c>
    </row>
    <row r="1228" spans="1:52" x14ac:dyDescent="0.3">
      <c r="A1228" t="s">
        <v>52</v>
      </c>
      <c r="B1228" t="s">
        <v>53</v>
      </c>
      <c r="C1228" t="s">
        <v>54</v>
      </c>
      <c r="D1228" t="s">
        <v>55</v>
      </c>
      <c r="E1228" t="s">
        <v>830</v>
      </c>
      <c r="F1228" t="s">
        <v>512</v>
      </c>
      <c r="G1228" t="s">
        <v>575</v>
      </c>
      <c r="H1228" t="s">
        <v>576</v>
      </c>
      <c r="I1228" t="s">
        <v>576</v>
      </c>
      <c r="J1228" t="s">
        <v>60</v>
      </c>
      <c r="K1228" t="s">
        <v>445</v>
      </c>
      <c r="L1228" t="s">
        <v>62</v>
      </c>
      <c r="M1228" t="s">
        <v>445</v>
      </c>
      <c r="N1228" t="s">
        <v>577</v>
      </c>
      <c r="O1228" t="s">
        <v>214</v>
      </c>
      <c r="P1228">
        <v>-19.639865</v>
      </c>
      <c r="Q1228">
        <v>-43.877858000000003</v>
      </c>
      <c r="R1228" s="2" t="str">
        <f>HYPERLINK("https://www.google.com/maps?q=-19.6398650,-43.8778580","Abrir no Google Maps")</f>
        <v>Abrir no Google Maps</v>
      </c>
      <c r="S1228">
        <v>3</v>
      </c>
      <c r="T1228">
        <v>497.47318171010488</v>
      </c>
      <c r="U1228">
        <v>1</v>
      </c>
      <c r="V1228">
        <v>0</v>
      </c>
      <c r="W1228">
        <v>0.85</v>
      </c>
      <c r="X1228">
        <v>0</v>
      </c>
      <c r="Y1228">
        <v>10</v>
      </c>
      <c r="Z1228">
        <v>547.08184956634818</v>
      </c>
      <c r="AA1228">
        <v>2</v>
      </c>
      <c r="AB1228">
        <v>3</v>
      </c>
      <c r="AC1228">
        <v>7</v>
      </c>
      <c r="AD1228">
        <v>0</v>
      </c>
      <c r="AE1228">
        <v>253</v>
      </c>
      <c r="AF1228">
        <v>0</v>
      </c>
      <c r="AG1228">
        <v>0</v>
      </c>
      <c r="AH1228">
        <v>32</v>
      </c>
      <c r="AI1228">
        <v>0</v>
      </c>
      <c r="AJ1228">
        <v>0</v>
      </c>
      <c r="AK1228">
        <v>12.65</v>
      </c>
      <c r="AL1228">
        <v>-19.639907499999961</v>
      </c>
      <c r="AM1228">
        <v>-43.877561677180587</v>
      </c>
      <c r="AN1228">
        <v>-19.639907499999961</v>
      </c>
      <c r="AO1228">
        <v>-43.877561677180587</v>
      </c>
      <c r="AP1228">
        <v>-19.639865</v>
      </c>
      <c r="AQ1228">
        <v>-43.877858000000003</v>
      </c>
      <c r="AR1228">
        <v>31.4257813556037</v>
      </c>
      <c r="AS1228" t="s">
        <v>65</v>
      </c>
      <c r="AT1228">
        <v>1</v>
      </c>
      <c r="AU1228" t="s">
        <v>578</v>
      </c>
      <c r="AV1228" t="s">
        <v>579</v>
      </c>
      <c r="AW1228" t="s">
        <v>60</v>
      </c>
      <c r="AX1228" t="s">
        <v>68</v>
      </c>
      <c r="AY1228" t="s">
        <v>69</v>
      </c>
      <c r="AZ1228" t="b">
        <v>1</v>
      </c>
    </row>
    <row r="1229" spans="1:52" x14ac:dyDescent="0.3">
      <c r="A1229" t="s">
        <v>52</v>
      </c>
      <c r="B1229" t="s">
        <v>53</v>
      </c>
      <c r="C1229" t="s">
        <v>54</v>
      </c>
      <c r="D1229" t="s">
        <v>55</v>
      </c>
      <c r="E1229" t="s">
        <v>830</v>
      </c>
      <c r="F1229" t="s">
        <v>512</v>
      </c>
      <c r="G1229" t="s">
        <v>602</v>
      </c>
      <c r="H1229" t="s">
        <v>603</v>
      </c>
      <c r="I1229" t="s">
        <v>603</v>
      </c>
      <c r="J1229" t="s">
        <v>60</v>
      </c>
      <c r="K1229" t="s">
        <v>185</v>
      </c>
      <c r="L1229" t="s">
        <v>62</v>
      </c>
      <c r="M1229" t="s">
        <v>185</v>
      </c>
      <c r="N1229" t="s">
        <v>604</v>
      </c>
      <c r="O1229" t="s">
        <v>341</v>
      </c>
      <c r="P1229">
        <v>-19.624801999999999</v>
      </c>
      <c r="Q1229">
        <v>-43.891128999999999</v>
      </c>
      <c r="R1229" s="2" t="str">
        <f>HYPERLINK("https://www.google.com/maps?q=-19.6248020,-43.8911290","Abrir no Google Maps")</f>
        <v>Abrir no Google Maps</v>
      </c>
      <c r="S1229">
        <v>1</v>
      </c>
      <c r="T1229">
        <v>340.53720321500958</v>
      </c>
      <c r="U1229">
        <v>1</v>
      </c>
      <c r="V1229">
        <v>0</v>
      </c>
      <c r="W1229">
        <v>0.85</v>
      </c>
      <c r="X1229">
        <v>0</v>
      </c>
      <c r="Y1229">
        <v>18</v>
      </c>
      <c r="Z1229">
        <v>362.68114540183888</v>
      </c>
      <c r="AA1229">
        <v>2</v>
      </c>
      <c r="AB1229">
        <v>3</v>
      </c>
      <c r="AC1229">
        <v>7</v>
      </c>
      <c r="AD1229">
        <v>0</v>
      </c>
      <c r="AE1229">
        <v>253</v>
      </c>
      <c r="AF1229">
        <v>0</v>
      </c>
      <c r="AG1229">
        <v>0</v>
      </c>
      <c r="AH1229">
        <v>32</v>
      </c>
      <c r="AI1229">
        <v>0</v>
      </c>
      <c r="AJ1229">
        <v>0</v>
      </c>
      <c r="AK1229">
        <v>12.65</v>
      </c>
      <c r="AL1229">
        <v>-19.625033299999959</v>
      </c>
      <c r="AM1229">
        <v>-43.891084256403538</v>
      </c>
      <c r="AN1229">
        <v>-19.625033299999959</v>
      </c>
      <c r="AO1229">
        <v>-43.891084256403538</v>
      </c>
      <c r="AP1229">
        <v>-19.624801999999999</v>
      </c>
      <c r="AQ1229">
        <v>-43.891128999999999</v>
      </c>
      <c r="AR1229">
        <v>26.172240371022362</v>
      </c>
      <c r="AS1229" t="s">
        <v>65</v>
      </c>
      <c r="AT1229">
        <v>1</v>
      </c>
      <c r="AU1229" t="s">
        <v>605</v>
      </c>
      <c r="AV1229" t="s">
        <v>606</v>
      </c>
      <c r="AW1229" t="s">
        <v>60</v>
      </c>
      <c r="AX1229" t="s">
        <v>68</v>
      </c>
      <c r="AY1229" t="s">
        <v>69</v>
      </c>
      <c r="AZ1229" t="b">
        <v>1</v>
      </c>
    </row>
    <row r="1230" spans="1:52" x14ac:dyDescent="0.3">
      <c r="A1230" t="s">
        <v>52</v>
      </c>
      <c r="B1230" t="s">
        <v>53</v>
      </c>
      <c r="C1230" t="s">
        <v>54</v>
      </c>
      <c r="D1230" t="s">
        <v>55</v>
      </c>
      <c r="E1230" t="s">
        <v>830</v>
      </c>
      <c r="F1230" t="s">
        <v>512</v>
      </c>
      <c r="G1230" t="s">
        <v>592</v>
      </c>
      <c r="H1230" t="s">
        <v>593</v>
      </c>
      <c r="I1230" t="s">
        <v>593</v>
      </c>
      <c r="J1230" t="s">
        <v>60</v>
      </c>
      <c r="K1230" t="s">
        <v>445</v>
      </c>
      <c r="L1230" t="s">
        <v>62</v>
      </c>
      <c r="M1230" t="s">
        <v>445</v>
      </c>
      <c r="N1230" t="s">
        <v>594</v>
      </c>
      <c r="O1230" t="s">
        <v>477</v>
      </c>
      <c r="P1230">
        <v>-19.640709000000001</v>
      </c>
      <c r="Q1230">
        <v>-43.868687999999999</v>
      </c>
      <c r="R1230" s="2" t="str">
        <f>HYPERLINK("https://www.google.com/maps?q=-19.6407090,-43.8686880","Abrir no Google Maps")</f>
        <v>Abrir no Google Maps</v>
      </c>
      <c r="S1230">
        <v>1</v>
      </c>
      <c r="T1230">
        <v>1174.9679995958841</v>
      </c>
      <c r="U1230">
        <v>1</v>
      </c>
      <c r="V1230">
        <v>0</v>
      </c>
      <c r="W1230">
        <v>1</v>
      </c>
      <c r="X1230">
        <v>0</v>
      </c>
      <c r="Y1230">
        <v>10</v>
      </c>
      <c r="Z1230">
        <v>1230.8029594060461</v>
      </c>
      <c r="AA1230">
        <v>2</v>
      </c>
      <c r="AB1230">
        <v>3</v>
      </c>
      <c r="AC1230">
        <v>7</v>
      </c>
      <c r="AD1230">
        <v>0</v>
      </c>
      <c r="AE1230">
        <v>253</v>
      </c>
      <c r="AF1230">
        <v>0</v>
      </c>
      <c r="AG1230">
        <v>0</v>
      </c>
      <c r="AH1230">
        <v>32</v>
      </c>
      <c r="AI1230">
        <v>0</v>
      </c>
      <c r="AJ1230">
        <v>0</v>
      </c>
      <c r="AK1230">
        <v>12.65</v>
      </c>
      <c r="AL1230">
        <v>-19.641057949999979</v>
      </c>
      <c r="AM1230">
        <v>-43.868800137485707</v>
      </c>
      <c r="AN1230">
        <v>-19.641057949999979</v>
      </c>
      <c r="AO1230">
        <v>-43.868800137485707</v>
      </c>
      <c r="AP1230">
        <v>-19.640709000000001</v>
      </c>
      <c r="AQ1230">
        <v>-43.868687999999999</v>
      </c>
      <c r="AR1230">
        <v>40.585293798071682</v>
      </c>
      <c r="AS1230" t="s">
        <v>65</v>
      </c>
      <c r="AT1230">
        <v>1</v>
      </c>
      <c r="AU1230" t="s">
        <v>595</v>
      </c>
      <c r="AV1230" t="s">
        <v>596</v>
      </c>
      <c r="AW1230" t="s">
        <v>60</v>
      </c>
      <c r="AX1230" t="s">
        <v>68</v>
      </c>
      <c r="AY1230" t="s">
        <v>69</v>
      </c>
      <c r="AZ1230" t="b">
        <v>1</v>
      </c>
    </row>
    <row r="1231" spans="1:52" x14ac:dyDescent="0.3">
      <c r="A1231" t="s">
        <v>52</v>
      </c>
      <c r="B1231" t="s">
        <v>53</v>
      </c>
      <c r="C1231" t="s">
        <v>54</v>
      </c>
      <c r="D1231" t="s">
        <v>55</v>
      </c>
      <c r="E1231" t="s">
        <v>830</v>
      </c>
      <c r="F1231" t="s">
        <v>512</v>
      </c>
      <c r="G1231" t="s">
        <v>597</v>
      </c>
      <c r="H1231" t="s">
        <v>598</v>
      </c>
      <c r="I1231" t="s">
        <v>598</v>
      </c>
      <c r="J1231" t="s">
        <v>60</v>
      </c>
      <c r="K1231" t="s">
        <v>445</v>
      </c>
      <c r="L1231" t="s">
        <v>62</v>
      </c>
      <c r="M1231" t="s">
        <v>445</v>
      </c>
      <c r="N1231" t="s">
        <v>599</v>
      </c>
      <c r="O1231" t="s">
        <v>391</v>
      </c>
      <c r="P1231">
        <v>-19.637060999999999</v>
      </c>
      <c r="Q1231">
        <v>-43.871026000000001</v>
      </c>
      <c r="R1231" s="2" t="str">
        <f>HYPERLINK("https://www.google.com/maps?q=-19.6370610,-43.8710260","Abrir no Google Maps")</f>
        <v>Abrir no Google Maps</v>
      </c>
      <c r="S1231">
        <v>1</v>
      </c>
      <c r="T1231">
        <v>737.61884389282102</v>
      </c>
      <c r="U1231">
        <v>1</v>
      </c>
      <c r="V1231">
        <v>0</v>
      </c>
      <c r="W1231">
        <v>1</v>
      </c>
      <c r="X1231">
        <v>0</v>
      </c>
      <c r="Y1231">
        <v>10</v>
      </c>
      <c r="Z1231">
        <v>1331.4501394006061</v>
      </c>
      <c r="AA1231">
        <v>2</v>
      </c>
      <c r="AB1231">
        <v>3</v>
      </c>
      <c r="AC1231">
        <v>7</v>
      </c>
      <c r="AD1231">
        <v>0</v>
      </c>
      <c r="AE1231">
        <v>253</v>
      </c>
      <c r="AF1231">
        <v>0</v>
      </c>
      <c r="AG1231">
        <v>0</v>
      </c>
      <c r="AH1231">
        <v>32</v>
      </c>
      <c r="AI1231">
        <v>0</v>
      </c>
      <c r="AJ1231">
        <v>0</v>
      </c>
      <c r="AK1231">
        <v>12.65</v>
      </c>
      <c r="AL1231">
        <v>-19.637111899999951</v>
      </c>
      <c r="AM1231">
        <v>-43.870888931681193</v>
      </c>
      <c r="AN1231">
        <v>-19.637111899999951</v>
      </c>
      <c r="AO1231">
        <v>-43.870888931681193</v>
      </c>
      <c r="AP1231">
        <v>-19.637060999999999</v>
      </c>
      <c r="AQ1231">
        <v>-43.871026000000001</v>
      </c>
      <c r="AR1231">
        <v>15.44770924391884</v>
      </c>
      <c r="AS1231" t="s">
        <v>65</v>
      </c>
      <c r="AT1231">
        <v>1</v>
      </c>
      <c r="AU1231" t="s">
        <v>600</v>
      </c>
      <c r="AV1231" t="s">
        <v>601</v>
      </c>
      <c r="AW1231" t="s">
        <v>60</v>
      </c>
      <c r="AX1231" t="s">
        <v>68</v>
      </c>
      <c r="AY1231" t="s">
        <v>69</v>
      </c>
      <c r="AZ1231" t="b">
        <v>1</v>
      </c>
    </row>
    <row r="1232" spans="1:52" x14ac:dyDescent="0.3">
      <c r="A1232" t="s">
        <v>52</v>
      </c>
      <c r="B1232" t="s">
        <v>53</v>
      </c>
      <c r="C1232" t="s">
        <v>54</v>
      </c>
      <c r="D1232" t="s">
        <v>55</v>
      </c>
      <c r="E1232" t="s">
        <v>830</v>
      </c>
      <c r="F1232" t="s">
        <v>512</v>
      </c>
      <c r="G1232" t="s">
        <v>123</v>
      </c>
      <c r="H1232" t="s">
        <v>607</v>
      </c>
      <c r="I1232" t="s">
        <v>607</v>
      </c>
      <c r="J1232" t="s">
        <v>60</v>
      </c>
      <c r="K1232" t="s">
        <v>333</v>
      </c>
      <c r="L1232" t="s">
        <v>62</v>
      </c>
      <c r="M1232" t="s">
        <v>333</v>
      </c>
      <c r="N1232" t="s">
        <v>125</v>
      </c>
      <c r="O1232" t="s">
        <v>608</v>
      </c>
      <c r="P1232">
        <v>-19.636002999999999</v>
      </c>
      <c r="Q1232">
        <v>-43.908445</v>
      </c>
      <c r="R1232" s="2" t="str">
        <f>HYPERLINK("https://www.google.com/maps?q=-19.6360030,-43.9084450","Abrir no Google Maps")</f>
        <v>Abrir no Google Maps</v>
      </c>
      <c r="S1232">
        <v>1</v>
      </c>
      <c r="T1232">
        <v>612.64850802557942</v>
      </c>
      <c r="U1232">
        <v>1</v>
      </c>
      <c r="V1232">
        <v>0</v>
      </c>
      <c r="W1232">
        <v>0.85</v>
      </c>
      <c r="X1232">
        <v>0</v>
      </c>
      <c r="Y1232">
        <v>10</v>
      </c>
      <c r="Z1232">
        <v>606.91793961222209</v>
      </c>
      <c r="AA1232">
        <v>2</v>
      </c>
      <c r="AB1232">
        <v>3</v>
      </c>
      <c r="AC1232">
        <v>7</v>
      </c>
      <c r="AD1232">
        <v>0</v>
      </c>
      <c r="AE1232">
        <v>253</v>
      </c>
      <c r="AF1232">
        <v>0</v>
      </c>
      <c r="AG1232">
        <v>0</v>
      </c>
      <c r="AH1232">
        <v>32</v>
      </c>
      <c r="AI1232">
        <v>0</v>
      </c>
      <c r="AJ1232">
        <v>0</v>
      </c>
      <c r="AK1232">
        <v>12.65</v>
      </c>
      <c r="AL1232">
        <v>-19.63618049999997</v>
      </c>
      <c r="AM1232">
        <v>-43.908471095478113</v>
      </c>
      <c r="AN1232">
        <v>-19.63618049999997</v>
      </c>
      <c r="AO1232">
        <v>-43.908471095478113</v>
      </c>
      <c r="AP1232">
        <v>-19.636002999999999</v>
      </c>
      <c r="AQ1232">
        <v>-43.908445</v>
      </c>
      <c r="AR1232">
        <v>19.947824476218141</v>
      </c>
      <c r="AS1232" t="s">
        <v>65</v>
      </c>
      <c r="AT1232">
        <v>1</v>
      </c>
      <c r="AU1232" t="s">
        <v>609</v>
      </c>
      <c r="AV1232" t="s">
        <v>610</v>
      </c>
      <c r="AW1232" t="s">
        <v>60</v>
      </c>
      <c r="AX1232" t="s">
        <v>68</v>
      </c>
      <c r="AY1232" t="s">
        <v>69</v>
      </c>
      <c r="AZ1232" t="b">
        <v>1</v>
      </c>
    </row>
    <row r="1233" spans="1:52" x14ac:dyDescent="0.3">
      <c r="A1233" t="s">
        <v>52</v>
      </c>
      <c r="B1233" t="s">
        <v>53</v>
      </c>
      <c r="C1233" t="s">
        <v>54</v>
      </c>
      <c r="D1233" t="s">
        <v>55</v>
      </c>
      <c r="E1233" t="s">
        <v>830</v>
      </c>
      <c r="F1233" t="s">
        <v>512</v>
      </c>
      <c r="G1233" t="s">
        <v>611</v>
      </c>
      <c r="H1233" t="s">
        <v>612</v>
      </c>
      <c r="I1233" t="s">
        <v>612</v>
      </c>
      <c r="J1233" t="s">
        <v>60</v>
      </c>
      <c r="K1233" t="s">
        <v>445</v>
      </c>
      <c r="L1233" t="s">
        <v>62</v>
      </c>
      <c r="M1233" t="s">
        <v>445</v>
      </c>
      <c r="N1233" t="s">
        <v>613</v>
      </c>
      <c r="O1233" t="s">
        <v>94</v>
      </c>
      <c r="P1233">
        <v>-19.639271999999998</v>
      </c>
      <c r="Q1233">
        <v>-43.875624000000002</v>
      </c>
      <c r="R1233" s="2" t="str">
        <f>HYPERLINK("https://www.google.com/maps?q=-19.6392720,-43.8756240","Abrir no Google Maps")</f>
        <v>Abrir no Google Maps</v>
      </c>
      <c r="S1233">
        <v>1</v>
      </c>
      <c r="T1233">
        <v>618.4798639458262</v>
      </c>
      <c r="U1233">
        <v>1</v>
      </c>
      <c r="V1233">
        <v>0</v>
      </c>
      <c r="W1233">
        <v>0.85</v>
      </c>
      <c r="X1233">
        <v>0</v>
      </c>
      <c r="Y1233">
        <v>10</v>
      </c>
      <c r="Z1233">
        <v>724.62991660382431</v>
      </c>
      <c r="AA1233">
        <v>2</v>
      </c>
      <c r="AB1233">
        <v>3</v>
      </c>
      <c r="AC1233">
        <v>7</v>
      </c>
      <c r="AD1233">
        <v>0</v>
      </c>
      <c r="AE1233">
        <v>253</v>
      </c>
      <c r="AF1233">
        <v>0</v>
      </c>
      <c r="AG1233">
        <v>0</v>
      </c>
      <c r="AH1233">
        <v>32</v>
      </c>
      <c r="AI1233">
        <v>0</v>
      </c>
      <c r="AJ1233">
        <v>0</v>
      </c>
      <c r="AK1233">
        <v>12.65</v>
      </c>
      <c r="AL1233">
        <v>-19.639239899999978</v>
      </c>
      <c r="AM1233">
        <v>-43.875497463228079</v>
      </c>
      <c r="AN1233">
        <v>-19.639239899999978</v>
      </c>
      <c r="AO1233">
        <v>-43.875497463228079</v>
      </c>
      <c r="AP1233">
        <v>-19.639271999999998</v>
      </c>
      <c r="AQ1233">
        <v>-43.875624000000002</v>
      </c>
      <c r="AR1233">
        <v>13.73946951590594</v>
      </c>
      <c r="AS1233" t="s">
        <v>65</v>
      </c>
      <c r="AT1233">
        <v>1</v>
      </c>
      <c r="AU1233" t="s">
        <v>614</v>
      </c>
      <c r="AV1233" t="s">
        <v>615</v>
      </c>
      <c r="AW1233" t="s">
        <v>60</v>
      </c>
      <c r="AX1233" t="s">
        <v>68</v>
      </c>
      <c r="AY1233" t="s">
        <v>69</v>
      </c>
      <c r="AZ1233" t="b">
        <v>1</v>
      </c>
    </row>
    <row r="1234" spans="1:52" x14ac:dyDescent="0.3">
      <c r="A1234" t="s">
        <v>52</v>
      </c>
      <c r="B1234" t="s">
        <v>53</v>
      </c>
      <c r="C1234" t="s">
        <v>54</v>
      </c>
      <c r="D1234" t="s">
        <v>55</v>
      </c>
      <c r="E1234" t="s">
        <v>831</v>
      </c>
      <c r="F1234" t="s">
        <v>57</v>
      </c>
      <c r="G1234" t="s">
        <v>58</v>
      </c>
      <c r="H1234" t="s">
        <v>59</v>
      </c>
      <c r="I1234" t="s">
        <v>59</v>
      </c>
      <c r="J1234" t="s">
        <v>60</v>
      </c>
      <c r="K1234" t="s">
        <v>61</v>
      </c>
      <c r="L1234" t="s">
        <v>62</v>
      </c>
      <c r="M1234" t="s">
        <v>61</v>
      </c>
      <c r="N1234" t="s">
        <v>63</v>
      </c>
      <c r="O1234" t="s">
        <v>64</v>
      </c>
      <c r="P1234">
        <v>-19.631502000000001</v>
      </c>
      <c r="Q1234">
        <v>-43.910241999999997</v>
      </c>
      <c r="R1234" s="2" t="str">
        <f>HYPERLINK("https://www.google.com/maps?q=-19.6315020,-43.9102420","Abrir no Google Maps")</f>
        <v>Abrir no Google Maps</v>
      </c>
      <c r="S1234">
        <v>4</v>
      </c>
      <c r="T1234">
        <v>789.20099406682743</v>
      </c>
      <c r="U1234">
        <v>4</v>
      </c>
      <c r="V1234">
        <v>0.4696967184566288</v>
      </c>
      <c r="W1234">
        <v>1</v>
      </c>
      <c r="X1234">
        <v>0.4696967184566288</v>
      </c>
      <c r="Y1234">
        <v>10</v>
      </c>
      <c r="Z1234">
        <v>691.44930074509864</v>
      </c>
      <c r="AA1234">
        <v>2</v>
      </c>
      <c r="AB1234">
        <v>3</v>
      </c>
      <c r="AC1234">
        <v>7</v>
      </c>
      <c r="AD1234">
        <v>26.84</v>
      </c>
      <c r="AE1234">
        <v>253</v>
      </c>
      <c r="AF1234">
        <v>17</v>
      </c>
      <c r="AG1234">
        <v>63</v>
      </c>
      <c r="AH1234">
        <v>32</v>
      </c>
      <c r="AI1234">
        <v>6.72</v>
      </c>
      <c r="AJ1234">
        <v>24.9</v>
      </c>
      <c r="AK1234">
        <v>12.65</v>
      </c>
      <c r="AL1234">
        <v>-19.631719749999949</v>
      </c>
      <c r="AM1234">
        <v>-43.910102324517517</v>
      </c>
      <c r="AN1234">
        <v>-19.631719749999949</v>
      </c>
      <c r="AO1234">
        <v>-43.910102324517517</v>
      </c>
      <c r="AP1234">
        <v>-19.631502000000001</v>
      </c>
      <c r="AQ1234">
        <v>-43.910241999999997</v>
      </c>
      <c r="AR1234">
        <v>28.320416429206599</v>
      </c>
      <c r="AS1234" t="s">
        <v>65</v>
      </c>
      <c r="AT1234">
        <v>1</v>
      </c>
      <c r="AU1234" t="s">
        <v>66</v>
      </c>
      <c r="AV1234" t="s">
        <v>67</v>
      </c>
      <c r="AW1234" t="s">
        <v>60</v>
      </c>
      <c r="AX1234" t="s">
        <v>68</v>
      </c>
      <c r="AY1234" t="s">
        <v>69</v>
      </c>
      <c r="AZ1234" t="b">
        <v>1</v>
      </c>
    </row>
    <row r="1235" spans="1:52" x14ac:dyDescent="0.3">
      <c r="A1235" t="s">
        <v>52</v>
      </c>
      <c r="B1235" t="s">
        <v>53</v>
      </c>
      <c r="C1235" t="s">
        <v>54</v>
      </c>
      <c r="D1235" t="s">
        <v>55</v>
      </c>
      <c r="E1235" t="s">
        <v>831</v>
      </c>
      <c r="F1235" t="s">
        <v>57</v>
      </c>
      <c r="G1235" t="s">
        <v>84</v>
      </c>
      <c r="H1235" t="s">
        <v>85</v>
      </c>
      <c r="I1235" t="s">
        <v>85</v>
      </c>
      <c r="J1235" t="s">
        <v>60</v>
      </c>
      <c r="K1235" t="s">
        <v>86</v>
      </c>
      <c r="L1235" t="s">
        <v>62</v>
      </c>
      <c r="M1235" t="s">
        <v>86</v>
      </c>
      <c r="N1235" t="s">
        <v>87</v>
      </c>
      <c r="O1235" t="s">
        <v>88</v>
      </c>
      <c r="P1235">
        <v>-19.629436999999999</v>
      </c>
      <c r="Q1235">
        <v>-43.910398999999998</v>
      </c>
      <c r="R1235" s="2" t="str">
        <f>HYPERLINK("https://www.google.com/maps?q=-19.6294370,-43.9103990","Abrir no Google Maps")</f>
        <v>Abrir no Google Maps</v>
      </c>
      <c r="S1235">
        <v>4</v>
      </c>
      <c r="T1235">
        <v>888.82060643108082</v>
      </c>
      <c r="U1235">
        <v>4</v>
      </c>
      <c r="V1235">
        <v>0.501190579579607</v>
      </c>
      <c r="W1235">
        <v>1</v>
      </c>
      <c r="X1235">
        <v>0.501190579579607</v>
      </c>
      <c r="Y1235">
        <v>10</v>
      </c>
      <c r="Z1235">
        <v>867.42797341651737</v>
      </c>
      <c r="AA1235">
        <v>2</v>
      </c>
      <c r="AB1235">
        <v>3</v>
      </c>
      <c r="AC1235">
        <v>7</v>
      </c>
      <c r="AD1235">
        <v>26.84</v>
      </c>
      <c r="AE1235">
        <v>253</v>
      </c>
      <c r="AF1235">
        <v>17</v>
      </c>
      <c r="AG1235">
        <v>63</v>
      </c>
      <c r="AH1235">
        <v>32</v>
      </c>
      <c r="AI1235">
        <v>6.72</v>
      </c>
      <c r="AJ1235">
        <v>24.9</v>
      </c>
      <c r="AK1235">
        <v>12.65</v>
      </c>
      <c r="AL1235">
        <v>-19.62934694999996</v>
      </c>
      <c r="AM1235">
        <v>-43.910344699357317</v>
      </c>
      <c r="AN1235">
        <v>-19.62934694999996</v>
      </c>
      <c r="AO1235">
        <v>-43.910344699357331</v>
      </c>
      <c r="AP1235">
        <v>-19.629436999999999</v>
      </c>
      <c r="AQ1235">
        <v>-43.910398999999998</v>
      </c>
      <c r="AR1235">
        <v>11.52837377953678</v>
      </c>
      <c r="AS1235" t="s">
        <v>65</v>
      </c>
      <c r="AT1235">
        <v>1</v>
      </c>
      <c r="AU1235" t="s">
        <v>89</v>
      </c>
      <c r="AV1235" t="s">
        <v>90</v>
      </c>
      <c r="AW1235" t="s">
        <v>60</v>
      </c>
      <c r="AX1235" t="s">
        <v>68</v>
      </c>
      <c r="AY1235" t="s">
        <v>69</v>
      </c>
      <c r="AZ1235" t="b">
        <v>1</v>
      </c>
    </row>
    <row r="1236" spans="1:52" x14ac:dyDescent="0.3">
      <c r="A1236" t="s">
        <v>52</v>
      </c>
      <c r="B1236" t="s">
        <v>53</v>
      </c>
      <c r="C1236" t="s">
        <v>54</v>
      </c>
      <c r="D1236" t="s">
        <v>55</v>
      </c>
      <c r="E1236" t="s">
        <v>831</v>
      </c>
      <c r="F1236" t="s">
        <v>57</v>
      </c>
      <c r="G1236" t="s">
        <v>91</v>
      </c>
      <c r="H1236" t="s">
        <v>92</v>
      </c>
      <c r="I1236" t="s">
        <v>92</v>
      </c>
      <c r="J1236" t="s">
        <v>60</v>
      </c>
      <c r="K1236" t="s">
        <v>86</v>
      </c>
      <c r="L1236" t="s">
        <v>62</v>
      </c>
      <c r="M1236" t="s">
        <v>86</v>
      </c>
      <c r="N1236" t="s">
        <v>93</v>
      </c>
      <c r="O1236" t="s">
        <v>94</v>
      </c>
      <c r="P1236">
        <v>-19.630676999999999</v>
      </c>
      <c r="Q1236">
        <v>-43.907255999999997</v>
      </c>
      <c r="R1236" s="2" t="str">
        <f>HYPERLINK("https://www.google.com/maps?q=-19.6306770,-43.9072560","Abrir no Google Maps")</f>
        <v>Abrir no Google Maps</v>
      </c>
      <c r="S1236">
        <v>4</v>
      </c>
      <c r="T1236">
        <v>545.39374622597825</v>
      </c>
      <c r="U1236">
        <v>4</v>
      </c>
      <c r="V1236">
        <v>0.46755058136133432</v>
      </c>
      <c r="W1236">
        <v>1</v>
      </c>
      <c r="X1236">
        <v>0.46755058136133432</v>
      </c>
      <c r="Y1236">
        <v>10</v>
      </c>
      <c r="Z1236">
        <v>559.94033759457182</v>
      </c>
      <c r="AA1236">
        <v>2</v>
      </c>
      <c r="AB1236">
        <v>3</v>
      </c>
      <c r="AC1236">
        <v>7</v>
      </c>
      <c r="AD1236">
        <v>26.84</v>
      </c>
      <c r="AE1236">
        <v>253</v>
      </c>
      <c r="AF1236">
        <v>17</v>
      </c>
      <c r="AG1236">
        <v>63</v>
      </c>
      <c r="AH1236">
        <v>32</v>
      </c>
      <c r="AI1236">
        <v>6.72</v>
      </c>
      <c r="AJ1236">
        <v>24.9</v>
      </c>
      <c r="AK1236">
        <v>12.65</v>
      </c>
      <c r="AL1236">
        <v>-19.630448649999941</v>
      </c>
      <c r="AM1236">
        <v>-43.907268502495313</v>
      </c>
      <c r="AN1236">
        <v>-19.630448649999941</v>
      </c>
      <c r="AO1236">
        <v>-43.907268502495313</v>
      </c>
      <c r="AP1236">
        <v>-19.630676999999999</v>
      </c>
      <c r="AQ1236">
        <v>-43.907255999999997</v>
      </c>
      <c r="AR1236">
        <v>25.453700276562468</v>
      </c>
      <c r="AS1236" t="s">
        <v>65</v>
      </c>
      <c r="AT1236">
        <v>1</v>
      </c>
      <c r="AU1236" t="s">
        <v>95</v>
      </c>
      <c r="AV1236" t="s">
        <v>96</v>
      </c>
      <c r="AW1236" t="s">
        <v>60</v>
      </c>
      <c r="AX1236" t="s">
        <v>68</v>
      </c>
      <c r="AY1236" t="s">
        <v>69</v>
      </c>
      <c r="AZ1236" t="b">
        <v>1</v>
      </c>
    </row>
    <row r="1237" spans="1:52" x14ac:dyDescent="0.3">
      <c r="A1237" t="s">
        <v>52</v>
      </c>
      <c r="B1237" t="s">
        <v>53</v>
      </c>
      <c r="C1237" t="s">
        <v>54</v>
      </c>
      <c r="D1237" t="s">
        <v>55</v>
      </c>
      <c r="E1237" t="s">
        <v>831</v>
      </c>
      <c r="F1237" t="s">
        <v>57</v>
      </c>
      <c r="G1237" t="s">
        <v>617</v>
      </c>
      <c r="H1237" t="s">
        <v>618</v>
      </c>
      <c r="I1237" t="s">
        <v>618</v>
      </c>
      <c r="J1237" t="s">
        <v>60</v>
      </c>
      <c r="K1237" t="s">
        <v>164</v>
      </c>
      <c r="L1237" t="s">
        <v>62</v>
      </c>
      <c r="M1237" t="s">
        <v>164</v>
      </c>
      <c r="N1237" t="s">
        <v>619</v>
      </c>
      <c r="O1237" t="s">
        <v>533</v>
      </c>
      <c r="P1237">
        <v>-19.647825000000001</v>
      </c>
      <c r="Q1237">
        <v>-43.908369</v>
      </c>
      <c r="R1237" s="2" t="str">
        <f>HYPERLINK("https://www.google.com/maps?q=-19.6478250,-43.9083690","Abrir no Google Maps")</f>
        <v>Abrir no Google Maps</v>
      </c>
      <c r="S1237">
        <v>4</v>
      </c>
      <c r="T1237">
        <v>492.67524679338959</v>
      </c>
      <c r="U1237">
        <v>4</v>
      </c>
      <c r="V1237">
        <v>0.47125617999120389</v>
      </c>
      <c r="W1237">
        <v>1</v>
      </c>
      <c r="X1237">
        <v>0.47125617999120389</v>
      </c>
      <c r="Y1237">
        <v>4</v>
      </c>
      <c r="Z1237">
        <v>410.3082448803296</v>
      </c>
      <c r="AA1237">
        <v>2</v>
      </c>
      <c r="AB1237">
        <v>3</v>
      </c>
      <c r="AC1237">
        <v>7</v>
      </c>
      <c r="AD1237">
        <v>26.84</v>
      </c>
      <c r="AE1237">
        <v>253</v>
      </c>
      <c r="AF1237">
        <v>17</v>
      </c>
      <c r="AG1237">
        <v>63</v>
      </c>
      <c r="AH1237">
        <v>32</v>
      </c>
      <c r="AI1237">
        <v>6.72</v>
      </c>
      <c r="AJ1237">
        <v>24.9</v>
      </c>
      <c r="AK1237">
        <v>12.65</v>
      </c>
      <c r="AL1237">
        <v>-19.647879399999969</v>
      </c>
      <c r="AM1237">
        <v>-43.908372097349897</v>
      </c>
      <c r="AN1237">
        <v>-19.647879399999969</v>
      </c>
      <c r="AO1237">
        <v>-43.908372097349897</v>
      </c>
      <c r="AP1237">
        <v>-19.647825000000001</v>
      </c>
      <c r="AQ1237">
        <v>-43.908369</v>
      </c>
      <c r="AR1237">
        <v>6.06450779015137</v>
      </c>
      <c r="AS1237" t="s">
        <v>65</v>
      </c>
      <c r="AT1237">
        <v>1</v>
      </c>
      <c r="AU1237" t="s">
        <v>620</v>
      </c>
      <c r="AV1237" t="s">
        <v>621</v>
      </c>
      <c r="AW1237" t="s">
        <v>60</v>
      </c>
      <c r="AX1237" t="s">
        <v>68</v>
      </c>
      <c r="AY1237" t="s">
        <v>69</v>
      </c>
      <c r="AZ1237" t="b">
        <v>1</v>
      </c>
    </row>
    <row r="1238" spans="1:52" x14ac:dyDescent="0.3">
      <c r="A1238" t="s">
        <v>52</v>
      </c>
      <c r="B1238" t="s">
        <v>53</v>
      </c>
      <c r="C1238" t="s">
        <v>54</v>
      </c>
      <c r="D1238" t="s">
        <v>55</v>
      </c>
      <c r="E1238" t="s">
        <v>831</v>
      </c>
      <c r="F1238" t="s">
        <v>57</v>
      </c>
      <c r="G1238" t="s">
        <v>197</v>
      </c>
      <c r="H1238" t="s">
        <v>198</v>
      </c>
      <c r="I1238" t="s">
        <v>198</v>
      </c>
      <c r="J1238" t="s">
        <v>60</v>
      </c>
      <c r="K1238" t="s">
        <v>199</v>
      </c>
      <c r="L1238" t="s">
        <v>62</v>
      </c>
      <c r="M1238" t="s">
        <v>199</v>
      </c>
      <c r="N1238" t="s">
        <v>200</v>
      </c>
      <c r="O1238" t="s">
        <v>201</v>
      </c>
      <c r="P1238">
        <v>-19.639250000000001</v>
      </c>
      <c r="Q1238">
        <v>-43.916449999999998</v>
      </c>
      <c r="R1238" s="2" t="str">
        <f>HYPERLINK("https://www.google.com/maps?q=-19.6392500,-43.9164500","Abrir no Google Maps")</f>
        <v>Abrir no Google Maps</v>
      </c>
      <c r="S1238">
        <v>4</v>
      </c>
      <c r="T1238">
        <v>249.46350881074861</v>
      </c>
      <c r="U1238">
        <v>4</v>
      </c>
      <c r="V1238">
        <v>0.4764223709464655</v>
      </c>
      <c r="W1238">
        <v>1</v>
      </c>
      <c r="X1238">
        <v>0.4764223709464655</v>
      </c>
      <c r="Y1238">
        <v>3</v>
      </c>
      <c r="Z1238">
        <v>267.54148787490578</v>
      </c>
      <c r="AA1238">
        <v>2</v>
      </c>
      <c r="AB1238">
        <v>3</v>
      </c>
      <c r="AC1238">
        <v>7</v>
      </c>
      <c r="AD1238">
        <v>26.84</v>
      </c>
      <c r="AE1238">
        <v>253</v>
      </c>
      <c r="AF1238">
        <v>17</v>
      </c>
      <c r="AG1238">
        <v>63</v>
      </c>
      <c r="AH1238">
        <v>32</v>
      </c>
      <c r="AI1238">
        <v>6.72</v>
      </c>
      <c r="AJ1238">
        <v>24.9</v>
      </c>
      <c r="AK1238">
        <v>12.65</v>
      </c>
      <c r="AL1238">
        <v>-19.639331149999951</v>
      </c>
      <c r="AM1238">
        <v>-43.916434187886892</v>
      </c>
      <c r="AN1238">
        <v>-19.639331149999951</v>
      </c>
      <c r="AO1238">
        <v>-43.916434187886892</v>
      </c>
      <c r="AP1238">
        <v>-19.639250000000001</v>
      </c>
      <c r="AQ1238">
        <v>-43.916449999999998</v>
      </c>
      <c r="AR1238">
        <v>9.1844750188843953</v>
      </c>
      <c r="AS1238" t="s">
        <v>65</v>
      </c>
      <c r="AT1238">
        <v>1</v>
      </c>
      <c r="AU1238" t="s">
        <v>202</v>
      </c>
      <c r="AV1238" t="s">
        <v>203</v>
      </c>
      <c r="AW1238" t="s">
        <v>60</v>
      </c>
      <c r="AX1238" t="s">
        <v>68</v>
      </c>
      <c r="AY1238" t="s">
        <v>69</v>
      </c>
      <c r="AZ1238" t="b">
        <v>1</v>
      </c>
    </row>
    <row r="1239" spans="1:52" x14ac:dyDescent="0.3">
      <c r="A1239" t="s">
        <v>52</v>
      </c>
      <c r="B1239" t="s">
        <v>53</v>
      </c>
      <c r="C1239" t="s">
        <v>54</v>
      </c>
      <c r="D1239" t="s">
        <v>55</v>
      </c>
      <c r="E1239" t="s">
        <v>831</v>
      </c>
      <c r="F1239" t="s">
        <v>57</v>
      </c>
      <c r="G1239" t="s">
        <v>145</v>
      </c>
      <c r="H1239" t="s">
        <v>146</v>
      </c>
      <c r="I1239" t="s">
        <v>146</v>
      </c>
      <c r="J1239" t="s">
        <v>60</v>
      </c>
      <c r="K1239" t="s">
        <v>147</v>
      </c>
      <c r="L1239" t="s">
        <v>62</v>
      </c>
      <c r="M1239" t="s">
        <v>147</v>
      </c>
      <c r="N1239" t="s">
        <v>148</v>
      </c>
      <c r="O1239" t="s">
        <v>81</v>
      </c>
      <c r="P1239">
        <v>-19.629356999999999</v>
      </c>
      <c r="Q1239">
        <v>-43.916857</v>
      </c>
      <c r="R1239" s="2" t="str">
        <f>HYPERLINK("https://www.google.com/maps?q=-19.6293570,-43.9168570","Abrir no Google Maps")</f>
        <v>Abrir no Google Maps</v>
      </c>
      <c r="S1239">
        <v>4</v>
      </c>
      <c r="T1239">
        <v>834.49898564045827</v>
      </c>
      <c r="U1239">
        <v>4</v>
      </c>
      <c r="V1239">
        <v>0.47520127693040187</v>
      </c>
      <c r="W1239">
        <v>1</v>
      </c>
      <c r="X1239">
        <v>0.47520127693040187</v>
      </c>
      <c r="Y1239">
        <v>3</v>
      </c>
      <c r="Z1239">
        <v>774.2841152512085</v>
      </c>
      <c r="AA1239">
        <v>2</v>
      </c>
      <c r="AB1239">
        <v>3</v>
      </c>
      <c r="AC1239">
        <v>7</v>
      </c>
      <c r="AD1239">
        <v>26.84</v>
      </c>
      <c r="AE1239">
        <v>253</v>
      </c>
      <c r="AF1239">
        <v>17</v>
      </c>
      <c r="AG1239">
        <v>63</v>
      </c>
      <c r="AH1239">
        <v>32</v>
      </c>
      <c r="AI1239">
        <v>6.72</v>
      </c>
      <c r="AJ1239">
        <v>24.9</v>
      </c>
      <c r="AK1239">
        <v>12.65</v>
      </c>
      <c r="AL1239">
        <v>-19.62962324999998</v>
      </c>
      <c r="AM1239">
        <v>-43.916419823634037</v>
      </c>
      <c r="AN1239">
        <v>-19.62962324999998</v>
      </c>
      <c r="AO1239">
        <v>-43.916419823634051</v>
      </c>
      <c r="AP1239">
        <v>-19.629356999999999</v>
      </c>
      <c r="AQ1239">
        <v>-43.916857</v>
      </c>
      <c r="AR1239">
        <v>54.585757388798442</v>
      </c>
      <c r="AS1239" t="s">
        <v>65</v>
      </c>
      <c r="AT1239">
        <v>1</v>
      </c>
      <c r="AU1239" t="s">
        <v>149</v>
      </c>
      <c r="AV1239" t="s">
        <v>150</v>
      </c>
      <c r="AW1239" t="s">
        <v>60</v>
      </c>
      <c r="AX1239" t="s">
        <v>68</v>
      </c>
      <c r="AY1239" t="s">
        <v>69</v>
      </c>
      <c r="AZ1239" t="b">
        <v>1</v>
      </c>
    </row>
    <row r="1240" spans="1:52" x14ac:dyDescent="0.3">
      <c r="A1240" t="s">
        <v>52</v>
      </c>
      <c r="B1240" t="s">
        <v>53</v>
      </c>
      <c r="C1240" t="s">
        <v>54</v>
      </c>
      <c r="D1240" t="s">
        <v>55</v>
      </c>
      <c r="E1240" t="s">
        <v>831</v>
      </c>
      <c r="F1240" t="s">
        <v>57</v>
      </c>
      <c r="G1240" t="s">
        <v>217</v>
      </c>
      <c r="H1240" t="s">
        <v>218</v>
      </c>
      <c r="I1240" t="s">
        <v>218</v>
      </c>
      <c r="J1240" t="s">
        <v>60</v>
      </c>
      <c r="K1240" t="s">
        <v>219</v>
      </c>
      <c r="L1240" t="s">
        <v>62</v>
      </c>
      <c r="M1240" t="s">
        <v>219</v>
      </c>
      <c r="N1240" t="s">
        <v>220</v>
      </c>
      <c r="O1240" t="s">
        <v>221</v>
      </c>
      <c r="P1240">
        <v>-19.668924000000001</v>
      </c>
      <c r="Q1240">
        <v>-43.888824</v>
      </c>
      <c r="R1240" s="2" t="str">
        <f>HYPERLINK("https://www.google.com/maps?q=-19.6689240,-43.8888240","Abrir no Google Maps")</f>
        <v>Abrir no Google Maps</v>
      </c>
      <c r="S1240">
        <v>4</v>
      </c>
      <c r="T1240">
        <v>911.82770913869297</v>
      </c>
      <c r="U1240">
        <v>4</v>
      </c>
      <c r="V1240">
        <v>0.4990919472264827</v>
      </c>
      <c r="W1240">
        <v>1</v>
      </c>
      <c r="X1240">
        <v>0.4990919472264827</v>
      </c>
      <c r="Y1240">
        <v>3</v>
      </c>
      <c r="Z1240">
        <v>306.43809582423751</v>
      </c>
      <c r="AA1240">
        <v>2</v>
      </c>
      <c r="AB1240">
        <v>3</v>
      </c>
      <c r="AC1240">
        <v>7</v>
      </c>
      <c r="AD1240">
        <v>26.84</v>
      </c>
      <c r="AE1240">
        <v>253</v>
      </c>
      <c r="AF1240">
        <v>17</v>
      </c>
      <c r="AG1240">
        <v>63</v>
      </c>
      <c r="AH1240">
        <v>32</v>
      </c>
      <c r="AI1240">
        <v>6.72</v>
      </c>
      <c r="AJ1240">
        <v>24.9</v>
      </c>
      <c r="AK1240">
        <v>12.65</v>
      </c>
      <c r="AL1240">
        <v>-19.669015399999981</v>
      </c>
      <c r="AM1240">
        <v>-43.88883436988452</v>
      </c>
      <c r="AN1240">
        <v>-19.669015399999971</v>
      </c>
      <c r="AO1240">
        <v>-43.88883436988452</v>
      </c>
      <c r="AP1240">
        <v>-19.668924000000001</v>
      </c>
      <c r="AQ1240">
        <v>-43.888824</v>
      </c>
      <c r="AR1240">
        <v>10.23254983885769</v>
      </c>
      <c r="AS1240" t="s">
        <v>65</v>
      </c>
      <c r="AT1240">
        <v>1</v>
      </c>
      <c r="AU1240" t="s">
        <v>222</v>
      </c>
      <c r="AV1240" t="s">
        <v>223</v>
      </c>
      <c r="AW1240" t="s">
        <v>60</v>
      </c>
      <c r="AX1240" t="s">
        <v>68</v>
      </c>
      <c r="AY1240" t="s">
        <v>69</v>
      </c>
      <c r="AZ1240" t="b">
        <v>1</v>
      </c>
    </row>
    <row r="1241" spans="1:52" x14ac:dyDescent="0.3">
      <c r="A1241" t="s">
        <v>52</v>
      </c>
      <c r="B1241" t="s">
        <v>53</v>
      </c>
      <c r="C1241" t="s">
        <v>54</v>
      </c>
      <c r="D1241" t="s">
        <v>55</v>
      </c>
      <c r="E1241" t="s">
        <v>831</v>
      </c>
      <c r="F1241" t="s">
        <v>57</v>
      </c>
      <c r="G1241" t="s">
        <v>632</v>
      </c>
      <c r="H1241" t="s">
        <v>633</v>
      </c>
      <c r="I1241" t="s">
        <v>633</v>
      </c>
      <c r="J1241" t="s">
        <v>60</v>
      </c>
      <c r="K1241" t="s">
        <v>164</v>
      </c>
      <c r="L1241" t="s">
        <v>62</v>
      </c>
      <c r="M1241" t="s">
        <v>164</v>
      </c>
      <c r="N1241" t="s">
        <v>287</v>
      </c>
      <c r="O1241" t="s">
        <v>634</v>
      </c>
      <c r="P1241">
        <v>-19.647012</v>
      </c>
      <c r="Q1241">
        <v>-43.903843000000002</v>
      </c>
      <c r="R1241" s="2" t="str">
        <f>HYPERLINK("https://www.google.com/maps?q=-19.6470120,-43.9038430","Abrir no Google Maps")</f>
        <v>Abrir no Google Maps</v>
      </c>
      <c r="S1241">
        <v>4</v>
      </c>
      <c r="T1241">
        <v>0</v>
      </c>
      <c r="U1241">
        <v>4</v>
      </c>
      <c r="V1241">
        <v>0.54049035714285709</v>
      </c>
      <c r="W1241">
        <v>0.85</v>
      </c>
      <c r="X1241">
        <v>0.4594168035714285</v>
      </c>
      <c r="Y1241">
        <v>1</v>
      </c>
      <c r="Z1241">
        <v>126.45608798330009</v>
      </c>
      <c r="AA1241">
        <v>2</v>
      </c>
      <c r="AB1241">
        <v>3</v>
      </c>
      <c r="AC1241">
        <v>7</v>
      </c>
      <c r="AD1241">
        <v>26.84</v>
      </c>
      <c r="AE1241">
        <v>253</v>
      </c>
      <c r="AF1241">
        <v>17</v>
      </c>
      <c r="AG1241">
        <v>63</v>
      </c>
      <c r="AH1241">
        <v>32</v>
      </c>
      <c r="AI1241">
        <v>6.72</v>
      </c>
      <c r="AJ1241">
        <v>24.9</v>
      </c>
      <c r="AK1241">
        <v>12.65</v>
      </c>
      <c r="AL1241">
        <v>-19.647072199999968</v>
      </c>
      <c r="AM1241">
        <v>-43.903751273681941</v>
      </c>
      <c r="AN1241">
        <v>-19.647072199999968</v>
      </c>
      <c r="AO1241">
        <v>-43.903751273681941</v>
      </c>
      <c r="AP1241">
        <v>-19.647012</v>
      </c>
      <c r="AQ1241">
        <v>-43.903843000000002</v>
      </c>
      <c r="AR1241">
        <v>11.72121231224985</v>
      </c>
      <c r="AS1241" t="s">
        <v>65</v>
      </c>
      <c r="AT1241">
        <v>1</v>
      </c>
      <c r="AU1241" t="s">
        <v>635</v>
      </c>
      <c r="AV1241" t="s">
        <v>636</v>
      </c>
      <c r="AW1241" t="s">
        <v>60</v>
      </c>
      <c r="AX1241" t="s">
        <v>68</v>
      </c>
      <c r="AY1241" t="s">
        <v>69</v>
      </c>
      <c r="AZ1241" t="b">
        <v>1</v>
      </c>
    </row>
    <row r="1242" spans="1:52" x14ac:dyDescent="0.3">
      <c r="A1242" t="s">
        <v>52</v>
      </c>
      <c r="B1242" t="s">
        <v>53</v>
      </c>
      <c r="C1242" t="s">
        <v>54</v>
      </c>
      <c r="D1242" t="s">
        <v>55</v>
      </c>
      <c r="E1242" t="s">
        <v>831</v>
      </c>
      <c r="F1242" t="s">
        <v>57</v>
      </c>
      <c r="G1242" t="s">
        <v>246</v>
      </c>
      <c r="H1242" t="s">
        <v>247</v>
      </c>
      <c r="I1242" t="s">
        <v>247</v>
      </c>
      <c r="J1242" t="s">
        <v>60</v>
      </c>
      <c r="K1242" t="s">
        <v>164</v>
      </c>
      <c r="L1242" t="s">
        <v>62</v>
      </c>
      <c r="M1242" t="s">
        <v>164</v>
      </c>
      <c r="N1242" t="s">
        <v>248</v>
      </c>
      <c r="O1242" t="s">
        <v>249</v>
      </c>
      <c r="P1242">
        <v>-19.6448</v>
      </c>
      <c r="Q1242">
        <v>-43.901600999999999</v>
      </c>
      <c r="R1242" s="2" t="str">
        <f>HYPERLINK("https://www.google.com/maps?q=-19.6448000,-43.9016010","Abrir no Google Maps")</f>
        <v>Abrir no Google Maps</v>
      </c>
      <c r="S1242">
        <v>4</v>
      </c>
      <c r="T1242">
        <v>317.869447308274</v>
      </c>
      <c r="U1242">
        <v>4</v>
      </c>
      <c r="V1242">
        <v>0.51015447434452166</v>
      </c>
      <c r="W1242">
        <v>1</v>
      </c>
      <c r="X1242">
        <v>0.51015447434452166</v>
      </c>
      <c r="Y1242">
        <v>1</v>
      </c>
      <c r="Z1242">
        <v>349.42631749673592</v>
      </c>
      <c r="AA1242">
        <v>2</v>
      </c>
      <c r="AB1242">
        <v>3</v>
      </c>
      <c r="AC1242">
        <v>7</v>
      </c>
      <c r="AD1242">
        <v>26.84</v>
      </c>
      <c r="AE1242">
        <v>253</v>
      </c>
      <c r="AF1242">
        <v>17</v>
      </c>
      <c r="AG1242">
        <v>63</v>
      </c>
      <c r="AH1242">
        <v>32</v>
      </c>
      <c r="AI1242">
        <v>6.72</v>
      </c>
      <c r="AJ1242">
        <v>24.9</v>
      </c>
      <c r="AK1242">
        <v>12.65</v>
      </c>
      <c r="AL1242">
        <v>-19.644877249999951</v>
      </c>
      <c r="AM1242">
        <v>-43.901796079893373</v>
      </c>
      <c r="AN1242">
        <v>-19.644877249999951</v>
      </c>
      <c r="AO1242">
        <v>-43.901796079893373</v>
      </c>
      <c r="AP1242">
        <v>-19.6448</v>
      </c>
      <c r="AQ1242">
        <v>-43.901600999999999</v>
      </c>
      <c r="AR1242">
        <v>22.186635956426102</v>
      </c>
      <c r="AS1242" t="s">
        <v>65</v>
      </c>
      <c r="AT1242">
        <v>1</v>
      </c>
      <c r="AU1242" t="s">
        <v>250</v>
      </c>
      <c r="AV1242" t="s">
        <v>251</v>
      </c>
      <c r="AW1242" t="s">
        <v>60</v>
      </c>
      <c r="AX1242" t="s">
        <v>68</v>
      </c>
      <c r="AY1242" t="s">
        <v>69</v>
      </c>
      <c r="AZ1242" t="b">
        <v>1</v>
      </c>
    </row>
    <row r="1243" spans="1:52" x14ac:dyDescent="0.3">
      <c r="A1243" t="s">
        <v>52</v>
      </c>
      <c r="B1243" t="s">
        <v>53</v>
      </c>
      <c r="C1243" t="s">
        <v>54</v>
      </c>
      <c r="D1243" t="s">
        <v>55</v>
      </c>
      <c r="E1243" t="s">
        <v>831</v>
      </c>
      <c r="F1243" t="s">
        <v>57</v>
      </c>
      <c r="G1243" t="s">
        <v>252</v>
      </c>
      <c r="H1243" t="s">
        <v>253</v>
      </c>
      <c r="I1243" t="s">
        <v>253</v>
      </c>
      <c r="J1243" t="s">
        <v>60</v>
      </c>
      <c r="K1243" t="s">
        <v>164</v>
      </c>
      <c r="L1243" t="s">
        <v>62</v>
      </c>
      <c r="M1243" t="s">
        <v>164</v>
      </c>
      <c r="N1243" t="s">
        <v>254</v>
      </c>
      <c r="O1243" t="s">
        <v>255</v>
      </c>
      <c r="P1243">
        <v>-19.652244</v>
      </c>
      <c r="Q1243">
        <v>-43.906869</v>
      </c>
      <c r="R1243" s="2" t="str">
        <f>HYPERLINK("https://www.google.com/maps?q=-19.6522440,-43.9068690","Abrir no Google Maps")</f>
        <v>Abrir no Google Maps</v>
      </c>
      <c r="S1243">
        <v>4</v>
      </c>
      <c r="T1243">
        <v>659.98887289357856</v>
      </c>
      <c r="U1243">
        <v>4</v>
      </c>
      <c r="V1243">
        <v>0.51647582889226518</v>
      </c>
      <c r="W1243">
        <v>1</v>
      </c>
      <c r="X1243">
        <v>0.51647582889226518</v>
      </c>
      <c r="Y1243">
        <v>1</v>
      </c>
      <c r="Z1243">
        <v>607.69009953455907</v>
      </c>
      <c r="AA1243">
        <v>2</v>
      </c>
      <c r="AB1243">
        <v>3</v>
      </c>
      <c r="AC1243">
        <v>7</v>
      </c>
      <c r="AD1243">
        <v>26.84</v>
      </c>
      <c r="AE1243">
        <v>253</v>
      </c>
      <c r="AF1243">
        <v>17</v>
      </c>
      <c r="AG1243">
        <v>63</v>
      </c>
      <c r="AH1243">
        <v>32</v>
      </c>
      <c r="AI1243">
        <v>6.72</v>
      </c>
      <c r="AJ1243">
        <v>24.9</v>
      </c>
      <c r="AK1243">
        <v>12.65</v>
      </c>
      <c r="AL1243">
        <v>-19.65225609999996</v>
      </c>
      <c r="AM1243">
        <v>-43.906862663911163</v>
      </c>
      <c r="AN1243">
        <v>-19.65225609999996</v>
      </c>
      <c r="AO1243">
        <v>-43.906862663911149</v>
      </c>
      <c r="AP1243">
        <v>-19.652244</v>
      </c>
      <c r="AQ1243">
        <v>-43.906869</v>
      </c>
      <c r="AR1243">
        <v>1.501852076897872</v>
      </c>
      <c r="AS1243" t="s">
        <v>65</v>
      </c>
      <c r="AT1243">
        <v>1</v>
      </c>
      <c r="AU1243" t="s">
        <v>256</v>
      </c>
      <c r="AV1243" t="s">
        <v>257</v>
      </c>
      <c r="AW1243" t="s">
        <v>60</v>
      </c>
      <c r="AX1243" t="s">
        <v>68</v>
      </c>
      <c r="AY1243" t="s">
        <v>69</v>
      </c>
      <c r="AZ1243" t="b">
        <v>1</v>
      </c>
    </row>
    <row r="1244" spans="1:52" x14ac:dyDescent="0.3">
      <c r="A1244" t="s">
        <v>52</v>
      </c>
      <c r="B1244" t="s">
        <v>53</v>
      </c>
      <c r="C1244" t="s">
        <v>54</v>
      </c>
      <c r="D1244" t="s">
        <v>55</v>
      </c>
      <c r="E1244" t="s">
        <v>831</v>
      </c>
      <c r="F1244" t="s">
        <v>57</v>
      </c>
      <c r="G1244" t="s">
        <v>622</v>
      </c>
      <c r="H1244" t="s">
        <v>623</v>
      </c>
      <c r="I1244" t="s">
        <v>623</v>
      </c>
      <c r="J1244" t="s">
        <v>60</v>
      </c>
      <c r="K1244" t="s">
        <v>219</v>
      </c>
      <c r="L1244" t="s">
        <v>62</v>
      </c>
      <c r="M1244" t="s">
        <v>219</v>
      </c>
      <c r="N1244" t="s">
        <v>624</v>
      </c>
      <c r="O1244" t="s">
        <v>113</v>
      </c>
      <c r="P1244">
        <v>-19.670276999999999</v>
      </c>
      <c r="Q1244">
        <v>-43.893808</v>
      </c>
      <c r="R1244" s="2" t="str">
        <f>HYPERLINK("https://www.google.com/maps?q=-19.6702770,-43.8938080","Abrir no Google Maps")</f>
        <v>Abrir no Google Maps</v>
      </c>
      <c r="S1244">
        <v>4</v>
      </c>
      <c r="T1244">
        <v>846.9753608437735</v>
      </c>
      <c r="U1244">
        <v>4</v>
      </c>
      <c r="V1244">
        <v>0.49541633383730749</v>
      </c>
      <c r="W1244">
        <v>1</v>
      </c>
      <c r="X1244">
        <v>0.49541633383730749</v>
      </c>
      <c r="Y1244">
        <v>1</v>
      </c>
      <c r="Z1244">
        <v>600.43160852236622</v>
      </c>
      <c r="AA1244">
        <v>2</v>
      </c>
      <c r="AB1244">
        <v>3</v>
      </c>
      <c r="AC1244">
        <v>7</v>
      </c>
      <c r="AD1244">
        <v>26.84</v>
      </c>
      <c r="AE1244">
        <v>253</v>
      </c>
      <c r="AF1244">
        <v>17</v>
      </c>
      <c r="AG1244">
        <v>63</v>
      </c>
      <c r="AH1244">
        <v>32</v>
      </c>
      <c r="AI1244">
        <v>6.72</v>
      </c>
      <c r="AJ1244">
        <v>24.9</v>
      </c>
      <c r="AK1244">
        <v>12.65</v>
      </c>
      <c r="AL1244">
        <v>-19.670319349999971</v>
      </c>
      <c r="AM1244">
        <v>-43.893716431206371</v>
      </c>
      <c r="AN1244">
        <v>-19.670319349999971</v>
      </c>
      <c r="AO1244">
        <v>-43.893716431206371</v>
      </c>
      <c r="AP1244">
        <v>-19.670276999999999</v>
      </c>
      <c r="AQ1244">
        <v>-43.893808</v>
      </c>
      <c r="AR1244">
        <v>10.693863517034069</v>
      </c>
      <c r="AS1244" t="s">
        <v>65</v>
      </c>
      <c r="AT1244">
        <v>1</v>
      </c>
      <c r="AU1244" t="s">
        <v>625</v>
      </c>
      <c r="AV1244" t="s">
        <v>626</v>
      </c>
      <c r="AW1244" t="s">
        <v>60</v>
      </c>
      <c r="AX1244" t="s">
        <v>68</v>
      </c>
      <c r="AY1244" t="s">
        <v>69</v>
      </c>
      <c r="AZ1244" t="b">
        <v>1</v>
      </c>
    </row>
    <row r="1245" spans="1:52" x14ac:dyDescent="0.3">
      <c r="A1245" t="s">
        <v>52</v>
      </c>
      <c r="B1245" t="s">
        <v>53</v>
      </c>
      <c r="C1245" t="s">
        <v>54</v>
      </c>
      <c r="D1245" t="s">
        <v>55</v>
      </c>
      <c r="E1245" t="s">
        <v>831</v>
      </c>
      <c r="F1245" t="s">
        <v>57</v>
      </c>
      <c r="G1245" t="s">
        <v>217</v>
      </c>
      <c r="H1245" t="s">
        <v>264</v>
      </c>
      <c r="I1245" t="s">
        <v>264</v>
      </c>
      <c r="J1245" t="s">
        <v>60</v>
      </c>
      <c r="K1245" t="s">
        <v>219</v>
      </c>
      <c r="L1245" t="s">
        <v>62</v>
      </c>
      <c r="M1245" t="s">
        <v>219</v>
      </c>
      <c r="N1245" t="s">
        <v>220</v>
      </c>
      <c r="O1245" t="s">
        <v>265</v>
      </c>
      <c r="P1245">
        <v>-19.668958</v>
      </c>
      <c r="Q1245">
        <v>-43.890619999999998</v>
      </c>
      <c r="R1245" s="2" t="str">
        <f>HYPERLINK("https://www.google.com/maps?q=-19.6689580,-43.8906200","Abrir no Google Maps")</f>
        <v>Abrir no Google Maps</v>
      </c>
      <c r="S1245">
        <v>4</v>
      </c>
      <c r="T1245">
        <v>893.53138484322108</v>
      </c>
      <c r="U1245">
        <v>4</v>
      </c>
      <c r="V1245">
        <v>0.49573401617428742</v>
      </c>
      <c r="W1245">
        <v>1</v>
      </c>
      <c r="X1245">
        <v>0.49573401617428742</v>
      </c>
      <c r="Y1245">
        <v>1</v>
      </c>
      <c r="Z1245">
        <v>336.68220024294959</v>
      </c>
      <c r="AA1245">
        <v>2</v>
      </c>
      <c r="AB1245">
        <v>3</v>
      </c>
      <c r="AC1245">
        <v>7</v>
      </c>
      <c r="AD1245">
        <v>26.84</v>
      </c>
      <c r="AE1245">
        <v>253</v>
      </c>
      <c r="AF1245">
        <v>17</v>
      </c>
      <c r="AG1245">
        <v>63</v>
      </c>
      <c r="AH1245">
        <v>32</v>
      </c>
      <c r="AI1245">
        <v>6.72</v>
      </c>
      <c r="AJ1245">
        <v>24.9</v>
      </c>
      <c r="AK1245">
        <v>12.65</v>
      </c>
      <c r="AL1245">
        <v>-19.669114549999961</v>
      </c>
      <c r="AM1245">
        <v>-43.890740893526242</v>
      </c>
      <c r="AN1245">
        <v>-19.669114549999961</v>
      </c>
      <c r="AO1245">
        <v>-43.890740893526242</v>
      </c>
      <c r="AP1245">
        <v>-19.668958</v>
      </c>
      <c r="AQ1245">
        <v>-43.890619999999998</v>
      </c>
      <c r="AR1245">
        <v>21.54764375256557</v>
      </c>
      <c r="AS1245" t="s">
        <v>65</v>
      </c>
      <c r="AT1245">
        <v>1</v>
      </c>
      <c r="AU1245" t="s">
        <v>266</v>
      </c>
      <c r="AV1245" t="s">
        <v>267</v>
      </c>
      <c r="AW1245" t="s">
        <v>60</v>
      </c>
      <c r="AX1245" t="s">
        <v>68</v>
      </c>
      <c r="AY1245" t="s">
        <v>69</v>
      </c>
      <c r="AZ1245" t="b">
        <v>1</v>
      </c>
    </row>
    <row r="1246" spans="1:52" x14ac:dyDescent="0.3">
      <c r="A1246" t="s">
        <v>52</v>
      </c>
      <c r="B1246" t="s">
        <v>53</v>
      </c>
      <c r="C1246" t="s">
        <v>54</v>
      </c>
      <c r="D1246" t="s">
        <v>55</v>
      </c>
      <c r="E1246" t="s">
        <v>831</v>
      </c>
      <c r="F1246" t="s">
        <v>57</v>
      </c>
      <c r="G1246" t="s">
        <v>647</v>
      </c>
      <c r="H1246" t="s">
        <v>648</v>
      </c>
      <c r="I1246" t="s">
        <v>648</v>
      </c>
      <c r="J1246" t="s">
        <v>60</v>
      </c>
      <c r="K1246" t="s">
        <v>219</v>
      </c>
      <c r="L1246" t="s">
        <v>62</v>
      </c>
      <c r="M1246" t="s">
        <v>219</v>
      </c>
      <c r="N1246" t="s">
        <v>649</v>
      </c>
      <c r="O1246" t="s">
        <v>650</v>
      </c>
      <c r="P1246">
        <v>-19.665845999999998</v>
      </c>
      <c r="Q1246">
        <v>-43.889798999999996</v>
      </c>
      <c r="R1246" s="2" t="str">
        <f>HYPERLINK("https://www.google.com/maps?q=-19.6658460,-43.8897990","Abrir no Google Maps")</f>
        <v>Abrir no Google Maps</v>
      </c>
      <c r="S1246">
        <v>4</v>
      </c>
      <c r="T1246">
        <v>1250.455343908134</v>
      </c>
      <c r="U1246">
        <v>4</v>
      </c>
      <c r="V1246">
        <v>0.55169364278341748</v>
      </c>
      <c r="W1246">
        <v>0.85</v>
      </c>
      <c r="X1246">
        <v>0.46893959636590482</v>
      </c>
      <c r="Y1246">
        <v>1</v>
      </c>
      <c r="Z1246">
        <v>82.379279290412427</v>
      </c>
      <c r="AA1246">
        <v>2</v>
      </c>
      <c r="AB1246">
        <v>3</v>
      </c>
      <c r="AC1246">
        <v>7</v>
      </c>
      <c r="AD1246">
        <v>26.84</v>
      </c>
      <c r="AE1246">
        <v>253</v>
      </c>
      <c r="AF1246">
        <v>17</v>
      </c>
      <c r="AG1246">
        <v>63</v>
      </c>
      <c r="AH1246">
        <v>32</v>
      </c>
      <c r="AI1246">
        <v>6.72</v>
      </c>
      <c r="AJ1246">
        <v>24.9</v>
      </c>
      <c r="AK1246">
        <v>12.65</v>
      </c>
      <c r="AL1246">
        <v>-19.665872099999941</v>
      </c>
      <c r="AM1246">
        <v>-43.889753298873359</v>
      </c>
      <c r="AN1246">
        <v>-19.665872099999941</v>
      </c>
      <c r="AO1246">
        <v>-43.889753298873359</v>
      </c>
      <c r="AP1246">
        <v>-19.665845999999998</v>
      </c>
      <c r="AQ1246">
        <v>-43.889798999999996</v>
      </c>
      <c r="AR1246">
        <v>5.6029010526379528</v>
      </c>
      <c r="AS1246" t="s">
        <v>65</v>
      </c>
      <c r="AT1246">
        <v>1</v>
      </c>
      <c r="AU1246" t="s">
        <v>651</v>
      </c>
      <c r="AV1246" t="s">
        <v>652</v>
      </c>
      <c r="AW1246" t="s">
        <v>60</v>
      </c>
      <c r="AX1246" t="s">
        <v>68</v>
      </c>
      <c r="AY1246" t="s">
        <v>69</v>
      </c>
      <c r="AZ1246" t="b">
        <v>1</v>
      </c>
    </row>
    <row r="1247" spans="1:52" x14ac:dyDescent="0.3">
      <c r="A1247" t="s">
        <v>52</v>
      </c>
      <c r="B1247" t="s">
        <v>53</v>
      </c>
      <c r="C1247" t="s">
        <v>54</v>
      </c>
      <c r="D1247" t="s">
        <v>55</v>
      </c>
      <c r="E1247" t="s">
        <v>831</v>
      </c>
      <c r="F1247" t="s">
        <v>57</v>
      </c>
      <c r="G1247" t="s">
        <v>658</v>
      </c>
      <c r="H1247" t="s">
        <v>659</v>
      </c>
      <c r="I1247" t="s">
        <v>659</v>
      </c>
      <c r="J1247" t="s">
        <v>60</v>
      </c>
      <c r="K1247" t="s">
        <v>219</v>
      </c>
      <c r="L1247" t="s">
        <v>62</v>
      </c>
      <c r="M1247" t="s">
        <v>219</v>
      </c>
      <c r="N1247" t="s">
        <v>660</v>
      </c>
      <c r="O1247" t="s">
        <v>661</v>
      </c>
      <c r="P1247">
        <v>-19.666937999999998</v>
      </c>
      <c r="Q1247">
        <v>-43.888468000000003</v>
      </c>
      <c r="R1247" s="2" t="str">
        <f>HYPERLINK("https://www.google.com/maps?q=-19.6669380,-43.8884680","Abrir no Google Maps")</f>
        <v>Abrir no Google Maps</v>
      </c>
      <c r="S1247">
        <v>4</v>
      </c>
      <c r="T1247">
        <v>1154.601486572938</v>
      </c>
      <c r="U1247">
        <v>4</v>
      </c>
      <c r="V1247">
        <v>0.53925597083103827</v>
      </c>
      <c r="W1247">
        <v>0.85</v>
      </c>
      <c r="X1247">
        <v>0.45836757520638249</v>
      </c>
      <c r="Y1247">
        <v>1</v>
      </c>
      <c r="Z1247">
        <v>129.9648546404961</v>
      </c>
      <c r="AA1247">
        <v>2</v>
      </c>
      <c r="AB1247">
        <v>3</v>
      </c>
      <c r="AC1247">
        <v>7</v>
      </c>
      <c r="AD1247">
        <v>26.84</v>
      </c>
      <c r="AE1247">
        <v>253</v>
      </c>
      <c r="AF1247">
        <v>17</v>
      </c>
      <c r="AG1247">
        <v>63</v>
      </c>
      <c r="AH1247">
        <v>32</v>
      </c>
      <c r="AI1247">
        <v>6.72</v>
      </c>
      <c r="AJ1247">
        <v>24.9</v>
      </c>
      <c r="AK1247">
        <v>12.65</v>
      </c>
      <c r="AL1247">
        <v>-19.666844549999951</v>
      </c>
      <c r="AM1247">
        <v>-43.888501800017913</v>
      </c>
      <c r="AN1247">
        <v>-19.666844549999951</v>
      </c>
      <c r="AO1247">
        <v>-43.888501800017913</v>
      </c>
      <c r="AP1247">
        <v>-19.666937999999998</v>
      </c>
      <c r="AQ1247">
        <v>-43.888468000000003</v>
      </c>
      <c r="AR1247">
        <v>10.9896825754148</v>
      </c>
      <c r="AS1247" t="s">
        <v>65</v>
      </c>
      <c r="AT1247">
        <v>1</v>
      </c>
      <c r="AU1247" t="s">
        <v>662</v>
      </c>
      <c r="AV1247" t="s">
        <v>663</v>
      </c>
      <c r="AW1247" t="s">
        <v>60</v>
      </c>
      <c r="AX1247" t="s">
        <v>68</v>
      </c>
      <c r="AY1247" t="s">
        <v>69</v>
      </c>
      <c r="AZ1247" t="b">
        <v>1</v>
      </c>
    </row>
    <row r="1248" spans="1:52" x14ac:dyDescent="0.3">
      <c r="A1248" t="s">
        <v>52</v>
      </c>
      <c r="B1248" t="s">
        <v>53</v>
      </c>
      <c r="C1248" t="s">
        <v>54</v>
      </c>
      <c r="D1248" t="s">
        <v>55</v>
      </c>
      <c r="E1248" t="s">
        <v>831</v>
      </c>
      <c r="F1248" t="s">
        <v>57</v>
      </c>
      <c r="G1248" t="s">
        <v>268</v>
      </c>
      <c r="H1248" t="s">
        <v>269</v>
      </c>
      <c r="I1248" t="s">
        <v>269</v>
      </c>
      <c r="J1248" t="s">
        <v>60</v>
      </c>
      <c r="K1248" t="s">
        <v>164</v>
      </c>
      <c r="L1248" t="s">
        <v>62</v>
      </c>
      <c r="M1248" t="s">
        <v>164</v>
      </c>
      <c r="N1248" t="s">
        <v>270</v>
      </c>
      <c r="O1248" t="s">
        <v>113</v>
      </c>
      <c r="P1248">
        <v>-19.648771</v>
      </c>
      <c r="Q1248">
        <v>-43.903640000000003</v>
      </c>
      <c r="R1248" s="2" t="str">
        <f>HYPERLINK("https://www.google.com/maps?q=-19.6487710,-43.9036400","Abrir no Google Maps")</f>
        <v>Abrir no Google Maps</v>
      </c>
      <c r="S1248">
        <v>4</v>
      </c>
      <c r="T1248">
        <v>206.63717887005251</v>
      </c>
      <c r="U1248">
        <v>4</v>
      </c>
      <c r="V1248">
        <v>0.53441484546066453</v>
      </c>
      <c r="W1248">
        <v>1</v>
      </c>
      <c r="X1248">
        <v>0.53441484546066453</v>
      </c>
      <c r="Y1248">
        <v>1</v>
      </c>
      <c r="Z1248">
        <v>200.80459056276209</v>
      </c>
      <c r="AA1248">
        <v>2</v>
      </c>
      <c r="AB1248">
        <v>3</v>
      </c>
      <c r="AC1248">
        <v>7</v>
      </c>
      <c r="AD1248">
        <v>26.84</v>
      </c>
      <c r="AE1248">
        <v>253</v>
      </c>
      <c r="AF1248">
        <v>17</v>
      </c>
      <c r="AG1248">
        <v>63</v>
      </c>
      <c r="AH1248">
        <v>32</v>
      </c>
      <c r="AI1248">
        <v>6.72</v>
      </c>
      <c r="AJ1248">
        <v>24.9</v>
      </c>
      <c r="AK1248">
        <v>12.65</v>
      </c>
      <c r="AL1248">
        <v>-19.648938299999969</v>
      </c>
      <c r="AM1248">
        <v>-43.903687287450857</v>
      </c>
      <c r="AN1248">
        <v>-19.648938299999969</v>
      </c>
      <c r="AO1248">
        <v>-43.903687287450857</v>
      </c>
      <c r="AP1248">
        <v>-19.648771</v>
      </c>
      <c r="AQ1248">
        <v>-43.903640000000003</v>
      </c>
      <c r="AR1248">
        <v>19.272369946853829</v>
      </c>
      <c r="AS1248" t="s">
        <v>65</v>
      </c>
      <c r="AT1248">
        <v>1</v>
      </c>
      <c r="AU1248" t="s">
        <v>271</v>
      </c>
      <c r="AV1248" t="s">
        <v>272</v>
      </c>
      <c r="AW1248" t="s">
        <v>60</v>
      </c>
      <c r="AX1248" t="s">
        <v>68</v>
      </c>
      <c r="AY1248" t="s">
        <v>69</v>
      </c>
      <c r="AZ1248" t="b">
        <v>1</v>
      </c>
    </row>
    <row r="1249" spans="1:52" x14ac:dyDescent="0.3">
      <c r="A1249" t="s">
        <v>52</v>
      </c>
      <c r="B1249" t="s">
        <v>53</v>
      </c>
      <c r="C1249" t="s">
        <v>54</v>
      </c>
      <c r="D1249" t="s">
        <v>55</v>
      </c>
      <c r="E1249" t="s">
        <v>831</v>
      </c>
      <c r="F1249" t="s">
        <v>57</v>
      </c>
      <c r="G1249" t="s">
        <v>162</v>
      </c>
      <c r="H1249" t="s">
        <v>163</v>
      </c>
      <c r="I1249" t="s">
        <v>163</v>
      </c>
      <c r="J1249" t="s">
        <v>60</v>
      </c>
      <c r="K1249" t="s">
        <v>164</v>
      </c>
      <c r="L1249" t="s">
        <v>62</v>
      </c>
      <c r="M1249" t="s">
        <v>164</v>
      </c>
      <c r="N1249" t="s">
        <v>165</v>
      </c>
      <c r="O1249" t="s">
        <v>166</v>
      </c>
      <c r="P1249">
        <v>-19.650033000000001</v>
      </c>
      <c r="Q1249">
        <v>-43.904634000000001</v>
      </c>
      <c r="R1249" s="2" t="str">
        <f>HYPERLINK("https://www.google.com/maps?q=-19.6500330,-43.9046340","Abrir no Google Maps")</f>
        <v>Abrir no Google Maps</v>
      </c>
      <c r="S1249">
        <v>4</v>
      </c>
      <c r="T1249">
        <v>343.61469317865811</v>
      </c>
      <c r="U1249">
        <v>4</v>
      </c>
      <c r="V1249">
        <v>0.5333368462877367</v>
      </c>
      <c r="W1249">
        <v>1</v>
      </c>
      <c r="X1249">
        <v>0.5333368462877367</v>
      </c>
      <c r="Y1249">
        <v>1</v>
      </c>
      <c r="Z1249">
        <v>351.81960241626399</v>
      </c>
      <c r="AA1249">
        <v>2</v>
      </c>
      <c r="AB1249">
        <v>3</v>
      </c>
      <c r="AC1249">
        <v>7</v>
      </c>
      <c r="AD1249">
        <v>26.84</v>
      </c>
      <c r="AE1249">
        <v>253</v>
      </c>
      <c r="AF1249">
        <v>17</v>
      </c>
      <c r="AG1249">
        <v>63</v>
      </c>
      <c r="AH1249">
        <v>32</v>
      </c>
      <c r="AI1249">
        <v>6.72</v>
      </c>
      <c r="AJ1249">
        <v>24.9</v>
      </c>
      <c r="AK1249">
        <v>12.65</v>
      </c>
      <c r="AL1249">
        <v>-19.650065899999959</v>
      </c>
      <c r="AM1249">
        <v>-43.904619920569793</v>
      </c>
      <c r="AN1249">
        <v>-19.650065899999959</v>
      </c>
      <c r="AO1249">
        <v>-43.904619920569793</v>
      </c>
      <c r="AP1249">
        <v>-19.650033000000001</v>
      </c>
      <c r="AQ1249">
        <v>-43.904634000000001</v>
      </c>
      <c r="AR1249">
        <v>3.9486827164921792</v>
      </c>
      <c r="AS1249" t="s">
        <v>65</v>
      </c>
      <c r="AT1249">
        <v>1</v>
      </c>
      <c r="AU1249" t="s">
        <v>167</v>
      </c>
      <c r="AV1249" t="s">
        <v>168</v>
      </c>
      <c r="AW1249" t="s">
        <v>60</v>
      </c>
      <c r="AX1249" t="s">
        <v>68</v>
      </c>
      <c r="AY1249" t="s">
        <v>69</v>
      </c>
      <c r="AZ1249" t="b">
        <v>1</v>
      </c>
    </row>
    <row r="1250" spans="1:52" x14ac:dyDescent="0.3">
      <c r="A1250" t="s">
        <v>52</v>
      </c>
      <c r="B1250" t="s">
        <v>53</v>
      </c>
      <c r="C1250" t="s">
        <v>54</v>
      </c>
      <c r="D1250" t="s">
        <v>55</v>
      </c>
      <c r="E1250" t="s">
        <v>831</v>
      </c>
      <c r="F1250" t="s">
        <v>57</v>
      </c>
      <c r="G1250" t="s">
        <v>273</v>
      </c>
      <c r="H1250" t="s">
        <v>274</v>
      </c>
      <c r="I1250" t="s">
        <v>274</v>
      </c>
      <c r="J1250" t="s">
        <v>60</v>
      </c>
      <c r="K1250" t="s">
        <v>171</v>
      </c>
      <c r="L1250" t="s">
        <v>62</v>
      </c>
      <c r="M1250" t="s">
        <v>171</v>
      </c>
      <c r="N1250" t="s">
        <v>275</v>
      </c>
      <c r="O1250" t="s">
        <v>276</v>
      </c>
      <c r="P1250">
        <v>-19.679956000000001</v>
      </c>
      <c r="Q1250">
        <v>-43.888520999999997</v>
      </c>
      <c r="R1250" s="2" t="str">
        <f>HYPERLINK("https://www.google.com/maps?q=-19.6799560,-43.8885210","Abrir no Google Maps")</f>
        <v>Abrir no Google Maps</v>
      </c>
      <c r="S1250">
        <v>4</v>
      </c>
      <c r="T1250">
        <v>346.2974251077423</v>
      </c>
      <c r="U1250">
        <v>4</v>
      </c>
      <c r="V1250">
        <v>0.48248580117796341</v>
      </c>
      <c r="W1250">
        <v>1</v>
      </c>
      <c r="X1250">
        <v>0.48248580117796341</v>
      </c>
      <c r="Y1250">
        <v>0</v>
      </c>
      <c r="Z1250">
        <v>223.68420981797229</v>
      </c>
      <c r="AA1250">
        <v>2</v>
      </c>
      <c r="AB1250">
        <v>3</v>
      </c>
      <c r="AC1250">
        <v>7</v>
      </c>
      <c r="AD1250">
        <v>26.84</v>
      </c>
      <c r="AE1250">
        <v>253</v>
      </c>
      <c r="AF1250">
        <v>17</v>
      </c>
      <c r="AG1250">
        <v>63</v>
      </c>
      <c r="AH1250">
        <v>32</v>
      </c>
      <c r="AI1250">
        <v>6.72</v>
      </c>
      <c r="AJ1250">
        <v>24.9</v>
      </c>
      <c r="AK1250">
        <v>12.65</v>
      </c>
      <c r="AL1250">
        <v>-19.67989189999998</v>
      </c>
      <c r="AM1250">
        <v>-43.888485157753777</v>
      </c>
      <c r="AN1250">
        <v>-19.67989189999998</v>
      </c>
      <c r="AO1250">
        <v>-43.888485157753777</v>
      </c>
      <c r="AP1250">
        <v>-19.679956000000001</v>
      </c>
      <c r="AQ1250">
        <v>-43.888520999999997</v>
      </c>
      <c r="AR1250">
        <v>8.0641961934087583</v>
      </c>
      <c r="AS1250" t="s">
        <v>65</v>
      </c>
      <c r="AT1250">
        <v>1</v>
      </c>
      <c r="AU1250" t="s">
        <v>277</v>
      </c>
      <c r="AV1250" t="s">
        <v>278</v>
      </c>
      <c r="AW1250" t="s">
        <v>60</v>
      </c>
      <c r="AX1250" t="s">
        <v>68</v>
      </c>
      <c r="AY1250" t="s">
        <v>69</v>
      </c>
      <c r="AZ1250" t="b">
        <v>1</v>
      </c>
    </row>
    <row r="1251" spans="1:52" x14ac:dyDescent="0.3">
      <c r="A1251" t="s">
        <v>52</v>
      </c>
      <c r="B1251" t="s">
        <v>53</v>
      </c>
      <c r="C1251" t="s">
        <v>54</v>
      </c>
      <c r="D1251" t="s">
        <v>55</v>
      </c>
      <c r="E1251" t="s">
        <v>831</v>
      </c>
      <c r="F1251" t="s">
        <v>176</v>
      </c>
      <c r="G1251" t="s">
        <v>97</v>
      </c>
      <c r="H1251" t="s">
        <v>98</v>
      </c>
      <c r="I1251" t="s">
        <v>98</v>
      </c>
      <c r="J1251" t="s">
        <v>60</v>
      </c>
      <c r="K1251" t="s">
        <v>99</v>
      </c>
      <c r="L1251" t="s">
        <v>62</v>
      </c>
      <c r="M1251" t="s">
        <v>99</v>
      </c>
      <c r="N1251" t="s">
        <v>100</v>
      </c>
      <c r="O1251" t="s">
        <v>101</v>
      </c>
      <c r="P1251">
        <v>-19.629822000000001</v>
      </c>
      <c r="Q1251">
        <v>-43.905341</v>
      </c>
      <c r="R1251" s="2" t="str">
        <f>HYPERLINK("https://www.google.com/maps?q=-19.6298220,-43.9053410","Abrir no Google Maps")</f>
        <v>Abrir no Google Maps</v>
      </c>
      <c r="S1251">
        <v>4</v>
      </c>
      <c r="T1251">
        <v>441.30597341744129</v>
      </c>
      <c r="U1251">
        <v>3</v>
      </c>
      <c r="V1251">
        <v>0.43705621924151827</v>
      </c>
      <c r="W1251">
        <v>1</v>
      </c>
      <c r="X1251">
        <v>0.43705621924151827</v>
      </c>
      <c r="Y1251">
        <v>10</v>
      </c>
      <c r="Z1251">
        <v>513.56493751010987</v>
      </c>
      <c r="AA1251">
        <v>2</v>
      </c>
      <c r="AB1251">
        <v>3</v>
      </c>
      <c r="AC1251">
        <v>7</v>
      </c>
      <c r="AD1251">
        <v>26.84</v>
      </c>
      <c r="AE1251">
        <v>253</v>
      </c>
      <c r="AF1251">
        <v>17</v>
      </c>
      <c r="AG1251">
        <v>63</v>
      </c>
      <c r="AH1251">
        <v>32</v>
      </c>
      <c r="AI1251">
        <v>6.72</v>
      </c>
      <c r="AJ1251">
        <v>24.9</v>
      </c>
      <c r="AK1251">
        <v>12.65</v>
      </c>
      <c r="AL1251">
        <v>-19.629671599999941</v>
      </c>
      <c r="AM1251">
        <v>-43.905369597920988</v>
      </c>
      <c r="AN1251">
        <v>-19.629671599999931</v>
      </c>
      <c r="AO1251">
        <v>-43.905369597920988</v>
      </c>
      <c r="AP1251">
        <v>-19.629822000000001</v>
      </c>
      <c r="AQ1251">
        <v>-43.905341</v>
      </c>
      <c r="AR1251">
        <v>17.008917699186132</v>
      </c>
      <c r="AS1251" t="s">
        <v>65</v>
      </c>
      <c r="AT1251">
        <v>1</v>
      </c>
      <c r="AU1251" t="s">
        <v>102</v>
      </c>
      <c r="AV1251" t="s">
        <v>103</v>
      </c>
      <c r="AW1251" t="s">
        <v>60</v>
      </c>
      <c r="AX1251" t="s">
        <v>68</v>
      </c>
      <c r="AY1251" t="s">
        <v>69</v>
      </c>
      <c r="AZ1251" t="b">
        <v>1</v>
      </c>
    </row>
    <row r="1252" spans="1:52" x14ac:dyDescent="0.3">
      <c r="A1252" t="s">
        <v>52</v>
      </c>
      <c r="B1252" t="s">
        <v>53</v>
      </c>
      <c r="C1252" t="s">
        <v>54</v>
      </c>
      <c r="D1252" t="s">
        <v>55</v>
      </c>
      <c r="E1252" t="s">
        <v>831</v>
      </c>
      <c r="F1252" t="s">
        <v>176</v>
      </c>
      <c r="G1252" t="s">
        <v>177</v>
      </c>
      <c r="H1252" t="s">
        <v>178</v>
      </c>
      <c r="I1252" t="s">
        <v>178</v>
      </c>
      <c r="J1252" t="s">
        <v>60</v>
      </c>
      <c r="K1252" t="s">
        <v>179</v>
      </c>
      <c r="L1252" t="s">
        <v>62</v>
      </c>
      <c r="M1252" t="s">
        <v>179</v>
      </c>
      <c r="N1252" t="s">
        <v>180</v>
      </c>
      <c r="O1252" t="s">
        <v>120</v>
      </c>
      <c r="P1252">
        <v>-19.651526</v>
      </c>
      <c r="Q1252">
        <v>-43.891382999999998</v>
      </c>
      <c r="R1252" s="2" t="str">
        <f>HYPERLINK("https://www.google.com/maps?q=-19.6515260,-43.8913830","Abrir no Google Maps")</f>
        <v>Abrir no Google Maps</v>
      </c>
      <c r="S1252">
        <v>4</v>
      </c>
      <c r="T1252">
        <v>925.67779296789433</v>
      </c>
      <c r="U1252">
        <v>3</v>
      </c>
      <c r="V1252">
        <v>0.44709869962008891</v>
      </c>
      <c r="W1252">
        <v>1</v>
      </c>
      <c r="X1252">
        <v>0.44709869962008891</v>
      </c>
      <c r="Y1252">
        <v>7</v>
      </c>
      <c r="Z1252">
        <v>1193.102297436121</v>
      </c>
      <c r="AA1252">
        <v>2</v>
      </c>
      <c r="AB1252">
        <v>3</v>
      </c>
      <c r="AC1252">
        <v>7</v>
      </c>
      <c r="AD1252">
        <v>26.84</v>
      </c>
      <c r="AE1252">
        <v>253</v>
      </c>
      <c r="AF1252">
        <v>17</v>
      </c>
      <c r="AG1252">
        <v>63</v>
      </c>
      <c r="AH1252">
        <v>32</v>
      </c>
      <c r="AI1252">
        <v>6.72</v>
      </c>
      <c r="AJ1252">
        <v>24.9</v>
      </c>
      <c r="AK1252">
        <v>12.65</v>
      </c>
      <c r="AL1252">
        <v>-19.651590199999958</v>
      </c>
      <c r="AM1252">
        <v>-43.891399191449963</v>
      </c>
      <c r="AN1252">
        <v>-19.651590199999958</v>
      </c>
      <c r="AO1252">
        <v>-43.891399191449963</v>
      </c>
      <c r="AP1252">
        <v>-19.651526</v>
      </c>
      <c r="AQ1252">
        <v>-43.891382999999998</v>
      </c>
      <c r="AR1252">
        <v>7.3455622550785931</v>
      </c>
      <c r="AS1252" t="s">
        <v>65</v>
      </c>
      <c r="AT1252">
        <v>1</v>
      </c>
      <c r="AU1252" t="s">
        <v>181</v>
      </c>
      <c r="AV1252" t="s">
        <v>182</v>
      </c>
      <c r="AW1252" t="s">
        <v>60</v>
      </c>
      <c r="AX1252" t="s">
        <v>68</v>
      </c>
      <c r="AY1252" t="s">
        <v>69</v>
      </c>
      <c r="AZ1252" t="b">
        <v>1</v>
      </c>
    </row>
    <row r="1253" spans="1:52" x14ac:dyDescent="0.3">
      <c r="A1253" t="s">
        <v>52</v>
      </c>
      <c r="B1253" t="s">
        <v>53</v>
      </c>
      <c r="C1253" t="s">
        <v>54</v>
      </c>
      <c r="D1253" t="s">
        <v>55</v>
      </c>
      <c r="E1253" t="s">
        <v>831</v>
      </c>
      <c r="F1253" t="s">
        <v>176</v>
      </c>
      <c r="G1253" t="s">
        <v>104</v>
      </c>
      <c r="H1253" t="s">
        <v>105</v>
      </c>
      <c r="I1253" t="s">
        <v>105</v>
      </c>
      <c r="J1253" t="s">
        <v>60</v>
      </c>
      <c r="K1253" t="s">
        <v>99</v>
      </c>
      <c r="L1253" t="s">
        <v>62</v>
      </c>
      <c r="M1253" t="s">
        <v>99</v>
      </c>
      <c r="N1253" t="s">
        <v>106</v>
      </c>
      <c r="O1253" t="s">
        <v>107</v>
      </c>
      <c r="P1253">
        <v>-19.627993</v>
      </c>
      <c r="Q1253">
        <v>-43.904820000000001</v>
      </c>
      <c r="R1253" s="2" t="str">
        <f>HYPERLINK("https://www.google.com/maps?q=-19.6279930,-43.9048200","Abrir no Google Maps")</f>
        <v>Abrir no Google Maps</v>
      </c>
      <c r="S1253">
        <v>4</v>
      </c>
      <c r="T1253">
        <v>573.16526621674666</v>
      </c>
      <c r="U1253">
        <v>3</v>
      </c>
      <c r="V1253">
        <v>0.423026273019323</v>
      </c>
      <c r="W1253">
        <v>1</v>
      </c>
      <c r="X1253">
        <v>0.423026273019323</v>
      </c>
      <c r="Y1253">
        <v>7</v>
      </c>
      <c r="Z1253">
        <v>659.04372306144853</v>
      </c>
      <c r="AA1253">
        <v>2</v>
      </c>
      <c r="AB1253">
        <v>3</v>
      </c>
      <c r="AC1253">
        <v>7</v>
      </c>
      <c r="AD1253">
        <v>26.84</v>
      </c>
      <c r="AE1253">
        <v>253</v>
      </c>
      <c r="AF1253">
        <v>17</v>
      </c>
      <c r="AG1253">
        <v>63</v>
      </c>
      <c r="AH1253">
        <v>32</v>
      </c>
      <c r="AI1253">
        <v>6.72</v>
      </c>
      <c r="AJ1253">
        <v>24.9</v>
      </c>
      <c r="AK1253">
        <v>12.65</v>
      </c>
      <c r="AL1253">
        <v>-19.627956249999951</v>
      </c>
      <c r="AM1253">
        <v>-43.904807634206207</v>
      </c>
      <c r="AN1253">
        <v>-19.627956249999951</v>
      </c>
      <c r="AO1253">
        <v>-43.904807634206207</v>
      </c>
      <c r="AP1253">
        <v>-19.627993</v>
      </c>
      <c r="AQ1253">
        <v>-43.904820000000001</v>
      </c>
      <c r="AR1253">
        <v>4.291557430205998</v>
      </c>
      <c r="AS1253" t="s">
        <v>65</v>
      </c>
      <c r="AT1253">
        <v>1</v>
      </c>
      <c r="AU1253" t="s">
        <v>108</v>
      </c>
      <c r="AV1253" t="s">
        <v>103</v>
      </c>
      <c r="AW1253" t="s">
        <v>60</v>
      </c>
      <c r="AX1253" t="s">
        <v>68</v>
      </c>
      <c r="AY1253" t="s">
        <v>69</v>
      </c>
      <c r="AZ1253" t="b">
        <v>1</v>
      </c>
    </row>
    <row r="1254" spans="1:52" x14ac:dyDescent="0.3">
      <c r="A1254" t="s">
        <v>52</v>
      </c>
      <c r="B1254" t="s">
        <v>53</v>
      </c>
      <c r="C1254" t="s">
        <v>54</v>
      </c>
      <c r="D1254" t="s">
        <v>55</v>
      </c>
      <c r="E1254" t="s">
        <v>831</v>
      </c>
      <c r="F1254" t="s">
        <v>176</v>
      </c>
      <c r="G1254" t="s">
        <v>190</v>
      </c>
      <c r="H1254" t="s">
        <v>191</v>
      </c>
      <c r="I1254" t="s">
        <v>191</v>
      </c>
      <c r="J1254" t="s">
        <v>60</v>
      </c>
      <c r="K1254" t="s">
        <v>192</v>
      </c>
      <c r="L1254" t="s">
        <v>62</v>
      </c>
      <c r="M1254" t="s">
        <v>192</v>
      </c>
      <c r="N1254" t="s">
        <v>193</v>
      </c>
      <c r="O1254" t="s">
        <v>194</v>
      </c>
      <c r="P1254">
        <v>-19.654112000000001</v>
      </c>
      <c r="Q1254">
        <v>-43.910761999999998</v>
      </c>
      <c r="R1254" s="2" t="str">
        <f>HYPERLINK("https://www.google.com/maps?q=-19.6541120,-43.9107620","Abrir no Google Maps")</f>
        <v>Abrir no Google Maps</v>
      </c>
      <c r="S1254">
        <v>4</v>
      </c>
      <c r="T1254">
        <v>1080.0524626304521</v>
      </c>
      <c r="U1254">
        <v>3</v>
      </c>
      <c r="V1254">
        <v>0.411844581199654</v>
      </c>
      <c r="W1254">
        <v>1</v>
      </c>
      <c r="X1254">
        <v>0.411844581199654</v>
      </c>
      <c r="Y1254">
        <v>4</v>
      </c>
      <c r="Z1254">
        <v>666.99022879086885</v>
      </c>
      <c r="AA1254">
        <v>2</v>
      </c>
      <c r="AB1254">
        <v>3</v>
      </c>
      <c r="AC1254">
        <v>7</v>
      </c>
      <c r="AD1254">
        <v>26.84</v>
      </c>
      <c r="AE1254">
        <v>253</v>
      </c>
      <c r="AF1254">
        <v>17</v>
      </c>
      <c r="AG1254">
        <v>63</v>
      </c>
      <c r="AH1254">
        <v>32</v>
      </c>
      <c r="AI1254">
        <v>6.72</v>
      </c>
      <c r="AJ1254">
        <v>24.9</v>
      </c>
      <c r="AK1254">
        <v>12.65</v>
      </c>
      <c r="AL1254">
        <v>-19.653869149999959</v>
      </c>
      <c r="AM1254">
        <v>-43.911142816432779</v>
      </c>
      <c r="AN1254">
        <v>-19.653869149999959</v>
      </c>
      <c r="AO1254">
        <v>-43.911142816432779</v>
      </c>
      <c r="AP1254">
        <v>-19.654112000000001</v>
      </c>
      <c r="AQ1254">
        <v>-43.910761999999998</v>
      </c>
      <c r="AR1254">
        <v>48.214810864237499</v>
      </c>
      <c r="AS1254" t="s">
        <v>65</v>
      </c>
      <c r="AT1254">
        <v>1</v>
      </c>
      <c r="AU1254" t="s">
        <v>195</v>
      </c>
      <c r="AV1254" t="s">
        <v>196</v>
      </c>
      <c r="AW1254" t="s">
        <v>60</v>
      </c>
      <c r="AX1254" t="s">
        <v>68</v>
      </c>
      <c r="AY1254" t="s">
        <v>69</v>
      </c>
      <c r="AZ1254" t="b">
        <v>1</v>
      </c>
    </row>
    <row r="1255" spans="1:52" x14ac:dyDescent="0.3">
      <c r="A1255" t="s">
        <v>52</v>
      </c>
      <c r="B1255" t="s">
        <v>53</v>
      </c>
      <c r="C1255" t="s">
        <v>54</v>
      </c>
      <c r="D1255" t="s">
        <v>55</v>
      </c>
      <c r="E1255" t="s">
        <v>831</v>
      </c>
      <c r="F1255" t="s">
        <v>176</v>
      </c>
      <c r="G1255" t="s">
        <v>204</v>
      </c>
      <c r="H1255" t="s">
        <v>205</v>
      </c>
      <c r="I1255" t="s">
        <v>205</v>
      </c>
      <c r="J1255" t="s">
        <v>60</v>
      </c>
      <c r="K1255" t="s">
        <v>171</v>
      </c>
      <c r="L1255" t="s">
        <v>62</v>
      </c>
      <c r="M1255" t="s">
        <v>171</v>
      </c>
      <c r="N1255" t="s">
        <v>206</v>
      </c>
      <c r="O1255" t="s">
        <v>207</v>
      </c>
      <c r="P1255">
        <v>-19.674109000000001</v>
      </c>
      <c r="Q1255">
        <v>-43.890711000000003</v>
      </c>
      <c r="R1255" s="2" t="str">
        <f>HYPERLINK("https://www.google.com/maps?q=-19.6741090,-43.8907110","Abrir no Google Maps")</f>
        <v>Abrir no Google Maps</v>
      </c>
      <c r="S1255">
        <v>4</v>
      </c>
      <c r="T1255">
        <v>396.53059443764772</v>
      </c>
      <c r="U1255">
        <v>3</v>
      </c>
      <c r="V1255">
        <v>0.44532836336403242</v>
      </c>
      <c r="W1255">
        <v>1</v>
      </c>
      <c r="X1255">
        <v>0.44532836336403242</v>
      </c>
      <c r="Y1255">
        <v>3</v>
      </c>
      <c r="Z1255">
        <v>499.22520255557538</v>
      </c>
      <c r="AA1255">
        <v>2</v>
      </c>
      <c r="AB1255">
        <v>3</v>
      </c>
      <c r="AC1255">
        <v>7</v>
      </c>
      <c r="AD1255">
        <v>26.84</v>
      </c>
      <c r="AE1255">
        <v>253</v>
      </c>
      <c r="AF1255">
        <v>17</v>
      </c>
      <c r="AG1255">
        <v>63</v>
      </c>
      <c r="AH1255">
        <v>32</v>
      </c>
      <c r="AI1255">
        <v>6.72</v>
      </c>
      <c r="AJ1255">
        <v>24.9</v>
      </c>
      <c r="AK1255">
        <v>12.65</v>
      </c>
      <c r="AL1255">
        <v>-19.67362479999997</v>
      </c>
      <c r="AM1255">
        <v>-43.89068378253377</v>
      </c>
      <c r="AN1255">
        <v>-19.67362479999997</v>
      </c>
      <c r="AO1255">
        <v>-43.89068378253377</v>
      </c>
      <c r="AP1255">
        <v>-19.674109000000001</v>
      </c>
      <c r="AQ1255">
        <v>-43.890711000000003</v>
      </c>
      <c r="AR1255">
        <v>53.976595260276227</v>
      </c>
      <c r="AS1255" t="s">
        <v>65</v>
      </c>
      <c r="AT1255">
        <v>1</v>
      </c>
      <c r="AU1255" t="s">
        <v>208</v>
      </c>
      <c r="AV1255" t="s">
        <v>209</v>
      </c>
      <c r="AW1255" t="s">
        <v>60</v>
      </c>
      <c r="AX1255" t="s">
        <v>68</v>
      </c>
      <c r="AY1255" t="s">
        <v>69</v>
      </c>
      <c r="AZ1255" t="b">
        <v>1</v>
      </c>
    </row>
    <row r="1256" spans="1:52" x14ac:dyDescent="0.3">
      <c r="A1256" t="s">
        <v>52</v>
      </c>
      <c r="B1256" t="s">
        <v>53</v>
      </c>
      <c r="C1256" t="s">
        <v>54</v>
      </c>
      <c r="D1256" t="s">
        <v>55</v>
      </c>
      <c r="E1256" t="s">
        <v>831</v>
      </c>
      <c r="F1256" t="s">
        <v>176</v>
      </c>
      <c r="G1256" t="s">
        <v>438</v>
      </c>
      <c r="H1256" t="s">
        <v>627</v>
      </c>
      <c r="I1256" t="s">
        <v>627</v>
      </c>
      <c r="J1256" t="s">
        <v>60</v>
      </c>
      <c r="K1256" t="s">
        <v>628</v>
      </c>
      <c r="L1256" t="s">
        <v>62</v>
      </c>
      <c r="M1256" t="s">
        <v>628</v>
      </c>
      <c r="N1256" t="s">
        <v>629</v>
      </c>
      <c r="O1256" t="s">
        <v>120</v>
      </c>
      <c r="P1256">
        <v>-19.628743</v>
      </c>
      <c r="Q1256">
        <v>-43.943513000000003</v>
      </c>
      <c r="R1256" s="2" t="str">
        <f>HYPERLINK("https://www.google.com/maps?q=-19.6287430,-43.9435130","Abrir no Google Maps")</f>
        <v>Abrir no Google Maps</v>
      </c>
      <c r="S1256">
        <v>4</v>
      </c>
      <c r="T1256">
        <v>3557.9101481053699</v>
      </c>
      <c r="U1256">
        <v>3</v>
      </c>
      <c r="V1256">
        <v>0.47716564532580658</v>
      </c>
      <c r="W1256">
        <v>0.85</v>
      </c>
      <c r="X1256">
        <v>0.40559079852693558</v>
      </c>
      <c r="Y1256">
        <v>3</v>
      </c>
      <c r="Z1256">
        <v>2502.7249183190038</v>
      </c>
      <c r="AA1256">
        <v>2</v>
      </c>
      <c r="AB1256">
        <v>3</v>
      </c>
      <c r="AC1256">
        <v>7</v>
      </c>
      <c r="AD1256">
        <v>26.84</v>
      </c>
      <c r="AE1256">
        <v>253</v>
      </c>
      <c r="AF1256">
        <v>17</v>
      </c>
      <c r="AG1256">
        <v>63</v>
      </c>
      <c r="AH1256">
        <v>32</v>
      </c>
      <c r="AI1256">
        <v>6.72</v>
      </c>
      <c r="AJ1256">
        <v>24.9</v>
      </c>
      <c r="AK1256">
        <v>12.65</v>
      </c>
      <c r="AL1256">
        <v>-19.629071349999951</v>
      </c>
      <c r="AM1256">
        <v>-43.948698793409463</v>
      </c>
      <c r="AN1256">
        <v>-19.629071349999951</v>
      </c>
      <c r="AO1256">
        <v>-43.948698793409463</v>
      </c>
      <c r="AP1256">
        <v>-19.628743</v>
      </c>
      <c r="AQ1256">
        <v>-43.943513000000003</v>
      </c>
      <c r="AR1256">
        <v>544.96217050785538</v>
      </c>
      <c r="AS1256" t="s">
        <v>65</v>
      </c>
      <c r="AT1256">
        <v>1</v>
      </c>
      <c r="AU1256" t="s">
        <v>630</v>
      </c>
      <c r="AV1256" t="s">
        <v>631</v>
      </c>
      <c r="AW1256" t="s">
        <v>60</v>
      </c>
      <c r="AX1256" t="s">
        <v>68</v>
      </c>
      <c r="AY1256" t="s">
        <v>69</v>
      </c>
      <c r="AZ1256" t="b">
        <v>1</v>
      </c>
    </row>
    <row r="1257" spans="1:52" x14ac:dyDescent="0.3">
      <c r="A1257" t="s">
        <v>52</v>
      </c>
      <c r="B1257" t="s">
        <v>53</v>
      </c>
      <c r="C1257" t="s">
        <v>54</v>
      </c>
      <c r="D1257" t="s">
        <v>55</v>
      </c>
      <c r="E1257" t="s">
        <v>831</v>
      </c>
      <c r="F1257" t="s">
        <v>176</v>
      </c>
      <c r="G1257" t="s">
        <v>197</v>
      </c>
      <c r="H1257" t="s">
        <v>224</v>
      </c>
      <c r="I1257" t="s">
        <v>224</v>
      </c>
      <c r="J1257" t="s">
        <v>60</v>
      </c>
      <c r="K1257" t="s">
        <v>199</v>
      </c>
      <c r="L1257" t="s">
        <v>62</v>
      </c>
      <c r="M1257" t="s">
        <v>199</v>
      </c>
      <c r="N1257" t="s">
        <v>200</v>
      </c>
      <c r="O1257" t="s">
        <v>225</v>
      </c>
      <c r="P1257">
        <v>-19.637217</v>
      </c>
      <c r="Q1257">
        <v>-43.916117</v>
      </c>
      <c r="R1257" s="2" t="str">
        <f>HYPERLINK("https://www.google.com/maps?q=-19.6372170,-43.9161170","Abrir no Google Maps")</f>
        <v>Abrir no Google Maps</v>
      </c>
      <c r="S1257">
        <v>4</v>
      </c>
      <c r="T1257">
        <v>0</v>
      </c>
      <c r="U1257">
        <v>3</v>
      </c>
      <c r="V1257">
        <v>0.4568252060477539</v>
      </c>
      <c r="W1257">
        <v>1</v>
      </c>
      <c r="X1257">
        <v>0.4568252060477539</v>
      </c>
      <c r="Y1257">
        <v>3</v>
      </c>
      <c r="Z1257">
        <v>94.289538231800577</v>
      </c>
      <c r="AA1257">
        <v>2</v>
      </c>
      <c r="AB1257">
        <v>3</v>
      </c>
      <c r="AC1257">
        <v>7</v>
      </c>
      <c r="AD1257">
        <v>26.84</v>
      </c>
      <c r="AE1257">
        <v>253</v>
      </c>
      <c r="AF1257">
        <v>17</v>
      </c>
      <c r="AG1257">
        <v>63</v>
      </c>
      <c r="AH1257">
        <v>32</v>
      </c>
      <c r="AI1257">
        <v>6.72</v>
      </c>
      <c r="AJ1257">
        <v>24.9</v>
      </c>
      <c r="AK1257">
        <v>12.65</v>
      </c>
      <c r="AL1257">
        <v>-19.63714454999996</v>
      </c>
      <c r="AM1257">
        <v>-43.915856532303224</v>
      </c>
      <c r="AN1257">
        <v>-19.63714454999996</v>
      </c>
      <c r="AO1257">
        <v>-43.915856532303224</v>
      </c>
      <c r="AP1257">
        <v>-19.637217</v>
      </c>
      <c r="AQ1257">
        <v>-43.916117</v>
      </c>
      <c r="AR1257">
        <v>28.47493692061667</v>
      </c>
      <c r="AS1257" t="s">
        <v>65</v>
      </c>
      <c r="AT1257">
        <v>1</v>
      </c>
      <c r="AU1257" t="s">
        <v>226</v>
      </c>
      <c r="AV1257" t="s">
        <v>227</v>
      </c>
      <c r="AW1257" t="s">
        <v>60</v>
      </c>
      <c r="AX1257" t="s">
        <v>68</v>
      </c>
      <c r="AY1257" t="s">
        <v>69</v>
      </c>
      <c r="AZ1257" t="b">
        <v>1</v>
      </c>
    </row>
    <row r="1258" spans="1:52" x14ac:dyDescent="0.3">
      <c r="A1258" t="s">
        <v>52</v>
      </c>
      <c r="B1258" t="s">
        <v>53</v>
      </c>
      <c r="C1258" t="s">
        <v>54</v>
      </c>
      <c r="D1258" t="s">
        <v>55</v>
      </c>
      <c r="E1258" t="s">
        <v>831</v>
      </c>
      <c r="F1258" t="s">
        <v>176</v>
      </c>
      <c r="G1258" t="s">
        <v>228</v>
      </c>
      <c r="H1258" t="s">
        <v>229</v>
      </c>
      <c r="I1258" t="s">
        <v>229</v>
      </c>
      <c r="J1258" t="s">
        <v>60</v>
      </c>
      <c r="K1258" t="s">
        <v>199</v>
      </c>
      <c r="L1258" t="s">
        <v>62</v>
      </c>
      <c r="M1258" t="s">
        <v>199</v>
      </c>
      <c r="N1258" t="s">
        <v>230</v>
      </c>
      <c r="O1258" t="s">
        <v>88</v>
      </c>
      <c r="P1258">
        <v>-19.637703999999999</v>
      </c>
      <c r="Q1258">
        <v>-43.913817999999999</v>
      </c>
      <c r="R1258" s="2" t="str">
        <f>HYPERLINK("https://www.google.com/maps?q=-19.6377040,-43.9138180","Abrir no Google Maps")</f>
        <v>Abrir no Google Maps</v>
      </c>
      <c r="S1258">
        <v>4</v>
      </c>
      <c r="T1258">
        <v>216.67225021659709</v>
      </c>
      <c r="U1258">
        <v>3</v>
      </c>
      <c r="V1258">
        <v>0.44812431354814503</v>
      </c>
      <c r="W1258">
        <v>1</v>
      </c>
      <c r="X1258">
        <v>0.44812431354814503</v>
      </c>
      <c r="Y1258">
        <v>3</v>
      </c>
      <c r="Z1258">
        <v>250.25912407368671</v>
      </c>
      <c r="AA1258">
        <v>2</v>
      </c>
      <c r="AB1258">
        <v>3</v>
      </c>
      <c r="AC1258">
        <v>7</v>
      </c>
      <c r="AD1258">
        <v>26.84</v>
      </c>
      <c r="AE1258">
        <v>253</v>
      </c>
      <c r="AF1258">
        <v>17</v>
      </c>
      <c r="AG1258">
        <v>63</v>
      </c>
      <c r="AH1258">
        <v>32</v>
      </c>
      <c r="AI1258">
        <v>6.72</v>
      </c>
      <c r="AJ1258">
        <v>24.9</v>
      </c>
      <c r="AK1258">
        <v>12.65</v>
      </c>
      <c r="AL1258">
        <v>-19.637548049999939</v>
      </c>
      <c r="AM1258">
        <v>-43.91383458447649</v>
      </c>
      <c r="AN1258">
        <v>-19.637548049999939</v>
      </c>
      <c r="AO1258">
        <v>-43.91383458447649</v>
      </c>
      <c r="AP1258">
        <v>-19.637703999999999</v>
      </c>
      <c r="AQ1258">
        <v>-43.913817999999999</v>
      </c>
      <c r="AR1258">
        <v>17.44721566371809</v>
      </c>
      <c r="AS1258" t="s">
        <v>65</v>
      </c>
      <c r="AT1258">
        <v>1</v>
      </c>
      <c r="AU1258" t="s">
        <v>231</v>
      </c>
      <c r="AV1258" t="s">
        <v>232</v>
      </c>
      <c r="AW1258" t="s">
        <v>60</v>
      </c>
      <c r="AX1258" t="s">
        <v>68</v>
      </c>
      <c r="AY1258" t="s">
        <v>69</v>
      </c>
      <c r="AZ1258" t="b">
        <v>1</v>
      </c>
    </row>
    <row r="1259" spans="1:52" x14ac:dyDescent="0.3">
      <c r="A1259" t="s">
        <v>52</v>
      </c>
      <c r="B1259" t="s">
        <v>53</v>
      </c>
      <c r="C1259" t="s">
        <v>54</v>
      </c>
      <c r="D1259" t="s">
        <v>55</v>
      </c>
      <c r="E1259" t="s">
        <v>831</v>
      </c>
      <c r="F1259" t="s">
        <v>176</v>
      </c>
      <c r="G1259" t="s">
        <v>151</v>
      </c>
      <c r="H1259" t="s">
        <v>152</v>
      </c>
      <c r="I1259" t="s">
        <v>152</v>
      </c>
      <c r="J1259" t="s">
        <v>60</v>
      </c>
      <c r="K1259" t="s">
        <v>72</v>
      </c>
      <c r="L1259" t="s">
        <v>62</v>
      </c>
      <c r="M1259" t="s">
        <v>72</v>
      </c>
      <c r="N1259" t="s">
        <v>153</v>
      </c>
      <c r="O1259" t="s">
        <v>81</v>
      </c>
      <c r="P1259">
        <v>-19.635065999999998</v>
      </c>
      <c r="Q1259">
        <v>-43.916640000000001</v>
      </c>
      <c r="R1259" s="2" t="str">
        <f>HYPERLINK("https://www.google.com/maps?q=-19.6350660,-43.9166400","Abrir no Google Maps")</f>
        <v>Abrir no Google Maps</v>
      </c>
      <c r="S1259">
        <v>4</v>
      </c>
      <c r="T1259">
        <v>245.09875796292749</v>
      </c>
      <c r="U1259">
        <v>3</v>
      </c>
      <c r="V1259">
        <v>0.40958709341381422</v>
      </c>
      <c r="W1259">
        <v>1</v>
      </c>
      <c r="X1259">
        <v>0.40958709341381422</v>
      </c>
      <c r="Y1259">
        <v>3</v>
      </c>
      <c r="Z1259">
        <v>207.74356419317499</v>
      </c>
      <c r="AA1259">
        <v>2</v>
      </c>
      <c r="AB1259">
        <v>3</v>
      </c>
      <c r="AC1259">
        <v>7</v>
      </c>
      <c r="AD1259">
        <v>26.84</v>
      </c>
      <c r="AE1259">
        <v>253</v>
      </c>
      <c r="AF1259">
        <v>17</v>
      </c>
      <c r="AG1259">
        <v>63</v>
      </c>
      <c r="AH1259">
        <v>32</v>
      </c>
      <c r="AI1259">
        <v>6.72</v>
      </c>
      <c r="AJ1259">
        <v>24.9</v>
      </c>
      <c r="AK1259">
        <v>12.65</v>
      </c>
      <c r="AL1259">
        <v>-19.63505579999995</v>
      </c>
      <c r="AM1259">
        <v>-43.916633303072622</v>
      </c>
      <c r="AN1259">
        <v>-19.63505579999995</v>
      </c>
      <c r="AO1259">
        <v>-43.916633303072622</v>
      </c>
      <c r="AP1259">
        <v>-19.635065999999998</v>
      </c>
      <c r="AQ1259">
        <v>-43.916640000000001</v>
      </c>
      <c r="AR1259">
        <v>1.335026849412978</v>
      </c>
      <c r="AS1259" t="s">
        <v>65</v>
      </c>
      <c r="AT1259">
        <v>1</v>
      </c>
      <c r="AU1259" t="s">
        <v>154</v>
      </c>
      <c r="AV1259" t="s">
        <v>155</v>
      </c>
      <c r="AW1259" t="s">
        <v>60</v>
      </c>
      <c r="AX1259" t="s">
        <v>68</v>
      </c>
      <c r="AY1259" t="s">
        <v>69</v>
      </c>
      <c r="AZ1259" t="b">
        <v>1</v>
      </c>
    </row>
    <row r="1260" spans="1:52" x14ac:dyDescent="0.3">
      <c r="A1260" t="s">
        <v>52</v>
      </c>
      <c r="B1260" t="s">
        <v>53</v>
      </c>
      <c r="C1260" t="s">
        <v>54</v>
      </c>
      <c r="D1260" t="s">
        <v>55</v>
      </c>
      <c r="E1260" t="s">
        <v>831</v>
      </c>
      <c r="F1260" t="s">
        <v>176</v>
      </c>
      <c r="G1260" t="s">
        <v>156</v>
      </c>
      <c r="H1260" t="s">
        <v>157</v>
      </c>
      <c r="I1260" t="s">
        <v>157</v>
      </c>
      <c r="J1260" t="s">
        <v>60</v>
      </c>
      <c r="K1260" t="s">
        <v>79</v>
      </c>
      <c r="L1260" t="s">
        <v>62</v>
      </c>
      <c r="M1260" t="s">
        <v>79</v>
      </c>
      <c r="N1260" t="s">
        <v>158</v>
      </c>
      <c r="O1260" t="s">
        <v>159</v>
      </c>
      <c r="P1260">
        <v>-19.634687</v>
      </c>
      <c r="Q1260">
        <v>-43.912925999999999</v>
      </c>
      <c r="R1260" s="2" t="str">
        <f>HYPERLINK("https://www.google.com/maps?q=-19.6346870,-43.9129260","Abrir no Google Maps")</f>
        <v>Abrir no Google Maps</v>
      </c>
      <c r="S1260">
        <v>4</v>
      </c>
      <c r="T1260">
        <v>363.69725005634331</v>
      </c>
      <c r="U1260">
        <v>3</v>
      </c>
      <c r="V1260">
        <v>0.44466972198521498</v>
      </c>
      <c r="W1260">
        <v>1</v>
      </c>
      <c r="X1260">
        <v>0.44466972198521498</v>
      </c>
      <c r="Y1260">
        <v>3</v>
      </c>
      <c r="Z1260">
        <v>343.04088334900467</v>
      </c>
      <c r="AA1260">
        <v>2</v>
      </c>
      <c r="AB1260">
        <v>3</v>
      </c>
      <c r="AC1260">
        <v>7</v>
      </c>
      <c r="AD1260">
        <v>26.84</v>
      </c>
      <c r="AE1260">
        <v>253</v>
      </c>
      <c r="AF1260">
        <v>17</v>
      </c>
      <c r="AG1260">
        <v>63</v>
      </c>
      <c r="AH1260">
        <v>32</v>
      </c>
      <c r="AI1260">
        <v>6.72</v>
      </c>
      <c r="AJ1260">
        <v>24.9</v>
      </c>
      <c r="AK1260">
        <v>12.65</v>
      </c>
      <c r="AL1260">
        <v>-19.635145849999962</v>
      </c>
      <c r="AM1260">
        <v>-43.913103387269381</v>
      </c>
      <c r="AN1260">
        <v>-19.635145849999962</v>
      </c>
      <c r="AO1260">
        <v>-43.913103387269381</v>
      </c>
      <c r="AP1260">
        <v>-19.634687</v>
      </c>
      <c r="AQ1260">
        <v>-43.912925999999999</v>
      </c>
      <c r="AR1260">
        <v>54.359794849827942</v>
      </c>
      <c r="AS1260" t="s">
        <v>65</v>
      </c>
      <c r="AT1260">
        <v>1</v>
      </c>
      <c r="AU1260" t="s">
        <v>160</v>
      </c>
      <c r="AV1260" t="s">
        <v>161</v>
      </c>
      <c r="AW1260" t="s">
        <v>60</v>
      </c>
      <c r="AX1260" t="s">
        <v>68</v>
      </c>
      <c r="AY1260" t="s">
        <v>69</v>
      </c>
      <c r="AZ1260" t="b">
        <v>1</v>
      </c>
    </row>
    <row r="1261" spans="1:52" x14ac:dyDescent="0.3">
      <c r="A1261" t="s">
        <v>52</v>
      </c>
      <c r="B1261" t="s">
        <v>53</v>
      </c>
      <c r="C1261" t="s">
        <v>54</v>
      </c>
      <c r="D1261" t="s">
        <v>55</v>
      </c>
      <c r="E1261" t="s">
        <v>831</v>
      </c>
      <c r="F1261" t="s">
        <v>176</v>
      </c>
      <c r="G1261" t="s">
        <v>239</v>
      </c>
      <c r="H1261" t="s">
        <v>240</v>
      </c>
      <c r="I1261" t="s">
        <v>240</v>
      </c>
      <c r="J1261" t="s">
        <v>60</v>
      </c>
      <c r="K1261" t="s">
        <v>241</v>
      </c>
      <c r="L1261" t="s">
        <v>62</v>
      </c>
      <c r="M1261" t="s">
        <v>241</v>
      </c>
      <c r="N1261" t="s">
        <v>242</v>
      </c>
      <c r="O1261" t="s">
        <v>243</v>
      </c>
      <c r="P1261">
        <v>-19.64987</v>
      </c>
      <c r="Q1261">
        <v>-43.901328999999997</v>
      </c>
      <c r="R1261" s="2" t="str">
        <f>HYPERLINK("https://www.google.com/maps?q=-19.6498700,-43.9013290","Abrir no Google Maps")</f>
        <v>Abrir no Google Maps</v>
      </c>
      <c r="S1261">
        <v>4</v>
      </c>
      <c r="T1261">
        <v>379.88574886534309</v>
      </c>
      <c r="U1261">
        <v>3</v>
      </c>
      <c r="V1261">
        <v>0.39674892974061943</v>
      </c>
      <c r="W1261">
        <v>1</v>
      </c>
      <c r="X1261">
        <v>0.39674892974061943</v>
      </c>
      <c r="Y1261">
        <v>1</v>
      </c>
      <c r="Z1261">
        <v>442.33649591135162</v>
      </c>
      <c r="AA1261">
        <v>2</v>
      </c>
      <c r="AB1261">
        <v>3</v>
      </c>
      <c r="AC1261">
        <v>7</v>
      </c>
      <c r="AD1261">
        <v>26.84</v>
      </c>
      <c r="AE1261">
        <v>253</v>
      </c>
      <c r="AF1261">
        <v>17</v>
      </c>
      <c r="AG1261">
        <v>63</v>
      </c>
      <c r="AH1261">
        <v>32</v>
      </c>
      <c r="AI1261">
        <v>6.72</v>
      </c>
      <c r="AJ1261">
        <v>24.9</v>
      </c>
      <c r="AK1261">
        <v>12.65</v>
      </c>
      <c r="AL1261">
        <v>-19.64971674999995</v>
      </c>
      <c r="AM1261">
        <v>-43.901441574655102</v>
      </c>
      <c r="AN1261">
        <v>-19.64971674999995</v>
      </c>
      <c r="AO1261">
        <v>-43.901441574655102</v>
      </c>
      <c r="AP1261">
        <v>-19.64987</v>
      </c>
      <c r="AQ1261">
        <v>-43.901328999999997</v>
      </c>
      <c r="AR1261">
        <v>20.744262514610401</v>
      </c>
      <c r="AS1261" t="s">
        <v>65</v>
      </c>
      <c r="AT1261">
        <v>1</v>
      </c>
      <c r="AU1261" t="s">
        <v>244</v>
      </c>
      <c r="AV1261" t="s">
        <v>245</v>
      </c>
      <c r="AW1261" t="s">
        <v>60</v>
      </c>
      <c r="AX1261" t="s">
        <v>68</v>
      </c>
      <c r="AY1261" t="s">
        <v>69</v>
      </c>
      <c r="AZ1261" t="b">
        <v>1</v>
      </c>
    </row>
    <row r="1262" spans="1:52" x14ac:dyDescent="0.3">
      <c r="A1262" t="s">
        <v>52</v>
      </c>
      <c r="B1262" t="s">
        <v>53</v>
      </c>
      <c r="C1262" t="s">
        <v>54</v>
      </c>
      <c r="D1262" t="s">
        <v>55</v>
      </c>
      <c r="E1262" t="s">
        <v>831</v>
      </c>
      <c r="F1262" t="s">
        <v>176</v>
      </c>
      <c r="G1262" t="s">
        <v>637</v>
      </c>
      <c r="H1262" t="s">
        <v>638</v>
      </c>
      <c r="I1262" t="s">
        <v>638</v>
      </c>
      <c r="J1262" t="s">
        <v>60</v>
      </c>
      <c r="K1262" t="s">
        <v>164</v>
      </c>
      <c r="L1262" t="s">
        <v>62</v>
      </c>
      <c r="M1262" t="s">
        <v>164</v>
      </c>
      <c r="N1262" t="s">
        <v>515</v>
      </c>
      <c r="O1262" t="s">
        <v>639</v>
      </c>
      <c r="P1262">
        <v>-19.649045000000001</v>
      </c>
      <c r="Q1262">
        <v>-43.906213000000001</v>
      </c>
      <c r="R1262" s="2" t="str">
        <f>HYPERLINK("https://www.google.com/maps?q=-19.6490450,-43.9062130","Abrir no Google Maps")</f>
        <v>Abrir no Google Maps</v>
      </c>
      <c r="S1262">
        <v>4</v>
      </c>
      <c r="T1262">
        <v>354.5775313741824</v>
      </c>
      <c r="U1262">
        <v>3</v>
      </c>
      <c r="V1262">
        <v>0.47959864223240312</v>
      </c>
      <c r="W1262">
        <v>0.85</v>
      </c>
      <c r="X1262">
        <v>0.40765884589754259</v>
      </c>
      <c r="Y1262">
        <v>1</v>
      </c>
      <c r="Z1262">
        <v>313.4728845052731</v>
      </c>
      <c r="AA1262">
        <v>2</v>
      </c>
      <c r="AB1262">
        <v>3</v>
      </c>
      <c r="AC1262">
        <v>7</v>
      </c>
      <c r="AD1262">
        <v>26.84</v>
      </c>
      <c r="AE1262">
        <v>253</v>
      </c>
      <c r="AF1262">
        <v>17</v>
      </c>
      <c r="AG1262">
        <v>63</v>
      </c>
      <c r="AH1262">
        <v>32</v>
      </c>
      <c r="AI1262">
        <v>6.72</v>
      </c>
      <c r="AJ1262">
        <v>24.9</v>
      </c>
      <c r="AK1262">
        <v>12.65</v>
      </c>
      <c r="AL1262">
        <v>-19.64957229999996</v>
      </c>
      <c r="AM1262">
        <v>-43.905865971426437</v>
      </c>
      <c r="AN1262">
        <v>-19.64957229999996</v>
      </c>
      <c r="AO1262">
        <v>-43.905865971426437</v>
      </c>
      <c r="AP1262">
        <v>-19.649045000000001</v>
      </c>
      <c r="AQ1262">
        <v>-43.906213000000001</v>
      </c>
      <c r="AR1262">
        <v>69.059379686882949</v>
      </c>
      <c r="AS1262" t="s">
        <v>65</v>
      </c>
      <c r="AT1262">
        <v>1</v>
      </c>
      <c r="AU1262" t="s">
        <v>640</v>
      </c>
      <c r="AV1262" t="s">
        <v>641</v>
      </c>
      <c r="AW1262" t="s">
        <v>60</v>
      </c>
      <c r="AX1262" t="s">
        <v>68</v>
      </c>
      <c r="AY1262" t="s">
        <v>69</v>
      </c>
      <c r="AZ1262" t="b">
        <v>1</v>
      </c>
    </row>
    <row r="1263" spans="1:52" x14ac:dyDescent="0.3">
      <c r="A1263" t="s">
        <v>52</v>
      </c>
      <c r="B1263" t="s">
        <v>53</v>
      </c>
      <c r="C1263" t="s">
        <v>54</v>
      </c>
      <c r="D1263" t="s">
        <v>55</v>
      </c>
      <c r="E1263" t="s">
        <v>831</v>
      </c>
      <c r="F1263" t="s">
        <v>176</v>
      </c>
      <c r="G1263" t="s">
        <v>258</v>
      </c>
      <c r="H1263" t="s">
        <v>259</v>
      </c>
      <c r="I1263" t="s">
        <v>259</v>
      </c>
      <c r="J1263" t="s">
        <v>60</v>
      </c>
      <c r="K1263" t="s">
        <v>192</v>
      </c>
      <c r="L1263" t="s">
        <v>62</v>
      </c>
      <c r="M1263" t="s">
        <v>192</v>
      </c>
      <c r="N1263" t="s">
        <v>260</v>
      </c>
      <c r="O1263" t="s">
        <v>261</v>
      </c>
      <c r="P1263">
        <v>-19.651322</v>
      </c>
      <c r="Q1263">
        <v>-43.909526999999997</v>
      </c>
      <c r="R1263" s="2" t="str">
        <f>HYPERLINK("https://www.google.com/maps?q=-19.6513220,-43.9095270","Abrir no Google Maps")</f>
        <v>Abrir no Google Maps</v>
      </c>
      <c r="S1263">
        <v>4</v>
      </c>
      <c r="T1263">
        <v>818.75599819160288</v>
      </c>
      <c r="U1263">
        <v>3</v>
      </c>
      <c r="V1263">
        <v>0.40179360929911861</v>
      </c>
      <c r="W1263">
        <v>1</v>
      </c>
      <c r="X1263">
        <v>0.40179360929911861</v>
      </c>
      <c r="Y1263">
        <v>1</v>
      </c>
      <c r="Z1263">
        <v>730.53961508554767</v>
      </c>
      <c r="AA1263">
        <v>2</v>
      </c>
      <c r="AB1263">
        <v>3</v>
      </c>
      <c r="AC1263">
        <v>7</v>
      </c>
      <c r="AD1263">
        <v>26.84</v>
      </c>
      <c r="AE1263">
        <v>253</v>
      </c>
      <c r="AF1263">
        <v>17</v>
      </c>
      <c r="AG1263">
        <v>63</v>
      </c>
      <c r="AH1263">
        <v>32</v>
      </c>
      <c r="AI1263">
        <v>6.72</v>
      </c>
      <c r="AJ1263">
        <v>24.9</v>
      </c>
      <c r="AK1263">
        <v>12.65</v>
      </c>
      <c r="AL1263">
        <v>-19.65143184999997</v>
      </c>
      <c r="AM1263">
        <v>-43.910059983056307</v>
      </c>
      <c r="AN1263">
        <v>-19.65143184999997</v>
      </c>
      <c r="AO1263">
        <v>-43.910059983056307</v>
      </c>
      <c r="AP1263">
        <v>-19.651322</v>
      </c>
      <c r="AQ1263">
        <v>-43.909526999999997</v>
      </c>
      <c r="AR1263">
        <v>57.198416395481701</v>
      </c>
      <c r="AS1263" t="s">
        <v>65</v>
      </c>
      <c r="AT1263">
        <v>1</v>
      </c>
      <c r="AU1263" t="s">
        <v>262</v>
      </c>
      <c r="AV1263" t="s">
        <v>263</v>
      </c>
      <c r="AW1263" t="s">
        <v>60</v>
      </c>
      <c r="AX1263" t="s">
        <v>68</v>
      </c>
      <c r="AY1263" t="s">
        <v>69</v>
      </c>
      <c r="AZ1263" t="b">
        <v>1</v>
      </c>
    </row>
    <row r="1264" spans="1:52" x14ac:dyDescent="0.3">
      <c r="A1264" t="s">
        <v>52</v>
      </c>
      <c r="B1264" t="s">
        <v>53</v>
      </c>
      <c r="C1264" t="s">
        <v>54</v>
      </c>
      <c r="D1264" t="s">
        <v>55</v>
      </c>
      <c r="E1264" t="s">
        <v>831</v>
      </c>
      <c r="F1264" t="s">
        <v>176</v>
      </c>
      <c r="G1264" t="s">
        <v>642</v>
      </c>
      <c r="H1264" t="s">
        <v>643</v>
      </c>
      <c r="I1264" t="s">
        <v>643</v>
      </c>
      <c r="J1264" t="s">
        <v>60</v>
      </c>
      <c r="K1264" t="s">
        <v>164</v>
      </c>
      <c r="L1264" t="s">
        <v>62</v>
      </c>
      <c r="M1264" t="s">
        <v>164</v>
      </c>
      <c r="N1264" t="s">
        <v>644</v>
      </c>
      <c r="O1264" t="s">
        <v>81</v>
      </c>
      <c r="P1264">
        <v>-19.644956000000001</v>
      </c>
      <c r="Q1264">
        <v>-43.901023000000002</v>
      </c>
      <c r="R1264" s="2" t="str">
        <f>HYPERLINK("https://www.google.com/maps?q=-19.6449560,-43.9010230","Abrir no Google Maps")</f>
        <v>Abrir no Google Maps</v>
      </c>
      <c r="S1264">
        <v>4</v>
      </c>
      <c r="T1264">
        <v>378.64754976511352</v>
      </c>
      <c r="U1264">
        <v>3</v>
      </c>
      <c r="V1264">
        <v>0.52928663581345681</v>
      </c>
      <c r="W1264">
        <v>0.85</v>
      </c>
      <c r="X1264">
        <v>0.44989364044143831</v>
      </c>
      <c r="Y1264">
        <v>1</v>
      </c>
      <c r="Z1264">
        <v>510.11108946713603</v>
      </c>
      <c r="AA1264">
        <v>2</v>
      </c>
      <c r="AB1264">
        <v>3</v>
      </c>
      <c r="AC1264">
        <v>7</v>
      </c>
      <c r="AD1264">
        <v>26.84</v>
      </c>
      <c r="AE1264">
        <v>253</v>
      </c>
      <c r="AF1264">
        <v>17</v>
      </c>
      <c r="AG1264">
        <v>63</v>
      </c>
      <c r="AH1264">
        <v>32</v>
      </c>
      <c r="AI1264">
        <v>6.72</v>
      </c>
      <c r="AJ1264">
        <v>24.9</v>
      </c>
      <c r="AK1264">
        <v>12.65</v>
      </c>
      <c r="AL1264">
        <v>-19.644933249999951</v>
      </c>
      <c r="AM1264">
        <v>-43.900932838618871</v>
      </c>
      <c r="AN1264">
        <v>-19.644933249999951</v>
      </c>
      <c r="AO1264">
        <v>-43.900932838618871</v>
      </c>
      <c r="AP1264">
        <v>-19.644956000000001</v>
      </c>
      <c r="AQ1264">
        <v>-43.901023000000002</v>
      </c>
      <c r="AR1264">
        <v>9.7859445473101285</v>
      </c>
      <c r="AS1264" t="s">
        <v>65</v>
      </c>
      <c r="AT1264">
        <v>1</v>
      </c>
      <c r="AU1264" t="s">
        <v>645</v>
      </c>
      <c r="AV1264" t="s">
        <v>646</v>
      </c>
      <c r="AW1264" t="s">
        <v>60</v>
      </c>
      <c r="AX1264" t="s">
        <v>68</v>
      </c>
      <c r="AY1264" t="s">
        <v>69</v>
      </c>
      <c r="AZ1264" t="b">
        <v>1</v>
      </c>
    </row>
    <row r="1265" spans="1:52" x14ac:dyDescent="0.3">
      <c r="A1265" t="s">
        <v>52</v>
      </c>
      <c r="B1265" t="s">
        <v>53</v>
      </c>
      <c r="C1265" t="s">
        <v>54</v>
      </c>
      <c r="D1265" t="s">
        <v>55</v>
      </c>
      <c r="E1265" t="s">
        <v>831</v>
      </c>
      <c r="F1265" t="s">
        <v>176</v>
      </c>
      <c r="G1265" t="s">
        <v>506</v>
      </c>
      <c r="H1265" t="s">
        <v>653</v>
      </c>
      <c r="I1265" t="s">
        <v>653</v>
      </c>
      <c r="J1265" t="s">
        <v>60</v>
      </c>
      <c r="K1265" t="s">
        <v>219</v>
      </c>
      <c r="L1265" t="s">
        <v>62</v>
      </c>
      <c r="M1265" t="s">
        <v>219</v>
      </c>
      <c r="N1265" t="s">
        <v>654</v>
      </c>
      <c r="O1265" t="s">
        <v>655</v>
      </c>
      <c r="P1265">
        <v>-19.663547000000001</v>
      </c>
      <c r="Q1265">
        <v>-43.887289000000003</v>
      </c>
      <c r="R1265" s="2" t="str">
        <f>HYPERLINK("https://www.google.com/maps?q=-19.6635470,-43.8872890","Abrir no Google Maps")</f>
        <v>Abrir no Google Maps</v>
      </c>
      <c r="S1265">
        <v>4</v>
      </c>
      <c r="T1265">
        <v>1322.0974038105271</v>
      </c>
      <c r="U1265">
        <v>3</v>
      </c>
      <c r="V1265">
        <v>0.53386331250000008</v>
      </c>
      <c r="W1265">
        <v>0.85</v>
      </c>
      <c r="X1265">
        <v>0.45378381562499998</v>
      </c>
      <c r="Y1265">
        <v>1</v>
      </c>
      <c r="Z1265">
        <v>410.01820565428989</v>
      </c>
      <c r="AA1265">
        <v>2</v>
      </c>
      <c r="AB1265">
        <v>3</v>
      </c>
      <c r="AC1265">
        <v>7</v>
      </c>
      <c r="AD1265">
        <v>26.84</v>
      </c>
      <c r="AE1265">
        <v>253</v>
      </c>
      <c r="AF1265">
        <v>17</v>
      </c>
      <c r="AG1265">
        <v>63</v>
      </c>
      <c r="AH1265">
        <v>32</v>
      </c>
      <c r="AI1265">
        <v>6.72</v>
      </c>
      <c r="AJ1265">
        <v>24.9</v>
      </c>
      <c r="AK1265">
        <v>12.65</v>
      </c>
      <c r="AL1265">
        <v>-19.663324149999969</v>
      </c>
      <c r="AM1265">
        <v>-43.887335428407333</v>
      </c>
      <c r="AN1265">
        <v>-19.663324149999969</v>
      </c>
      <c r="AO1265">
        <v>-43.887335428407333</v>
      </c>
      <c r="AP1265">
        <v>-19.663547000000001</v>
      </c>
      <c r="AQ1265">
        <v>-43.887289000000003</v>
      </c>
      <c r="AR1265">
        <v>25.280585055537909</v>
      </c>
      <c r="AS1265" t="s">
        <v>65</v>
      </c>
      <c r="AT1265">
        <v>1</v>
      </c>
      <c r="AU1265" t="s">
        <v>656</v>
      </c>
      <c r="AV1265" t="s">
        <v>657</v>
      </c>
      <c r="AW1265" t="s">
        <v>60</v>
      </c>
      <c r="AX1265" t="s">
        <v>68</v>
      </c>
      <c r="AY1265" t="s">
        <v>69</v>
      </c>
      <c r="AZ1265" t="b">
        <v>1</v>
      </c>
    </row>
    <row r="1266" spans="1:52" x14ac:dyDescent="0.3">
      <c r="A1266" t="s">
        <v>52</v>
      </c>
      <c r="B1266" t="s">
        <v>53</v>
      </c>
      <c r="C1266" t="s">
        <v>54</v>
      </c>
      <c r="D1266" t="s">
        <v>55</v>
      </c>
      <c r="E1266" t="s">
        <v>831</v>
      </c>
      <c r="F1266" t="s">
        <v>176</v>
      </c>
      <c r="G1266" t="s">
        <v>169</v>
      </c>
      <c r="H1266" t="s">
        <v>170</v>
      </c>
      <c r="I1266" t="s">
        <v>170</v>
      </c>
      <c r="J1266" t="s">
        <v>60</v>
      </c>
      <c r="K1266" t="s">
        <v>171</v>
      </c>
      <c r="L1266" t="s">
        <v>62</v>
      </c>
      <c r="M1266" t="s">
        <v>171</v>
      </c>
      <c r="N1266" t="s">
        <v>172</v>
      </c>
      <c r="O1266" t="s">
        <v>173</v>
      </c>
      <c r="P1266">
        <v>-19.676233</v>
      </c>
      <c r="Q1266">
        <v>-43.88861</v>
      </c>
      <c r="R1266" s="2" t="str">
        <f>HYPERLINK("https://www.google.com/maps?q=-19.6762330,-43.8886100","Abrir no Google Maps")</f>
        <v>Abrir no Google Maps</v>
      </c>
      <c r="S1266">
        <v>4</v>
      </c>
      <c r="T1266">
        <v>209.5772620412292</v>
      </c>
      <c r="U1266">
        <v>3</v>
      </c>
      <c r="V1266">
        <v>0.42497269338846388</v>
      </c>
      <c r="W1266">
        <v>1</v>
      </c>
      <c r="X1266">
        <v>0.42497269338846388</v>
      </c>
      <c r="Y1266">
        <v>0</v>
      </c>
      <c r="Z1266">
        <v>194.26571923644971</v>
      </c>
      <c r="AA1266">
        <v>2</v>
      </c>
      <c r="AB1266">
        <v>3</v>
      </c>
      <c r="AC1266">
        <v>7</v>
      </c>
      <c r="AD1266">
        <v>26.84</v>
      </c>
      <c r="AE1266">
        <v>253</v>
      </c>
      <c r="AF1266">
        <v>17</v>
      </c>
      <c r="AG1266">
        <v>63</v>
      </c>
      <c r="AH1266">
        <v>32</v>
      </c>
      <c r="AI1266">
        <v>6.72</v>
      </c>
      <c r="AJ1266">
        <v>24.9</v>
      </c>
      <c r="AK1266">
        <v>12.65</v>
      </c>
      <c r="AL1266">
        <v>-19.676097449999961</v>
      </c>
      <c r="AM1266">
        <v>-43.888455613153738</v>
      </c>
      <c r="AN1266">
        <v>-19.676097449999961</v>
      </c>
      <c r="AO1266">
        <v>-43.888455613153738</v>
      </c>
      <c r="AP1266">
        <v>-19.676233</v>
      </c>
      <c r="AQ1266">
        <v>-43.88861</v>
      </c>
      <c r="AR1266">
        <v>22.126352434234079</v>
      </c>
      <c r="AS1266" t="s">
        <v>65</v>
      </c>
      <c r="AT1266">
        <v>1</v>
      </c>
      <c r="AU1266" t="s">
        <v>174</v>
      </c>
      <c r="AV1266" t="s">
        <v>175</v>
      </c>
      <c r="AW1266" t="s">
        <v>60</v>
      </c>
      <c r="AX1266" t="s">
        <v>68</v>
      </c>
      <c r="AY1266" t="s">
        <v>69</v>
      </c>
      <c r="AZ1266" t="b">
        <v>1</v>
      </c>
    </row>
    <row r="1267" spans="1:52" x14ac:dyDescent="0.3">
      <c r="A1267" t="s">
        <v>52</v>
      </c>
      <c r="B1267" t="s">
        <v>53</v>
      </c>
      <c r="C1267" t="s">
        <v>54</v>
      </c>
      <c r="D1267" t="s">
        <v>55</v>
      </c>
      <c r="E1267" t="s">
        <v>831</v>
      </c>
      <c r="F1267" t="s">
        <v>176</v>
      </c>
      <c r="G1267" t="s">
        <v>279</v>
      </c>
      <c r="H1267" t="s">
        <v>280</v>
      </c>
      <c r="I1267" t="s">
        <v>280</v>
      </c>
      <c r="J1267" t="s">
        <v>60</v>
      </c>
      <c r="K1267" t="s">
        <v>171</v>
      </c>
      <c r="L1267" t="s">
        <v>62</v>
      </c>
      <c r="M1267" t="s">
        <v>171</v>
      </c>
      <c r="N1267" t="s">
        <v>281</v>
      </c>
      <c r="O1267" t="s">
        <v>282</v>
      </c>
      <c r="P1267">
        <v>-19.677088000000001</v>
      </c>
      <c r="Q1267">
        <v>-43.890014000000001</v>
      </c>
      <c r="R1267" s="2" t="str">
        <f>HYPERLINK("https://www.google.com/maps?q=-19.6770880,-43.8900140","Abrir no Google Maps")</f>
        <v>Abrir no Google Maps</v>
      </c>
      <c r="S1267">
        <v>4</v>
      </c>
      <c r="T1267">
        <v>0</v>
      </c>
      <c r="U1267">
        <v>3</v>
      </c>
      <c r="V1267">
        <v>0.457097227113414</v>
      </c>
      <c r="W1267">
        <v>1</v>
      </c>
      <c r="X1267">
        <v>0.457097227113414</v>
      </c>
      <c r="Y1267">
        <v>0</v>
      </c>
      <c r="Z1267">
        <v>151.75635194559609</v>
      </c>
      <c r="AA1267">
        <v>2</v>
      </c>
      <c r="AB1267">
        <v>3</v>
      </c>
      <c r="AC1267">
        <v>7</v>
      </c>
      <c r="AD1267">
        <v>26.84</v>
      </c>
      <c r="AE1267">
        <v>253</v>
      </c>
      <c r="AF1267">
        <v>17</v>
      </c>
      <c r="AG1267">
        <v>63</v>
      </c>
      <c r="AH1267">
        <v>32</v>
      </c>
      <c r="AI1267">
        <v>6.72</v>
      </c>
      <c r="AJ1267">
        <v>24.9</v>
      </c>
      <c r="AK1267">
        <v>12.65</v>
      </c>
      <c r="AL1267">
        <v>-19.677165649999949</v>
      </c>
      <c r="AM1267">
        <v>-43.890106299611283</v>
      </c>
      <c r="AN1267">
        <v>-19.677165649999949</v>
      </c>
      <c r="AO1267">
        <v>-43.890106299611283</v>
      </c>
      <c r="AP1267">
        <v>-19.677088000000001</v>
      </c>
      <c r="AQ1267">
        <v>-43.890014000000001</v>
      </c>
      <c r="AR1267">
        <v>12.973833126778279</v>
      </c>
      <c r="AS1267" t="s">
        <v>65</v>
      </c>
      <c r="AT1267">
        <v>1</v>
      </c>
      <c r="AU1267" t="s">
        <v>283</v>
      </c>
      <c r="AV1267" t="s">
        <v>175</v>
      </c>
      <c r="AW1267" t="s">
        <v>60</v>
      </c>
      <c r="AX1267" t="s">
        <v>68</v>
      </c>
      <c r="AY1267" t="s">
        <v>69</v>
      </c>
      <c r="AZ1267" t="b">
        <v>1</v>
      </c>
    </row>
    <row r="1268" spans="1:52" x14ac:dyDescent="0.3">
      <c r="A1268" t="s">
        <v>52</v>
      </c>
      <c r="B1268" t="s">
        <v>53</v>
      </c>
      <c r="C1268" t="s">
        <v>54</v>
      </c>
      <c r="D1268" t="s">
        <v>55</v>
      </c>
      <c r="E1268" t="s">
        <v>831</v>
      </c>
      <c r="F1268" t="s">
        <v>176</v>
      </c>
      <c r="G1268" t="s">
        <v>284</v>
      </c>
      <c r="H1268" t="s">
        <v>285</v>
      </c>
      <c r="I1268" t="s">
        <v>285</v>
      </c>
      <c r="J1268" t="s">
        <v>60</v>
      </c>
      <c r="K1268" t="s">
        <v>286</v>
      </c>
      <c r="L1268" t="s">
        <v>62</v>
      </c>
      <c r="M1268" t="s">
        <v>286</v>
      </c>
      <c r="N1268" t="s">
        <v>287</v>
      </c>
      <c r="O1268" t="s">
        <v>288</v>
      </c>
      <c r="P1268">
        <v>-19.639790000000001</v>
      </c>
      <c r="Q1268">
        <v>-43.882798999999999</v>
      </c>
      <c r="R1268" s="2" t="str">
        <f>HYPERLINK("https://www.google.com/maps?q=-19.6397900,-43.8827990","Abrir no Google Maps")</f>
        <v>Abrir no Google Maps</v>
      </c>
      <c r="S1268">
        <v>3</v>
      </c>
      <c r="T1268">
        <v>242.7052058134478</v>
      </c>
      <c r="U1268">
        <v>4</v>
      </c>
      <c r="V1268">
        <v>0.47291709597243548</v>
      </c>
      <c r="W1268">
        <v>1</v>
      </c>
      <c r="X1268">
        <v>0.47291709597243548</v>
      </c>
      <c r="Y1268">
        <v>10</v>
      </c>
      <c r="Z1268">
        <v>187.2088809462339</v>
      </c>
      <c r="AA1268">
        <v>2</v>
      </c>
      <c r="AB1268">
        <v>3</v>
      </c>
      <c r="AC1268">
        <v>7</v>
      </c>
      <c r="AD1268">
        <v>26.84</v>
      </c>
      <c r="AE1268">
        <v>253</v>
      </c>
      <c r="AF1268">
        <v>17</v>
      </c>
      <c r="AG1268">
        <v>63</v>
      </c>
      <c r="AH1268">
        <v>32</v>
      </c>
      <c r="AI1268">
        <v>6.72</v>
      </c>
      <c r="AJ1268">
        <v>24.9</v>
      </c>
      <c r="AK1268">
        <v>12.65</v>
      </c>
      <c r="AL1268">
        <v>-19.639855599999951</v>
      </c>
      <c r="AM1268">
        <v>-43.882909745178452</v>
      </c>
      <c r="AN1268">
        <v>-19.639855599999951</v>
      </c>
      <c r="AO1268">
        <v>-43.882909745178452</v>
      </c>
      <c r="AP1268">
        <v>-19.639790000000001</v>
      </c>
      <c r="AQ1268">
        <v>-43.882798999999999</v>
      </c>
      <c r="AR1268">
        <v>13.716486068571211</v>
      </c>
      <c r="AS1268" t="s">
        <v>65</v>
      </c>
      <c r="AT1268">
        <v>1</v>
      </c>
      <c r="AU1268" t="s">
        <v>289</v>
      </c>
      <c r="AV1268" t="s">
        <v>290</v>
      </c>
      <c r="AW1268" t="s">
        <v>60</v>
      </c>
      <c r="AX1268" t="s">
        <v>68</v>
      </c>
      <c r="AY1268" t="s">
        <v>69</v>
      </c>
      <c r="AZ1268" t="b">
        <v>1</v>
      </c>
    </row>
    <row r="1269" spans="1:52" x14ac:dyDescent="0.3">
      <c r="A1269" t="s">
        <v>52</v>
      </c>
      <c r="B1269" t="s">
        <v>53</v>
      </c>
      <c r="C1269" t="s">
        <v>54</v>
      </c>
      <c r="D1269" t="s">
        <v>55</v>
      </c>
      <c r="E1269" t="s">
        <v>831</v>
      </c>
      <c r="F1269" t="s">
        <v>176</v>
      </c>
      <c r="G1269" t="s">
        <v>291</v>
      </c>
      <c r="H1269" t="s">
        <v>292</v>
      </c>
      <c r="I1269" t="s">
        <v>292</v>
      </c>
      <c r="J1269" t="s">
        <v>60</v>
      </c>
      <c r="K1269" t="s">
        <v>286</v>
      </c>
      <c r="L1269" t="s">
        <v>62</v>
      </c>
      <c r="M1269" t="s">
        <v>286</v>
      </c>
      <c r="N1269" t="s">
        <v>293</v>
      </c>
      <c r="O1269" t="s">
        <v>294</v>
      </c>
      <c r="P1269">
        <v>-19.640333999999999</v>
      </c>
      <c r="Q1269">
        <v>-43.880004999999997</v>
      </c>
      <c r="R1269" s="2" t="str">
        <f>HYPERLINK("https://www.google.com/maps?q=-19.6403340,-43.8800050","Abrir no Google Maps")</f>
        <v>Abrir no Google Maps</v>
      </c>
      <c r="S1269">
        <v>3</v>
      </c>
      <c r="T1269">
        <v>276.80943817309782</v>
      </c>
      <c r="U1269">
        <v>4</v>
      </c>
      <c r="V1269">
        <v>0.46736646717443769</v>
      </c>
      <c r="W1269">
        <v>1</v>
      </c>
      <c r="X1269">
        <v>0.46736646717443769</v>
      </c>
      <c r="Y1269">
        <v>10</v>
      </c>
      <c r="Z1269">
        <v>361.98332038983392</v>
      </c>
      <c r="AA1269">
        <v>2</v>
      </c>
      <c r="AB1269">
        <v>3</v>
      </c>
      <c r="AC1269">
        <v>7</v>
      </c>
      <c r="AD1269">
        <v>26.84</v>
      </c>
      <c r="AE1269">
        <v>253</v>
      </c>
      <c r="AF1269">
        <v>17</v>
      </c>
      <c r="AG1269">
        <v>63</v>
      </c>
      <c r="AH1269">
        <v>32</v>
      </c>
      <c r="AI1269">
        <v>6.72</v>
      </c>
      <c r="AJ1269">
        <v>24.9</v>
      </c>
      <c r="AK1269">
        <v>12.65</v>
      </c>
      <c r="AL1269">
        <v>-19.640260249999951</v>
      </c>
      <c r="AM1269">
        <v>-43.880090474326408</v>
      </c>
      <c r="AN1269">
        <v>-19.640260249999951</v>
      </c>
      <c r="AO1269">
        <v>-43.880090474326408</v>
      </c>
      <c r="AP1269">
        <v>-19.640333999999999</v>
      </c>
      <c r="AQ1269">
        <v>-43.880004999999997</v>
      </c>
      <c r="AR1269">
        <v>12.153556195359609</v>
      </c>
      <c r="AS1269" t="s">
        <v>65</v>
      </c>
      <c r="AT1269">
        <v>1</v>
      </c>
      <c r="AU1269" t="s">
        <v>295</v>
      </c>
      <c r="AV1269" t="s">
        <v>296</v>
      </c>
      <c r="AW1269" t="s">
        <v>60</v>
      </c>
      <c r="AX1269" t="s">
        <v>68</v>
      </c>
      <c r="AY1269" t="s">
        <v>69</v>
      </c>
      <c r="AZ1269" t="b">
        <v>1</v>
      </c>
    </row>
    <row r="1270" spans="1:52" x14ac:dyDescent="0.3">
      <c r="A1270" t="s">
        <v>52</v>
      </c>
      <c r="B1270" t="s">
        <v>53</v>
      </c>
      <c r="C1270" t="s">
        <v>54</v>
      </c>
      <c r="D1270" t="s">
        <v>55</v>
      </c>
      <c r="E1270" t="s">
        <v>831</v>
      </c>
      <c r="F1270" t="s">
        <v>176</v>
      </c>
      <c r="G1270" t="s">
        <v>417</v>
      </c>
      <c r="H1270" t="s">
        <v>418</v>
      </c>
      <c r="I1270" t="s">
        <v>418</v>
      </c>
      <c r="J1270" t="s">
        <v>60</v>
      </c>
      <c r="K1270" t="s">
        <v>179</v>
      </c>
      <c r="L1270" t="s">
        <v>62</v>
      </c>
      <c r="M1270" t="s">
        <v>179</v>
      </c>
      <c r="N1270" t="s">
        <v>419</v>
      </c>
      <c r="O1270" t="s">
        <v>420</v>
      </c>
      <c r="P1270">
        <v>-19.646516999999999</v>
      </c>
      <c r="Q1270">
        <v>-43.889716</v>
      </c>
      <c r="R1270" s="2" t="str">
        <f>HYPERLINK("https://www.google.com/maps?q=-19.6465170,-43.8897160","Abrir no Google Maps")</f>
        <v>Abrir no Google Maps</v>
      </c>
      <c r="S1270">
        <v>3</v>
      </c>
      <c r="T1270">
        <v>796.8355517653099</v>
      </c>
      <c r="U1270">
        <v>4</v>
      </c>
      <c r="V1270">
        <v>0.49524283059163682</v>
      </c>
      <c r="W1270">
        <v>1</v>
      </c>
      <c r="X1270">
        <v>0.49524283059163682</v>
      </c>
      <c r="Y1270">
        <v>7</v>
      </c>
      <c r="Z1270">
        <v>749.72812632947034</v>
      </c>
      <c r="AA1270">
        <v>2</v>
      </c>
      <c r="AB1270">
        <v>3</v>
      </c>
      <c r="AC1270">
        <v>7</v>
      </c>
      <c r="AD1270">
        <v>26.84</v>
      </c>
      <c r="AE1270">
        <v>253</v>
      </c>
      <c r="AF1270">
        <v>17</v>
      </c>
      <c r="AG1270">
        <v>63</v>
      </c>
      <c r="AH1270">
        <v>32</v>
      </c>
      <c r="AI1270">
        <v>6.72</v>
      </c>
      <c r="AJ1270">
        <v>24.9</v>
      </c>
      <c r="AK1270">
        <v>12.65</v>
      </c>
      <c r="AL1270">
        <v>-19.646452649999961</v>
      </c>
      <c r="AM1270">
        <v>-43.88991036523079</v>
      </c>
      <c r="AN1270">
        <v>-19.646452649999961</v>
      </c>
      <c r="AO1270">
        <v>-43.88991036523079</v>
      </c>
      <c r="AP1270">
        <v>-19.646516999999999</v>
      </c>
      <c r="AQ1270">
        <v>-43.889716</v>
      </c>
      <c r="AR1270">
        <v>21.599617922669939</v>
      </c>
      <c r="AS1270" t="s">
        <v>65</v>
      </c>
      <c r="AT1270">
        <v>1</v>
      </c>
      <c r="AU1270" t="s">
        <v>421</v>
      </c>
      <c r="AV1270" t="s">
        <v>422</v>
      </c>
      <c r="AW1270" t="s">
        <v>60</v>
      </c>
      <c r="AX1270" t="s">
        <v>68</v>
      </c>
      <c r="AY1270" t="s">
        <v>69</v>
      </c>
      <c r="AZ1270" t="b">
        <v>1</v>
      </c>
    </row>
    <row r="1271" spans="1:52" x14ac:dyDescent="0.3">
      <c r="A1271" t="s">
        <v>52</v>
      </c>
      <c r="B1271" t="s">
        <v>53</v>
      </c>
      <c r="C1271" t="s">
        <v>54</v>
      </c>
      <c r="D1271" t="s">
        <v>55</v>
      </c>
      <c r="E1271" t="s">
        <v>831</v>
      </c>
      <c r="F1271" t="s">
        <v>176</v>
      </c>
      <c r="G1271" t="s">
        <v>228</v>
      </c>
      <c r="H1271" t="s">
        <v>423</v>
      </c>
      <c r="I1271" t="s">
        <v>423</v>
      </c>
      <c r="J1271" t="s">
        <v>60</v>
      </c>
      <c r="K1271" t="s">
        <v>286</v>
      </c>
      <c r="L1271" t="s">
        <v>62</v>
      </c>
      <c r="M1271" t="s">
        <v>286</v>
      </c>
      <c r="N1271" t="s">
        <v>230</v>
      </c>
      <c r="O1271" t="s">
        <v>424</v>
      </c>
      <c r="P1271">
        <v>-19.641656999999999</v>
      </c>
      <c r="Q1271">
        <v>-43.884228999999998</v>
      </c>
      <c r="R1271" s="2" t="str">
        <f>HYPERLINK("https://www.google.com/maps?q=-19.6416570,-43.8842290","Abrir no Google Maps")</f>
        <v>Abrir no Google Maps</v>
      </c>
      <c r="S1271">
        <v>3</v>
      </c>
      <c r="T1271">
        <v>0</v>
      </c>
      <c r="U1271">
        <v>4</v>
      </c>
      <c r="V1271">
        <v>0.46292662526266232</v>
      </c>
      <c r="W1271">
        <v>1</v>
      </c>
      <c r="X1271">
        <v>0.46292662526266232</v>
      </c>
      <c r="Y1271">
        <v>7</v>
      </c>
      <c r="Z1271">
        <v>67.727401070752876</v>
      </c>
      <c r="AA1271">
        <v>2</v>
      </c>
      <c r="AB1271">
        <v>3</v>
      </c>
      <c r="AC1271">
        <v>7</v>
      </c>
      <c r="AD1271">
        <v>26.84</v>
      </c>
      <c r="AE1271">
        <v>253</v>
      </c>
      <c r="AF1271">
        <v>17</v>
      </c>
      <c r="AG1271">
        <v>63</v>
      </c>
      <c r="AH1271">
        <v>32</v>
      </c>
      <c r="AI1271">
        <v>6.72</v>
      </c>
      <c r="AJ1271">
        <v>24.9</v>
      </c>
      <c r="AK1271">
        <v>12.65</v>
      </c>
      <c r="AL1271">
        <v>-19.641634199999942</v>
      </c>
      <c r="AM1271">
        <v>-43.884263743972831</v>
      </c>
      <c r="AN1271">
        <v>-19.641634199999942</v>
      </c>
      <c r="AO1271">
        <v>-43.884263743972831</v>
      </c>
      <c r="AP1271">
        <v>-19.641656999999999</v>
      </c>
      <c r="AQ1271">
        <v>-43.884228999999998</v>
      </c>
      <c r="AR1271">
        <v>4.4396888961435659</v>
      </c>
      <c r="AS1271" t="s">
        <v>65</v>
      </c>
      <c r="AT1271">
        <v>1</v>
      </c>
      <c r="AU1271" t="s">
        <v>425</v>
      </c>
      <c r="AV1271" t="s">
        <v>426</v>
      </c>
      <c r="AW1271" t="s">
        <v>60</v>
      </c>
      <c r="AX1271" t="s">
        <v>68</v>
      </c>
      <c r="AY1271" t="s">
        <v>69</v>
      </c>
      <c r="AZ1271" t="b">
        <v>1</v>
      </c>
    </row>
    <row r="1272" spans="1:52" x14ac:dyDescent="0.3">
      <c r="A1272" t="s">
        <v>52</v>
      </c>
      <c r="B1272" t="s">
        <v>53</v>
      </c>
      <c r="C1272" t="s">
        <v>54</v>
      </c>
      <c r="D1272" t="s">
        <v>55</v>
      </c>
      <c r="E1272" t="s">
        <v>831</v>
      </c>
      <c r="F1272" t="s">
        <v>176</v>
      </c>
      <c r="G1272" t="s">
        <v>670</v>
      </c>
      <c r="H1272" t="s">
        <v>671</v>
      </c>
      <c r="I1272" t="s">
        <v>671</v>
      </c>
      <c r="J1272" t="s">
        <v>60</v>
      </c>
      <c r="K1272" t="s">
        <v>672</v>
      </c>
      <c r="L1272" t="s">
        <v>62</v>
      </c>
      <c r="M1272" t="s">
        <v>672</v>
      </c>
      <c r="N1272" t="s">
        <v>673</v>
      </c>
      <c r="O1272" t="s">
        <v>424</v>
      </c>
      <c r="P1272">
        <v>-19.574909999999999</v>
      </c>
      <c r="Q1272">
        <v>-43.906655999999998</v>
      </c>
      <c r="R1272" s="2" t="str">
        <f>HYPERLINK("https://www.google.com/maps?q=-19.5749100,-43.9066560","Abrir no Google Maps")</f>
        <v>Abrir no Google Maps</v>
      </c>
      <c r="S1272">
        <v>3</v>
      </c>
      <c r="T1272">
        <v>1366.716412286687</v>
      </c>
      <c r="U1272">
        <v>4</v>
      </c>
      <c r="V1272">
        <v>0.53308222626541624</v>
      </c>
      <c r="W1272">
        <v>1</v>
      </c>
      <c r="X1272">
        <v>0.53308222626541624</v>
      </c>
      <c r="Y1272">
        <v>7</v>
      </c>
      <c r="Z1272">
        <v>1153.3004962806151</v>
      </c>
      <c r="AA1272">
        <v>2</v>
      </c>
      <c r="AB1272">
        <v>3</v>
      </c>
      <c r="AC1272">
        <v>7</v>
      </c>
      <c r="AD1272">
        <v>26.84</v>
      </c>
      <c r="AE1272">
        <v>253</v>
      </c>
      <c r="AF1272">
        <v>17</v>
      </c>
      <c r="AG1272">
        <v>63</v>
      </c>
      <c r="AH1272">
        <v>32</v>
      </c>
      <c r="AI1272">
        <v>6.72</v>
      </c>
      <c r="AJ1272">
        <v>24.9</v>
      </c>
      <c r="AK1272">
        <v>12.65</v>
      </c>
      <c r="AL1272">
        <v>-19.574026899999978</v>
      </c>
      <c r="AM1272">
        <v>-43.907476033591983</v>
      </c>
      <c r="AN1272">
        <v>-19.574026899999978</v>
      </c>
      <c r="AO1272">
        <v>-43.907476033591983</v>
      </c>
      <c r="AP1272">
        <v>-19.574909999999999</v>
      </c>
      <c r="AQ1272">
        <v>-43.906655999999998</v>
      </c>
      <c r="AR1272">
        <v>130.62174183264671</v>
      </c>
      <c r="AS1272" t="s">
        <v>65</v>
      </c>
      <c r="AT1272">
        <v>1</v>
      </c>
      <c r="AU1272" t="s">
        <v>674</v>
      </c>
      <c r="AV1272" t="s">
        <v>675</v>
      </c>
      <c r="AW1272" t="s">
        <v>60</v>
      </c>
      <c r="AX1272" t="s">
        <v>68</v>
      </c>
      <c r="AY1272" t="s">
        <v>69</v>
      </c>
      <c r="AZ1272" t="b">
        <v>1</v>
      </c>
    </row>
    <row r="1273" spans="1:52" x14ac:dyDescent="0.3">
      <c r="A1273" t="s">
        <v>52</v>
      </c>
      <c r="B1273" t="s">
        <v>53</v>
      </c>
      <c r="C1273" t="s">
        <v>54</v>
      </c>
      <c r="D1273" t="s">
        <v>55</v>
      </c>
      <c r="E1273" t="s">
        <v>831</v>
      </c>
      <c r="F1273" t="s">
        <v>176</v>
      </c>
      <c r="G1273" t="s">
        <v>297</v>
      </c>
      <c r="H1273" t="s">
        <v>298</v>
      </c>
      <c r="I1273" t="s">
        <v>298</v>
      </c>
      <c r="J1273" t="s">
        <v>60</v>
      </c>
      <c r="K1273" t="s">
        <v>299</v>
      </c>
      <c r="L1273" t="s">
        <v>62</v>
      </c>
      <c r="M1273" t="s">
        <v>299</v>
      </c>
      <c r="N1273" t="s">
        <v>300</v>
      </c>
      <c r="O1273" t="s">
        <v>301</v>
      </c>
      <c r="P1273">
        <v>-19.679597000000001</v>
      </c>
      <c r="Q1273">
        <v>-43.912095000000001</v>
      </c>
      <c r="R1273" s="2" t="str">
        <f>HYPERLINK("https://www.google.com/maps?q=-19.6795970,-43.9120950","Abrir no Google Maps")</f>
        <v>Abrir no Google Maps</v>
      </c>
      <c r="S1273">
        <v>3</v>
      </c>
      <c r="T1273">
        <v>1581.3368267219889</v>
      </c>
      <c r="U1273">
        <v>4</v>
      </c>
      <c r="V1273">
        <v>0.4775084247206754</v>
      </c>
      <c r="W1273">
        <v>1</v>
      </c>
      <c r="X1273">
        <v>0.4775084247206754</v>
      </c>
      <c r="Y1273">
        <v>5</v>
      </c>
      <c r="Z1273">
        <v>2051.2590436749392</v>
      </c>
      <c r="AA1273">
        <v>2</v>
      </c>
      <c r="AB1273">
        <v>3</v>
      </c>
      <c r="AC1273">
        <v>7</v>
      </c>
      <c r="AD1273">
        <v>26.84</v>
      </c>
      <c r="AE1273">
        <v>253</v>
      </c>
      <c r="AF1273">
        <v>17</v>
      </c>
      <c r="AG1273">
        <v>63</v>
      </c>
      <c r="AH1273">
        <v>32</v>
      </c>
      <c r="AI1273">
        <v>6.72</v>
      </c>
      <c r="AJ1273">
        <v>24.9</v>
      </c>
      <c r="AK1273">
        <v>12.65</v>
      </c>
      <c r="AL1273">
        <v>-19.679572799999931</v>
      </c>
      <c r="AM1273">
        <v>-43.912071775440793</v>
      </c>
      <c r="AN1273">
        <v>-19.679572799999931</v>
      </c>
      <c r="AO1273">
        <v>-43.912071775440793</v>
      </c>
      <c r="AP1273">
        <v>-19.679597000000001</v>
      </c>
      <c r="AQ1273">
        <v>-43.912095000000001</v>
      </c>
      <c r="AR1273">
        <v>3.6308936744190978</v>
      </c>
      <c r="AS1273" t="s">
        <v>65</v>
      </c>
      <c r="AT1273">
        <v>1</v>
      </c>
      <c r="AU1273" t="s">
        <v>302</v>
      </c>
      <c r="AV1273" t="s">
        <v>303</v>
      </c>
      <c r="AW1273" t="s">
        <v>60</v>
      </c>
      <c r="AX1273" t="s">
        <v>68</v>
      </c>
      <c r="AY1273" t="s">
        <v>69</v>
      </c>
      <c r="AZ1273" t="b">
        <v>1</v>
      </c>
    </row>
    <row r="1274" spans="1:52" x14ac:dyDescent="0.3">
      <c r="A1274" t="s">
        <v>52</v>
      </c>
      <c r="B1274" t="s">
        <v>53</v>
      </c>
      <c r="C1274" t="s">
        <v>54</v>
      </c>
      <c r="D1274" t="s">
        <v>55</v>
      </c>
      <c r="E1274" t="s">
        <v>831</v>
      </c>
      <c r="F1274" t="s">
        <v>176</v>
      </c>
      <c r="G1274" t="s">
        <v>304</v>
      </c>
      <c r="H1274" t="s">
        <v>305</v>
      </c>
      <c r="I1274" t="s">
        <v>305</v>
      </c>
      <c r="J1274" t="s">
        <v>60</v>
      </c>
      <c r="K1274" t="s">
        <v>299</v>
      </c>
      <c r="L1274" t="s">
        <v>62</v>
      </c>
      <c r="M1274" t="s">
        <v>299</v>
      </c>
      <c r="N1274" t="s">
        <v>306</v>
      </c>
      <c r="O1274" t="s">
        <v>307</v>
      </c>
      <c r="P1274">
        <v>-19.681051</v>
      </c>
      <c r="Q1274">
        <v>-43.914375</v>
      </c>
      <c r="R1274" s="2" t="str">
        <f>HYPERLINK("https://www.google.com/maps?q=-19.6810510,-43.9143750","Abrir no Google Maps")</f>
        <v>Abrir no Google Maps</v>
      </c>
      <c r="S1274">
        <v>3</v>
      </c>
      <c r="T1274">
        <v>1793.507056919605</v>
      </c>
      <c r="U1274">
        <v>4</v>
      </c>
      <c r="V1274">
        <v>0.50590664749936365</v>
      </c>
      <c r="W1274">
        <v>1</v>
      </c>
      <c r="X1274">
        <v>0.50590664749936365</v>
      </c>
      <c r="Y1274">
        <v>5</v>
      </c>
      <c r="Z1274">
        <v>2183.7125920783069</v>
      </c>
      <c r="AA1274">
        <v>2</v>
      </c>
      <c r="AB1274">
        <v>3</v>
      </c>
      <c r="AC1274">
        <v>7</v>
      </c>
      <c r="AD1274">
        <v>26.84</v>
      </c>
      <c r="AE1274">
        <v>253</v>
      </c>
      <c r="AF1274">
        <v>17</v>
      </c>
      <c r="AG1274">
        <v>63</v>
      </c>
      <c r="AH1274">
        <v>32</v>
      </c>
      <c r="AI1274">
        <v>6.72</v>
      </c>
      <c r="AJ1274">
        <v>24.9</v>
      </c>
      <c r="AK1274">
        <v>12.65</v>
      </c>
      <c r="AL1274">
        <v>-19.680967149999962</v>
      </c>
      <c r="AM1274">
        <v>-43.914383884426663</v>
      </c>
      <c r="AN1274">
        <v>-19.680967149999962</v>
      </c>
      <c r="AO1274">
        <v>-43.914383884426663</v>
      </c>
      <c r="AP1274">
        <v>-19.681051</v>
      </c>
      <c r="AQ1274">
        <v>-43.914375</v>
      </c>
      <c r="AR1274">
        <v>9.3805201894968722</v>
      </c>
      <c r="AS1274" t="s">
        <v>65</v>
      </c>
      <c r="AT1274">
        <v>1</v>
      </c>
      <c r="AU1274" t="s">
        <v>308</v>
      </c>
      <c r="AV1274" t="s">
        <v>303</v>
      </c>
      <c r="AW1274" t="s">
        <v>60</v>
      </c>
      <c r="AX1274" t="s">
        <v>68</v>
      </c>
      <c r="AY1274" t="s">
        <v>69</v>
      </c>
      <c r="AZ1274" t="b">
        <v>1</v>
      </c>
    </row>
    <row r="1275" spans="1:52" x14ac:dyDescent="0.3">
      <c r="A1275" t="s">
        <v>52</v>
      </c>
      <c r="B1275" t="s">
        <v>53</v>
      </c>
      <c r="C1275" t="s">
        <v>54</v>
      </c>
      <c r="D1275" t="s">
        <v>55</v>
      </c>
      <c r="E1275" t="s">
        <v>831</v>
      </c>
      <c r="F1275" t="s">
        <v>176</v>
      </c>
      <c r="G1275" t="s">
        <v>309</v>
      </c>
      <c r="H1275" t="s">
        <v>676</v>
      </c>
      <c r="I1275" t="s">
        <v>676</v>
      </c>
      <c r="J1275" t="s">
        <v>60</v>
      </c>
      <c r="K1275" t="s">
        <v>311</v>
      </c>
      <c r="L1275" t="s">
        <v>62</v>
      </c>
      <c r="M1275" t="s">
        <v>311</v>
      </c>
      <c r="N1275" t="s">
        <v>677</v>
      </c>
      <c r="O1275" t="s">
        <v>678</v>
      </c>
      <c r="P1275">
        <v>-19.567574</v>
      </c>
      <c r="Q1275">
        <v>-43.916691</v>
      </c>
      <c r="R1275" s="2" t="str">
        <f>HYPERLINK("https://www.google.com/maps?q=-19.5675740,-43.9166910","Abrir no Google Maps")</f>
        <v>Abrir no Google Maps</v>
      </c>
      <c r="S1275">
        <v>3</v>
      </c>
      <c r="T1275">
        <v>964.07840012317956</v>
      </c>
      <c r="U1275">
        <v>4</v>
      </c>
      <c r="V1275">
        <v>0.47332861847445762</v>
      </c>
      <c r="W1275">
        <v>1</v>
      </c>
      <c r="X1275">
        <v>0.47332861847445762</v>
      </c>
      <c r="Y1275">
        <v>5</v>
      </c>
      <c r="Z1275">
        <v>848.74171565955544</v>
      </c>
      <c r="AA1275">
        <v>2</v>
      </c>
      <c r="AB1275">
        <v>3</v>
      </c>
      <c r="AC1275">
        <v>7</v>
      </c>
      <c r="AD1275">
        <v>26.84</v>
      </c>
      <c r="AE1275">
        <v>253</v>
      </c>
      <c r="AF1275">
        <v>17</v>
      </c>
      <c r="AG1275">
        <v>63</v>
      </c>
      <c r="AH1275">
        <v>32</v>
      </c>
      <c r="AI1275">
        <v>6.72</v>
      </c>
      <c r="AJ1275">
        <v>24.9</v>
      </c>
      <c r="AK1275">
        <v>12.65</v>
      </c>
      <c r="AL1275">
        <v>-19.568204099999971</v>
      </c>
      <c r="AM1275">
        <v>-43.914085447159053</v>
      </c>
      <c r="AN1275">
        <v>-19.568204099999971</v>
      </c>
      <c r="AO1275">
        <v>-43.914085447159053</v>
      </c>
      <c r="AP1275">
        <v>-19.567574</v>
      </c>
      <c r="AQ1275">
        <v>-43.916691</v>
      </c>
      <c r="AR1275">
        <v>282.15548573552991</v>
      </c>
      <c r="AS1275" t="s">
        <v>65</v>
      </c>
      <c r="AT1275">
        <v>1</v>
      </c>
      <c r="AU1275" t="s">
        <v>679</v>
      </c>
      <c r="AV1275" t="s">
        <v>680</v>
      </c>
      <c r="AW1275" t="s">
        <v>60</v>
      </c>
      <c r="AX1275" t="s">
        <v>68</v>
      </c>
      <c r="AY1275" t="s">
        <v>69</v>
      </c>
      <c r="AZ1275" t="b">
        <v>1</v>
      </c>
    </row>
    <row r="1276" spans="1:52" x14ac:dyDescent="0.3">
      <c r="A1276" t="s">
        <v>52</v>
      </c>
      <c r="B1276" t="s">
        <v>53</v>
      </c>
      <c r="C1276" t="s">
        <v>54</v>
      </c>
      <c r="D1276" t="s">
        <v>55</v>
      </c>
      <c r="E1276" t="s">
        <v>831</v>
      </c>
      <c r="F1276" t="s">
        <v>176</v>
      </c>
      <c r="G1276" t="s">
        <v>427</v>
      </c>
      <c r="H1276" t="s">
        <v>428</v>
      </c>
      <c r="I1276" t="s">
        <v>428</v>
      </c>
      <c r="J1276" t="s">
        <v>60</v>
      </c>
      <c r="K1276" t="s">
        <v>311</v>
      </c>
      <c r="L1276" t="s">
        <v>62</v>
      </c>
      <c r="M1276" t="s">
        <v>311</v>
      </c>
      <c r="N1276" t="s">
        <v>429</v>
      </c>
      <c r="O1276" t="s">
        <v>430</v>
      </c>
      <c r="P1276">
        <v>-19.574636999999999</v>
      </c>
      <c r="Q1276">
        <v>-43.919919999999998</v>
      </c>
      <c r="R1276" s="2" t="str">
        <f>HYPERLINK("https://www.google.com/maps?q=-19.5746370,-43.9199200","Abrir no Google Maps")</f>
        <v>Abrir no Google Maps</v>
      </c>
      <c r="S1276">
        <v>3</v>
      </c>
      <c r="T1276">
        <v>0</v>
      </c>
      <c r="U1276">
        <v>4</v>
      </c>
      <c r="V1276">
        <v>0.50989433441645082</v>
      </c>
      <c r="W1276">
        <v>1</v>
      </c>
      <c r="X1276">
        <v>0.50989433441645082</v>
      </c>
      <c r="Y1276">
        <v>5</v>
      </c>
      <c r="Z1276">
        <v>161.2304444692663</v>
      </c>
      <c r="AA1276">
        <v>2</v>
      </c>
      <c r="AB1276">
        <v>3</v>
      </c>
      <c r="AC1276">
        <v>7</v>
      </c>
      <c r="AD1276">
        <v>26.84</v>
      </c>
      <c r="AE1276">
        <v>253</v>
      </c>
      <c r="AF1276">
        <v>17</v>
      </c>
      <c r="AG1276">
        <v>63</v>
      </c>
      <c r="AH1276">
        <v>32</v>
      </c>
      <c r="AI1276">
        <v>6.72</v>
      </c>
      <c r="AJ1276">
        <v>24.9</v>
      </c>
      <c r="AK1276">
        <v>12.65</v>
      </c>
      <c r="AL1276">
        <v>-19.57444484999996</v>
      </c>
      <c r="AM1276">
        <v>-43.920497272225433</v>
      </c>
      <c r="AN1276">
        <v>-19.57444484999996</v>
      </c>
      <c r="AO1276">
        <v>-43.920497272225433</v>
      </c>
      <c r="AP1276">
        <v>-19.574636999999999</v>
      </c>
      <c r="AQ1276">
        <v>-43.919919999999998</v>
      </c>
      <c r="AR1276">
        <v>64.215298992893679</v>
      </c>
      <c r="AS1276" t="s">
        <v>65</v>
      </c>
      <c r="AT1276">
        <v>1</v>
      </c>
      <c r="AU1276" t="s">
        <v>431</v>
      </c>
      <c r="AV1276" t="s">
        <v>432</v>
      </c>
      <c r="AW1276" t="s">
        <v>60</v>
      </c>
      <c r="AX1276" t="s">
        <v>68</v>
      </c>
      <c r="AY1276" t="s">
        <v>69</v>
      </c>
      <c r="AZ1276" t="b">
        <v>1</v>
      </c>
    </row>
    <row r="1277" spans="1:52" x14ac:dyDescent="0.3">
      <c r="A1277" t="s">
        <v>52</v>
      </c>
      <c r="B1277" t="s">
        <v>53</v>
      </c>
      <c r="C1277" t="s">
        <v>54</v>
      </c>
      <c r="D1277" t="s">
        <v>55</v>
      </c>
      <c r="E1277" t="s">
        <v>831</v>
      </c>
      <c r="F1277" t="s">
        <v>176</v>
      </c>
      <c r="G1277" t="s">
        <v>433</v>
      </c>
      <c r="H1277" t="s">
        <v>434</v>
      </c>
      <c r="I1277" t="s">
        <v>434</v>
      </c>
      <c r="J1277" t="s">
        <v>60</v>
      </c>
      <c r="K1277" t="s">
        <v>311</v>
      </c>
      <c r="L1277" t="s">
        <v>62</v>
      </c>
      <c r="M1277" t="s">
        <v>311</v>
      </c>
      <c r="N1277" t="s">
        <v>435</v>
      </c>
      <c r="O1277" t="s">
        <v>120</v>
      </c>
      <c r="P1277">
        <v>-19.563834</v>
      </c>
      <c r="Q1277">
        <v>-43.917617</v>
      </c>
      <c r="R1277" s="2" t="str">
        <f>HYPERLINK("https://www.google.com/maps?q=-19.5638340,-43.9176170","Abrir no Google Maps")</f>
        <v>Abrir no Google Maps</v>
      </c>
      <c r="S1277">
        <v>3</v>
      </c>
      <c r="T1277">
        <v>1208.4380275937069</v>
      </c>
      <c r="U1277">
        <v>4</v>
      </c>
      <c r="V1277">
        <v>0.48615202721467687</v>
      </c>
      <c r="W1277">
        <v>1</v>
      </c>
      <c r="X1277">
        <v>0.48615202721467687</v>
      </c>
      <c r="Y1277">
        <v>5</v>
      </c>
      <c r="Z1277">
        <v>1239.357315084522</v>
      </c>
      <c r="AA1277">
        <v>2</v>
      </c>
      <c r="AB1277">
        <v>3</v>
      </c>
      <c r="AC1277">
        <v>7</v>
      </c>
      <c r="AD1277">
        <v>26.84</v>
      </c>
      <c r="AE1277">
        <v>253</v>
      </c>
      <c r="AF1277">
        <v>17</v>
      </c>
      <c r="AG1277">
        <v>63</v>
      </c>
      <c r="AH1277">
        <v>32</v>
      </c>
      <c r="AI1277">
        <v>6.72</v>
      </c>
      <c r="AJ1277">
        <v>24.9</v>
      </c>
      <c r="AK1277">
        <v>12.65</v>
      </c>
      <c r="AL1277">
        <v>-19.563932349999959</v>
      </c>
      <c r="AM1277">
        <v>-43.917383104532327</v>
      </c>
      <c r="AN1277">
        <v>-19.563932349999959</v>
      </c>
      <c r="AO1277">
        <v>-43.917383104532327</v>
      </c>
      <c r="AP1277">
        <v>-19.563834</v>
      </c>
      <c r="AQ1277">
        <v>-43.917617</v>
      </c>
      <c r="AR1277">
        <v>26.86608405010627</v>
      </c>
      <c r="AS1277" t="s">
        <v>65</v>
      </c>
      <c r="AT1277">
        <v>1</v>
      </c>
      <c r="AU1277" t="s">
        <v>436</v>
      </c>
      <c r="AV1277" t="s">
        <v>437</v>
      </c>
      <c r="AW1277" t="s">
        <v>60</v>
      </c>
      <c r="AX1277" t="s">
        <v>68</v>
      </c>
      <c r="AY1277" t="s">
        <v>69</v>
      </c>
      <c r="AZ1277" t="b">
        <v>1</v>
      </c>
    </row>
    <row r="1278" spans="1:52" x14ac:dyDescent="0.3">
      <c r="A1278" t="s">
        <v>52</v>
      </c>
      <c r="B1278" t="s">
        <v>53</v>
      </c>
      <c r="C1278" t="s">
        <v>54</v>
      </c>
      <c r="D1278" t="s">
        <v>55</v>
      </c>
      <c r="E1278" t="s">
        <v>831</v>
      </c>
      <c r="F1278" t="s">
        <v>176</v>
      </c>
      <c r="G1278" t="s">
        <v>443</v>
      </c>
      <c r="H1278" t="s">
        <v>444</v>
      </c>
      <c r="I1278" t="s">
        <v>444</v>
      </c>
      <c r="J1278" t="s">
        <v>60</v>
      </c>
      <c r="K1278" t="s">
        <v>445</v>
      </c>
      <c r="L1278" t="s">
        <v>62</v>
      </c>
      <c r="M1278" t="s">
        <v>445</v>
      </c>
      <c r="N1278" t="s">
        <v>446</v>
      </c>
      <c r="O1278" t="s">
        <v>447</v>
      </c>
      <c r="P1278">
        <v>-19.650062999999999</v>
      </c>
      <c r="Q1278">
        <v>-43.878337000000002</v>
      </c>
      <c r="R1278" s="2" t="str">
        <f>HYPERLINK("https://www.google.com/maps?q=-19.6500630,-43.8783370","Abrir no Google Maps")</f>
        <v>Abrir no Google Maps</v>
      </c>
      <c r="S1278">
        <v>3</v>
      </c>
      <c r="T1278">
        <v>839.11860749856135</v>
      </c>
      <c r="U1278">
        <v>4</v>
      </c>
      <c r="V1278">
        <v>0.47127032498945409</v>
      </c>
      <c r="W1278">
        <v>1</v>
      </c>
      <c r="X1278">
        <v>0.47127032498945409</v>
      </c>
      <c r="Y1278">
        <v>3</v>
      </c>
      <c r="Z1278">
        <v>698.86168887476526</v>
      </c>
      <c r="AA1278">
        <v>2</v>
      </c>
      <c r="AB1278">
        <v>3</v>
      </c>
      <c r="AC1278">
        <v>7</v>
      </c>
      <c r="AD1278">
        <v>26.84</v>
      </c>
      <c r="AE1278">
        <v>253</v>
      </c>
      <c r="AF1278">
        <v>17</v>
      </c>
      <c r="AG1278">
        <v>63</v>
      </c>
      <c r="AH1278">
        <v>32</v>
      </c>
      <c r="AI1278">
        <v>6.72</v>
      </c>
      <c r="AJ1278">
        <v>24.9</v>
      </c>
      <c r="AK1278">
        <v>12.65</v>
      </c>
      <c r="AL1278">
        <v>-19.650555399999941</v>
      </c>
      <c r="AM1278">
        <v>-43.878603008553611</v>
      </c>
      <c r="AN1278">
        <v>-19.650555399999941</v>
      </c>
      <c r="AO1278">
        <v>-43.878603008553611</v>
      </c>
      <c r="AP1278">
        <v>-19.650062999999999</v>
      </c>
      <c r="AQ1278">
        <v>-43.878337000000002</v>
      </c>
      <c r="AR1278">
        <v>61.500273251918507</v>
      </c>
      <c r="AS1278" t="s">
        <v>65</v>
      </c>
      <c r="AT1278">
        <v>1</v>
      </c>
      <c r="AU1278" t="s">
        <v>448</v>
      </c>
      <c r="AV1278" t="s">
        <v>449</v>
      </c>
      <c r="AW1278" t="s">
        <v>60</v>
      </c>
      <c r="AX1278" t="s">
        <v>68</v>
      </c>
      <c r="AY1278" t="s">
        <v>69</v>
      </c>
      <c r="AZ1278" t="b">
        <v>1</v>
      </c>
    </row>
    <row r="1279" spans="1:52" x14ac:dyDescent="0.3">
      <c r="A1279" t="s">
        <v>52</v>
      </c>
      <c r="B1279" t="s">
        <v>53</v>
      </c>
      <c r="C1279" t="s">
        <v>54</v>
      </c>
      <c r="D1279" t="s">
        <v>55</v>
      </c>
      <c r="E1279" t="s">
        <v>831</v>
      </c>
      <c r="F1279" t="s">
        <v>176</v>
      </c>
      <c r="G1279" t="s">
        <v>450</v>
      </c>
      <c r="H1279" t="s">
        <v>451</v>
      </c>
      <c r="I1279" t="s">
        <v>451</v>
      </c>
      <c r="J1279" t="s">
        <v>60</v>
      </c>
      <c r="K1279" t="s">
        <v>452</v>
      </c>
      <c r="L1279" t="s">
        <v>62</v>
      </c>
      <c r="M1279" t="s">
        <v>452</v>
      </c>
      <c r="N1279" t="s">
        <v>453</v>
      </c>
      <c r="O1279" t="s">
        <v>454</v>
      </c>
      <c r="P1279">
        <v>-19.649691000000001</v>
      </c>
      <c r="Q1279">
        <v>-43.873970999999997</v>
      </c>
      <c r="R1279" s="2" t="str">
        <f>HYPERLINK("https://www.google.com/maps?q=-19.6496910,-43.8739710","Abrir no Google Maps")</f>
        <v>Abrir no Google Maps</v>
      </c>
      <c r="S1279">
        <v>3</v>
      </c>
      <c r="T1279">
        <v>433.54329587849469</v>
      </c>
      <c r="U1279">
        <v>4</v>
      </c>
      <c r="V1279">
        <v>0.4958697502789563</v>
      </c>
      <c r="W1279">
        <v>1</v>
      </c>
      <c r="X1279">
        <v>0.4958697502789563</v>
      </c>
      <c r="Y1279">
        <v>3</v>
      </c>
      <c r="Z1279">
        <v>298.71042308886041</v>
      </c>
      <c r="AA1279">
        <v>2</v>
      </c>
      <c r="AB1279">
        <v>3</v>
      </c>
      <c r="AC1279">
        <v>7</v>
      </c>
      <c r="AD1279">
        <v>26.84</v>
      </c>
      <c r="AE1279">
        <v>253</v>
      </c>
      <c r="AF1279">
        <v>17</v>
      </c>
      <c r="AG1279">
        <v>63</v>
      </c>
      <c r="AH1279">
        <v>32</v>
      </c>
      <c r="AI1279">
        <v>6.72</v>
      </c>
      <c r="AJ1279">
        <v>24.9</v>
      </c>
      <c r="AK1279">
        <v>12.65</v>
      </c>
      <c r="AL1279">
        <v>-19.64973869999994</v>
      </c>
      <c r="AM1279">
        <v>-43.873980587601103</v>
      </c>
      <c r="AN1279">
        <v>-19.64973869999994</v>
      </c>
      <c r="AO1279">
        <v>-43.873980587601103</v>
      </c>
      <c r="AP1279">
        <v>-19.649691000000001</v>
      </c>
      <c r="AQ1279">
        <v>-43.873970999999997</v>
      </c>
      <c r="AR1279">
        <v>5.4042596125531333</v>
      </c>
      <c r="AS1279" t="s">
        <v>65</v>
      </c>
      <c r="AT1279">
        <v>1</v>
      </c>
      <c r="AU1279" t="s">
        <v>455</v>
      </c>
      <c r="AV1279" t="s">
        <v>456</v>
      </c>
      <c r="AW1279" t="s">
        <v>60</v>
      </c>
      <c r="AX1279" t="s">
        <v>68</v>
      </c>
      <c r="AY1279" t="s">
        <v>69</v>
      </c>
      <c r="AZ1279" t="b">
        <v>1</v>
      </c>
    </row>
    <row r="1280" spans="1:52" x14ac:dyDescent="0.3">
      <c r="A1280" t="s">
        <v>52</v>
      </c>
      <c r="B1280" t="s">
        <v>53</v>
      </c>
      <c r="C1280" t="s">
        <v>54</v>
      </c>
      <c r="D1280" t="s">
        <v>55</v>
      </c>
      <c r="E1280" t="s">
        <v>831</v>
      </c>
      <c r="F1280" t="s">
        <v>176</v>
      </c>
      <c r="G1280" t="s">
        <v>324</v>
      </c>
      <c r="H1280" t="s">
        <v>325</v>
      </c>
      <c r="I1280" t="s">
        <v>325</v>
      </c>
      <c r="J1280" t="s">
        <v>60</v>
      </c>
      <c r="K1280" t="s">
        <v>326</v>
      </c>
      <c r="L1280" t="s">
        <v>62</v>
      </c>
      <c r="M1280" t="s">
        <v>326</v>
      </c>
      <c r="N1280" t="s">
        <v>327</v>
      </c>
      <c r="O1280" t="s">
        <v>328</v>
      </c>
      <c r="P1280">
        <v>-19.654454000000001</v>
      </c>
      <c r="Q1280">
        <v>-43.874654</v>
      </c>
      <c r="R1280" s="2" t="str">
        <f>HYPERLINK("https://www.google.com/maps?q=-19.6544540,-43.8746540","Abrir no Google Maps")</f>
        <v>Abrir no Google Maps</v>
      </c>
      <c r="S1280">
        <v>3</v>
      </c>
      <c r="T1280">
        <v>461.71515786258828</v>
      </c>
      <c r="U1280">
        <v>4</v>
      </c>
      <c r="V1280">
        <v>0.46117078690330932</v>
      </c>
      <c r="W1280">
        <v>1</v>
      </c>
      <c r="X1280">
        <v>0.46117078690330932</v>
      </c>
      <c r="Y1280">
        <v>3</v>
      </c>
      <c r="Z1280">
        <v>321.42492762576637</v>
      </c>
      <c r="AA1280">
        <v>2</v>
      </c>
      <c r="AB1280">
        <v>3</v>
      </c>
      <c r="AC1280">
        <v>7</v>
      </c>
      <c r="AD1280">
        <v>26.84</v>
      </c>
      <c r="AE1280">
        <v>253</v>
      </c>
      <c r="AF1280">
        <v>17</v>
      </c>
      <c r="AG1280">
        <v>63</v>
      </c>
      <c r="AH1280">
        <v>32</v>
      </c>
      <c r="AI1280">
        <v>6.72</v>
      </c>
      <c r="AJ1280">
        <v>24.9</v>
      </c>
      <c r="AK1280">
        <v>12.65</v>
      </c>
      <c r="AL1280">
        <v>-19.654399599999941</v>
      </c>
      <c r="AM1280">
        <v>-43.87457008070222</v>
      </c>
      <c r="AN1280">
        <v>-19.654399599999941</v>
      </c>
      <c r="AO1280">
        <v>-43.87457008070222</v>
      </c>
      <c r="AP1280">
        <v>-19.654454000000001</v>
      </c>
      <c r="AQ1280">
        <v>-43.874654</v>
      </c>
      <c r="AR1280">
        <v>10.68040226290562</v>
      </c>
      <c r="AS1280" t="s">
        <v>65</v>
      </c>
      <c r="AT1280">
        <v>1</v>
      </c>
      <c r="AU1280" t="s">
        <v>329</v>
      </c>
      <c r="AV1280" t="s">
        <v>330</v>
      </c>
      <c r="AW1280" t="s">
        <v>60</v>
      </c>
      <c r="AX1280" t="s">
        <v>68</v>
      </c>
      <c r="AY1280" t="s">
        <v>69</v>
      </c>
      <c r="AZ1280" t="b">
        <v>1</v>
      </c>
    </row>
    <row r="1281" spans="1:52" x14ac:dyDescent="0.3">
      <c r="A1281" t="s">
        <v>52</v>
      </c>
      <c r="B1281" t="s">
        <v>53</v>
      </c>
      <c r="C1281" t="s">
        <v>54</v>
      </c>
      <c r="D1281" t="s">
        <v>55</v>
      </c>
      <c r="E1281" t="s">
        <v>831</v>
      </c>
      <c r="F1281" t="s">
        <v>176</v>
      </c>
      <c r="G1281" t="s">
        <v>457</v>
      </c>
      <c r="H1281" t="s">
        <v>458</v>
      </c>
      <c r="I1281" t="s">
        <v>458</v>
      </c>
      <c r="J1281" t="s">
        <v>60</v>
      </c>
      <c r="K1281" t="s">
        <v>286</v>
      </c>
      <c r="L1281" t="s">
        <v>62</v>
      </c>
      <c r="M1281" t="s">
        <v>286</v>
      </c>
      <c r="N1281" t="s">
        <v>459</v>
      </c>
      <c r="O1281" t="s">
        <v>408</v>
      </c>
      <c r="P1281">
        <v>-19.648675000000001</v>
      </c>
      <c r="Q1281">
        <v>-43.876176999999998</v>
      </c>
      <c r="R1281" s="2" t="str">
        <f>HYPERLINK("https://www.google.com/maps?q=-19.6486750,-43.8761770","Abrir no Google Maps")</f>
        <v>Abrir no Google Maps</v>
      </c>
      <c r="S1281">
        <v>3</v>
      </c>
      <c r="T1281">
        <v>696.15049931004592</v>
      </c>
      <c r="U1281">
        <v>4</v>
      </c>
      <c r="V1281">
        <v>0.50436476422416243</v>
      </c>
      <c r="W1281">
        <v>1</v>
      </c>
      <c r="X1281">
        <v>0.50436476422416243</v>
      </c>
      <c r="Y1281">
        <v>3</v>
      </c>
      <c r="Z1281">
        <v>617.40976221624703</v>
      </c>
      <c r="AA1281">
        <v>2</v>
      </c>
      <c r="AB1281">
        <v>3</v>
      </c>
      <c r="AC1281">
        <v>7</v>
      </c>
      <c r="AD1281">
        <v>26.84</v>
      </c>
      <c r="AE1281">
        <v>253</v>
      </c>
      <c r="AF1281">
        <v>17</v>
      </c>
      <c r="AG1281">
        <v>63</v>
      </c>
      <c r="AH1281">
        <v>32</v>
      </c>
      <c r="AI1281">
        <v>6.72</v>
      </c>
      <c r="AJ1281">
        <v>24.9</v>
      </c>
      <c r="AK1281">
        <v>12.65</v>
      </c>
      <c r="AL1281">
        <v>-19.648626649999951</v>
      </c>
      <c r="AM1281">
        <v>-43.876233357879343</v>
      </c>
      <c r="AN1281">
        <v>-19.648626649999951</v>
      </c>
      <c r="AO1281">
        <v>-43.876233357879343</v>
      </c>
      <c r="AP1281">
        <v>-19.648675000000001</v>
      </c>
      <c r="AQ1281">
        <v>-43.876176999999998</v>
      </c>
      <c r="AR1281">
        <v>7.9924470956447653</v>
      </c>
      <c r="AS1281" t="s">
        <v>65</v>
      </c>
      <c r="AT1281">
        <v>1</v>
      </c>
      <c r="AU1281" t="s">
        <v>460</v>
      </c>
      <c r="AV1281" t="s">
        <v>461</v>
      </c>
      <c r="AW1281" t="s">
        <v>60</v>
      </c>
      <c r="AX1281" t="s">
        <v>68</v>
      </c>
      <c r="AY1281" t="s">
        <v>69</v>
      </c>
      <c r="AZ1281" t="b">
        <v>1</v>
      </c>
    </row>
    <row r="1282" spans="1:52" x14ac:dyDescent="0.3">
      <c r="A1282" t="s">
        <v>52</v>
      </c>
      <c r="B1282" t="s">
        <v>53</v>
      </c>
      <c r="C1282" t="s">
        <v>54</v>
      </c>
      <c r="D1282" t="s">
        <v>55</v>
      </c>
      <c r="E1282" t="s">
        <v>831</v>
      </c>
      <c r="F1282" t="s">
        <v>176</v>
      </c>
      <c r="G1282" t="s">
        <v>468</v>
      </c>
      <c r="H1282" t="s">
        <v>469</v>
      </c>
      <c r="I1282" t="s">
        <v>469</v>
      </c>
      <c r="J1282" t="s">
        <v>60</v>
      </c>
      <c r="K1282" t="s">
        <v>326</v>
      </c>
      <c r="L1282" t="s">
        <v>62</v>
      </c>
      <c r="M1282" t="s">
        <v>326</v>
      </c>
      <c r="N1282" t="s">
        <v>470</v>
      </c>
      <c r="O1282" t="s">
        <v>471</v>
      </c>
      <c r="P1282">
        <v>-19.655975999999999</v>
      </c>
      <c r="Q1282">
        <v>-43.870057000000003</v>
      </c>
      <c r="R1282" s="2" t="str">
        <f>HYPERLINK("https://www.google.com/maps?q=-19.6559760,-43.8700570","Abrir no Google Maps")</f>
        <v>Abrir no Google Maps</v>
      </c>
      <c r="S1282">
        <v>3</v>
      </c>
      <c r="T1282">
        <v>409.25016374145417</v>
      </c>
      <c r="U1282">
        <v>4</v>
      </c>
      <c r="V1282">
        <v>0.47630909691668261</v>
      </c>
      <c r="W1282">
        <v>1</v>
      </c>
      <c r="X1282">
        <v>0.47630909691668261</v>
      </c>
      <c r="Y1282">
        <v>3</v>
      </c>
      <c r="Z1282">
        <v>484.59511175905197</v>
      </c>
      <c r="AA1282">
        <v>2</v>
      </c>
      <c r="AB1282">
        <v>3</v>
      </c>
      <c r="AC1282">
        <v>7</v>
      </c>
      <c r="AD1282">
        <v>26.84</v>
      </c>
      <c r="AE1282">
        <v>253</v>
      </c>
      <c r="AF1282">
        <v>17</v>
      </c>
      <c r="AG1282">
        <v>63</v>
      </c>
      <c r="AH1282">
        <v>32</v>
      </c>
      <c r="AI1282">
        <v>6.72</v>
      </c>
      <c r="AJ1282">
        <v>24.9</v>
      </c>
      <c r="AK1282">
        <v>12.65</v>
      </c>
      <c r="AL1282">
        <v>-19.655869499999969</v>
      </c>
      <c r="AM1282">
        <v>-43.870040006843681</v>
      </c>
      <c r="AN1282">
        <v>-19.655869499999969</v>
      </c>
      <c r="AO1282">
        <v>-43.870040006843681</v>
      </c>
      <c r="AP1282">
        <v>-19.655975999999999</v>
      </c>
      <c r="AQ1282">
        <v>-43.870057000000003</v>
      </c>
      <c r="AR1282">
        <v>11.98867552929476</v>
      </c>
      <c r="AS1282" t="s">
        <v>65</v>
      </c>
      <c r="AT1282">
        <v>1</v>
      </c>
      <c r="AU1282" t="s">
        <v>472</v>
      </c>
      <c r="AV1282" t="s">
        <v>473</v>
      </c>
      <c r="AW1282" t="s">
        <v>60</v>
      </c>
      <c r="AX1282" t="s">
        <v>68</v>
      </c>
      <c r="AY1282" t="s">
        <v>69</v>
      </c>
      <c r="AZ1282" t="b">
        <v>1</v>
      </c>
    </row>
    <row r="1283" spans="1:52" x14ac:dyDescent="0.3">
      <c r="A1283" t="s">
        <v>52</v>
      </c>
      <c r="B1283" t="s">
        <v>53</v>
      </c>
      <c r="C1283" t="s">
        <v>54</v>
      </c>
      <c r="D1283" t="s">
        <v>55</v>
      </c>
      <c r="E1283" t="s">
        <v>831</v>
      </c>
      <c r="F1283" t="s">
        <v>176</v>
      </c>
      <c r="G1283" t="s">
        <v>338</v>
      </c>
      <c r="H1283" t="s">
        <v>339</v>
      </c>
      <c r="I1283" t="s">
        <v>339</v>
      </c>
      <c r="J1283" t="s">
        <v>60</v>
      </c>
      <c r="K1283" t="s">
        <v>219</v>
      </c>
      <c r="L1283" t="s">
        <v>62</v>
      </c>
      <c r="M1283" t="s">
        <v>219</v>
      </c>
      <c r="N1283" t="s">
        <v>340</v>
      </c>
      <c r="O1283" t="s">
        <v>341</v>
      </c>
      <c r="P1283">
        <v>-19.666964</v>
      </c>
      <c r="Q1283">
        <v>-43.884436999999998</v>
      </c>
      <c r="R1283" s="2" t="str">
        <f>HYPERLINK("https://www.google.com/maps?q=-19.6669640,-43.8844370","Abrir no Google Maps")</f>
        <v>Abrir no Google Maps</v>
      </c>
      <c r="S1283">
        <v>3</v>
      </c>
      <c r="T1283">
        <v>957.0047152726122</v>
      </c>
      <c r="U1283">
        <v>4</v>
      </c>
      <c r="V1283">
        <v>0.50673471516680701</v>
      </c>
      <c r="W1283">
        <v>1</v>
      </c>
      <c r="X1283">
        <v>0.50673471516680701</v>
      </c>
      <c r="Y1283">
        <v>3</v>
      </c>
      <c r="Z1283">
        <v>558.02655966087093</v>
      </c>
      <c r="AA1283">
        <v>2</v>
      </c>
      <c r="AB1283">
        <v>3</v>
      </c>
      <c r="AC1283">
        <v>7</v>
      </c>
      <c r="AD1283">
        <v>26.84</v>
      </c>
      <c r="AE1283">
        <v>253</v>
      </c>
      <c r="AF1283">
        <v>17</v>
      </c>
      <c r="AG1283">
        <v>63</v>
      </c>
      <c r="AH1283">
        <v>32</v>
      </c>
      <c r="AI1283">
        <v>6.72</v>
      </c>
      <c r="AJ1283">
        <v>24.9</v>
      </c>
      <c r="AK1283">
        <v>12.65</v>
      </c>
      <c r="AL1283">
        <v>-19.66693374999997</v>
      </c>
      <c r="AM1283">
        <v>-43.884551162820181</v>
      </c>
      <c r="AN1283">
        <v>-19.66693374999997</v>
      </c>
      <c r="AO1283">
        <v>-43.884551162820181</v>
      </c>
      <c r="AP1283">
        <v>-19.666964</v>
      </c>
      <c r="AQ1283">
        <v>-43.884436999999998</v>
      </c>
      <c r="AR1283">
        <v>12.43199920714442</v>
      </c>
      <c r="AS1283" t="s">
        <v>65</v>
      </c>
      <c r="AT1283">
        <v>1</v>
      </c>
      <c r="AU1283" t="s">
        <v>342</v>
      </c>
      <c r="AV1283" t="s">
        <v>343</v>
      </c>
      <c r="AW1283" t="s">
        <v>60</v>
      </c>
      <c r="AX1283" t="s">
        <v>68</v>
      </c>
      <c r="AY1283" t="s">
        <v>69</v>
      </c>
      <c r="AZ1283" t="b">
        <v>1</v>
      </c>
    </row>
    <row r="1284" spans="1:52" x14ac:dyDescent="0.3">
      <c r="A1284" t="s">
        <v>52</v>
      </c>
      <c r="B1284" t="s">
        <v>53</v>
      </c>
      <c r="C1284" t="s">
        <v>54</v>
      </c>
      <c r="D1284" t="s">
        <v>55</v>
      </c>
      <c r="E1284" t="s">
        <v>831</v>
      </c>
      <c r="F1284" t="s">
        <v>176</v>
      </c>
      <c r="G1284" t="s">
        <v>474</v>
      </c>
      <c r="H1284" t="s">
        <v>475</v>
      </c>
      <c r="I1284" t="s">
        <v>475</v>
      </c>
      <c r="J1284" t="s">
        <v>60</v>
      </c>
      <c r="K1284" t="s">
        <v>326</v>
      </c>
      <c r="L1284" t="s">
        <v>62</v>
      </c>
      <c r="M1284" t="s">
        <v>326</v>
      </c>
      <c r="N1284" t="s">
        <v>476</v>
      </c>
      <c r="O1284" t="s">
        <v>477</v>
      </c>
      <c r="P1284">
        <v>-19.658083000000001</v>
      </c>
      <c r="Q1284">
        <v>-43.866957999999997</v>
      </c>
      <c r="R1284" s="2" t="str">
        <f>HYPERLINK("https://www.google.com/maps?q=-19.6580830,-43.8669580","Abrir no Google Maps")</f>
        <v>Abrir no Google Maps</v>
      </c>
      <c r="S1284">
        <v>3</v>
      </c>
      <c r="T1284">
        <v>753.45055811539748</v>
      </c>
      <c r="U1284">
        <v>4</v>
      </c>
      <c r="V1284">
        <v>0.48202366435537752</v>
      </c>
      <c r="W1284">
        <v>1</v>
      </c>
      <c r="X1284">
        <v>0.48202366435537752</v>
      </c>
      <c r="Y1284">
        <v>3</v>
      </c>
      <c r="Z1284">
        <v>808.47816984050394</v>
      </c>
      <c r="AA1284">
        <v>2</v>
      </c>
      <c r="AB1284">
        <v>3</v>
      </c>
      <c r="AC1284">
        <v>7</v>
      </c>
      <c r="AD1284">
        <v>26.84</v>
      </c>
      <c r="AE1284">
        <v>253</v>
      </c>
      <c r="AF1284">
        <v>17</v>
      </c>
      <c r="AG1284">
        <v>63</v>
      </c>
      <c r="AH1284">
        <v>32</v>
      </c>
      <c r="AI1284">
        <v>6.72</v>
      </c>
      <c r="AJ1284">
        <v>24.9</v>
      </c>
      <c r="AK1284">
        <v>12.65</v>
      </c>
      <c r="AL1284">
        <v>-19.658034899999929</v>
      </c>
      <c r="AM1284">
        <v>-43.867024921196148</v>
      </c>
      <c r="AN1284">
        <v>-19.658034899999929</v>
      </c>
      <c r="AO1284">
        <v>-43.867024921196148</v>
      </c>
      <c r="AP1284">
        <v>-19.658083000000001</v>
      </c>
      <c r="AQ1284">
        <v>-43.866957999999997</v>
      </c>
      <c r="AR1284">
        <v>8.8253920204286462</v>
      </c>
      <c r="AS1284" t="s">
        <v>65</v>
      </c>
      <c r="AT1284">
        <v>1</v>
      </c>
      <c r="AU1284" t="s">
        <v>478</v>
      </c>
      <c r="AV1284" t="s">
        <v>349</v>
      </c>
      <c r="AW1284" t="s">
        <v>60</v>
      </c>
      <c r="AX1284" t="s">
        <v>68</v>
      </c>
      <c r="AY1284" t="s">
        <v>69</v>
      </c>
      <c r="AZ1284" t="b">
        <v>1</v>
      </c>
    </row>
    <row r="1285" spans="1:52" x14ac:dyDescent="0.3">
      <c r="A1285" t="s">
        <v>52</v>
      </c>
      <c r="B1285" t="s">
        <v>53</v>
      </c>
      <c r="C1285" t="s">
        <v>54</v>
      </c>
      <c r="D1285" t="s">
        <v>55</v>
      </c>
      <c r="E1285" t="s">
        <v>831</v>
      </c>
      <c r="F1285" t="s">
        <v>176</v>
      </c>
      <c r="G1285" t="s">
        <v>484</v>
      </c>
      <c r="H1285" t="s">
        <v>485</v>
      </c>
      <c r="I1285" t="s">
        <v>485</v>
      </c>
      <c r="J1285" t="s">
        <v>60</v>
      </c>
      <c r="K1285" t="s">
        <v>486</v>
      </c>
      <c r="L1285" t="s">
        <v>62</v>
      </c>
      <c r="M1285" t="s">
        <v>486</v>
      </c>
      <c r="N1285" t="s">
        <v>487</v>
      </c>
      <c r="O1285" t="s">
        <v>488</v>
      </c>
      <c r="P1285">
        <v>-19.599471999999999</v>
      </c>
      <c r="Q1285">
        <v>-43.904423999999999</v>
      </c>
      <c r="R1285" s="2" t="str">
        <f>HYPERLINK("https://www.google.com/maps?q=-19.5994720,-43.9044240","Abrir no Google Maps")</f>
        <v>Abrir no Google Maps</v>
      </c>
      <c r="S1285">
        <v>3</v>
      </c>
      <c r="T1285">
        <v>0</v>
      </c>
      <c r="U1285">
        <v>4</v>
      </c>
      <c r="V1285">
        <v>0.49200523279007358</v>
      </c>
      <c r="W1285">
        <v>1</v>
      </c>
      <c r="X1285">
        <v>0.49200523279007358</v>
      </c>
      <c r="Y1285">
        <v>2</v>
      </c>
      <c r="Z1285">
        <v>112.207711482489</v>
      </c>
      <c r="AA1285">
        <v>2</v>
      </c>
      <c r="AB1285">
        <v>3</v>
      </c>
      <c r="AC1285">
        <v>7</v>
      </c>
      <c r="AD1285">
        <v>26.84</v>
      </c>
      <c r="AE1285">
        <v>253</v>
      </c>
      <c r="AF1285">
        <v>17</v>
      </c>
      <c r="AG1285">
        <v>63</v>
      </c>
      <c r="AH1285">
        <v>32</v>
      </c>
      <c r="AI1285">
        <v>6.72</v>
      </c>
      <c r="AJ1285">
        <v>24.9</v>
      </c>
      <c r="AK1285">
        <v>12.65</v>
      </c>
      <c r="AL1285">
        <v>-19.599417149999969</v>
      </c>
      <c r="AM1285">
        <v>-43.904309145074677</v>
      </c>
      <c r="AN1285">
        <v>-19.599417149999969</v>
      </c>
      <c r="AO1285">
        <v>-43.904309145074677</v>
      </c>
      <c r="AP1285">
        <v>-19.599471999999999</v>
      </c>
      <c r="AQ1285">
        <v>-43.904423999999999</v>
      </c>
      <c r="AR1285">
        <v>13.50409975769734</v>
      </c>
      <c r="AS1285" t="s">
        <v>65</v>
      </c>
      <c r="AT1285">
        <v>1</v>
      </c>
      <c r="AU1285" t="s">
        <v>489</v>
      </c>
      <c r="AV1285" t="s">
        <v>490</v>
      </c>
      <c r="AW1285" t="s">
        <v>60</v>
      </c>
      <c r="AX1285" t="s">
        <v>68</v>
      </c>
      <c r="AY1285" t="s">
        <v>69</v>
      </c>
      <c r="AZ1285" t="b">
        <v>1</v>
      </c>
    </row>
    <row r="1286" spans="1:52" x14ac:dyDescent="0.3">
      <c r="A1286" t="s">
        <v>52</v>
      </c>
      <c r="B1286" t="s">
        <v>53</v>
      </c>
      <c r="C1286" t="s">
        <v>54</v>
      </c>
      <c r="D1286" t="s">
        <v>55</v>
      </c>
      <c r="E1286" t="s">
        <v>831</v>
      </c>
      <c r="F1286" t="s">
        <v>176</v>
      </c>
      <c r="G1286" t="s">
        <v>438</v>
      </c>
      <c r="H1286" t="s">
        <v>491</v>
      </c>
      <c r="I1286" t="s">
        <v>491</v>
      </c>
      <c r="J1286" t="s">
        <v>60</v>
      </c>
      <c r="K1286" t="s">
        <v>492</v>
      </c>
      <c r="L1286" t="s">
        <v>62</v>
      </c>
      <c r="M1286" t="s">
        <v>492</v>
      </c>
      <c r="N1286" t="s">
        <v>493</v>
      </c>
      <c r="O1286" t="s">
        <v>81</v>
      </c>
      <c r="P1286">
        <v>-19.599810999999999</v>
      </c>
      <c r="Q1286">
        <v>-43.906267</v>
      </c>
      <c r="R1286" s="2" t="str">
        <f>HYPERLINK("https://www.google.com/maps?q=-19.5998110,-43.9062670","Abrir no Google Maps")</f>
        <v>Abrir no Google Maps</v>
      </c>
      <c r="S1286">
        <v>3</v>
      </c>
      <c r="T1286">
        <v>214.87460546260371</v>
      </c>
      <c r="U1286">
        <v>4</v>
      </c>
      <c r="V1286">
        <v>0.48408857370575092</v>
      </c>
      <c r="W1286">
        <v>1</v>
      </c>
      <c r="X1286">
        <v>0.48408857370575092</v>
      </c>
      <c r="Y1286">
        <v>2</v>
      </c>
      <c r="Z1286">
        <v>211.0648412523515</v>
      </c>
      <c r="AA1286">
        <v>2</v>
      </c>
      <c r="AB1286">
        <v>3</v>
      </c>
      <c r="AC1286">
        <v>7</v>
      </c>
      <c r="AD1286">
        <v>26.84</v>
      </c>
      <c r="AE1286">
        <v>253</v>
      </c>
      <c r="AF1286">
        <v>17</v>
      </c>
      <c r="AG1286">
        <v>63</v>
      </c>
      <c r="AH1286">
        <v>32</v>
      </c>
      <c r="AI1286">
        <v>6.72</v>
      </c>
      <c r="AJ1286">
        <v>24.9</v>
      </c>
      <c r="AK1286">
        <v>12.65</v>
      </c>
      <c r="AL1286">
        <v>-19.600032099999961</v>
      </c>
      <c r="AM1286">
        <v>-43.906252350845229</v>
      </c>
      <c r="AN1286">
        <v>-19.600032099999961</v>
      </c>
      <c r="AO1286">
        <v>-43.906252350845229</v>
      </c>
      <c r="AP1286">
        <v>-19.599810999999999</v>
      </c>
      <c r="AQ1286">
        <v>-43.906267</v>
      </c>
      <c r="AR1286">
        <v>24.660749384148179</v>
      </c>
      <c r="AS1286" t="s">
        <v>65</v>
      </c>
      <c r="AT1286">
        <v>1</v>
      </c>
      <c r="AU1286" t="s">
        <v>494</v>
      </c>
      <c r="AV1286" t="s">
        <v>495</v>
      </c>
      <c r="AW1286" t="s">
        <v>60</v>
      </c>
      <c r="AX1286" t="s">
        <v>68</v>
      </c>
      <c r="AY1286" t="s">
        <v>69</v>
      </c>
      <c r="AZ1286" t="b">
        <v>1</v>
      </c>
    </row>
    <row r="1287" spans="1:52" x14ac:dyDescent="0.3">
      <c r="A1287" t="s">
        <v>52</v>
      </c>
      <c r="B1287" t="s">
        <v>53</v>
      </c>
      <c r="C1287" t="s">
        <v>54</v>
      </c>
      <c r="D1287" t="s">
        <v>55</v>
      </c>
      <c r="E1287" t="s">
        <v>831</v>
      </c>
      <c r="F1287" t="s">
        <v>176</v>
      </c>
      <c r="G1287" t="s">
        <v>500</v>
      </c>
      <c r="H1287" t="s">
        <v>501</v>
      </c>
      <c r="I1287" t="s">
        <v>501</v>
      </c>
      <c r="J1287" t="s">
        <v>60</v>
      </c>
      <c r="K1287" t="s">
        <v>164</v>
      </c>
      <c r="L1287" t="s">
        <v>62</v>
      </c>
      <c r="M1287" t="s">
        <v>164</v>
      </c>
      <c r="N1287" t="s">
        <v>502</v>
      </c>
      <c r="O1287" t="s">
        <v>503</v>
      </c>
      <c r="P1287">
        <v>-19.665816</v>
      </c>
      <c r="Q1287">
        <v>-43.886322999999997</v>
      </c>
      <c r="R1287" s="2" t="str">
        <f>HYPERLINK("https://www.google.com/maps?q=-19.6658160,-43.8863230","Abrir no Google Maps")</f>
        <v>Abrir no Google Maps</v>
      </c>
      <c r="S1287">
        <v>3</v>
      </c>
      <c r="T1287">
        <v>1149.957610345353</v>
      </c>
      <c r="U1287">
        <v>4</v>
      </c>
      <c r="V1287">
        <v>0.51323571804036272</v>
      </c>
      <c r="W1287">
        <v>1</v>
      </c>
      <c r="X1287">
        <v>0.51323571804036272</v>
      </c>
      <c r="Y1287">
        <v>1</v>
      </c>
      <c r="Z1287">
        <v>381.605286477493</v>
      </c>
      <c r="AA1287">
        <v>2</v>
      </c>
      <c r="AB1287">
        <v>3</v>
      </c>
      <c r="AC1287">
        <v>7</v>
      </c>
      <c r="AD1287">
        <v>26.84</v>
      </c>
      <c r="AE1287">
        <v>253</v>
      </c>
      <c r="AF1287">
        <v>17</v>
      </c>
      <c r="AG1287">
        <v>63</v>
      </c>
      <c r="AH1287">
        <v>32</v>
      </c>
      <c r="AI1287">
        <v>6.72</v>
      </c>
      <c r="AJ1287">
        <v>24.9</v>
      </c>
      <c r="AK1287">
        <v>12.65</v>
      </c>
      <c r="AL1287">
        <v>-19.665844049999951</v>
      </c>
      <c r="AM1287">
        <v>-43.886344205728712</v>
      </c>
      <c r="AN1287">
        <v>-19.665844049999951</v>
      </c>
      <c r="AO1287">
        <v>-43.886344205728712</v>
      </c>
      <c r="AP1287">
        <v>-19.665816</v>
      </c>
      <c r="AQ1287">
        <v>-43.886322999999997</v>
      </c>
      <c r="AR1287">
        <v>3.8329604058735098</v>
      </c>
      <c r="AS1287" t="s">
        <v>65</v>
      </c>
      <c r="AT1287">
        <v>1</v>
      </c>
      <c r="AU1287" t="s">
        <v>504</v>
      </c>
      <c r="AV1287" t="s">
        <v>505</v>
      </c>
      <c r="AW1287" t="s">
        <v>60</v>
      </c>
      <c r="AX1287" t="s">
        <v>68</v>
      </c>
      <c r="AY1287" t="s">
        <v>69</v>
      </c>
      <c r="AZ1287" t="b">
        <v>1</v>
      </c>
    </row>
    <row r="1288" spans="1:52" x14ac:dyDescent="0.3">
      <c r="A1288" t="s">
        <v>52</v>
      </c>
      <c r="B1288" t="s">
        <v>53</v>
      </c>
      <c r="C1288" t="s">
        <v>54</v>
      </c>
      <c r="D1288" t="s">
        <v>55</v>
      </c>
      <c r="E1288" t="s">
        <v>831</v>
      </c>
      <c r="F1288" t="s">
        <v>176</v>
      </c>
      <c r="G1288" t="s">
        <v>506</v>
      </c>
      <c r="H1288" t="s">
        <v>507</v>
      </c>
      <c r="I1288" t="s">
        <v>507</v>
      </c>
      <c r="J1288" t="s">
        <v>60</v>
      </c>
      <c r="K1288" t="s">
        <v>219</v>
      </c>
      <c r="L1288" t="s">
        <v>62</v>
      </c>
      <c r="M1288" t="s">
        <v>219</v>
      </c>
      <c r="N1288" t="s">
        <v>508</v>
      </c>
      <c r="O1288" t="s">
        <v>509</v>
      </c>
      <c r="P1288">
        <v>-19.663573</v>
      </c>
      <c r="Q1288">
        <v>-43.884306000000002</v>
      </c>
      <c r="R1288" s="2" t="str">
        <f>HYPERLINK("https://www.google.com/maps?q=-19.6635730,-43.8843060","Abrir no Google Maps")</f>
        <v>Abrir no Google Maps</v>
      </c>
      <c r="S1288">
        <v>3</v>
      </c>
      <c r="T1288">
        <v>1293.040666597964</v>
      </c>
      <c r="U1288">
        <v>4</v>
      </c>
      <c r="V1288">
        <v>0.4921476764768502</v>
      </c>
      <c r="W1288">
        <v>1</v>
      </c>
      <c r="X1288">
        <v>0.4921476764768502</v>
      </c>
      <c r="Y1288">
        <v>1</v>
      </c>
      <c r="Z1288">
        <v>649.69199246551727</v>
      </c>
      <c r="AA1288">
        <v>2</v>
      </c>
      <c r="AB1288">
        <v>3</v>
      </c>
      <c r="AC1288">
        <v>7</v>
      </c>
      <c r="AD1288">
        <v>26.84</v>
      </c>
      <c r="AE1288">
        <v>253</v>
      </c>
      <c r="AF1288">
        <v>17</v>
      </c>
      <c r="AG1288">
        <v>63</v>
      </c>
      <c r="AH1288">
        <v>32</v>
      </c>
      <c r="AI1288">
        <v>6.72</v>
      </c>
      <c r="AJ1288">
        <v>24.9</v>
      </c>
      <c r="AK1288">
        <v>12.65</v>
      </c>
      <c r="AL1288">
        <v>-19.663616899999969</v>
      </c>
      <c r="AM1288">
        <v>-43.884279937960187</v>
      </c>
      <c r="AN1288">
        <v>-19.663616899999969</v>
      </c>
      <c r="AO1288">
        <v>-43.884279937960187</v>
      </c>
      <c r="AP1288">
        <v>-19.663573</v>
      </c>
      <c r="AQ1288">
        <v>-43.884306000000002</v>
      </c>
      <c r="AR1288">
        <v>5.5987767285658263</v>
      </c>
      <c r="AS1288" t="s">
        <v>65</v>
      </c>
      <c r="AT1288">
        <v>1</v>
      </c>
      <c r="AU1288" t="s">
        <v>510</v>
      </c>
      <c r="AV1288" t="s">
        <v>511</v>
      </c>
      <c r="AW1288" t="s">
        <v>60</v>
      </c>
      <c r="AX1288" t="s">
        <v>68</v>
      </c>
      <c r="AY1288" t="s">
        <v>69</v>
      </c>
      <c r="AZ1288" t="b">
        <v>1</v>
      </c>
    </row>
    <row r="1289" spans="1:52" x14ac:dyDescent="0.3">
      <c r="A1289" t="s">
        <v>52</v>
      </c>
      <c r="B1289" t="s">
        <v>53</v>
      </c>
      <c r="C1289" t="s">
        <v>54</v>
      </c>
      <c r="D1289" t="s">
        <v>55</v>
      </c>
      <c r="E1289" t="s">
        <v>831</v>
      </c>
      <c r="F1289" t="s">
        <v>176</v>
      </c>
      <c r="G1289" t="s">
        <v>681</v>
      </c>
      <c r="H1289" t="s">
        <v>682</v>
      </c>
      <c r="I1289" t="s">
        <v>682</v>
      </c>
      <c r="J1289" t="s">
        <v>60</v>
      </c>
      <c r="K1289" t="s">
        <v>683</v>
      </c>
      <c r="L1289" t="s">
        <v>62</v>
      </c>
      <c r="M1289" t="s">
        <v>683</v>
      </c>
      <c r="N1289" t="s">
        <v>684</v>
      </c>
      <c r="O1289" t="s">
        <v>589</v>
      </c>
      <c r="P1289">
        <v>-19.569573999999999</v>
      </c>
      <c r="Q1289">
        <v>-43.948939000000003</v>
      </c>
      <c r="R1289" s="2" t="str">
        <f>HYPERLINK("https://www.google.com/maps?q=-19.5695740,-43.9489390","Abrir no Google Maps")</f>
        <v>Abrir no Google Maps</v>
      </c>
      <c r="S1289">
        <v>3</v>
      </c>
      <c r="T1289">
        <v>710.01170441209865</v>
      </c>
      <c r="U1289">
        <v>4</v>
      </c>
      <c r="V1289">
        <v>0.48915657780444638</v>
      </c>
      <c r="W1289">
        <v>1</v>
      </c>
      <c r="X1289">
        <v>0.48915657780444638</v>
      </c>
      <c r="Y1289">
        <v>1</v>
      </c>
      <c r="Z1289">
        <v>528.51196257580398</v>
      </c>
      <c r="AA1289">
        <v>2</v>
      </c>
      <c r="AB1289">
        <v>3</v>
      </c>
      <c r="AC1289">
        <v>7</v>
      </c>
      <c r="AD1289">
        <v>26.84</v>
      </c>
      <c r="AE1289">
        <v>253</v>
      </c>
      <c r="AF1289">
        <v>17</v>
      </c>
      <c r="AG1289">
        <v>63</v>
      </c>
      <c r="AH1289">
        <v>32</v>
      </c>
      <c r="AI1289">
        <v>6.72</v>
      </c>
      <c r="AJ1289">
        <v>24.9</v>
      </c>
      <c r="AK1289">
        <v>12.65</v>
      </c>
      <c r="AL1289">
        <v>-19.570777549999971</v>
      </c>
      <c r="AM1289">
        <v>-43.949205504203732</v>
      </c>
      <c r="AN1289">
        <v>-19.570777549999981</v>
      </c>
      <c r="AO1289">
        <v>-43.949205504203732</v>
      </c>
      <c r="AP1289">
        <v>-19.569573999999999</v>
      </c>
      <c r="AQ1289">
        <v>-43.948939000000003</v>
      </c>
      <c r="AR1289">
        <v>136.86420500821191</v>
      </c>
      <c r="AS1289" t="s">
        <v>65</v>
      </c>
      <c r="AT1289">
        <v>1</v>
      </c>
      <c r="AU1289" t="s">
        <v>685</v>
      </c>
      <c r="AV1289" t="s">
        <v>686</v>
      </c>
      <c r="AW1289" t="s">
        <v>60</v>
      </c>
      <c r="AX1289" t="s">
        <v>68</v>
      </c>
      <c r="AY1289" t="s">
        <v>69</v>
      </c>
      <c r="AZ1289" t="b">
        <v>1</v>
      </c>
    </row>
    <row r="1290" spans="1:52" x14ac:dyDescent="0.3">
      <c r="A1290" t="s">
        <v>52</v>
      </c>
      <c r="B1290" t="s">
        <v>53</v>
      </c>
      <c r="C1290" t="s">
        <v>54</v>
      </c>
      <c r="D1290" t="s">
        <v>55</v>
      </c>
      <c r="E1290" t="s">
        <v>831</v>
      </c>
      <c r="F1290" t="s">
        <v>176</v>
      </c>
      <c r="G1290" t="s">
        <v>664</v>
      </c>
      <c r="H1290" t="s">
        <v>687</v>
      </c>
      <c r="I1290" t="s">
        <v>687</v>
      </c>
      <c r="J1290" t="s">
        <v>60</v>
      </c>
      <c r="K1290" t="s">
        <v>683</v>
      </c>
      <c r="L1290" t="s">
        <v>62</v>
      </c>
      <c r="M1290" t="s">
        <v>683</v>
      </c>
      <c r="N1290" t="s">
        <v>688</v>
      </c>
      <c r="O1290" t="s">
        <v>354</v>
      </c>
      <c r="P1290">
        <v>-19.564990999999999</v>
      </c>
      <c r="Q1290">
        <v>-43.947169000000002</v>
      </c>
      <c r="R1290" s="2" t="str">
        <f>HYPERLINK("https://www.google.com/maps?q=-19.5649910,-43.9471690","Abrir no Google Maps")</f>
        <v>Abrir no Google Maps</v>
      </c>
      <c r="S1290">
        <v>3</v>
      </c>
      <c r="T1290">
        <v>686.62887321451433</v>
      </c>
      <c r="U1290">
        <v>4</v>
      </c>
      <c r="V1290">
        <v>0.48941368022909659</v>
      </c>
      <c r="W1290">
        <v>1</v>
      </c>
      <c r="X1290">
        <v>0.48941368022909659</v>
      </c>
      <c r="Y1290">
        <v>1</v>
      </c>
      <c r="Z1290">
        <v>848.87718642784125</v>
      </c>
      <c r="AA1290">
        <v>2</v>
      </c>
      <c r="AB1290">
        <v>3</v>
      </c>
      <c r="AC1290">
        <v>7</v>
      </c>
      <c r="AD1290">
        <v>26.84</v>
      </c>
      <c r="AE1290">
        <v>253</v>
      </c>
      <c r="AF1290">
        <v>17</v>
      </c>
      <c r="AG1290">
        <v>63</v>
      </c>
      <c r="AH1290">
        <v>32</v>
      </c>
      <c r="AI1290">
        <v>6.72</v>
      </c>
      <c r="AJ1290">
        <v>24.9</v>
      </c>
      <c r="AK1290">
        <v>12.65</v>
      </c>
      <c r="AL1290">
        <v>-19.564904949999971</v>
      </c>
      <c r="AM1290">
        <v>-43.94746329903581</v>
      </c>
      <c r="AN1290">
        <v>-19.564904949999971</v>
      </c>
      <c r="AO1290">
        <v>-43.94746329903581</v>
      </c>
      <c r="AP1290">
        <v>-19.564990999999999</v>
      </c>
      <c r="AQ1290">
        <v>-43.947169000000002</v>
      </c>
      <c r="AR1290">
        <v>32.321888980844889</v>
      </c>
      <c r="AS1290" t="s">
        <v>65</v>
      </c>
      <c r="AT1290">
        <v>1</v>
      </c>
      <c r="AU1290" t="s">
        <v>689</v>
      </c>
      <c r="AV1290" t="s">
        <v>690</v>
      </c>
      <c r="AW1290" t="s">
        <v>60</v>
      </c>
      <c r="AX1290" t="s">
        <v>68</v>
      </c>
      <c r="AY1290" t="s">
        <v>69</v>
      </c>
      <c r="AZ1290" t="b">
        <v>1</v>
      </c>
    </row>
    <row r="1291" spans="1:52" x14ac:dyDescent="0.3">
      <c r="A1291" t="s">
        <v>52</v>
      </c>
      <c r="B1291" t="s">
        <v>53</v>
      </c>
      <c r="C1291" t="s">
        <v>54</v>
      </c>
      <c r="D1291" t="s">
        <v>55</v>
      </c>
      <c r="E1291" t="s">
        <v>831</v>
      </c>
      <c r="F1291" t="s">
        <v>176</v>
      </c>
      <c r="G1291" t="s">
        <v>394</v>
      </c>
      <c r="H1291" t="s">
        <v>395</v>
      </c>
      <c r="I1291" t="s">
        <v>395</v>
      </c>
      <c r="J1291" t="s">
        <v>60</v>
      </c>
      <c r="K1291" t="s">
        <v>286</v>
      </c>
      <c r="L1291" t="s">
        <v>62</v>
      </c>
      <c r="M1291" t="s">
        <v>286</v>
      </c>
      <c r="N1291" t="s">
        <v>396</v>
      </c>
      <c r="O1291" t="s">
        <v>88</v>
      </c>
      <c r="P1291">
        <v>-19.636932999999999</v>
      </c>
      <c r="Q1291">
        <v>-43.882691999999999</v>
      </c>
      <c r="R1291" s="2" t="str">
        <f>HYPERLINK("https://www.google.com/maps?q=-19.6369330,-43.8826920","Abrir no Google Maps")</f>
        <v>Abrir no Google Maps</v>
      </c>
      <c r="S1291">
        <v>3</v>
      </c>
      <c r="T1291">
        <v>523.52675813688109</v>
      </c>
      <c r="U1291">
        <v>3</v>
      </c>
      <c r="V1291">
        <v>0.44820517046027619</v>
      </c>
      <c r="W1291">
        <v>1</v>
      </c>
      <c r="X1291">
        <v>0.44820517046027619</v>
      </c>
      <c r="Y1291">
        <v>10</v>
      </c>
      <c r="Z1291">
        <v>372.58135532659509</v>
      </c>
      <c r="AA1291">
        <v>2</v>
      </c>
      <c r="AB1291">
        <v>3</v>
      </c>
      <c r="AC1291">
        <v>7</v>
      </c>
      <c r="AD1291">
        <v>26.84</v>
      </c>
      <c r="AE1291">
        <v>253</v>
      </c>
      <c r="AF1291">
        <v>17</v>
      </c>
      <c r="AG1291">
        <v>63</v>
      </c>
      <c r="AH1291">
        <v>32</v>
      </c>
      <c r="AI1291">
        <v>6.72</v>
      </c>
      <c r="AJ1291">
        <v>24.9</v>
      </c>
      <c r="AK1291">
        <v>12.65</v>
      </c>
      <c r="AL1291">
        <v>-19.637159949999951</v>
      </c>
      <c r="AM1291">
        <v>-43.882643289441461</v>
      </c>
      <c r="AN1291">
        <v>-19.637159949999951</v>
      </c>
      <c r="AO1291">
        <v>-43.882643289441461</v>
      </c>
      <c r="AP1291">
        <v>-19.636932999999999</v>
      </c>
      <c r="AQ1291">
        <v>-43.882691999999999</v>
      </c>
      <c r="AR1291">
        <v>25.775099947452478</v>
      </c>
      <c r="AS1291" t="s">
        <v>65</v>
      </c>
      <c r="AT1291">
        <v>1</v>
      </c>
      <c r="AU1291" t="s">
        <v>397</v>
      </c>
      <c r="AV1291" t="s">
        <v>398</v>
      </c>
      <c r="AW1291" t="s">
        <v>60</v>
      </c>
      <c r="AX1291" t="s">
        <v>68</v>
      </c>
      <c r="AY1291" t="s">
        <v>69</v>
      </c>
      <c r="AZ1291" t="b">
        <v>1</v>
      </c>
    </row>
    <row r="1292" spans="1:52" x14ac:dyDescent="0.3">
      <c r="A1292" t="s">
        <v>52</v>
      </c>
      <c r="B1292" t="s">
        <v>53</v>
      </c>
      <c r="C1292" t="s">
        <v>54</v>
      </c>
      <c r="D1292" t="s">
        <v>55</v>
      </c>
      <c r="E1292" t="s">
        <v>831</v>
      </c>
      <c r="F1292" t="s">
        <v>176</v>
      </c>
      <c r="G1292" t="s">
        <v>399</v>
      </c>
      <c r="H1292" t="s">
        <v>400</v>
      </c>
      <c r="I1292" t="s">
        <v>400</v>
      </c>
      <c r="J1292" t="s">
        <v>60</v>
      </c>
      <c r="K1292" t="s">
        <v>286</v>
      </c>
      <c r="L1292" t="s">
        <v>62</v>
      </c>
      <c r="M1292" t="s">
        <v>286</v>
      </c>
      <c r="N1292" t="s">
        <v>401</v>
      </c>
      <c r="O1292" t="s">
        <v>402</v>
      </c>
      <c r="P1292">
        <v>-19.639906</v>
      </c>
      <c r="Q1292">
        <v>-43.886059000000003</v>
      </c>
      <c r="R1292" s="2" t="str">
        <f>HYPERLINK("https://www.google.com/maps?q=-19.6399060,-43.8860590","Abrir no Google Maps")</f>
        <v>Abrir no Google Maps</v>
      </c>
      <c r="S1292">
        <v>3</v>
      </c>
      <c r="T1292">
        <v>256.0748811302048</v>
      </c>
      <c r="U1292">
        <v>3</v>
      </c>
      <c r="V1292">
        <v>0.45711421739472208</v>
      </c>
      <c r="W1292">
        <v>1</v>
      </c>
      <c r="X1292">
        <v>0.45711421739472208</v>
      </c>
      <c r="Y1292">
        <v>10</v>
      </c>
      <c r="Z1292">
        <v>205.06236700857289</v>
      </c>
      <c r="AA1292">
        <v>2</v>
      </c>
      <c r="AB1292">
        <v>3</v>
      </c>
      <c r="AC1292">
        <v>7</v>
      </c>
      <c r="AD1292">
        <v>26.84</v>
      </c>
      <c r="AE1292">
        <v>253</v>
      </c>
      <c r="AF1292">
        <v>17</v>
      </c>
      <c r="AG1292">
        <v>63</v>
      </c>
      <c r="AH1292">
        <v>32</v>
      </c>
      <c r="AI1292">
        <v>6.72</v>
      </c>
      <c r="AJ1292">
        <v>24.9</v>
      </c>
      <c r="AK1292">
        <v>12.65</v>
      </c>
      <c r="AL1292">
        <v>-19.639789499999949</v>
      </c>
      <c r="AM1292">
        <v>-43.885737855031408</v>
      </c>
      <c r="AN1292">
        <v>-19.639789499999949</v>
      </c>
      <c r="AO1292">
        <v>-43.885737855031408</v>
      </c>
      <c r="AP1292">
        <v>-19.639906</v>
      </c>
      <c r="AQ1292">
        <v>-43.886059000000003</v>
      </c>
      <c r="AR1292">
        <v>36.081349702130403</v>
      </c>
      <c r="AS1292" t="s">
        <v>65</v>
      </c>
      <c r="AT1292">
        <v>1</v>
      </c>
      <c r="AU1292" t="s">
        <v>403</v>
      </c>
      <c r="AV1292" t="s">
        <v>404</v>
      </c>
      <c r="AW1292" t="s">
        <v>60</v>
      </c>
      <c r="AX1292" t="s">
        <v>68</v>
      </c>
      <c r="AY1292" t="s">
        <v>69</v>
      </c>
      <c r="AZ1292" t="b">
        <v>1</v>
      </c>
    </row>
    <row r="1293" spans="1:52" x14ac:dyDescent="0.3">
      <c r="A1293" t="s">
        <v>52</v>
      </c>
      <c r="B1293" t="s">
        <v>53</v>
      </c>
      <c r="C1293" t="s">
        <v>54</v>
      </c>
      <c r="D1293" t="s">
        <v>55</v>
      </c>
      <c r="E1293" t="s">
        <v>831</v>
      </c>
      <c r="F1293" t="s">
        <v>176</v>
      </c>
      <c r="G1293" t="s">
        <v>546</v>
      </c>
      <c r="H1293" t="s">
        <v>547</v>
      </c>
      <c r="I1293" t="s">
        <v>547</v>
      </c>
      <c r="J1293" t="s">
        <v>60</v>
      </c>
      <c r="K1293" t="s">
        <v>445</v>
      </c>
      <c r="L1293" t="s">
        <v>62</v>
      </c>
      <c r="M1293" t="s">
        <v>445</v>
      </c>
      <c r="N1293" t="s">
        <v>548</v>
      </c>
      <c r="O1293" t="s">
        <v>549</v>
      </c>
      <c r="P1293">
        <v>-19.642752999999999</v>
      </c>
      <c r="Q1293">
        <v>-43.879080999999999</v>
      </c>
      <c r="R1293" s="2" t="str">
        <f>HYPERLINK("https://www.google.com/maps?q=-19.6427530,-43.8790810","Abrir no Google Maps")</f>
        <v>Abrir no Google Maps</v>
      </c>
      <c r="S1293">
        <v>3</v>
      </c>
      <c r="T1293">
        <v>256.19518367376457</v>
      </c>
      <c r="U1293">
        <v>3</v>
      </c>
      <c r="V1293">
        <v>0.4685977141133939</v>
      </c>
      <c r="W1293">
        <v>0.85</v>
      </c>
      <c r="X1293">
        <v>0.39830805699638477</v>
      </c>
      <c r="Y1293">
        <v>10</v>
      </c>
      <c r="Z1293">
        <v>192.73978446408199</v>
      </c>
      <c r="AA1293">
        <v>2</v>
      </c>
      <c r="AB1293">
        <v>3</v>
      </c>
      <c r="AC1293">
        <v>7</v>
      </c>
      <c r="AD1293">
        <v>26.84</v>
      </c>
      <c r="AE1293">
        <v>253</v>
      </c>
      <c r="AF1293">
        <v>17</v>
      </c>
      <c r="AG1293">
        <v>63</v>
      </c>
      <c r="AH1293">
        <v>32</v>
      </c>
      <c r="AI1293">
        <v>6.72</v>
      </c>
      <c r="AJ1293">
        <v>24.9</v>
      </c>
      <c r="AK1293">
        <v>12.65</v>
      </c>
      <c r="AL1293">
        <v>-19.642703749999949</v>
      </c>
      <c r="AM1293">
        <v>-43.879132974738582</v>
      </c>
      <c r="AN1293">
        <v>-19.642703749999949</v>
      </c>
      <c r="AO1293">
        <v>-43.879132974738582</v>
      </c>
      <c r="AP1293">
        <v>-19.642752999999999</v>
      </c>
      <c r="AQ1293">
        <v>-43.879080999999999</v>
      </c>
      <c r="AR1293">
        <v>7.7298757823687696</v>
      </c>
      <c r="AS1293" t="s">
        <v>65</v>
      </c>
      <c r="AT1293">
        <v>1</v>
      </c>
      <c r="AU1293" t="s">
        <v>550</v>
      </c>
      <c r="AV1293" t="s">
        <v>551</v>
      </c>
      <c r="AW1293" t="s">
        <v>60</v>
      </c>
      <c r="AX1293" t="s">
        <v>68</v>
      </c>
      <c r="AY1293" t="s">
        <v>69</v>
      </c>
      <c r="AZ1293" t="b">
        <v>1</v>
      </c>
    </row>
    <row r="1294" spans="1:52" x14ac:dyDescent="0.3">
      <c r="A1294" t="s">
        <v>52</v>
      </c>
      <c r="B1294" t="s">
        <v>53</v>
      </c>
      <c r="C1294" t="s">
        <v>54</v>
      </c>
      <c r="D1294" t="s">
        <v>55</v>
      </c>
      <c r="E1294" t="s">
        <v>831</v>
      </c>
      <c r="F1294" t="s">
        <v>176</v>
      </c>
      <c r="G1294" t="s">
        <v>405</v>
      </c>
      <c r="H1294" t="s">
        <v>406</v>
      </c>
      <c r="I1294" t="s">
        <v>406</v>
      </c>
      <c r="J1294" t="s">
        <v>60</v>
      </c>
      <c r="K1294" t="s">
        <v>286</v>
      </c>
      <c r="L1294" t="s">
        <v>62</v>
      </c>
      <c r="M1294" t="s">
        <v>286</v>
      </c>
      <c r="N1294" t="s">
        <v>407</v>
      </c>
      <c r="O1294" t="s">
        <v>408</v>
      </c>
      <c r="P1294">
        <v>-19.646345</v>
      </c>
      <c r="Q1294">
        <v>-43.882294999999999</v>
      </c>
      <c r="R1294" s="2" t="str">
        <f>HYPERLINK("https://www.google.com/maps?q=-19.6463450,-43.8822950","Abrir no Google Maps")</f>
        <v>Abrir no Google Maps</v>
      </c>
      <c r="S1294">
        <v>3</v>
      </c>
      <c r="T1294">
        <v>450.3180538635894</v>
      </c>
      <c r="U1294">
        <v>3</v>
      </c>
      <c r="V1294">
        <v>0.44725379545879018</v>
      </c>
      <c r="W1294">
        <v>1</v>
      </c>
      <c r="X1294">
        <v>0.44725379545879018</v>
      </c>
      <c r="Y1294">
        <v>10</v>
      </c>
      <c r="Z1294">
        <v>349.23341775902583</v>
      </c>
      <c r="AA1294">
        <v>2</v>
      </c>
      <c r="AB1294">
        <v>3</v>
      </c>
      <c r="AC1294">
        <v>7</v>
      </c>
      <c r="AD1294">
        <v>26.84</v>
      </c>
      <c r="AE1294">
        <v>253</v>
      </c>
      <c r="AF1294">
        <v>17</v>
      </c>
      <c r="AG1294">
        <v>63</v>
      </c>
      <c r="AH1294">
        <v>32</v>
      </c>
      <c r="AI1294">
        <v>6.72</v>
      </c>
      <c r="AJ1294">
        <v>24.9</v>
      </c>
      <c r="AK1294">
        <v>12.65</v>
      </c>
      <c r="AL1294">
        <v>-19.646391649999941</v>
      </c>
      <c r="AM1294">
        <v>-43.882007396993302</v>
      </c>
      <c r="AN1294">
        <v>-19.646391649999941</v>
      </c>
      <c r="AO1294">
        <v>-43.882007396993302</v>
      </c>
      <c r="AP1294">
        <v>-19.646345</v>
      </c>
      <c r="AQ1294">
        <v>-43.882294999999999</v>
      </c>
      <c r="AR1294">
        <v>30.596105513395301</v>
      </c>
      <c r="AS1294" t="s">
        <v>65</v>
      </c>
      <c r="AT1294">
        <v>1</v>
      </c>
      <c r="AU1294" t="s">
        <v>409</v>
      </c>
      <c r="AV1294" t="s">
        <v>410</v>
      </c>
      <c r="AW1294" t="s">
        <v>60</v>
      </c>
      <c r="AX1294" t="s">
        <v>68</v>
      </c>
      <c r="AY1294" t="s">
        <v>69</v>
      </c>
      <c r="AZ1294" t="b">
        <v>1</v>
      </c>
    </row>
    <row r="1295" spans="1:52" x14ac:dyDescent="0.3">
      <c r="A1295" t="s">
        <v>52</v>
      </c>
      <c r="B1295" t="s">
        <v>53</v>
      </c>
      <c r="C1295" t="s">
        <v>54</v>
      </c>
      <c r="D1295" t="s">
        <v>55</v>
      </c>
      <c r="E1295" t="s">
        <v>831</v>
      </c>
      <c r="F1295" t="s">
        <v>176</v>
      </c>
      <c r="G1295" t="s">
        <v>691</v>
      </c>
      <c r="H1295" t="s">
        <v>692</v>
      </c>
      <c r="I1295" t="s">
        <v>692</v>
      </c>
      <c r="J1295" t="s">
        <v>60</v>
      </c>
      <c r="K1295" t="s">
        <v>352</v>
      </c>
      <c r="L1295" t="s">
        <v>62</v>
      </c>
      <c r="M1295" t="s">
        <v>352</v>
      </c>
      <c r="N1295" t="s">
        <v>693</v>
      </c>
      <c r="O1295" t="s">
        <v>694</v>
      </c>
      <c r="P1295">
        <v>-19.592984999999999</v>
      </c>
      <c r="Q1295">
        <v>-43.897024999999999</v>
      </c>
      <c r="R1295" s="2" t="str">
        <f>HYPERLINK("https://www.google.com/maps?q=-19.5929850,-43.8970250","Abrir no Google Maps")</f>
        <v>Abrir no Google Maps</v>
      </c>
      <c r="S1295">
        <v>3</v>
      </c>
      <c r="T1295">
        <v>1022.30441514714</v>
      </c>
      <c r="U1295">
        <v>3</v>
      </c>
      <c r="V1295">
        <v>0.5274677771167956</v>
      </c>
      <c r="W1295">
        <v>0.85</v>
      </c>
      <c r="X1295">
        <v>0.44834761054927619</v>
      </c>
      <c r="Y1295">
        <v>7</v>
      </c>
      <c r="Z1295">
        <v>1025.765184854632</v>
      </c>
      <c r="AA1295">
        <v>2</v>
      </c>
      <c r="AB1295">
        <v>3</v>
      </c>
      <c r="AC1295">
        <v>7</v>
      </c>
      <c r="AD1295">
        <v>26.84</v>
      </c>
      <c r="AE1295">
        <v>253</v>
      </c>
      <c r="AF1295">
        <v>17</v>
      </c>
      <c r="AG1295">
        <v>63</v>
      </c>
      <c r="AH1295">
        <v>32</v>
      </c>
      <c r="AI1295">
        <v>6.72</v>
      </c>
      <c r="AJ1295">
        <v>24.9</v>
      </c>
      <c r="AK1295">
        <v>12.65</v>
      </c>
      <c r="AL1295">
        <v>-19.593727299999951</v>
      </c>
      <c r="AM1295">
        <v>-43.89663096630845</v>
      </c>
      <c r="AN1295">
        <v>-19.593727299999951</v>
      </c>
      <c r="AO1295">
        <v>-43.89663096630845</v>
      </c>
      <c r="AP1295">
        <v>-19.592984999999999</v>
      </c>
      <c r="AQ1295">
        <v>-43.897024999999999</v>
      </c>
      <c r="AR1295">
        <v>92.389647241204798</v>
      </c>
      <c r="AS1295" t="s">
        <v>65</v>
      </c>
      <c r="AT1295">
        <v>1</v>
      </c>
      <c r="AU1295" t="s">
        <v>695</v>
      </c>
      <c r="AV1295" t="s">
        <v>375</v>
      </c>
      <c r="AW1295" t="s">
        <v>60</v>
      </c>
      <c r="AX1295" t="s">
        <v>68</v>
      </c>
      <c r="AY1295" t="s">
        <v>69</v>
      </c>
      <c r="AZ1295" t="b">
        <v>1</v>
      </c>
    </row>
    <row r="1296" spans="1:52" x14ac:dyDescent="0.3">
      <c r="A1296" t="s">
        <v>52</v>
      </c>
      <c r="B1296" t="s">
        <v>53</v>
      </c>
      <c r="C1296" t="s">
        <v>54</v>
      </c>
      <c r="D1296" t="s">
        <v>55</v>
      </c>
      <c r="E1296" t="s">
        <v>831</v>
      </c>
      <c r="F1296" t="s">
        <v>176</v>
      </c>
      <c r="G1296" t="s">
        <v>696</v>
      </c>
      <c r="H1296" t="s">
        <v>697</v>
      </c>
      <c r="I1296" t="s">
        <v>697</v>
      </c>
      <c r="J1296" t="s">
        <v>60</v>
      </c>
      <c r="K1296" t="s">
        <v>192</v>
      </c>
      <c r="L1296" t="s">
        <v>62</v>
      </c>
      <c r="M1296" t="s">
        <v>192</v>
      </c>
      <c r="N1296" t="s">
        <v>698</v>
      </c>
      <c r="O1296" t="s">
        <v>201</v>
      </c>
      <c r="P1296">
        <v>-19.657964</v>
      </c>
      <c r="Q1296">
        <v>-43.913791000000003</v>
      </c>
      <c r="R1296" s="2" t="str">
        <f>HYPERLINK("https://www.google.com/maps?q=-19.6579640,-43.9137910","Abrir no Google Maps")</f>
        <v>Abrir no Google Maps</v>
      </c>
      <c r="S1296">
        <v>3</v>
      </c>
      <c r="T1296">
        <v>1058.2952342500039</v>
      </c>
      <c r="U1296">
        <v>3</v>
      </c>
      <c r="V1296">
        <v>0.52037200288444208</v>
      </c>
      <c r="W1296">
        <v>0.85</v>
      </c>
      <c r="X1296">
        <v>0.44231620245177578</v>
      </c>
      <c r="Y1296">
        <v>5</v>
      </c>
      <c r="Z1296">
        <v>569.88485997938767</v>
      </c>
      <c r="AA1296">
        <v>2</v>
      </c>
      <c r="AB1296">
        <v>3</v>
      </c>
      <c r="AC1296">
        <v>7</v>
      </c>
      <c r="AD1296">
        <v>26.84</v>
      </c>
      <c r="AE1296">
        <v>253</v>
      </c>
      <c r="AF1296">
        <v>17</v>
      </c>
      <c r="AG1296">
        <v>63</v>
      </c>
      <c r="AH1296">
        <v>32</v>
      </c>
      <c r="AI1296">
        <v>6.72</v>
      </c>
      <c r="AJ1296">
        <v>24.9</v>
      </c>
      <c r="AK1296">
        <v>12.65</v>
      </c>
      <c r="AL1296">
        <v>-19.656920099999951</v>
      </c>
      <c r="AM1296">
        <v>-43.913287088959777</v>
      </c>
      <c r="AN1296">
        <v>-19.656920099999951</v>
      </c>
      <c r="AO1296">
        <v>-43.913287088959777</v>
      </c>
      <c r="AP1296">
        <v>-19.657964</v>
      </c>
      <c r="AQ1296">
        <v>-43.913791000000003</v>
      </c>
      <c r="AR1296">
        <v>127.6506083298423</v>
      </c>
      <c r="AS1296" t="s">
        <v>65</v>
      </c>
      <c r="AT1296">
        <v>1</v>
      </c>
      <c r="AU1296" t="s">
        <v>699</v>
      </c>
      <c r="AV1296" t="s">
        <v>700</v>
      </c>
      <c r="AW1296" t="s">
        <v>60</v>
      </c>
      <c r="AX1296" t="s">
        <v>68</v>
      </c>
      <c r="AY1296" t="s">
        <v>69</v>
      </c>
      <c r="AZ1296" t="b">
        <v>1</v>
      </c>
    </row>
    <row r="1297" spans="1:52" x14ac:dyDescent="0.3">
      <c r="A1297" t="s">
        <v>52</v>
      </c>
      <c r="B1297" t="s">
        <v>53</v>
      </c>
      <c r="C1297" t="s">
        <v>54</v>
      </c>
      <c r="D1297" t="s">
        <v>55</v>
      </c>
      <c r="E1297" t="s">
        <v>831</v>
      </c>
      <c r="F1297" t="s">
        <v>176</v>
      </c>
      <c r="G1297" t="s">
        <v>789</v>
      </c>
      <c r="H1297" t="s">
        <v>790</v>
      </c>
      <c r="I1297" t="s">
        <v>790</v>
      </c>
      <c r="J1297" t="s">
        <v>60</v>
      </c>
      <c r="K1297" t="s">
        <v>118</v>
      </c>
      <c r="L1297" t="s">
        <v>62</v>
      </c>
      <c r="M1297" t="s">
        <v>118</v>
      </c>
      <c r="N1297" t="s">
        <v>791</v>
      </c>
      <c r="O1297" t="s">
        <v>792</v>
      </c>
      <c r="P1297">
        <v>-19.662614999999999</v>
      </c>
      <c r="Q1297">
        <v>-43.910375999999999</v>
      </c>
      <c r="R1297" s="2" t="str">
        <f>HYPERLINK("https://www.google.com/maps?q=-19.6626150,-43.9103760","Abrir no Google Maps")</f>
        <v>Abrir no Google Maps</v>
      </c>
      <c r="S1297">
        <v>3</v>
      </c>
      <c r="T1297">
        <v>0</v>
      </c>
      <c r="U1297">
        <v>3</v>
      </c>
      <c r="V1297">
        <v>0.48399820881151018</v>
      </c>
      <c r="W1297">
        <v>0.85</v>
      </c>
      <c r="X1297">
        <v>0.41139847748978359</v>
      </c>
      <c r="Y1297">
        <v>5</v>
      </c>
      <c r="Z1297">
        <v>397.70149705938968</v>
      </c>
      <c r="AA1297">
        <v>2</v>
      </c>
      <c r="AB1297">
        <v>3</v>
      </c>
      <c r="AC1297">
        <v>7</v>
      </c>
      <c r="AD1297">
        <v>26.84</v>
      </c>
      <c r="AE1297">
        <v>253</v>
      </c>
      <c r="AF1297">
        <v>17</v>
      </c>
      <c r="AG1297">
        <v>63</v>
      </c>
      <c r="AH1297">
        <v>32</v>
      </c>
      <c r="AI1297">
        <v>6.72</v>
      </c>
      <c r="AJ1297">
        <v>24.9</v>
      </c>
      <c r="AK1297">
        <v>12.65</v>
      </c>
      <c r="AL1297">
        <v>-19.665581849999938</v>
      </c>
      <c r="AM1297">
        <v>-43.909010688892621</v>
      </c>
      <c r="AN1297">
        <v>-19.665581849999938</v>
      </c>
      <c r="AO1297">
        <v>-43.909010688892621</v>
      </c>
      <c r="AP1297">
        <v>-19.662614999999999</v>
      </c>
      <c r="AQ1297">
        <v>-43.910375999999999</v>
      </c>
      <c r="AR1297">
        <v>359.94703265997708</v>
      </c>
      <c r="AS1297" t="s">
        <v>65</v>
      </c>
      <c r="AT1297">
        <v>1</v>
      </c>
      <c r="AU1297" t="s">
        <v>793</v>
      </c>
      <c r="AV1297" t="s">
        <v>794</v>
      </c>
      <c r="AW1297" t="s">
        <v>60</v>
      </c>
      <c r="AX1297" t="s">
        <v>68</v>
      </c>
      <c r="AY1297" t="s">
        <v>69</v>
      </c>
      <c r="AZ1297" t="b">
        <v>1</v>
      </c>
    </row>
    <row r="1298" spans="1:52" x14ac:dyDescent="0.3">
      <c r="A1298" t="s">
        <v>52</v>
      </c>
      <c r="B1298" t="s">
        <v>53</v>
      </c>
      <c r="C1298" t="s">
        <v>54</v>
      </c>
      <c r="D1298" t="s">
        <v>55</v>
      </c>
      <c r="E1298" t="s">
        <v>831</v>
      </c>
      <c r="F1298" t="s">
        <v>176</v>
      </c>
      <c r="G1298" t="s">
        <v>664</v>
      </c>
      <c r="H1298" t="s">
        <v>701</v>
      </c>
      <c r="I1298" t="s">
        <v>701</v>
      </c>
      <c r="J1298" t="s">
        <v>60</v>
      </c>
      <c r="K1298" t="s">
        <v>311</v>
      </c>
      <c r="L1298" t="s">
        <v>62</v>
      </c>
      <c r="M1298" t="s">
        <v>311</v>
      </c>
      <c r="N1298" t="s">
        <v>435</v>
      </c>
      <c r="O1298" t="s">
        <v>702</v>
      </c>
      <c r="P1298">
        <v>-19.565729000000001</v>
      </c>
      <c r="Q1298">
        <v>-43.920665999999997</v>
      </c>
      <c r="R1298" s="2" t="str">
        <f>HYPERLINK("https://www.google.com/maps?q=-19.5657290,-43.9206660","Abrir no Google Maps")</f>
        <v>Abrir no Google Maps</v>
      </c>
      <c r="S1298">
        <v>3</v>
      </c>
      <c r="T1298">
        <v>849.43063667308161</v>
      </c>
      <c r="U1298">
        <v>3</v>
      </c>
      <c r="V1298">
        <v>0.51138102863961776</v>
      </c>
      <c r="W1298">
        <v>0.85</v>
      </c>
      <c r="X1298">
        <v>0.4346738743436751</v>
      </c>
      <c r="Y1298">
        <v>5</v>
      </c>
      <c r="Z1298">
        <v>643.17339424023237</v>
      </c>
      <c r="AA1298">
        <v>2</v>
      </c>
      <c r="AB1298">
        <v>3</v>
      </c>
      <c r="AC1298">
        <v>7</v>
      </c>
      <c r="AD1298">
        <v>26.84</v>
      </c>
      <c r="AE1298">
        <v>253</v>
      </c>
      <c r="AF1298">
        <v>17</v>
      </c>
      <c r="AG1298">
        <v>63</v>
      </c>
      <c r="AH1298">
        <v>32</v>
      </c>
      <c r="AI1298">
        <v>6.72</v>
      </c>
      <c r="AJ1298">
        <v>24.9</v>
      </c>
      <c r="AK1298">
        <v>12.65</v>
      </c>
      <c r="AL1298">
        <v>-19.56682334999994</v>
      </c>
      <c r="AM1298">
        <v>-43.921453383422516</v>
      </c>
      <c r="AN1298">
        <v>-19.56682334999994</v>
      </c>
      <c r="AO1298">
        <v>-43.921453383422516</v>
      </c>
      <c r="AP1298">
        <v>-19.565729000000001</v>
      </c>
      <c r="AQ1298">
        <v>-43.920665999999997</v>
      </c>
      <c r="AR1298">
        <v>147.17990898184439</v>
      </c>
      <c r="AS1298" t="s">
        <v>65</v>
      </c>
      <c r="AT1298">
        <v>1</v>
      </c>
      <c r="AU1298" t="s">
        <v>703</v>
      </c>
      <c r="AV1298" t="s">
        <v>704</v>
      </c>
      <c r="AW1298" t="s">
        <v>60</v>
      </c>
      <c r="AX1298" t="s">
        <v>68</v>
      </c>
      <c r="AY1298" t="s">
        <v>69</v>
      </c>
      <c r="AZ1298" t="b">
        <v>1</v>
      </c>
    </row>
    <row r="1299" spans="1:52" x14ac:dyDescent="0.3">
      <c r="A1299" t="s">
        <v>52</v>
      </c>
      <c r="B1299" t="s">
        <v>53</v>
      </c>
      <c r="C1299" t="s">
        <v>54</v>
      </c>
      <c r="D1299" t="s">
        <v>55</v>
      </c>
      <c r="E1299" t="s">
        <v>831</v>
      </c>
      <c r="F1299" t="s">
        <v>176</v>
      </c>
      <c r="G1299" t="s">
        <v>712</v>
      </c>
      <c r="H1299" t="s">
        <v>713</v>
      </c>
      <c r="I1299" t="s">
        <v>713</v>
      </c>
      <c r="J1299" t="s">
        <v>60</v>
      </c>
      <c r="K1299" t="s">
        <v>192</v>
      </c>
      <c r="L1299" t="s">
        <v>62</v>
      </c>
      <c r="M1299" t="s">
        <v>192</v>
      </c>
      <c r="N1299" t="s">
        <v>714</v>
      </c>
      <c r="O1299" t="s">
        <v>715</v>
      </c>
      <c r="P1299">
        <v>-19.653379999999999</v>
      </c>
      <c r="Q1299">
        <v>-43.914634999999997</v>
      </c>
      <c r="R1299" s="2" t="str">
        <f>HYPERLINK("https://www.google.com/maps?q=-19.6533800,-43.9146350","Abrir no Google Maps")</f>
        <v>Abrir no Google Maps</v>
      </c>
      <c r="S1299">
        <v>3</v>
      </c>
      <c r="T1299">
        <v>1209.6845317210091</v>
      </c>
      <c r="U1299">
        <v>3</v>
      </c>
      <c r="V1299">
        <v>0.41338119921023581</v>
      </c>
      <c r="W1299">
        <v>1</v>
      </c>
      <c r="X1299">
        <v>0.41338119921023581</v>
      </c>
      <c r="Y1299">
        <v>4</v>
      </c>
      <c r="Z1299">
        <v>948.79528152345983</v>
      </c>
      <c r="AA1299">
        <v>2</v>
      </c>
      <c r="AB1299">
        <v>3</v>
      </c>
      <c r="AC1299">
        <v>7</v>
      </c>
      <c r="AD1299">
        <v>26.84</v>
      </c>
      <c r="AE1299">
        <v>253</v>
      </c>
      <c r="AF1299">
        <v>17</v>
      </c>
      <c r="AG1299">
        <v>63</v>
      </c>
      <c r="AH1299">
        <v>32</v>
      </c>
      <c r="AI1299">
        <v>6.72</v>
      </c>
      <c r="AJ1299">
        <v>24.9</v>
      </c>
      <c r="AK1299">
        <v>12.65</v>
      </c>
      <c r="AL1299">
        <v>-19.653402249999939</v>
      </c>
      <c r="AM1299">
        <v>-43.91489200796137</v>
      </c>
      <c r="AN1299">
        <v>-19.653402249999939</v>
      </c>
      <c r="AO1299">
        <v>-43.91489200796137</v>
      </c>
      <c r="AP1299">
        <v>-19.653379999999999</v>
      </c>
      <c r="AQ1299">
        <v>-43.914634999999997</v>
      </c>
      <c r="AR1299">
        <v>27.0570338493382</v>
      </c>
      <c r="AS1299" t="s">
        <v>65</v>
      </c>
      <c r="AT1299">
        <v>1</v>
      </c>
      <c r="AU1299" t="s">
        <v>716</v>
      </c>
      <c r="AV1299" t="s">
        <v>717</v>
      </c>
      <c r="AW1299" t="s">
        <v>60</v>
      </c>
      <c r="AX1299" t="s">
        <v>68</v>
      </c>
      <c r="AY1299" t="s">
        <v>69</v>
      </c>
      <c r="AZ1299" t="b">
        <v>1</v>
      </c>
    </row>
    <row r="1300" spans="1:52" x14ac:dyDescent="0.3">
      <c r="A1300" t="s">
        <v>52</v>
      </c>
      <c r="B1300" t="s">
        <v>53</v>
      </c>
      <c r="C1300" t="s">
        <v>54</v>
      </c>
      <c r="D1300" t="s">
        <v>55</v>
      </c>
      <c r="E1300" t="s">
        <v>831</v>
      </c>
      <c r="F1300" t="s">
        <v>176</v>
      </c>
      <c r="G1300" t="s">
        <v>438</v>
      </c>
      <c r="H1300" t="s">
        <v>439</v>
      </c>
      <c r="I1300" t="s">
        <v>439</v>
      </c>
      <c r="J1300" t="s">
        <v>60</v>
      </c>
      <c r="K1300" t="s">
        <v>199</v>
      </c>
      <c r="L1300" t="s">
        <v>62</v>
      </c>
      <c r="M1300" t="s">
        <v>199</v>
      </c>
      <c r="N1300" t="s">
        <v>440</v>
      </c>
      <c r="O1300" t="s">
        <v>120</v>
      </c>
      <c r="P1300">
        <v>-19.642907000000001</v>
      </c>
      <c r="Q1300">
        <v>-43.912584000000003</v>
      </c>
      <c r="R1300" s="2" t="str">
        <f>HYPERLINK("https://www.google.com/maps?q=-19.6429070,-43.9125840","Abrir no Google Maps")</f>
        <v>Abrir no Google Maps</v>
      </c>
      <c r="S1300">
        <v>3</v>
      </c>
      <c r="T1300">
        <v>0</v>
      </c>
      <c r="U1300">
        <v>3</v>
      </c>
      <c r="V1300">
        <v>0.4382107837202231</v>
      </c>
      <c r="W1300">
        <v>1</v>
      </c>
      <c r="X1300">
        <v>0.4382107837202231</v>
      </c>
      <c r="Y1300">
        <v>4</v>
      </c>
      <c r="Z1300">
        <v>617.66392653629225</v>
      </c>
      <c r="AA1300">
        <v>2</v>
      </c>
      <c r="AB1300">
        <v>3</v>
      </c>
      <c r="AC1300">
        <v>7</v>
      </c>
      <c r="AD1300">
        <v>26.84</v>
      </c>
      <c r="AE1300">
        <v>253</v>
      </c>
      <c r="AF1300">
        <v>17</v>
      </c>
      <c r="AG1300">
        <v>63</v>
      </c>
      <c r="AH1300">
        <v>32</v>
      </c>
      <c r="AI1300">
        <v>6.72</v>
      </c>
      <c r="AJ1300">
        <v>24.9</v>
      </c>
      <c r="AK1300">
        <v>12.65</v>
      </c>
      <c r="AL1300">
        <v>-19.64265969999996</v>
      </c>
      <c r="AM1300">
        <v>-43.912763285666202</v>
      </c>
      <c r="AN1300">
        <v>-19.64265969999996</v>
      </c>
      <c r="AO1300">
        <v>-43.912763285666202</v>
      </c>
      <c r="AP1300">
        <v>-19.642907000000001</v>
      </c>
      <c r="AQ1300">
        <v>-43.912584000000003</v>
      </c>
      <c r="AR1300">
        <v>33.334435483196202</v>
      </c>
      <c r="AS1300" t="s">
        <v>65</v>
      </c>
      <c r="AT1300">
        <v>1</v>
      </c>
      <c r="AU1300" t="s">
        <v>441</v>
      </c>
      <c r="AV1300" t="s">
        <v>442</v>
      </c>
      <c r="AW1300" t="s">
        <v>60</v>
      </c>
      <c r="AX1300" t="s">
        <v>68</v>
      </c>
      <c r="AY1300" t="s">
        <v>69</v>
      </c>
      <c r="AZ1300" t="b">
        <v>1</v>
      </c>
    </row>
    <row r="1301" spans="1:52" x14ac:dyDescent="0.3">
      <c r="A1301" t="s">
        <v>52</v>
      </c>
      <c r="B1301" t="s">
        <v>53</v>
      </c>
      <c r="C1301" t="s">
        <v>54</v>
      </c>
      <c r="D1301" t="s">
        <v>55</v>
      </c>
      <c r="E1301" t="s">
        <v>831</v>
      </c>
      <c r="F1301" t="s">
        <v>176</v>
      </c>
      <c r="G1301" t="s">
        <v>462</v>
      </c>
      <c r="H1301" t="s">
        <v>463</v>
      </c>
      <c r="I1301" t="s">
        <v>463</v>
      </c>
      <c r="J1301" t="s">
        <v>60</v>
      </c>
      <c r="K1301" t="s">
        <v>464</v>
      </c>
      <c r="L1301" t="s">
        <v>62</v>
      </c>
      <c r="M1301" t="s">
        <v>464</v>
      </c>
      <c r="N1301" t="s">
        <v>465</v>
      </c>
      <c r="O1301" t="s">
        <v>414</v>
      </c>
      <c r="P1301">
        <v>-19.655408000000001</v>
      </c>
      <c r="Q1301">
        <v>-43.862772999999997</v>
      </c>
      <c r="R1301" s="2" t="str">
        <f>HYPERLINK("https://www.google.com/maps?q=-19.6554080,-43.8627730","Abrir no Google Maps")</f>
        <v>Abrir no Google Maps</v>
      </c>
      <c r="S1301">
        <v>3</v>
      </c>
      <c r="T1301">
        <v>877.50781603676592</v>
      </c>
      <c r="U1301">
        <v>3</v>
      </c>
      <c r="V1301">
        <v>0.4379215107936929</v>
      </c>
      <c r="W1301">
        <v>1</v>
      </c>
      <c r="X1301">
        <v>0.4379215107936929</v>
      </c>
      <c r="Y1301">
        <v>3</v>
      </c>
      <c r="Z1301">
        <v>1005.9680098732809</v>
      </c>
      <c r="AA1301">
        <v>2</v>
      </c>
      <c r="AB1301">
        <v>3</v>
      </c>
      <c r="AC1301">
        <v>7</v>
      </c>
      <c r="AD1301">
        <v>26.84</v>
      </c>
      <c r="AE1301">
        <v>253</v>
      </c>
      <c r="AF1301">
        <v>17</v>
      </c>
      <c r="AG1301">
        <v>63</v>
      </c>
      <c r="AH1301">
        <v>32</v>
      </c>
      <c r="AI1301">
        <v>6.72</v>
      </c>
      <c r="AJ1301">
        <v>24.9</v>
      </c>
      <c r="AK1301">
        <v>12.65</v>
      </c>
      <c r="AL1301">
        <v>-19.655455099999951</v>
      </c>
      <c r="AM1301">
        <v>-43.863149342001513</v>
      </c>
      <c r="AN1301">
        <v>-19.655455099999951</v>
      </c>
      <c r="AO1301">
        <v>-43.863149342001513</v>
      </c>
      <c r="AP1301">
        <v>-19.655408000000001</v>
      </c>
      <c r="AQ1301">
        <v>-43.862772999999997</v>
      </c>
      <c r="AR1301">
        <v>39.800175805630573</v>
      </c>
      <c r="AS1301" t="s">
        <v>65</v>
      </c>
      <c r="AT1301">
        <v>1</v>
      </c>
      <c r="AU1301" t="s">
        <v>466</v>
      </c>
      <c r="AV1301" t="s">
        <v>467</v>
      </c>
      <c r="AW1301" t="s">
        <v>60</v>
      </c>
      <c r="AX1301" t="s">
        <v>68</v>
      </c>
      <c r="AY1301" t="s">
        <v>69</v>
      </c>
      <c r="AZ1301" t="b">
        <v>1</v>
      </c>
    </row>
    <row r="1302" spans="1:52" x14ac:dyDescent="0.3">
      <c r="A1302" t="s">
        <v>52</v>
      </c>
      <c r="B1302" t="s">
        <v>53</v>
      </c>
      <c r="C1302" t="s">
        <v>54</v>
      </c>
      <c r="D1302" t="s">
        <v>55</v>
      </c>
      <c r="E1302" t="s">
        <v>831</v>
      </c>
      <c r="F1302" t="s">
        <v>176</v>
      </c>
      <c r="G1302" t="s">
        <v>438</v>
      </c>
      <c r="H1302" t="s">
        <v>718</v>
      </c>
      <c r="I1302" t="s">
        <v>718</v>
      </c>
      <c r="J1302" t="s">
        <v>60</v>
      </c>
      <c r="K1302" t="s">
        <v>719</v>
      </c>
      <c r="L1302" t="s">
        <v>62</v>
      </c>
      <c r="M1302" t="s">
        <v>719</v>
      </c>
      <c r="N1302" t="s">
        <v>720</v>
      </c>
      <c r="O1302" t="s">
        <v>721</v>
      </c>
      <c r="P1302">
        <v>-19.659696</v>
      </c>
      <c r="Q1302">
        <v>-43.878183</v>
      </c>
      <c r="R1302" s="2" t="str">
        <f>HYPERLINK("https://www.google.com/maps?q=-19.6596960,-43.8781830","Abrir no Google Maps")</f>
        <v>Abrir no Google Maps</v>
      </c>
      <c r="S1302">
        <v>3</v>
      </c>
      <c r="T1302">
        <v>1123.545826977394</v>
      </c>
      <c r="U1302">
        <v>3</v>
      </c>
      <c r="V1302">
        <v>0.40399399444613671</v>
      </c>
      <c r="W1302">
        <v>1</v>
      </c>
      <c r="X1302">
        <v>0.40399399444613671</v>
      </c>
      <c r="Y1302">
        <v>3</v>
      </c>
      <c r="Z1302">
        <v>1050.5223173666111</v>
      </c>
      <c r="AA1302">
        <v>2</v>
      </c>
      <c r="AB1302">
        <v>3</v>
      </c>
      <c r="AC1302">
        <v>7</v>
      </c>
      <c r="AD1302">
        <v>26.84</v>
      </c>
      <c r="AE1302">
        <v>253</v>
      </c>
      <c r="AF1302">
        <v>17</v>
      </c>
      <c r="AG1302">
        <v>63</v>
      </c>
      <c r="AH1302">
        <v>32</v>
      </c>
      <c r="AI1302">
        <v>6.72</v>
      </c>
      <c r="AJ1302">
        <v>24.9</v>
      </c>
      <c r="AK1302">
        <v>12.65</v>
      </c>
      <c r="AL1302">
        <v>-19.65964904999996</v>
      </c>
      <c r="AM1302">
        <v>-43.878129467040978</v>
      </c>
      <c r="AN1302">
        <v>-19.65964904999996</v>
      </c>
      <c r="AO1302">
        <v>-43.878129467040978</v>
      </c>
      <c r="AP1302">
        <v>-19.659696</v>
      </c>
      <c r="AQ1302">
        <v>-43.878183</v>
      </c>
      <c r="AR1302">
        <v>7.6687382643842978</v>
      </c>
      <c r="AS1302" t="s">
        <v>65</v>
      </c>
      <c r="AT1302">
        <v>1</v>
      </c>
      <c r="AU1302" t="s">
        <v>722</v>
      </c>
      <c r="AV1302" t="s">
        <v>723</v>
      </c>
      <c r="AW1302" t="s">
        <v>60</v>
      </c>
      <c r="AX1302" t="s">
        <v>68</v>
      </c>
      <c r="AY1302" t="s">
        <v>69</v>
      </c>
      <c r="AZ1302" t="b">
        <v>1</v>
      </c>
    </row>
    <row r="1303" spans="1:52" x14ac:dyDescent="0.3">
      <c r="A1303" t="s">
        <v>52</v>
      </c>
      <c r="B1303" t="s">
        <v>53</v>
      </c>
      <c r="C1303" t="s">
        <v>54</v>
      </c>
      <c r="D1303" t="s">
        <v>55</v>
      </c>
      <c r="E1303" t="s">
        <v>831</v>
      </c>
      <c r="F1303" t="s">
        <v>176</v>
      </c>
      <c r="G1303" t="s">
        <v>433</v>
      </c>
      <c r="H1303" t="s">
        <v>724</v>
      </c>
      <c r="I1303" t="s">
        <v>724</v>
      </c>
      <c r="J1303" t="s">
        <v>60</v>
      </c>
      <c r="K1303" t="s">
        <v>219</v>
      </c>
      <c r="L1303" t="s">
        <v>62</v>
      </c>
      <c r="M1303" t="s">
        <v>219</v>
      </c>
      <c r="N1303" t="s">
        <v>725</v>
      </c>
      <c r="O1303" t="s">
        <v>94</v>
      </c>
      <c r="P1303">
        <v>-19.667331999999998</v>
      </c>
      <c r="Q1303">
        <v>-43.882961999999999</v>
      </c>
      <c r="R1303" s="2" t="str">
        <f>HYPERLINK("https://www.google.com/maps?q=-19.6673320,-43.8829620","Abrir no Google Maps")</f>
        <v>Abrir no Google Maps</v>
      </c>
      <c r="S1303">
        <v>3</v>
      </c>
      <c r="T1303">
        <v>613.33664202269995</v>
      </c>
      <c r="U1303">
        <v>3</v>
      </c>
      <c r="V1303">
        <v>0.49608358358358351</v>
      </c>
      <c r="W1303">
        <v>0.85</v>
      </c>
      <c r="X1303">
        <v>0.42167104604604599</v>
      </c>
      <c r="Y1303">
        <v>3</v>
      </c>
      <c r="Z1303">
        <v>943.74394420174099</v>
      </c>
      <c r="AA1303">
        <v>2</v>
      </c>
      <c r="AB1303">
        <v>3</v>
      </c>
      <c r="AC1303">
        <v>7</v>
      </c>
      <c r="AD1303">
        <v>26.84</v>
      </c>
      <c r="AE1303">
        <v>253</v>
      </c>
      <c r="AF1303">
        <v>17</v>
      </c>
      <c r="AG1303">
        <v>63</v>
      </c>
      <c r="AH1303">
        <v>32</v>
      </c>
      <c r="AI1303">
        <v>6.72</v>
      </c>
      <c r="AJ1303">
        <v>24.9</v>
      </c>
      <c r="AK1303">
        <v>12.65</v>
      </c>
      <c r="AL1303">
        <v>-19.669342649999979</v>
      </c>
      <c r="AM1303">
        <v>-43.880131221973677</v>
      </c>
      <c r="AN1303">
        <v>-19.669342649999979</v>
      </c>
      <c r="AO1303">
        <v>-43.880131221973677</v>
      </c>
      <c r="AP1303">
        <v>-19.667331999999998</v>
      </c>
      <c r="AQ1303">
        <v>-43.882961999999999</v>
      </c>
      <c r="AR1303">
        <v>371.68479256351492</v>
      </c>
      <c r="AS1303" t="s">
        <v>65</v>
      </c>
      <c r="AT1303">
        <v>1</v>
      </c>
      <c r="AU1303" t="s">
        <v>726</v>
      </c>
      <c r="AV1303" t="s">
        <v>727</v>
      </c>
      <c r="AW1303" t="s">
        <v>60</v>
      </c>
      <c r="AX1303" t="s">
        <v>68</v>
      </c>
      <c r="AY1303" t="s">
        <v>69</v>
      </c>
      <c r="AZ1303" t="b">
        <v>1</v>
      </c>
    </row>
    <row r="1304" spans="1:52" x14ac:dyDescent="0.3">
      <c r="A1304" t="s">
        <v>52</v>
      </c>
      <c r="B1304" t="s">
        <v>53</v>
      </c>
      <c r="C1304" t="s">
        <v>54</v>
      </c>
      <c r="D1304" t="s">
        <v>55</v>
      </c>
      <c r="E1304" t="s">
        <v>831</v>
      </c>
      <c r="F1304" t="s">
        <v>176</v>
      </c>
      <c r="G1304" t="s">
        <v>331</v>
      </c>
      <c r="H1304" t="s">
        <v>332</v>
      </c>
      <c r="I1304" t="s">
        <v>332</v>
      </c>
      <c r="J1304" t="s">
        <v>60</v>
      </c>
      <c r="K1304" t="s">
        <v>333</v>
      </c>
      <c r="L1304" t="s">
        <v>62</v>
      </c>
      <c r="M1304" t="s">
        <v>333</v>
      </c>
      <c r="N1304" t="s">
        <v>334</v>
      </c>
      <c r="O1304" t="s">
        <v>335</v>
      </c>
      <c r="P1304">
        <v>-19.638455</v>
      </c>
      <c r="Q1304">
        <v>-43.911239000000002</v>
      </c>
      <c r="R1304" s="2" t="str">
        <f>HYPERLINK("https://www.google.com/maps?q=-19.6384550,-43.9112390","Abrir no Google Maps")</f>
        <v>Abrir no Google Maps</v>
      </c>
      <c r="S1304">
        <v>3</v>
      </c>
      <c r="T1304">
        <v>488.53051432983438</v>
      </c>
      <c r="U1304">
        <v>3</v>
      </c>
      <c r="V1304">
        <v>0.40229205453798123</v>
      </c>
      <c r="W1304">
        <v>1</v>
      </c>
      <c r="X1304">
        <v>0.40229205453798123</v>
      </c>
      <c r="Y1304">
        <v>3</v>
      </c>
      <c r="Z1304">
        <v>503.17412324010428</v>
      </c>
      <c r="AA1304">
        <v>2</v>
      </c>
      <c r="AB1304">
        <v>3</v>
      </c>
      <c r="AC1304">
        <v>7</v>
      </c>
      <c r="AD1304">
        <v>26.84</v>
      </c>
      <c r="AE1304">
        <v>253</v>
      </c>
      <c r="AF1304">
        <v>17</v>
      </c>
      <c r="AG1304">
        <v>63</v>
      </c>
      <c r="AH1304">
        <v>32</v>
      </c>
      <c r="AI1304">
        <v>6.72</v>
      </c>
      <c r="AJ1304">
        <v>24.9</v>
      </c>
      <c r="AK1304">
        <v>12.65</v>
      </c>
      <c r="AL1304">
        <v>-19.63853704999994</v>
      </c>
      <c r="AM1304">
        <v>-43.911098254478723</v>
      </c>
      <c r="AN1304">
        <v>-19.63853704999994</v>
      </c>
      <c r="AO1304">
        <v>-43.911098254478723</v>
      </c>
      <c r="AP1304">
        <v>-19.638455</v>
      </c>
      <c r="AQ1304">
        <v>-43.911239000000002</v>
      </c>
      <c r="AR1304">
        <v>17.354491692685801</v>
      </c>
      <c r="AS1304" t="s">
        <v>65</v>
      </c>
      <c r="AT1304">
        <v>1</v>
      </c>
      <c r="AU1304" t="s">
        <v>336</v>
      </c>
      <c r="AV1304" t="s">
        <v>337</v>
      </c>
      <c r="AW1304" t="s">
        <v>60</v>
      </c>
      <c r="AX1304" t="s">
        <v>68</v>
      </c>
      <c r="AY1304" t="s">
        <v>69</v>
      </c>
      <c r="AZ1304" t="b">
        <v>1</v>
      </c>
    </row>
    <row r="1305" spans="1:52" x14ac:dyDescent="0.3">
      <c r="A1305" t="s">
        <v>52</v>
      </c>
      <c r="B1305" t="s">
        <v>53</v>
      </c>
      <c r="C1305" t="s">
        <v>54</v>
      </c>
      <c r="D1305" t="s">
        <v>55</v>
      </c>
      <c r="E1305" t="s">
        <v>831</v>
      </c>
      <c r="F1305" t="s">
        <v>176</v>
      </c>
      <c r="G1305" t="s">
        <v>344</v>
      </c>
      <c r="H1305" t="s">
        <v>345</v>
      </c>
      <c r="I1305" t="s">
        <v>345</v>
      </c>
      <c r="J1305" t="s">
        <v>60</v>
      </c>
      <c r="K1305" t="s">
        <v>326</v>
      </c>
      <c r="L1305" t="s">
        <v>62</v>
      </c>
      <c r="M1305" t="s">
        <v>326</v>
      </c>
      <c r="N1305" t="s">
        <v>346</v>
      </c>
      <c r="O1305" t="s">
        <v>347</v>
      </c>
      <c r="P1305">
        <v>-19.659784999999999</v>
      </c>
      <c r="Q1305">
        <v>-43.868257999999997</v>
      </c>
      <c r="R1305" s="2" t="str">
        <f>HYPERLINK("https://www.google.com/maps?q=-19.6597850,-43.8682580","Abrir no Google Maps")</f>
        <v>Abrir no Google Maps</v>
      </c>
      <c r="S1305">
        <v>3</v>
      </c>
      <c r="T1305">
        <v>887.40196140413514</v>
      </c>
      <c r="U1305">
        <v>3</v>
      </c>
      <c r="V1305">
        <v>0.4187449862334382</v>
      </c>
      <c r="W1305">
        <v>1</v>
      </c>
      <c r="X1305">
        <v>0.4187449862334382</v>
      </c>
      <c r="Y1305">
        <v>3</v>
      </c>
      <c r="Z1305">
        <v>951.67106090939239</v>
      </c>
      <c r="AA1305">
        <v>2</v>
      </c>
      <c r="AB1305">
        <v>3</v>
      </c>
      <c r="AC1305">
        <v>7</v>
      </c>
      <c r="AD1305">
        <v>26.84</v>
      </c>
      <c r="AE1305">
        <v>253</v>
      </c>
      <c r="AF1305">
        <v>17</v>
      </c>
      <c r="AG1305">
        <v>63</v>
      </c>
      <c r="AH1305">
        <v>32</v>
      </c>
      <c r="AI1305">
        <v>6.72</v>
      </c>
      <c r="AJ1305">
        <v>24.9</v>
      </c>
      <c r="AK1305">
        <v>12.65</v>
      </c>
      <c r="AL1305">
        <v>-19.659938849999971</v>
      </c>
      <c r="AM1305">
        <v>-43.868426732971933</v>
      </c>
      <c r="AN1305">
        <v>-19.659938849999971</v>
      </c>
      <c r="AO1305">
        <v>-43.868426732971933</v>
      </c>
      <c r="AP1305">
        <v>-19.659784999999999</v>
      </c>
      <c r="AQ1305">
        <v>-43.868257999999997</v>
      </c>
      <c r="AR1305">
        <v>24.621113441172451</v>
      </c>
      <c r="AS1305" t="s">
        <v>65</v>
      </c>
      <c r="AT1305">
        <v>1</v>
      </c>
      <c r="AU1305" t="s">
        <v>348</v>
      </c>
      <c r="AV1305" t="s">
        <v>349</v>
      </c>
      <c r="AW1305" t="s">
        <v>60</v>
      </c>
      <c r="AX1305" t="s">
        <v>68</v>
      </c>
      <c r="AY1305" t="s">
        <v>69</v>
      </c>
      <c r="AZ1305" t="b">
        <v>1</v>
      </c>
    </row>
    <row r="1306" spans="1:52" x14ac:dyDescent="0.3">
      <c r="A1306" t="s">
        <v>52</v>
      </c>
      <c r="B1306" t="s">
        <v>53</v>
      </c>
      <c r="C1306" t="s">
        <v>54</v>
      </c>
      <c r="D1306" t="s">
        <v>55</v>
      </c>
      <c r="E1306" t="s">
        <v>831</v>
      </c>
      <c r="F1306" t="s">
        <v>176</v>
      </c>
      <c r="G1306" t="s">
        <v>479</v>
      </c>
      <c r="H1306" t="s">
        <v>480</v>
      </c>
      <c r="I1306" t="s">
        <v>480</v>
      </c>
      <c r="J1306" t="s">
        <v>60</v>
      </c>
      <c r="K1306" t="s">
        <v>286</v>
      </c>
      <c r="L1306" t="s">
        <v>62</v>
      </c>
      <c r="M1306" t="s">
        <v>286</v>
      </c>
      <c r="N1306" t="s">
        <v>481</v>
      </c>
      <c r="O1306" t="s">
        <v>159</v>
      </c>
      <c r="P1306">
        <v>-19.635337</v>
      </c>
      <c r="Q1306">
        <v>-43.884400999999997</v>
      </c>
      <c r="R1306" s="2" t="str">
        <f>HYPERLINK("https://www.google.com/maps?q=-19.6353370,-43.8844010","Abrir no Google Maps")</f>
        <v>Abrir no Google Maps</v>
      </c>
      <c r="S1306">
        <v>3</v>
      </c>
      <c r="T1306">
        <v>697.1404216088763</v>
      </c>
      <c r="U1306">
        <v>3</v>
      </c>
      <c r="V1306">
        <v>0.44294606916151708</v>
      </c>
      <c r="W1306">
        <v>1</v>
      </c>
      <c r="X1306">
        <v>0.44294606916151708</v>
      </c>
      <c r="Y1306">
        <v>2</v>
      </c>
      <c r="Z1306">
        <v>178.9017814618079</v>
      </c>
      <c r="AA1306">
        <v>2</v>
      </c>
      <c r="AB1306">
        <v>3</v>
      </c>
      <c r="AC1306">
        <v>7</v>
      </c>
      <c r="AD1306">
        <v>26.84</v>
      </c>
      <c r="AE1306">
        <v>253</v>
      </c>
      <c r="AF1306">
        <v>17</v>
      </c>
      <c r="AG1306">
        <v>63</v>
      </c>
      <c r="AH1306">
        <v>32</v>
      </c>
      <c r="AI1306">
        <v>6.72</v>
      </c>
      <c r="AJ1306">
        <v>24.9</v>
      </c>
      <c r="AK1306">
        <v>12.65</v>
      </c>
      <c r="AL1306">
        <v>-19.635338699999949</v>
      </c>
      <c r="AM1306">
        <v>-43.884486286355838</v>
      </c>
      <c r="AN1306">
        <v>-19.635338699999949</v>
      </c>
      <c r="AO1306">
        <v>-43.884486286355838</v>
      </c>
      <c r="AP1306">
        <v>-19.635337</v>
      </c>
      <c r="AQ1306">
        <v>-43.884400999999997</v>
      </c>
      <c r="AR1306">
        <v>8.9440024153343494</v>
      </c>
      <c r="AS1306" t="s">
        <v>65</v>
      </c>
      <c r="AT1306">
        <v>1</v>
      </c>
      <c r="AU1306" t="s">
        <v>482</v>
      </c>
      <c r="AV1306" t="s">
        <v>483</v>
      </c>
      <c r="AW1306" t="s">
        <v>60</v>
      </c>
      <c r="AX1306" t="s">
        <v>68</v>
      </c>
      <c r="AY1306" t="s">
        <v>69</v>
      </c>
      <c r="AZ1306" t="b">
        <v>1</v>
      </c>
    </row>
    <row r="1307" spans="1:52" x14ac:dyDescent="0.3">
      <c r="A1307" t="s">
        <v>52</v>
      </c>
      <c r="B1307" t="s">
        <v>53</v>
      </c>
      <c r="C1307" t="s">
        <v>54</v>
      </c>
      <c r="D1307" t="s">
        <v>55</v>
      </c>
      <c r="E1307" t="s">
        <v>831</v>
      </c>
      <c r="F1307" t="s">
        <v>176</v>
      </c>
      <c r="G1307" t="s">
        <v>728</v>
      </c>
      <c r="H1307" t="s">
        <v>729</v>
      </c>
      <c r="I1307" t="s">
        <v>729</v>
      </c>
      <c r="J1307" t="s">
        <v>60</v>
      </c>
      <c r="K1307" t="s">
        <v>730</v>
      </c>
      <c r="L1307" t="s">
        <v>62</v>
      </c>
      <c r="M1307" t="s">
        <v>730</v>
      </c>
      <c r="N1307" t="s">
        <v>731</v>
      </c>
      <c r="O1307" t="s">
        <v>732</v>
      </c>
      <c r="P1307">
        <v>-19.598894999999999</v>
      </c>
      <c r="Q1307">
        <v>-43.907265000000002</v>
      </c>
      <c r="R1307" s="2" t="str">
        <f>HYPERLINK("https://www.google.com/maps?q=-19.5988950,-43.9072650","Abrir no Google Maps")</f>
        <v>Abrir no Google Maps</v>
      </c>
      <c r="S1307">
        <v>3</v>
      </c>
      <c r="T1307">
        <v>308.81161626838701</v>
      </c>
      <c r="U1307">
        <v>3</v>
      </c>
      <c r="V1307">
        <v>0.46469427386458501</v>
      </c>
      <c r="W1307">
        <v>0.85</v>
      </c>
      <c r="X1307">
        <v>0.39499013278489731</v>
      </c>
      <c r="Y1307">
        <v>2</v>
      </c>
      <c r="Z1307">
        <v>305.65808615712928</v>
      </c>
      <c r="AA1307">
        <v>2</v>
      </c>
      <c r="AB1307">
        <v>3</v>
      </c>
      <c r="AC1307">
        <v>7</v>
      </c>
      <c r="AD1307">
        <v>26.84</v>
      </c>
      <c r="AE1307">
        <v>253</v>
      </c>
      <c r="AF1307">
        <v>17</v>
      </c>
      <c r="AG1307">
        <v>63</v>
      </c>
      <c r="AH1307">
        <v>32</v>
      </c>
      <c r="AI1307">
        <v>6.72</v>
      </c>
      <c r="AJ1307">
        <v>24.9</v>
      </c>
      <c r="AK1307">
        <v>12.65</v>
      </c>
      <c r="AL1307">
        <v>-19.598929649999949</v>
      </c>
      <c r="AM1307">
        <v>-43.90720816146667</v>
      </c>
      <c r="AN1307">
        <v>-19.598929649999949</v>
      </c>
      <c r="AO1307">
        <v>-43.90720816146667</v>
      </c>
      <c r="AP1307">
        <v>-19.598894999999999</v>
      </c>
      <c r="AQ1307">
        <v>-43.907265000000002</v>
      </c>
      <c r="AR1307">
        <v>7.099864647387605</v>
      </c>
      <c r="AS1307" t="s">
        <v>65</v>
      </c>
      <c r="AT1307">
        <v>1</v>
      </c>
      <c r="AU1307" t="s">
        <v>733</v>
      </c>
      <c r="AV1307" t="s">
        <v>734</v>
      </c>
      <c r="AW1307" t="s">
        <v>60</v>
      </c>
      <c r="AX1307" t="s">
        <v>68</v>
      </c>
      <c r="AY1307" t="s">
        <v>69</v>
      </c>
      <c r="AZ1307" t="b">
        <v>1</v>
      </c>
    </row>
    <row r="1308" spans="1:52" x14ac:dyDescent="0.3">
      <c r="A1308" t="s">
        <v>52</v>
      </c>
      <c r="B1308" t="s">
        <v>53</v>
      </c>
      <c r="C1308" t="s">
        <v>54</v>
      </c>
      <c r="D1308" t="s">
        <v>55</v>
      </c>
      <c r="E1308" t="s">
        <v>831</v>
      </c>
      <c r="F1308" t="s">
        <v>176</v>
      </c>
      <c r="G1308" t="s">
        <v>357</v>
      </c>
      <c r="H1308" t="s">
        <v>358</v>
      </c>
      <c r="I1308" t="s">
        <v>358</v>
      </c>
      <c r="J1308" t="s">
        <v>60</v>
      </c>
      <c r="K1308" t="s">
        <v>359</v>
      </c>
      <c r="L1308" t="s">
        <v>62</v>
      </c>
      <c r="M1308" t="s">
        <v>359</v>
      </c>
      <c r="N1308" t="s">
        <v>360</v>
      </c>
      <c r="O1308" t="s">
        <v>201</v>
      </c>
      <c r="P1308">
        <v>-19.601168000000001</v>
      </c>
      <c r="Q1308">
        <v>-43.896143000000002</v>
      </c>
      <c r="R1308" s="2" t="str">
        <f>HYPERLINK("https://www.google.com/maps?q=-19.6011680,-43.8961430","Abrir no Google Maps")</f>
        <v>Abrir no Google Maps</v>
      </c>
      <c r="S1308">
        <v>3</v>
      </c>
      <c r="T1308">
        <v>886.80074895427902</v>
      </c>
      <c r="U1308">
        <v>3</v>
      </c>
      <c r="V1308">
        <v>0.41618239787409828</v>
      </c>
      <c r="W1308">
        <v>1</v>
      </c>
      <c r="X1308">
        <v>0.41618239787409828</v>
      </c>
      <c r="Y1308">
        <v>2</v>
      </c>
      <c r="Z1308">
        <v>807.27931110193254</v>
      </c>
      <c r="AA1308">
        <v>2</v>
      </c>
      <c r="AB1308">
        <v>3</v>
      </c>
      <c r="AC1308">
        <v>7</v>
      </c>
      <c r="AD1308">
        <v>26.84</v>
      </c>
      <c r="AE1308">
        <v>253</v>
      </c>
      <c r="AF1308">
        <v>17</v>
      </c>
      <c r="AG1308">
        <v>63</v>
      </c>
      <c r="AH1308">
        <v>32</v>
      </c>
      <c r="AI1308">
        <v>6.72</v>
      </c>
      <c r="AJ1308">
        <v>24.9</v>
      </c>
      <c r="AK1308">
        <v>12.65</v>
      </c>
      <c r="AL1308">
        <v>-19.60112959999995</v>
      </c>
      <c r="AM1308">
        <v>-43.896049426747439</v>
      </c>
      <c r="AN1308">
        <v>-19.60112959999995</v>
      </c>
      <c r="AO1308">
        <v>-43.896049426747439</v>
      </c>
      <c r="AP1308">
        <v>-19.601168000000001</v>
      </c>
      <c r="AQ1308">
        <v>-43.896143000000002</v>
      </c>
      <c r="AR1308">
        <v>10.703588298793671</v>
      </c>
      <c r="AS1308" t="s">
        <v>65</v>
      </c>
      <c r="AT1308">
        <v>1</v>
      </c>
      <c r="AU1308" t="s">
        <v>361</v>
      </c>
      <c r="AV1308" t="s">
        <v>362</v>
      </c>
      <c r="AW1308" t="s">
        <v>60</v>
      </c>
      <c r="AX1308" t="s">
        <v>68</v>
      </c>
      <c r="AY1308" t="s">
        <v>69</v>
      </c>
      <c r="AZ1308" t="b">
        <v>1</v>
      </c>
    </row>
    <row r="1309" spans="1:52" x14ac:dyDescent="0.3">
      <c r="A1309" t="s">
        <v>52</v>
      </c>
      <c r="B1309" t="s">
        <v>53</v>
      </c>
      <c r="C1309" t="s">
        <v>54</v>
      </c>
      <c r="D1309" t="s">
        <v>55</v>
      </c>
      <c r="E1309" t="s">
        <v>831</v>
      </c>
      <c r="F1309" t="s">
        <v>176</v>
      </c>
      <c r="G1309" t="s">
        <v>735</v>
      </c>
      <c r="H1309" t="s">
        <v>736</v>
      </c>
      <c r="I1309" t="s">
        <v>736</v>
      </c>
      <c r="J1309" t="s">
        <v>60</v>
      </c>
      <c r="K1309" t="s">
        <v>352</v>
      </c>
      <c r="L1309" t="s">
        <v>62</v>
      </c>
      <c r="M1309" t="s">
        <v>352</v>
      </c>
      <c r="N1309" t="s">
        <v>737</v>
      </c>
      <c r="O1309" t="s">
        <v>738</v>
      </c>
      <c r="P1309">
        <v>-19.598569999999999</v>
      </c>
      <c r="Q1309">
        <v>-43.884976000000002</v>
      </c>
      <c r="R1309" s="2" t="str">
        <f>HYPERLINK("https://www.google.com/maps?q=-19.5985700,-43.8849760","Abrir no Google Maps")</f>
        <v>Abrir no Google Maps</v>
      </c>
      <c r="S1309">
        <v>3</v>
      </c>
      <c r="T1309">
        <v>2088.975568364679</v>
      </c>
      <c r="U1309">
        <v>3</v>
      </c>
      <c r="V1309">
        <v>0.47148721108723302</v>
      </c>
      <c r="W1309">
        <v>0.85</v>
      </c>
      <c r="X1309">
        <v>0.40076412942414807</v>
      </c>
      <c r="Y1309">
        <v>2</v>
      </c>
      <c r="Z1309">
        <v>1895.3949691608641</v>
      </c>
      <c r="AA1309">
        <v>2</v>
      </c>
      <c r="AB1309">
        <v>3</v>
      </c>
      <c r="AC1309">
        <v>7</v>
      </c>
      <c r="AD1309">
        <v>26.84</v>
      </c>
      <c r="AE1309">
        <v>253</v>
      </c>
      <c r="AF1309">
        <v>17</v>
      </c>
      <c r="AG1309">
        <v>63</v>
      </c>
      <c r="AH1309">
        <v>32</v>
      </c>
      <c r="AI1309">
        <v>6.72</v>
      </c>
      <c r="AJ1309">
        <v>24.9</v>
      </c>
      <c r="AK1309">
        <v>12.65</v>
      </c>
      <c r="AL1309">
        <v>-19.598177199999949</v>
      </c>
      <c r="AM1309">
        <v>-43.884435371838791</v>
      </c>
      <c r="AN1309">
        <v>-19.598177199999949</v>
      </c>
      <c r="AO1309">
        <v>-43.884435371838791</v>
      </c>
      <c r="AP1309">
        <v>-19.598569999999999</v>
      </c>
      <c r="AQ1309">
        <v>-43.884976000000002</v>
      </c>
      <c r="AR1309">
        <v>71.599363100126297</v>
      </c>
      <c r="AS1309" t="s">
        <v>65</v>
      </c>
      <c r="AT1309">
        <v>1</v>
      </c>
      <c r="AU1309" t="s">
        <v>739</v>
      </c>
      <c r="AV1309" t="s">
        <v>740</v>
      </c>
      <c r="AW1309" t="s">
        <v>60</v>
      </c>
      <c r="AX1309" t="s">
        <v>68</v>
      </c>
      <c r="AY1309" t="s">
        <v>69</v>
      </c>
      <c r="AZ1309" t="b">
        <v>1</v>
      </c>
    </row>
    <row r="1310" spans="1:52" x14ac:dyDescent="0.3">
      <c r="A1310" t="s">
        <v>52</v>
      </c>
      <c r="B1310" t="s">
        <v>53</v>
      </c>
      <c r="C1310" t="s">
        <v>54</v>
      </c>
      <c r="D1310" t="s">
        <v>55</v>
      </c>
      <c r="E1310" t="s">
        <v>831</v>
      </c>
      <c r="F1310" t="s">
        <v>176</v>
      </c>
      <c r="G1310" t="s">
        <v>741</v>
      </c>
      <c r="H1310" t="s">
        <v>742</v>
      </c>
      <c r="I1310" t="s">
        <v>742</v>
      </c>
      <c r="J1310" t="s">
        <v>60</v>
      </c>
      <c r="K1310" t="s">
        <v>683</v>
      </c>
      <c r="L1310" t="s">
        <v>62</v>
      </c>
      <c r="M1310" t="s">
        <v>683</v>
      </c>
      <c r="N1310" t="s">
        <v>743</v>
      </c>
      <c r="O1310" t="s">
        <v>744</v>
      </c>
      <c r="P1310">
        <v>-19.576246999999999</v>
      </c>
      <c r="Q1310">
        <v>-43.955125000000002</v>
      </c>
      <c r="R1310" s="2" t="str">
        <f>HYPERLINK("https://www.google.com/maps?q=-19.5762470,-43.9551250","Abrir no Google Maps")</f>
        <v>Abrir no Google Maps</v>
      </c>
      <c r="S1310">
        <v>3</v>
      </c>
      <c r="T1310">
        <v>1143.885924274435</v>
      </c>
      <c r="U1310">
        <v>3</v>
      </c>
      <c r="V1310">
        <v>0.51195970411592873</v>
      </c>
      <c r="W1310">
        <v>0.85</v>
      </c>
      <c r="X1310">
        <v>0.4351657484985394</v>
      </c>
      <c r="Y1310">
        <v>1</v>
      </c>
      <c r="Z1310">
        <v>744.36678704803273</v>
      </c>
      <c r="AA1310">
        <v>2</v>
      </c>
      <c r="AB1310">
        <v>3</v>
      </c>
      <c r="AC1310">
        <v>7</v>
      </c>
      <c r="AD1310">
        <v>26.84</v>
      </c>
      <c r="AE1310">
        <v>253</v>
      </c>
      <c r="AF1310">
        <v>17</v>
      </c>
      <c r="AG1310">
        <v>63</v>
      </c>
      <c r="AH1310">
        <v>32</v>
      </c>
      <c r="AI1310">
        <v>6.72</v>
      </c>
      <c r="AJ1310">
        <v>24.9</v>
      </c>
      <c r="AK1310">
        <v>12.65</v>
      </c>
      <c r="AL1310">
        <v>-19.57640394999996</v>
      </c>
      <c r="AM1310">
        <v>-43.955130280186857</v>
      </c>
      <c r="AN1310">
        <v>-19.57640394999996</v>
      </c>
      <c r="AO1310">
        <v>-43.955130280186857</v>
      </c>
      <c r="AP1310">
        <v>-19.576246999999999</v>
      </c>
      <c r="AQ1310">
        <v>-43.955125000000002</v>
      </c>
      <c r="AR1310">
        <v>17.48044912434408</v>
      </c>
      <c r="AS1310" t="s">
        <v>65</v>
      </c>
      <c r="AT1310">
        <v>1</v>
      </c>
      <c r="AU1310" t="s">
        <v>745</v>
      </c>
      <c r="AV1310" t="s">
        <v>746</v>
      </c>
      <c r="AW1310" t="s">
        <v>60</v>
      </c>
      <c r="AX1310" t="s">
        <v>68</v>
      </c>
      <c r="AY1310" t="s">
        <v>69</v>
      </c>
      <c r="AZ1310" t="b">
        <v>1</v>
      </c>
    </row>
    <row r="1311" spans="1:52" x14ac:dyDescent="0.3">
      <c r="A1311" t="s">
        <v>52</v>
      </c>
      <c r="B1311" t="s">
        <v>53</v>
      </c>
      <c r="C1311" t="s">
        <v>54</v>
      </c>
      <c r="D1311" t="s">
        <v>55</v>
      </c>
      <c r="E1311" t="s">
        <v>831</v>
      </c>
      <c r="F1311" t="s">
        <v>176</v>
      </c>
      <c r="G1311" t="s">
        <v>681</v>
      </c>
      <c r="H1311" t="s">
        <v>747</v>
      </c>
      <c r="I1311" t="s">
        <v>747</v>
      </c>
      <c r="J1311" t="s">
        <v>60</v>
      </c>
      <c r="K1311" t="s">
        <v>683</v>
      </c>
      <c r="L1311" t="s">
        <v>62</v>
      </c>
      <c r="M1311" t="s">
        <v>683</v>
      </c>
      <c r="N1311" t="s">
        <v>419</v>
      </c>
      <c r="O1311" t="s">
        <v>748</v>
      </c>
      <c r="P1311">
        <v>-19.570823000000001</v>
      </c>
      <c r="Q1311">
        <v>-43.958823000000002</v>
      </c>
      <c r="R1311" s="2" t="str">
        <f>HYPERLINK("https://www.google.com/maps?q=-19.5708230,-43.9588230","Abrir no Google Maps")</f>
        <v>Abrir no Google Maps</v>
      </c>
      <c r="S1311">
        <v>3</v>
      </c>
      <c r="T1311">
        <v>670.58325756855618</v>
      </c>
      <c r="U1311">
        <v>3</v>
      </c>
      <c r="V1311">
        <v>0.52276507036336906</v>
      </c>
      <c r="W1311">
        <v>0.85</v>
      </c>
      <c r="X1311">
        <v>0.4443503098088637</v>
      </c>
      <c r="Y1311">
        <v>1</v>
      </c>
      <c r="Z1311">
        <v>731.63796944770115</v>
      </c>
      <c r="AA1311">
        <v>2</v>
      </c>
      <c r="AB1311">
        <v>3</v>
      </c>
      <c r="AC1311">
        <v>7</v>
      </c>
      <c r="AD1311">
        <v>26.84</v>
      </c>
      <c r="AE1311">
        <v>253</v>
      </c>
      <c r="AF1311">
        <v>17</v>
      </c>
      <c r="AG1311">
        <v>63</v>
      </c>
      <c r="AH1311">
        <v>32</v>
      </c>
      <c r="AI1311">
        <v>6.72</v>
      </c>
      <c r="AJ1311">
        <v>24.9</v>
      </c>
      <c r="AK1311">
        <v>12.65</v>
      </c>
      <c r="AL1311">
        <v>-19.567904999999939</v>
      </c>
      <c r="AM1311">
        <v>-43.959992321285412</v>
      </c>
      <c r="AN1311">
        <v>-19.567904999999939</v>
      </c>
      <c r="AO1311">
        <v>-43.959992321285412</v>
      </c>
      <c r="AP1311">
        <v>-19.570823000000001</v>
      </c>
      <c r="AQ1311">
        <v>-43.958823000000002</v>
      </c>
      <c r="AR1311">
        <v>347.21597474783073</v>
      </c>
      <c r="AS1311" t="s">
        <v>65</v>
      </c>
      <c r="AT1311">
        <v>1</v>
      </c>
      <c r="AU1311" t="s">
        <v>749</v>
      </c>
      <c r="AV1311" t="s">
        <v>750</v>
      </c>
      <c r="AW1311" t="s">
        <v>60</v>
      </c>
      <c r="AX1311" t="s">
        <v>68</v>
      </c>
      <c r="AY1311" t="s">
        <v>69</v>
      </c>
      <c r="AZ1311" t="b">
        <v>1</v>
      </c>
    </row>
    <row r="1312" spans="1:52" x14ac:dyDescent="0.3">
      <c r="A1312" t="s">
        <v>52</v>
      </c>
      <c r="B1312" t="s">
        <v>53</v>
      </c>
      <c r="C1312" t="s">
        <v>54</v>
      </c>
      <c r="D1312" t="s">
        <v>55</v>
      </c>
      <c r="E1312" t="s">
        <v>831</v>
      </c>
      <c r="F1312" t="s">
        <v>176</v>
      </c>
      <c r="G1312" t="s">
        <v>681</v>
      </c>
      <c r="H1312" t="s">
        <v>832</v>
      </c>
      <c r="I1312" t="s">
        <v>832</v>
      </c>
      <c r="J1312" t="s">
        <v>60</v>
      </c>
      <c r="K1312" t="s">
        <v>683</v>
      </c>
      <c r="L1312" t="s">
        <v>62</v>
      </c>
      <c r="M1312" t="s">
        <v>683</v>
      </c>
      <c r="N1312" t="s">
        <v>833</v>
      </c>
      <c r="O1312" t="s">
        <v>834</v>
      </c>
      <c r="P1312">
        <v>-19.566217000000002</v>
      </c>
      <c r="Q1312">
        <v>-43.953677999999996</v>
      </c>
      <c r="R1312" s="2" t="str">
        <f>HYPERLINK("https://www.google.com/maps?q=-19.5662170,-43.9536780","Abrir no Google Maps")</f>
        <v>Abrir no Google Maps</v>
      </c>
      <c r="S1312">
        <v>3</v>
      </c>
      <c r="T1312">
        <v>0</v>
      </c>
      <c r="U1312">
        <v>3</v>
      </c>
      <c r="V1312">
        <v>0.49201573943544979</v>
      </c>
      <c r="W1312">
        <v>0.85</v>
      </c>
      <c r="X1312">
        <v>0.4182133785201323</v>
      </c>
      <c r="Y1312">
        <v>1</v>
      </c>
      <c r="Z1312">
        <v>506.50283483397538</v>
      </c>
      <c r="AA1312">
        <v>2</v>
      </c>
      <c r="AB1312">
        <v>3</v>
      </c>
      <c r="AC1312">
        <v>7</v>
      </c>
      <c r="AD1312">
        <v>26.84</v>
      </c>
      <c r="AE1312">
        <v>253</v>
      </c>
      <c r="AF1312">
        <v>17</v>
      </c>
      <c r="AG1312">
        <v>63</v>
      </c>
      <c r="AH1312">
        <v>32</v>
      </c>
      <c r="AI1312">
        <v>6.72</v>
      </c>
      <c r="AJ1312">
        <v>24.9</v>
      </c>
      <c r="AK1312">
        <v>12.65</v>
      </c>
      <c r="AL1312">
        <v>-19.566136399999952</v>
      </c>
      <c r="AM1312">
        <v>-43.953878321145311</v>
      </c>
      <c r="AN1312">
        <v>-19.566136399999952</v>
      </c>
      <c r="AO1312">
        <v>-43.953878321145311</v>
      </c>
      <c r="AP1312">
        <v>-19.566217000000002</v>
      </c>
      <c r="AQ1312">
        <v>-43.953677999999996</v>
      </c>
      <c r="AR1312">
        <v>22.847551614007049</v>
      </c>
      <c r="AS1312" t="s">
        <v>65</v>
      </c>
      <c r="AT1312">
        <v>1</v>
      </c>
      <c r="AU1312" t="s">
        <v>835</v>
      </c>
      <c r="AV1312" t="s">
        <v>836</v>
      </c>
      <c r="AW1312" t="s">
        <v>60</v>
      </c>
      <c r="AX1312" t="s">
        <v>68</v>
      </c>
      <c r="AY1312" t="s">
        <v>69</v>
      </c>
      <c r="AZ1312" t="b">
        <v>1</v>
      </c>
    </row>
    <row r="1313" spans="1:52" x14ac:dyDescent="0.3">
      <c r="A1313" t="s">
        <v>52</v>
      </c>
      <c r="B1313" t="s">
        <v>53</v>
      </c>
      <c r="C1313" t="s">
        <v>54</v>
      </c>
      <c r="D1313" t="s">
        <v>55</v>
      </c>
      <c r="E1313" t="s">
        <v>831</v>
      </c>
      <c r="F1313" t="s">
        <v>176</v>
      </c>
      <c r="G1313" t="s">
        <v>382</v>
      </c>
      <c r="H1313" t="s">
        <v>383</v>
      </c>
      <c r="I1313" t="s">
        <v>383</v>
      </c>
      <c r="J1313" t="s">
        <v>60</v>
      </c>
      <c r="K1313" t="s">
        <v>185</v>
      </c>
      <c r="L1313" t="s">
        <v>62</v>
      </c>
      <c r="M1313" t="s">
        <v>185</v>
      </c>
      <c r="N1313" t="s">
        <v>384</v>
      </c>
      <c r="O1313" t="s">
        <v>385</v>
      </c>
      <c r="P1313">
        <v>-19.623774000000001</v>
      </c>
      <c r="Q1313">
        <v>-43.886352000000002</v>
      </c>
      <c r="R1313" s="2" t="str">
        <f>HYPERLINK("https://www.google.com/maps?q=-19.6237740,-43.8863520","Abrir no Google Maps")</f>
        <v>Abrir no Google Maps</v>
      </c>
      <c r="S1313">
        <v>3</v>
      </c>
      <c r="T1313">
        <v>818.17252856383368</v>
      </c>
      <c r="U1313">
        <v>3</v>
      </c>
      <c r="V1313">
        <v>0.4316357047492882</v>
      </c>
      <c r="W1313">
        <v>1</v>
      </c>
      <c r="X1313">
        <v>0.4316357047492882</v>
      </c>
      <c r="Y1313">
        <v>0</v>
      </c>
      <c r="Z1313">
        <v>327.32213182525902</v>
      </c>
      <c r="AA1313">
        <v>2</v>
      </c>
      <c r="AB1313">
        <v>3</v>
      </c>
      <c r="AC1313">
        <v>7</v>
      </c>
      <c r="AD1313">
        <v>26.84</v>
      </c>
      <c r="AE1313">
        <v>253</v>
      </c>
      <c r="AF1313">
        <v>17</v>
      </c>
      <c r="AG1313">
        <v>63</v>
      </c>
      <c r="AH1313">
        <v>32</v>
      </c>
      <c r="AI1313">
        <v>6.72</v>
      </c>
      <c r="AJ1313">
        <v>24.9</v>
      </c>
      <c r="AK1313">
        <v>12.65</v>
      </c>
      <c r="AL1313">
        <v>-19.623056299999941</v>
      </c>
      <c r="AM1313">
        <v>-43.886837120297002</v>
      </c>
      <c r="AN1313">
        <v>-19.623056299999941</v>
      </c>
      <c r="AO1313">
        <v>-43.886837120297002</v>
      </c>
      <c r="AP1313">
        <v>-19.623774000000001</v>
      </c>
      <c r="AQ1313">
        <v>-43.886352000000002</v>
      </c>
      <c r="AR1313">
        <v>94.713149059175393</v>
      </c>
      <c r="AS1313" t="s">
        <v>65</v>
      </c>
      <c r="AT1313">
        <v>1</v>
      </c>
      <c r="AU1313" t="s">
        <v>386</v>
      </c>
      <c r="AV1313" t="s">
        <v>387</v>
      </c>
      <c r="AW1313" t="s">
        <v>60</v>
      </c>
      <c r="AX1313" t="s">
        <v>68</v>
      </c>
      <c r="AY1313" t="s">
        <v>69</v>
      </c>
      <c r="AZ1313" t="b">
        <v>1</v>
      </c>
    </row>
    <row r="1314" spans="1:52" x14ac:dyDescent="0.3">
      <c r="A1314" t="s">
        <v>52</v>
      </c>
      <c r="B1314" t="s">
        <v>53</v>
      </c>
      <c r="C1314" t="s">
        <v>54</v>
      </c>
      <c r="D1314" t="s">
        <v>55</v>
      </c>
      <c r="E1314" t="s">
        <v>831</v>
      </c>
      <c r="F1314" t="s">
        <v>512</v>
      </c>
      <c r="G1314" t="s">
        <v>58</v>
      </c>
      <c r="H1314" t="s">
        <v>59</v>
      </c>
      <c r="I1314" t="s">
        <v>59</v>
      </c>
      <c r="J1314" t="s">
        <v>60</v>
      </c>
      <c r="K1314" t="s">
        <v>61</v>
      </c>
      <c r="L1314" t="s">
        <v>62</v>
      </c>
      <c r="M1314" t="s">
        <v>61</v>
      </c>
      <c r="N1314" t="s">
        <v>63</v>
      </c>
      <c r="O1314" t="s">
        <v>64</v>
      </c>
      <c r="P1314">
        <v>-19.631502000000001</v>
      </c>
      <c r="Q1314">
        <v>-43.910241999999997</v>
      </c>
      <c r="R1314" s="2" t="str">
        <f>HYPERLINK("https://www.google.com/maps?q=-19.6315020,-43.9102420","Abrir no Google Maps")</f>
        <v>Abrir no Google Maps</v>
      </c>
      <c r="S1314">
        <v>4</v>
      </c>
      <c r="T1314">
        <v>789.20099406682743</v>
      </c>
      <c r="U1314">
        <v>4</v>
      </c>
      <c r="V1314">
        <v>0.4696967184566288</v>
      </c>
      <c r="W1314">
        <v>1</v>
      </c>
      <c r="X1314">
        <v>0.4696967184566288</v>
      </c>
      <c r="Y1314">
        <v>10</v>
      </c>
      <c r="Z1314">
        <v>691.44930074509864</v>
      </c>
      <c r="AA1314">
        <v>2</v>
      </c>
      <c r="AB1314">
        <v>3</v>
      </c>
      <c r="AC1314">
        <v>7</v>
      </c>
      <c r="AD1314">
        <v>26.84</v>
      </c>
      <c r="AE1314">
        <v>253</v>
      </c>
      <c r="AF1314">
        <v>17</v>
      </c>
      <c r="AG1314">
        <v>63</v>
      </c>
      <c r="AH1314">
        <v>32</v>
      </c>
      <c r="AI1314">
        <v>6.72</v>
      </c>
      <c r="AJ1314">
        <v>24.9</v>
      </c>
      <c r="AK1314">
        <v>12.65</v>
      </c>
      <c r="AL1314">
        <v>-19.631719749999949</v>
      </c>
      <c r="AM1314">
        <v>-43.910102324517517</v>
      </c>
      <c r="AN1314">
        <v>-19.631719749999949</v>
      </c>
      <c r="AO1314">
        <v>-43.910102324517517</v>
      </c>
      <c r="AP1314">
        <v>-19.631502000000001</v>
      </c>
      <c r="AQ1314">
        <v>-43.910241999999997</v>
      </c>
      <c r="AR1314">
        <v>28.320416429206599</v>
      </c>
      <c r="AS1314" t="s">
        <v>65</v>
      </c>
      <c r="AT1314">
        <v>1</v>
      </c>
      <c r="AU1314" t="s">
        <v>66</v>
      </c>
      <c r="AV1314" t="s">
        <v>67</v>
      </c>
      <c r="AW1314" t="s">
        <v>60</v>
      </c>
      <c r="AX1314" t="s">
        <v>68</v>
      </c>
      <c r="AY1314" t="s">
        <v>69</v>
      </c>
      <c r="AZ1314" t="b">
        <v>1</v>
      </c>
    </row>
    <row r="1315" spans="1:52" x14ac:dyDescent="0.3">
      <c r="A1315" t="s">
        <v>52</v>
      </c>
      <c r="B1315" t="s">
        <v>53</v>
      </c>
      <c r="C1315" t="s">
        <v>54</v>
      </c>
      <c r="D1315" t="s">
        <v>55</v>
      </c>
      <c r="E1315" t="s">
        <v>831</v>
      </c>
      <c r="F1315" t="s">
        <v>512</v>
      </c>
      <c r="G1315" t="s">
        <v>84</v>
      </c>
      <c r="H1315" t="s">
        <v>85</v>
      </c>
      <c r="I1315" t="s">
        <v>85</v>
      </c>
      <c r="J1315" t="s">
        <v>60</v>
      </c>
      <c r="K1315" t="s">
        <v>86</v>
      </c>
      <c r="L1315" t="s">
        <v>62</v>
      </c>
      <c r="M1315" t="s">
        <v>86</v>
      </c>
      <c r="N1315" t="s">
        <v>87</v>
      </c>
      <c r="O1315" t="s">
        <v>88</v>
      </c>
      <c r="P1315">
        <v>-19.629436999999999</v>
      </c>
      <c r="Q1315">
        <v>-43.910398999999998</v>
      </c>
      <c r="R1315" s="2" t="str">
        <f>HYPERLINK("https://www.google.com/maps?q=-19.6294370,-43.9103990","Abrir no Google Maps")</f>
        <v>Abrir no Google Maps</v>
      </c>
      <c r="S1315">
        <v>4</v>
      </c>
      <c r="T1315">
        <v>888.82060643108082</v>
      </c>
      <c r="U1315">
        <v>4</v>
      </c>
      <c r="V1315">
        <v>0.501190579579607</v>
      </c>
      <c r="W1315">
        <v>1</v>
      </c>
      <c r="X1315">
        <v>0.501190579579607</v>
      </c>
      <c r="Y1315">
        <v>10</v>
      </c>
      <c r="Z1315">
        <v>867.42797341651737</v>
      </c>
      <c r="AA1315">
        <v>2</v>
      </c>
      <c r="AB1315">
        <v>3</v>
      </c>
      <c r="AC1315">
        <v>7</v>
      </c>
      <c r="AD1315">
        <v>26.84</v>
      </c>
      <c r="AE1315">
        <v>253</v>
      </c>
      <c r="AF1315">
        <v>17</v>
      </c>
      <c r="AG1315">
        <v>63</v>
      </c>
      <c r="AH1315">
        <v>32</v>
      </c>
      <c r="AI1315">
        <v>6.72</v>
      </c>
      <c r="AJ1315">
        <v>24.9</v>
      </c>
      <c r="AK1315">
        <v>12.65</v>
      </c>
      <c r="AL1315">
        <v>-19.62934694999996</v>
      </c>
      <c r="AM1315">
        <v>-43.910344699357317</v>
      </c>
      <c r="AN1315">
        <v>-19.62934694999996</v>
      </c>
      <c r="AO1315">
        <v>-43.910344699357331</v>
      </c>
      <c r="AP1315">
        <v>-19.629436999999999</v>
      </c>
      <c r="AQ1315">
        <v>-43.910398999999998</v>
      </c>
      <c r="AR1315">
        <v>11.52837377953678</v>
      </c>
      <c r="AS1315" t="s">
        <v>65</v>
      </c>
      <c r="AT1315">
        <v>1</v>
      </c>
      <c r="AU1315" t="s">
        <v>89</v>
      </c>
      <c r="AV1315" t="s">
        <v>90</v>
      </c>
      <c r="AW1315" t="s">
        <v>60</v>
      </c>
      <c r="AX1315" t="s">
        <v>68</v>
      </c>
      <c r="AY1315" t="s">
        <v>69</v>
      </c>
      <c r="AZ1315" t="b">
        <v>1</v>
      </c>
    </row>
    <row r="1316" spans="1:52" x14ac:dyDescent="0.3">
      <c r="A1316" t="s">
        <v>52</v>
      </c>
      <c r="B1316" t="s">
        <v>53</v>
      </c>
      <c r="C1316" t="s">
        <v>54</v>
      </c>
      <c r="D1316" t="s">
        <v>55</v>
      </c>
      <c r="E1316" t="s">
        <v>831</v>
      </c>
      <c r="F1316" t="s">
        <v>512</v>
      </c>
      <c r="G1316" t="s">
        <v>91</v>
      </c>
      <c r="H1316" t="s">
        <v>92</v>
      </c>
      <c r="I1316" t="s">
        <v>92</v>
      </c>
      <c r="J1316" t="s">
        <v>60</v>
      </c>
      <c r="K1316" t="s">
        <v>86</v>
      </c>
      <c r="L1316" t="s">
        <v>62</v>
      </c>
      <c r="M1316" t="s">
        <v>86</v>
      </c>
      <c r="N1316" t="s">
        <v>93</v>
      </c>
      <c r="O1316" t="s">
        <v>94</v>
      </c>
      <c r="P1316">
        <v>-19.630676999999999</v>
      </c>
      <c r="Q1316">
        <v>-43.907255999999997</v>
      </c>
      <c r="R1316" s="2" t="str">
        <f>HYPERLINK("https://www.google.com/maps?q=-19.6306770,-43.9072560","Abrir no Google Maps")</f>
        <v>Abrir no Google Maps</v>
      </c>
      <c r="S1316">
        <v>4</v>
      </c>
      <c r="T1316">
        <v>545.39374622597825</v>
      </c>
      <c r="U1316">
        <v>4</v>
      </c>
      <c r="V1316">
        <v>0.46755058136133432</v>
      </c>
      <c r="W1316">
        <v>1</v>
      </c>
      <c r="X1316">
        <v>0.46755058136133432</v>
      </c>
      <c r="Y1316">
        <v>10</v>
      </c>
      <c r="Z1316">
        <v>559.94033759457182</v>
      </c>
      <c r="AA1316">
        <v>2</v>
      </c>
      <c r="AB1316">
        <v>3</v>
      </c>
      <c r="AC1316">
        <v>7</v>
      </c>
      <c r="AD1316">
        <v>26.84</v>
      </c>
      <c r="AE1316">
        <v>253</v>
      </c>
      <c r="AF1316">
        <v>17</v>
      </c>
      <c r="AG1316">
        <v>63</v>
      </c>
      <c r="AH1316">
        <v>32</v>
      </c>
      <c r="AI1316">
        <v>6.72</v>
      </c>
      <c r="AJ1316">
        <v>24.9</v>
      </c>
      <c r="AK1316">
        <v>12.65</v>
      </c>
      <c r="AL1316">
        <v>-19.630448649999941</v>
      </c>
      <c r="AM1316">
        <v>-43.907268502495313</v>
      </c>
      <c r="AN1316">
        <v>-19.630448649999941</v>
      </c>
      <c r="AO1316">
        <v>-43.907268502495313</v>
      </c>
      <c r="AP1316">
        <v>-19.630676999999999</v>
      </c>
      <c r="AQ1316">
        <v>-43.907255999999997</v>
      </c>
      <c r="AR1316">
        <v>25.453700276562468</v>
      </c>
      <c r="AS1316" t="s">
        <v>65</v>
      </c>
      <c r="AT1316">
        <v>1</v>
      </c>
      <c r="AU1316" t="s">
        <v>95</v>
      </c>
      <c r="AV1316" t="s">
        <v>96</v>
      </c>
      <c r="AW1316" t="s">
        <v>60</v>
      </c>
      <c r="AX1316" t="s">
        <v>68</v>
      </c>
      <c r="AY1316" t="s">
        <v>69</v>
      </c>
      <c r="AZ1316" t="b">
        <v>1</v>
      </c>
    </row>
    <row r="1317" spans="1:52" x14ac:dyDescent="0.3">
      <c r="A1317" t="s">
        <v>52</v>
      </c>
      <c r="B1317" t="s">
        <v>53</v>
      </c>
      <c r="C1317" t="s">
        <v>54</v>
      </c>
      <c r="D1317" t="s">
        <v>55</v>
      </c>
      <c r="E1317" t="s">
        <v>831</v>
      </c>
      <c r="F1317" t="s">
        <v>512</v>
      </c>
      <c r="G1317" t="s">
        <v>97</v>
      </c>
      <c r="H1317" t="s">
        <v>98</v>
      </c>
      <c r="I1317" t="s">
        <v>98</v>
      </c>
      <c r="J1317" t="s">
        <v>60</v>
      </c>
      <c r="K1317" t="s">
        <v>99</v>
      </c>
      <c r="L1317" t="s">
        <v>62</v>
      </c>
      <c r="M1317" t="s">
        <v>99</v>
      </c>
      <c r="N1317" t="s">
        <v>100</v>
      </c>
      <c r="O1317" t="s">
        <v>101</v>
      </c>
      <c r="P1317">
        <v>-19.629822000000001</v>
      </c>
      <c r="Q1317">
        <v>-43.905341</v>
      </c>
      <c r="R1317" s="2" t="str">
        <f>HYPERLINK("https://www.google.com/maps?q=-19.6298220,-43.9053410","Abrir no Google Maps")</f>
        <v>Abrir no Google Maps</v>
      </c>
      <c r="S1317">
        <v>4</v>
      </c>
      <c r="T1317">
        <v>441.30597341744129</v>
      </c>
      <c r="U1317">
        <v>3</v>
      </c>
      <c r="V1317">
        <v>0.43705621924151827</v>
      </c>
      <c r="W1317">
        <v>1</v>
      </c>
      <c r="X1317">
        <v>0.43705621924151827</v>
      </c>
      <c r="Y1317">
        <v>10</v>
      </c>
      <c r="Z1317">
        <v>513.56493751010987</v>
      </c>
      <c r="AA1317">
        <v>2</v>
      </c>
      <c r="AB1317">
        <v>3</v>
      </c>
      <c r="AC1317">
        <v>7</v>
      </c>
      <c r="AD1317">
        <v>26.84</v>
      </c>
      <c r="AE1317">
        <v>253</v>
      </c>
      <c r="AF1317">
        <v>17</v>
      </c>
      <c r="AG1317">
        <v>63</v>
      </c>
      <c r="AH1317">
        <v>32</v>
      </c>
      <c r="AI1317">
        <v>6.72</v>
      </c>
      <c r="AJ1317">
        <v>24.9</v>
      </c>
      <c r="AK1317">
        <v>12.65</v>
      </c>
      <c r="AL1317">
        <v>-19.629671599999941</v>
      </c>
      <c r="AM1317">
        <v>-43.905369597920988</v>
      </c>
      <c r="AN1317">
        <v>-19.629671599999931</v>
      </c>
      <c r="AO1317">
        <v>-43.905369597920988</v>
      </c>
      <c r="AP1317">
        <v>-19.629822000000001</v>
      </c>
      <c r="AQ1317">
        <v>-43.905341</v>
      </c>
      <c r="AR1317">
        <v>17.008917699186132</v>
      </c>
      <c r="AS1317" t="s">
        <v>65</v>
      </c>
      <c r="AT1317">
        <v>1</v>
      </c>
      <c r="AU1317" t="s">
        <v>102</v>
      </c>
      <c r="AV1317" t="s">
        <v>103</v>
      </c>
      <c r="AW1317" t="s">
        <v>60</v>
      </c>
      <c r="AX1317" t="s">
        <v>68</v>
      </c>
      <c r="AY1317" t="s">
        <v>69</v>
      </c>
      <c r="AZ1317" t="b">
        <v>1</v>
      </c>
    </row>
    <row r="1318" spans="1:52" x14ac:dyDescent="0.3">
      <c r="A1318" t="s">
        <v>52</v>
      </c>
      <c r="B1318" t="s">
        <v>53</v>
      </c>
      <c r="C1318" t="s">
        <v>54</v>
      </c>
      <c r="D1318" t="s">
        <v>55</v>
      </c>
      <c r="E1318" t="s">
        <v>831</v>
      </c>
      <c r="F1318" t="s">
        <v>512</v>
      </c>
      <c r="G1318" t="s">
        <v>513</v>
      </c>
      <c r="H1318" t="s">
        <v>514</v>
      </c>
      <c r="I1318" t="s">
        <v>514</v>
      </c>
      <c r="J1318" t="s">
        <v>60</v>
      </c>
      <c r="K1318" t="s">
        <v>185</v>
      </c>
      <c r="L1318" t="s">
        <v>62</v>
      </c>
      <c r="M1318" t="s">
        <v>185</v>
      </c>
      <c r="N1318" t="s">
        <v>515</v>
      </c>
      <c r="O1318" t="s">
        <v>516</v>
      </c>
      <c r="P1318">
        <v>-19.63184</v>
      </c>
      <c r="Q1318">
        <v>-43.899625999999998</v>
      </c>
      <c r="R1318" s="2" t="str">
        <f>HYPERLINK("https://www.google.com/maps?q=-19.6318400,-43.8996260","Abrir no Google Maps")</f>
        <v>Abrir no Google Maps</v>
      </c>
      <c r="S1318">
        <v>4</v>
      </c>
      <c r="T1318">
        <v>317.05369638212568</v>
      </c>
      <c r="U1318">
        <v>2</v>
      </c>
      <c r="V1318">
        <v>0.44363358841926948</v>
      </c>
      <c r="W1318">
        <v>0.85</v>
      </c>
      <c r="X1318">
        <v>0.37708855015637899</v>
      </c>
      <c r="Y1318">
        <v>10</v>
      </c>
      <c r="Z1318">
        <v>467.39112963581732</v>
      </c>
      <c r="AA1318">
        <v>2</v>
      </c>
      <c r="AB1318">
        <v>3</v>
      </c>
      <c r="AC1318">
        <v>7</v>
      </c>
      <c r="AD1318">
        <v>26.84</v>
      </c>
      <c r="AE1318">
        <v>253</v>
      </c>
      <c r="AF1318">
        <v>17</v>
      </c>
      <c r="AG1318">
        <v>63</v>
      </c>
      <c r="AH1318">
        <v>32</v>
      </c>
      <c r="AI1318">
        <v>6.72</v>
      </c>
      <c r="AJ1318">
        <v>24.9</v>
      </c>
      <c r="AK1318">
        <v>12.65</v>
      </c>
      <c r="AL1318">
        <v>-19.631819699999941</v>
      </c>
      <c r="AM1318">
        <v>-43.89977767057065</v>
      </c>
      <c r="AN1318">
        <v>-19.631819699999941</v>
      </c>
      <c r="AO1318">
        <v>-43.89977767057065</v>
      </c>
      <c r="AP1318">
        <v>-19.63184</v>
      </c>
      <c r="AQ1318">
        <v>-43.899625999999998</v>
      </c>
      <c r="AR1318">
        <v>16.062279375806241</v>
      </c>
      <c r="AS1318" t="s">
        <v>65</v>
      </c>
      <c r="AT1318">
        <v>1</v>
      </c>
      <c r="AU1318" t="s">
        <v>517</v>
      </c>
      <c r="AV1318" t="s">
        <v>518</v>
      </c>
      <c r="AW1318" t="s">
        <v>60</v>
      </c>
      <c r="AX1318" t="s">
        <v>68</v>
      </c>
      <c r="AY1318" t="s">
        <v>69</v>
      </c>
      <c r="AZ1318" t="b">
        <v>1</v>
      </c>
    </row>
    <row r="1319" spans="1:52" x14ac:dyDescent="0.3">
      <c r="A1319" t="s">
        <v>52</v>
      </c>
      <c r="B1319" t="s">
        <v>53</v>
      </c>
      <c r="C1319" t="s">
        <v>54</v>
      </c>
      <c r="D1319" t="s">
        <v>55</v>
      </c>
      <c r="E1319" t="s">
        <v>831</v>
      </c>
      <c r="F1319" t="s">
        <v>512</v>
      </c>
      <c r="G1319" t="s">
        <v>77</v>
      </c>
      <c r="H1319" t="s">
        <v>78</v>
      </c>
      <c r="I1319" t="s">
        <v>78</v>
      </c>
      <c r="J1319" t="s">
        <v>60</v>
      </c>
      <c r="K1319" t="s">
        <v>79</v>
      </c>
      <c r="L1319" t="s">
        <v>62</v>
      </c>
      <c r="M1319" t="s">
        <v>79</v>
      </c>
      <c r="N1319" t="s">
        <v>80</v>
      </c>
      <c r="O1319" t="s">
        <v>81</v>
      </c>
      <c r="P1319">
        <v>-19.632463999999999</v>
      </c>
      <c r="Q1319">
        <v>-43.904927999999998</v>
      </c>
      <c r="R1319" s="2" t="str">
        <f>HYPERLINK("https://www.google.com/maps?q=-19.6324640,-43.9049280","Abrir no Google Maps")</f>
        <v>Abrir no Google Maps</v>
      </c>
      <c r="S1319">
        <v>4</v>
      </c>
      <c r="T1319">
        <v>244.1735197453369</v>
      </c>
      <c r="U1319">
        <v>2</v>
      </c>
      <c r="V1319">
        <v>0.35250480367928022</v>
      </c>
      <c r="W1319">
        <v>1</v>
      </c>
      <c r="X1319">
        <v>0.35250480367928022</v>
      </c>
      <c r="Y1319">
        <v>10</v>
      </c>
      <c r="Z1319">
        <v>287.26068152447448</v>
      </c>
      <c r="AA1319">
        <v>2</v>
      </c>
      <c r="AB1319">
        <v>3</v>
      </c>
      <c r="AC1319">
        <v>7</v>
      </c>
      <c r="AD1319">
        <v>26.84</v>
      </c>
      <c r="AE1319">
        <v>253</v>
      </c>
      <c r="AF1319">
        <v>17</v>
      </c>
      <c r="AG1319">
        <v>63</v>
      </c>
      <c r="AH1319">
        <v>32</v>
      </c>
      <c r="AI1319">
        <v>6.72</v>
      </c>
      <c r="AJ1319">
        <v>24.9</v>
      </c>
      <c r="AK1319">
        <v>12.65</v>
      </c>
      <c r="AL1319">
        <v>-19.63247099999996</v>
      </c>
      <c r="AM1319">
        <v>-43.904964174285787</v>
      </c>
      <c r="AN1319">
        <v>-19.63247099999996</v>
      </c>
      <c r="AO1319">
        <v>-43.904964174285787</v>
      </c>
      <c r="AP1319">
        <v>-19.632463999999999</v>
      </c>
      <c r="AQ1319">
        <v>-43.904927999999998</v>
      </c>
      <c r="AR1319">
        <v>3.8720457500200469</v>
      </c>
      <c r="AS1319" t="s">
        <v>65</v>
      </c>
      <c r="AT1319">
        <v>1</v>
      </c>
      <c r="AU1319" t="s">
        <v>82</v>
      </c>
      <c r="AV1319" t="s">
        <v>83</v>
      </c>
      <c r="AW1319" t="s">
        <v>60</v>
      </c>
      <c r="AX1319" t="s">
        <v>68</v>
      </c>
      <c r="AY1319" t="s">
        <v>69</v>
      </c>
      <c r="AZ1319" t="b">
        <v>1</v>
      </c>
    </row>
    <row r="1320" spans="1:52" x14ac:dyDescent="0.3">
      <c r="A1320" t="s">
        <v>52</v>
      </c>
      <c r="B1320" t="s">
        <v>53</v>
      </c>
      <c r="C1320" t="s">
        <v>54</v>
      </c>
      <c r="D1320" t="s">
        <v>55</v>
      </c>
      <c r="E1320" t="s">
        <v>831</v>
      </c>
      <c r="F1320" t="s">
        <v>512</v>
      </c>
      <c r="G1320" t="s">
        <v>70</v>
      </c>
      <c r="H1320" t="s">
        <v>71</v>
      </c>
      <c r="I1320" t="s">
        <v>71</v>
      </c>
      <c r="J1320" t="s">
        <v>60</v>
      </c>
      <c r="K1320" t="s">
        <v>72</v>
      </c>
      <c r="L1320" t="s">
        <v>62</v>
      </c>
      <c r="M1320" t="s">
        <v>72</v>
      </c>
      <c r="N1320" t="s">
        <v>73</v>
      </c>
      <c r="O1320" t="s">
        <v>74</v>
      </c>
      <c r="P1320">
        <v>-19.632581999999999</v>
      </c>
      <c r="Q1320">
        <v>-43.902416000000002</v>
      </c>
      <c r="R1320" s="2" t="str">
        <f>HYPERLINK("https://www.google.com/maps?q=-19.6325820,-43.9024160","Abrir no Google Maps")</f>
        <v>Abrir no Google Maps</v>
      </c>
      <c r="S1320">
        <v>4</v>
      </c>
      <c r="T1320">
        <v>0</v>
      </c>
      <c r="U1320">
        <v>1</v>
      </c>
      <c r="V1320">
        <v>0.31823088065857241</v>
      </c>
      <c r="W1320">
        <v>1</v>
      </c>
      <c r="X1320">
        <v>0.31823088065857241</v>
      </c>
      <c r="Y1320">
        <v>10</v>
      </c>
      <c r="Z1320">
        <v>146.6968158874696</v>
      </c>
      <c r="AA1320">
        <v>2</v>
      </c>
      <c r="AB1320">
        <v>3</v>
      </c>
      <c r="AC1320">
        <v>7</v>
      </c>
      <c r="AD1320">
        <v>26.84</v>
      </c>
      <c r="AE1320">
        <v>253</v>
      </c>
      <c r="AF1320">
        <v>17</v>
      </c>
      <c r="AG1320">
        <v>63</v>
      </c>
      <c r="AH1320">
        <v>32</v>
      </c>
      <c r="AI1320">
        <v>6.72</v>
      </c>
      <c r="AJ1320">
        <v>24.9</v>
      </c>
      <c r="AK1320">
        <v>12.65</v>
      </c>
      <c r="AL1320">
        <v>-19.63271449999996</v>
      </c>
      <c r="AM1320">
        <v>-43.902649897389402</v>
      </c>
      <c r="AN1320">
        <v>-19.63271449999996</v>
      </c>
      <c r="AO1320">
        <v>-43.902649897389402</v>
      </c>
      <c r="AP1320">
        <v>-19.632581999999999</v>
      </c>
      <c r="AQ1320">
        <v>-43.902416000000002</v>
      </c>
      <c r="AR1320">
        <v>28.617753432996459</v>
      </c>
      <c r="AS1320" t="s">
        <v>65</v>
      </c>
      <c r="AT1320">
        <v>1</v>
      </c>
      <c r="AU1320" t="s">
        <v>75</v>
      </c>
      <c r="AV1320" t="s">
        <v>76</v>
      </c>
      <c r="AW1320" t="s">
        <v>60</v>
      </c>
      <c r="AX1320" t="s">
        <v>68</v>
      </c>
      <c r="AY1320" t="s">
        <v>69</v>
      </c>
      <c r="AZ1320" t="b">
        <v>1</v>
      </c>
    </row>
    <row r="1321" spans="1:52" x14ac:dyDescent="0.3">
      <c r="A1321" t="s">
        <v>52</v>
      </c>
      <c r="B1321" t="s">
        <v>53</v>
      </c>
      <c r="C1321" t="s">
        <v>54</v>
      </c>
      <c r="D1321" t="s">
        <v>55</v>
      </c>
      <c r="E1321" t="s">
        <v>831</v>
      </c>
      <c r="F1321" t="s">
        <v>512</v>
      </c>
      <c r="G1321" t="s">
        <v>519</v>
      </c>
      <c r="H1321" t="s">
        <v>520</v>
      </c>
      <c r="I1321" t="s">
        <v>520</v>
      </c>
      <c r="J1321" t="s">
        <v>60</v>
      </c>
      <c r="K1321" t="s">
        <v>72</v>
      </c>
      <c r="L1321" t="s">
        <v>62</v>
      </c>
      <c r="M1321" t="s">
        <v>72</v>
      </c>
      <c r="N1321" t="s">
        <v>521</v>
      </c>
      <c r="O1321" t="s">
        <v>522</v>
      </c>
      <c r="P1321">
        <v>-19.634713000000001</v>
      </c>
      <c r="Q1321">
        <v>-43.908909999999999</v>
      </c>
      <c r="R1321" s="2" t="str">
        <f>HYPERLINK("https://www.google.com/maps?q=-19.6347130,-43.9089100","Abrir no Google Maps")</f>
        <v>Abrir no Google Maps</v>
      </c>
      <c r="S1321">
        <v>4</v>
      </c>
      <c r="T1321">
        <v>700.74700083720154</v>
      </c>
      <c r="U1321">
        <v>1</v>
      </c>
      <c r="V1321">
        <v>0.37766022493735502</v>
      </c>
      <c r="W1321">
        <v>0.85</v>
      </c>
      <c r="X1321">
        <v>0.32101119119675181</v>
      </c>
      <c r="Y1321">
        <v>10</v>
      </c>
      <c r="Z1321">
        <v>557.86159429038207</v>
      </c>
      <c r="AA1321">
        <v>2</v>
      </c>
      <c r="AB1321">
        <v>3</v>
      </c>
      <c r="AC1321">
        <v>7</v>
      </c>
      <c r="AD1321">
        <v>26.84</v>
      </c>
      <c r="AE1321">
        <v>253</v>
      </c>
      <c r="AF1321">
        <v>17</v>
      </c>
      <c r="AG1321">
        <v>63</v>
      </c>
      <c r="AH1321">
        <v>32</v>
      </c>
      <c r="AI1321">
        <v>6.72</v>
      </c>
      <c r="AJ1321">
        <v>24.9</v>
      </c>
      <c r="AK1321">
        <v>12.65</v>
      </c>
      <c r="AL1321">
        <v>-19.634626949999959</v>
      </c>
      <c r="AM1321">
        <v>-43.909020333181857</v>
      </c>
      <c r="AN1321">
        <v>-19.634626949999959</v>
      </c>
      <c r="AO1321">
        <v>-43.909020333181857</v>
      </c>
      <c r="AP1321">
        <v>-19.634713000000001</v>
      </c>
      <c r="AQ1321">
        <v>-43.908909999999999</v>
      </c>
      <c r="AR1321">
        <v>15.01933861967664</v>
      </c>
      <c r="AS1321" t="s">
        <v>65</v>
      </c>
      <c r="AT1321">
        <v>1</v>
      </c>
      <c r="AU1321" t="s">
        <v>523</v>
      </c>
      <c r="AV1321" t="s">
        <v>524</v>
      </c>
      <c r="AW1321" t="s">
        <v>60</v>
      </c>
      <c r="AX1321" t="s">
        <v>68</v>
      </c>
      <c r="AY1321" t="s">
        <v>69</v>
      </c>
      <c r="AZ1321" t="b">
        <v>1</v>
      </c>
    </row>
    <row r="1322" spans="1:52" x14ac:dyDescent="0.3">
      <c r="A1322" t="s">
        <v>52</v>
      </c>
      <c r="B1322" t="s">
        <v>53</v>
      </c>
      <c r="C1322" t="s">
        <v>54</v>
      </c>
      <c r="D1322" t="s">
        <v>55</v>
      </c>
      <c r="E1322" t="s">
        <v>831</v>
      </c>
      <c r="F1322" t="s">
        <v>512</v>
      </c>
      <c r="G1322" t="s">
        <v>284</v>
      </c>
      <c r="H1322" t="s">
        <v>285</v>
      </c>
      <c r="I1322" t="s">
        <v>285</v>
      </c>
      <c r="J1322" t="s">
        <v>60</v>
      </c>
      <c r="K1322" t="s">
        <v>286</v>
      </c>
      <c r="L1322" t="s">
        <v>62</v>
      </c>
      <c r="M1322" t="s">
        <v>286</v>
      </c>
      <c r="N1322" t="s">
        <v>287</v>
      </c>
      <c r="O1322" t="s">
        <v>288</v>
      </c>
      <c r="P1322">
        <v>-19.639790000000001</v>
      </c>
      <c r="Q1322">
        <v>-43.882798999999999</v>
      </c>
      <c r="R1322" s="2" t="str">
        <f>HYPERLINK("https://www.google.com/maps?q=-19.6397900,-43.8827990","Abrir no Google Maps")</f>
        <v>Abrir no Google Maps</v>
      </c>
      <c r="S1322">
        <v>3</v>
      </c>
      <c r="T1322">
        <v>242.7052058134478</v>
      </c>
      <c r="U1322">
        <v>4</v>
      </c>
      <c r="V1322">
        <v>0.47291709597243548</v>
      </c>
      <c r="W1322">
        <v>1</v>
      </c>
      <c r="X1322">
        <v>0.47291709597243548</v>
      </c>
      <c r="Y1322">
        <v>10</v>
      </c>
      <c r="Z1322">
        <v>187.2088809462339</v>
      </c>
      <c r="AA1322">
        <v>2</v>
      </c>
      <c r="AB1322">
        <v>3</v>
      </c>
      <c r="AC1322">
        <v>7</v>
      </c>
      <c r="AD1322">
        <v>26.84</v>
      </c>
      <c r="AE1322">
        <v>253</v>
      </c>
      <c r="AF1322">
        <v>17</v>
      </c>
      <c r="AG1322">
        <v>63</v>
      </c>
      <c r="AH1322">
        <v>32</v>
      </c>
      <c r="AI1322">
        <v>6.72</v>
      </c>
      <c r="AJ1322">
        <v>24.9</v>
      </c>
      <c r="AK1322">
        <v>12.65</v>
      </c>
      <c r="AL1322">
        <v>-19.639855599999951</v>
      </c>
      <c r="AM1322">
        <v>-43.882909745178452</v>
      </c>
      <c r="AN1322">
        <v>-19.639855599999951</v>
      </c>
      <c r="AO1322">
        <v>-43.882909745178452</v>
      </c>
      <c r="AP1322">
        <v>-19.639790000000001</v>
      </c>
      <c r="AQ1322">
        <v>-43.882798999999999</v>
      </c>
      <c r="AR1322">
        <v>13.716486068571211</v>
      </c>
      <c r="AS1322" t="s">
        <v>65</v>
      </c>
      <c r="AT1322">
        <v>1</v>
      </c>
      <c r="AU1322" t="s">
        <v>289</v>
      </c>
      <c r="AV1322" t="s">
        <v>290</v>
      </c>
      <c r="AW1322" t="s">
        <v>60</v>
      </c>
      <c r="AX1322" t="s">
        <v>68</v>
      </c>
      <c r="AY1322" t="s">
        <v>69</v>
      </c>
      <c r="AZ1322" t="b">
        <v>1</v>
      </c>
    </row>
    <row r="1323" spans="1:52" x14ac:dyDescent="0.3">
      <c r="A1323" t="s">
        <v>52</v>
      </c>
      <c r="B1323" t="s">
        <v>53</v>
      </c>
      <c r="C1323" t="s">
        <v>54</v>
      </c>
      <c r="D1323" t="s">
        <v>55</v>
      </c>
      <c r="E1323" t="s">
        <v>831</v>
      </c>
      <c r="F1323" t="s">
        <v>512</v>
      </c>
      <c r="G1323" t="s">
        <v>291</v>
      </c>
      <c r="H1323" t="s">
        <v>292</v>
      </c>
      <c r="I1323" t="s">
        <v>292</v>
      </c>
      <c r="J1323" t="s">
        <v>60</v>
      </c>
      <c r="K1323" t="s">
        <v>286</v>
      </c>
      <c r="L1323" t="s">
        <v>62</v>
      </c>
      <c r="M1323" t="s">
        <v>286</v>
      </c>
      <c r="N1323" t="s">
        <v>293</v>
      </c>
      <c r="O1323" t="s">
        <v>294</v>
      </c>
      <c r="P1323">
        <v>-19.640333999999999</v>
      </c>
      <c r="Q1323">
        <v>-43.880004999999997</v>
      </c>
      <c r="R1323" s="2" t="str">
        <f>HYPERLINK("https://www.google.com/maps?q=-19.6403340,-43.8800050","Abrir no Google Maps")</f>
        <v>Abrir no Google Maps</v>
      </c>
      <c r="S1323">
        <v>3</v>
      </c>
      <c r="T1323">
        <v>276.80943817309782</v>
      </c>
      <c r="U1323">
        <v>4</v>
      </c>
      <c r="V1323">
        <v>0.46736646717443769</v>
      </c>
      <c r="W1323">
        <v>1</v>
      </c>
      <c r="X1323">
        <v>0.46736646717443769</v>
      </c>
      <c r="Y1323">
        <v>10</v>
      </c>
      <c r="Z1323">
        <v>361.98332038983392</v>
      </c>
      <c r="AA1323">
        <v>2</v>
      </c>
      <c r="AB1323">
        <v>3</v>
      </c>
      <c r="AC1323">
        <v>7</v>
      </c>
      <c r="AD1323">
        <v>26.84</v>
      </c>
      <c r="AE1323">
        <v>253</v>
      </c>
      <c r="AF1323">
        <v>17</v>
      </c>
      <c r="AG1323">
        <v>63</v>
      </c>
      <c r="AH1323">
        <v>32</v>
      </c>
      <c r="AI1323">
        <v>6.72</v>
      </c>
      <c r="AJ1323">
        <v>24.9</v>
      </c>
      <c r="AK1323">
        <v>12.65</v>
      </c>
      <c r="AL1323">
        <v>-19.640260249999951</v>
      </c>
      <c r="AM1323">
        <v>-43.880090474326408</v>
      </c>
      <c r="AN1323">
        <v>-19.640260249999951</v>
      </c>
      <c r="AO1323">
        <v>-43.880090474326408</v>
      </c>
      <c r="AP1323">
        <v>-19.640333999999999</v>
      </c>
      <c r="AQ1323">
        <v>-43.880004999999997</v>
      </c>
      <c r="AR1323">
        <v>12.153556195359609</v>
      </c>
      <c r="AS1323" t="s">
        <v>65</v>
      </c>
      <c r="AT1323">
        <v>1</v>
      </c>
      <c r="AU1323" t="s">
        <v>295</v>
      </c>
      <c r="AV1323" t="s">
        <v>296</v>
      </c>
      <c r="AW1323" t="s">
        <v>60</v>
      </c>
      <c r="AX1323" t="s">
        <v>68</v>
      </c>
      <c r="AY1323" t="s">
        <v>69</v>
      </c>
      <c r="AZ1323" t="b">
        <v>1</v>
      </c>
    </row>
    <row r="1324" spans="1:52" x14ac:dyDescent="0.3">
      <c r="A1324" t="s">
        <v>52</v>
      </c>
      <c r="B1324" t="s">
        <v>53</v>
      </c>
      <c r="C1324" t="s">
        <v>54</v>
      </c>
      <c r="D1324" t="s">
        <v>55</v>
      </c>
      <c r="E1324" t="s">
        <v>831</v>
      </c>
      <c r="F1324" t="s">
        <v>512</v>
      </c>
      <c r="G1324" t="s">
        <v>394</v>
      </c>
      <c r="H1324" t="s">
        <v>395</v>
      </c>
      <c r="I1324" t="s">
        <v>395</v>
      </c>
      <c r="J1324" t="s">
        <v>60</v>
      </c>
      <c r="K1324" t="s">
        <v>286</v>
      </c>
      <c r="L1324" t="s">
        <v>62</v>
      </c>
      <c r="M1324" t="s">
        <v>286</v>
      </c>
      <c r="N1324" t="s">
        <v>396</v>
      </c>
      <c r="O1324" t="s">
        <v>88</v>
      </c>
      <c r="P1324">
        <v>-19.636932999999999</v>
      </c>
      <c r="Q1324">
        <v>-43.882691999999999</v>
      </c>
      <c r="R1324" s="2" t="str">
        <f>HYPERLINK("https://www.google.com/maps?q=-19.6369330,-43.8826920","Abrir no Google Maps")</f>
        <v>Abrir no Google Maps</v>
      </c>
      <c r="S1324">
        <v>3</v>
      </c>
      <c r="T1324">
        <v>523.52675813688109</v>
      </c>
      <c r="U1324">
        <v>3</v>
      </c>
      <c r="V1324">
        <v>0.44820517046027619</v>
      </c>
      <c r="W1324">
        <v>1</v>
      </c>
      <c r="X1324">
        <v>0.44820517046027619</v>
      </c>
      <c r="Y1324">
        <v>10</v>
      </c>
      <c r="Z1324">
        <v>372.58135532659509</v>
      </c>
      <c r="AA1324">
        <v>2</v>
      </c>
      <c r="AB1324">
        <v>3</v>
      </c>
      <c r="AC1324">
        <v>7</v>
      </c>
      <c r="AD1324">
        <v>26.84</v>
      </c>
      <c r="AE1324">
        <v>253</v>
      </c>
      <c r="AF1324">
        <v>17</v>
      </c>
      <c r="AG1324">
        <v>63</v>
      </c>
      <c r="AH1324">
        <v>32</v>
      </c>
      <c r="AI1324">
        <v>6.72</v>
      </c>
      <c r="AJ1324">
        <v>24.9</v>
      </c>
      <c r="AK1324">
        <v>12.65</v>
      </c>
      <c r="AL1324">
        <v>-19.637159949999951</v>
      </c>
      <c r="AM1324">
        <v>-43.882643289441461</v>
      </c>
      <c r="AN1324">
        <v>-19.637159949999951</v>
      </c>
      <c r="AO1324">
        <v>-43.882643289441461</v>
      </c>
      <c r="AP1324">
        <v>-19.636932999999999</v>
      </c>
      <c r="AQ1324">
        <v>-43.882691999999999</v>
      </c>
      <c r="AR1324">
        <v>25.775099947452478</v>
      </c>
      <c r="AS1324" t="s">
        <v>65</v>
      </c>
      <c r="AT1324">
        <v>1</v>
      </c>
      <c r="AU1324" t="s">
        <v>397</v>
      </c>
      <c r="AV1324" t="s">
        <v>398</v>
      </c>
      <c r="AW1324" t="s">
        <v>60</v>
      </c>
      <c r="AX1324" t="s">
        <v>68</v>
      </c>
      <c r="AY1324" t="s">
        <v>69</v>
      </c>
      <c r="AZ1324" t="b">
        <v>1</v>
      </c>
    </row>
    <row r="1325" spans="1:52" x14ac:dyDescent="0.3">
      <c r="A1325" t="s">
        <v>52</v>
      </c>
      <c r="B1325" t="s">
        <v>53</v>
      </c>
      <c r="C1325" t="s">
        <v>54</v>
      </c>
      <c r="D1325" t="s">
        <v>55</v>
      </c>
      <c r="E1325" t="s">
        <v>831</v>
      </c>
      <c r="F1325" t="s">
        <v>512</v>
      </c>
      <c r="G1325" t="s">
        <v>399</v>
      </c>
      <c r="H1325" t="s">
        <v>400</v>
      </c>
      <c r="I1325" t="s">
        <v>400</v>
      </c>
      <c r="J1325" t="s">
        <v>60</v>
      </c>
      <c r="K1325" t="s">
        <v>286</v>
      </c>
      <c r="L1325" t="s">
        <v>62</v>
      </c>
      <c r="M1325" t="s">
        <v>286</v>
      </c>
      <c r="N1325" t="s">
        <v>401</v>
      </c>
      <c r="O1325" t="s">
        <v>402</v>
      </c>
      <c r="P1325">
        <v>-19.639906</v>
      </c>
      <c r="Q1325">
        <v>-43.886059000000003</v>
      </c>
      <c r="R1325" s="2" t="str">
        <f>HYPERLINK("https://www.google.com/maps?q=-19.6399060,-43.8860590","Abrir no Google Maps")</f>
        <v>Abrir no Google Maps</v>
      </c>
      <c r="S1325">
        <v>3</v>
      </c>
      <c r="T1325">
        <v>256.0748811302048</v>
      </c>
      <c r="U1325">
        <v>3</v>
      </c>
      <c r="V1325">
        <v>0.45711421739472208</v>
      </c>
      <c r="W1325">
        <v>1</v>
      </c>
      <c r="X1325">
        <v>0.45711421739472208</v>
      </c>
      <c r="Y1325">
        <v>10</v>
      </c>
      <c r="Z1325">
        <v>205.06236700857289</v>
      </c>
      <c r="AA1325">
        <v>2</v>
      </c>
      <c r="AB1325">
        <v>3</v>
      </c>
      <c r="AC1325">
        <v>7</v>
      </c>
      <c r="AD1325">
        <v>26.84</v>
      </c>
      <c r="AE1325">
        <v>253</v>
      </c>
      <c r="AF1325">
        <v>17</v>
      </c>
      <c r="AG1325">
        <v>63</v>
      </c>
      <c r="AH1325">
        <v>32</v>
      </c>
      <c r="AI1325">
        <v>6.72</v>
      </c>
      <c r="AJ1325">
        <v>24.9</v>
      </c>
      <c r="AK1325">
        <v>12.65</v>
      </c>
      <c r="AL1325">
        <v>-19.639789499999949</v>
      </c>
      <c r="AM1325">
        <v>-43.885737855031408</v>
      </c>
      <c r="AN1325">
        <v>-19.639789499999949</v>
      </c>
      <c r="AO1325">
        <v>-43.885737855031408</v>
      </c>
      <c r="AP1325">
        <v>-19.639906</v>
      </c>
      <c r="AQ1325">
        <v>-43.886059000000003</v>
      </c>
      <c r="AR1325">
        <v>36.081349702130403</v>
      </c>
      <c r="AS1325" t="s">
        <v>65</v>
      </c>
      <c r="AT1325">
        <v>1</v>
      </c>
      <c r="AU1325" t="s">
        <v>403</v>
      </c>
      <c r="AV1325" t="s">
        <v>404</v>
      </c>
      <c r="AW1325" t="s">
        <v>60</v>
      </c>
      <c r="AX1325" t="s">
        <v>68</v>
      </c>
      <c r="AY1325" t="s">
        <v>69</v>
      </c>
      <c r="AZ1325" t="b">
        <v>1</v>
      </c>
    </row>
    <row r="1326" spans="1:52" x14ac:dyDescent="0.3">
      <c r="A1326" t="s">
        <v>52</v>
      </c>
      <c r="B1326" t="s">
        <v>53</v>
      </c>
      <c r="C1326" t="s">
        <v>54</v>
      </c>
      <c r="D1326" t="s">
        <v>55</v>
      </c>
      <c r="E1326" t="s">
        <v>831</v>
      </c>
      <c r="F1326" t="s">
        <v>512</v>
      </c>
      <c r="G1326" t="s">
        <v>546</v>
      </c>
      <c r="H1326" t="s">
        <v>547</v>
      </c>
      <c r="I1326" t="s">
        <v>547</v>
      </c>
      <c r="J1326" t="s">
        <v>60</v>
      </c>
      <c r="K1326" t="s">
        <v>445</v>
      </c>
      <c r="L1326" t="s">
        <v>62</v>
      </c>
      <c r="M1326" t="s">
        <v>445</v>
      </c>
      <c r="N1326" t="s">
        <v>548</v>
      </c>
      <c r="O1326" t="s">
        <v>549</v>
      </c>
      <c r="P1326">
        <v>-19.642752999999999</v>
      </c>
      <c r="Q1326">
        <v>-43.879080999999999</v>
      </c>
      <c r="R1326" s="2" t="str">
        <f>HYPERLINK("https://www.google.com/maps?q=-19.6427530,-43.8790810","Abrir no Google Maps")</f>
        <v>Abrir no Google Maps</v>
      </c>
      <c r="S1326">
        <v>3</v>
      </c>
      <c r="T1326">
        <v>256.19518367376457</v>
      </c>
      <c r="U1326">
        <v>3</v>
      </c>
      <c r="V1326">
        <v>0.4685977141133939</v>
      </c>
      <c r="W1326">
        <v>0.85</v>
      </c>
      <c r="X1326">
        <v>0.39830805699638477</v>
      </c>
      <c r="Y1326">
        <v>10</v>
      </c>
      <c r="Z1326">
        <v>192.73978446408199</v>
      </c>
      <c r="AA1326">
        <v>2</v>
      </c>
      <c r="AB1326">
        <v>3</v>
      </c>
      <c r="AC1326">
        <v>7</v>
      </c>
      <c r="AD1326">
        <v>26.84</v>
      </c>
      <c r="AE1326">
        <v>253</v>
      </c>
      <c r="AF1326">
        <v>17</v>
      </c>
      <c r="AG1326">
        <v>63</v>
      </c>
      <c r="AH1326">
        <v>32</v>
      </c>
      <c r="AI1326">
        <v>6.72</v>
      </c>
      <c r="AJ1326">
        <v>24.9</v>
      </c>
      <c r="AK1326">
        <v>12.65</v>
      </c>
      <c r="AL1326">
        <v>-19.642703749999949</v>
      </c>
      <c r="AM1326">
        <v>-43.879132974738582</v>
      </c>
      <c r="AN1326">
        <v>-19.642703749999949</v>
      </c>
      <c r="AO1326">
        <v>-43.879132974738582</v>
      </c>
      <c r="AP1326">
        <v>-19.642752999999999</v>
      </c>
      <c r="AQ1326">
        <v>-43.879080999999999</v>
      </c>
      <c r="AR1326">
        <v>7.7298757823687696</v>
      </c>
      <c r="AS1326" t="s">
        <v>65</v>
      </c>
      <c r="AT1326">
        <v>1</v>
      </c>
      <c r="AU1326" t="s">
        <v>550</v>
      </c>
      <c r="AV1326" t="s">
        <v>551</v>
      </c>
      <c r="AW1326" t="s">
        <v>60</v>
      </c>
      <c r="AX1326" t="s">
        <v>68</v>
      </c>
      <c r="AY1326" t="s">
        <v>69</v>
      </c>
      <c r="AZ1326" t="b">
        <v>1</v>
      </c>
    </row>
    <row r="1327" spans="1:52" x14ac:dyDescent="0.3">
      <c r="A1327" t="s">
        <v>52</v>
      </c>
      <c r="B1327" t="s">
        <v>53</v>
      </c>
      <c r="C1327" t="s">
        <v>54</v>
      </c>
      <c r="D1327" t="s">
        <v>55</v>
      </c>
      <c r="E1327" t="s">
        <v>831</v>
      </c>
      <c r="F1327" t="s">
        <v>512</v>
      </c>
      <c r="G1327" t="s">
        <v>405</v>
      </c>
      <c r="H1327" t="s">
        <v>406</v>
      </c>
      <c r="I1327" t="s">
        <v>406</v>
      </c>
      <c r="J1327" t="s">
        <v>60</v>
      </c>
      <c r="K1327" t="s">
        <v>286</v>
      </c>
      <c r="L1327" t="s">
        <v>62</v>
      </c>
      <c r="M1327" t="s">
        <v>286</v>
      </c>
      <c r="N1327" t="s">
        <v>407</v>
      </c>
      <c r="O1327" t="s">
        <v>408</v>
      </c>
      <c r="P1327">
        <v>-19.646345</v>
      </c>
      <c r="Q1327">
        <v>-43.882294999999999</v>
      </c>
      <c r="R1327" s="2" t="str">
        <f>HYPERLINK("https://www.google.com/maps?q=-19.6463450,-43.8822950","Abrir no Google Maps")</f>
        <v>Abrir no Google Maps</v>
      </c>
      <c r="S1327">
        <v>3</v>
      </c>
      <c r="T1327">
        <v>450.3180538635894</v>
      </c>
      <c r="U1327">
        <v>3</v>
      </c>
      <c r="V1327">
        <v>0.44725379545879018</v>
      </c>
      <c r="W1327">
        <v>1</v>
      </c>
      <c r="X1327">
        <v>0.44725379545879018</v>
      </c>
      <c r="Y1327">
        <v>10</v>
      </c>
      <c r="Z1327">
        <v>349.23341775902583</v>
      </c>
      <c r="AA1327">
        <v>2</v>
      </c>
      <c r="AB1327">
        <v>3</v>
      </c>
      <c r="AC1327">
        <v>7</v>
      </c>
      <c r="AD1327">
        <v>26.84</v>
      </c>
      <c r="AE1327">
        <v>253</v>
      </c>
      <c r="AF1327">
        <v>17</v>
      </c>
      <c r="AG1327">
        <v>63</v>
      </c>
      <c r="AH1327">
        <v>32</v>
      </c>
      <c r="AI1327">
        <v>6.72</v>
      </c>
      <c r="AJ1327">
        <v>24.9</v>
      </c>
      <c r="AK1327">
        <v>12.65</v>
      </c>
      <c r="AL1327">
        <v>-19.646391649999941</v>
      </c>
      <c r="AM1327">
        <v>-43.882007396993302</v>
      </c>
      <c r="AN1327">
        <v>-19.646391649999941</v>
      </c>
      <c r="AO1327">
        <v>-43.882007396993302</v>
      </c>
      <c r="AP1327">
        <v>-19.646345</v>
      </c>
      <c r="AQ1327">
        <v>-43.882294999999999</v>
      </c>
      <c r="AR1327">
        <v>30.596105513395301</v>
      </c>
      <c r="AS1327" t="s">
        <v>65</v>
      </c>
      <c r="AT1327">
        <v>1</v>
      </c>
      <c r="AU1327" t="s">
        <v>409</v>
      </c>
      <c r="AV1327" t="s">
        <v>410</v>
      </c>
      <c r="AW1327" t="s">
        <v>60</v>
      </c>
      <c r="AX1327" t="s">
        <v>68</v>
      </c>
      <c r="AY1327" t="s">
        <v>69</v>
      </c>
      <c r="AZ1327" t="b">
        <v>1</v>
      </c>
    </row>
    <row r="1328" spans="1:52" x14ac:dyDescent="0.3">
      <c r="A1328" t="s">
        <v>52</v>
      </c>
      <c r="B1328" t="s">
        <v>53</v>
      </c>
      <c r="C1328" t="s">
        <v>54</v>
      </c>
      <c r="D1328" t="s">
        <v>55</v>
      </c>
      <c r="E1328" t="s">
        <v>831</v>
      </c>
      <c r="F1328" t="s">
        <v>512</v>
      </c>
      <c r="G1328" t="s">
        <v>525</v>
      </c>
      <c r="H1328" t="s">
        <v>526</v>
      </c>
      <c r="I1328" t="s">
        <v>526</v>
      </c>
      <c r="J1328" t="s">
        <v>60</v>
      </c>
      <c r="K1328" t="s">
        <v>286</v>
      </c>
      <c r="L1328" t="s">
        <v>62</v>
      </c>
      <c r="M1328" t="s">
        <v>286</v>
      </c>
      <c r="N1328" t="s">
        <v>527</v>
      </c>
      <c r="O1328" t="s">
        <v>113</v>
      </c>
      <c r="P1328">
        <v>-19.629049999999999</v>
      </c>
      <c r="Q1328">
        <v>-43.887543000000001</v>
      </c>
      <c r="R1328" s="2" t="str">
        <f>HYPERLINK("https://www.google.com/maps?q=-19.6290500,-43.8875430","Abrir no Google Maps")</f>
        <v>Abrir no Google Maps</v>
      </c>
      <c r="S1328">
        <v>3</v>
      </c>
      <c r="T1328">
        <v>420.9244758141914</v>
      </c>
      <c r="U1328">
        <v>2</v>
      </c>
      <c r="V1328">
        <v>0.44103172991298101</v>
      </c>
      <c r="W1328">
        <v>0.85</v>
      </c>
      <c r="X1328">
        <v>0.37487697042603391</v>
      </c>
      <c r="Y1328">
        <v>18</v>
      </c>
      <c r="Z1328">
        <v>298.16529694300579</v>
      </c>
      <c r="AA1328">
        <v>2</v>
      </c>
      <c r="AB1328">
        <v>3</v>
      </c>
      <c r="AC1328">
        <v>7</v>
      </c>
      <c r="AD1328">
        <v>26.84</v>
      </c>
      <c r="AE1328">
        <v>253</v>
      </c>
      <c r="AF1328">
        <v>17</v>
      </c>
      <c r="AG1328">
        <v>63</v>
      </c>
      <c r="AH1328">
        <v>32</v>
      </c>
      <c r="AI1328">
        <v>6.72</v>
      </c>
      <c r="AJ1328">
        <v>24.9</v>
      </c>
      <c r="AK1328">
        <v>12.65</v>
      </c>
      <c r="AL1328">
        <v>-19.62914789999996</v>
      </c>
      <c r="AM1328">
        <v>-43.887659532387332</v>
      </c>
      <c r="AN1328">
        <v>-19.62914789999996</v>
      </c>
      <c r="AO1328">
        <v>-43.887659532387332</v>
      </c>
      <c r="AP1328">
        <v>-19.629049999999999</v>
      </c>
      <c r="AQ1328">
        <v>-43.887543000000001</v>
      </c>
      <c r="AR1328">
        <v>16.372645779361299</v>
      </c>
      <c r="AS1328" t="s">
        <v>65</v>
      </c>
      <c r="AT1328">
        <v>1</v>
      </c>
      <c r="AU1328" t="s">
        <v>528</v>
      </c>
      <c r="AV1328" t="s">
        <v>529</v>
      </c>
      <c r="AW1328" t="s">
        <v>60</v>
      </c>
      <c r="AX1328" t="s">
        <v>68</v>
      </c>
      <c r="AY1328" t="s">
        <v>69</v>
      </c>
      <c r="AZ1328" t="b">
        <v>1</v>
      </c>
    </row>
    <row r="1329" spans="1:52" x14ac:dyDescent="0.3">
      <c r="A1329" t="s">
        <v>52</v>
      </c>
      <c r="B1329" t="s">
        <v>53</v>
      </c>
      <c r="C1329" t="s">
        <v>54</v>
      </c>
      <c r="D1329" t="s">
        <v>55</v>
      </c>
      <c r="E1329" t="s">
        <v>831</v>
      </c>
      <c r="F1329" t="s">
        <v>512</v>
      </c>
      <c r="G1329" t="s">
        <v>530</v>
      </c>
      <c r="H1329" t="s">
        <v>531</v>
      </c>
      <c r="I1329" t="s">
        <v>531</v>
      </c>
      <c r="J1329" t="s">
        <v>60</v>
      </c>
      <c r="K1329" t="s">
        <v>185</v>
      </c>
      <c r="L1329" t="s">
        <v>62</v>
      </c>
      <c r="M1329" t="s">
        <v>185</v>
      </c>
      <c r="N1329" t="s">
        <v>532</v>
      </c>
      <c r="O1329" t="s">
        <v>533</v>
      </c>
      <c r="P1329">
        <v>-19.625264000000001</v>
      </c>
      <c r="Q1329">
        <v>-43.889451000000001</v>
      </c>
      <c r="R1329" s="2" t="str">
        <f>HYPERLINK("https://www.google.com/maps?q=-19.6252640,-43.8894510","Abrir no Google Maps")</f>
        <v>Abrir no Google Maps</v>
      </c>
      <c r="S1329">
        <v>3</v>
      </c>
      <c r="T1329">
        <v>466.11340370665903</v>
      </c>
      <c r="U1329">
        <v>2</v>
      </c>
      <c r="V1329">
        <v>0.38322461299384369</v>
      </c>
      <c r="W1329">
        <v>0.85</v>
      </c>
      <c r="X1329">
        <v>0.32574092104476721</v>
      </c>
      <c r="Y1329">
        <v>18</v>
      </c>
      <c r="Z1329">
        <v>320.77337440837812</v>
      </c>
      <c r="AA1329">
        <v>2</v>
      </c>
      <c r="AB1329">
        <v>3</v>
      </c>
      <c r="AC1329">
        <v>7</v>
      </c>
      <c r="AD1329">
        <v>26.84</v>
      </c>
      <c r="AE1329">
        <v>253</v>
      </c>
      <c r="AF1329">
        <v>17</v>
      </c>
      <c r="AG1329">
        <v>63</v>
      </c>
      <c r="AH1329">
        <v>32</v>
      </c>
      <c r="AI1329">
        <v>6.72</v>
      </c>
      <c r="AJ1329">
        <v>24.9</v>
      </c>
      <c r="AK1329">
        <v>12.65</v>
      </c>
      <c r="AL1329">
        <v>-19.62516189999997</v>
      </c>
      <c r="AM1329">
        <v>-43.88954614566876</v>
      </c>
      <c r="AN1329">
        <v>-19.62516189999997</v>
      </c>
      <c r="AO1329">
        <v>-43.88954614566876</v>
      </c>
      <c r="AP1329">
        <v>-19.625264000000001</v>
      </c>
      <c r="AQ1329">
        <v>-43.889451000000001</v>
      </c>
      <c r="AR1329">
        <v>15.12310549834147</v>
      </c>
      <c r="AS1329" t="s">
        <v>65</v>
      </c>
      <c r="AT1329">
        <v>1</v>
      </c>
      <c r="AU1329" t="s">
        <v>534</v>
      </c>
      <c r="AV1329" t="s">
        <v>535</v>
      </c>
      <c r="AW1329" t="s">
        <v>60</v>
      </c>
      <c r="AX1329" t="s">
        <v>68</v>
      </c>
      <c r="AY1329" t="s">
        <v>69</v>
      </c>
      <c r="AZ1329" t="b">
        <v>1</v>
      </c>
    </row>
    <row r="1330" spans="1:52" x14ac:dyDescent="0.3">
      <c r="A1330" t="s">
        <v>52</v>
      </c>
      <c r="B1330" t="s">
        <v>53</v>
      </c>
      <c r="C1330" t="s">
        <v>54</v>
      </c>
      <c r="D1330" t="s">
        <v>55</v>
      </c>
      <c r="E1330" t="s">
        <v>831</v>
      </c>
      <c r="F1330" t="s">
        <v>512</v>
      </c>
      <c r="G1330" t="s">
        <v>541</v>
      </c>
      <c r="H1330" t="s">
        <v>542</v>
      </c>
      <c r="I1330" t="s">
        <v>542</v>
      </c>
      <c r="J1330" t="s">
        <v>60</v>
      </c>
      <c r="K1330" t="s">
        <v>445</v>
      </c>
      <c r="L1330" t="s">
        <v>62</v>
      </c>
      <c r="M1330" t="s">
        <v>445</v>
      </c>
      <c r="N1330" t="s">
        <v>543</v>
      </c>
      <c r="O1330" t="s">
        <v>328</v>
      </c>
      <c r="P1330">
        <v>-19.642263</v>
      </c>
      <c r="Q1330">
        <v>-43.881428999999997</v>
      </c>
      <c r="R1330" s="2" t="str">
        <f>HYPERLINK("https://www.google.com/maps?q=-19.6422630,-43.8814290","Abrir no Google Maps")</f>
        <v>Abrir no Google Maps</v>
      </c>
      <c r="S1330">
        <v>3</v>
      </c>
      <c r="T1330">
        <v>0</v>
      </c>
      <c r="U1330">
        <v>2</v>
      </c>
      <c r="V1330">
        <v>0.44596540772263588</v>
      </c>
      <c r="W1330">
        <v>0.85</v>
      </c>
      <c r="X1330">
        <v>0.37907059656424053</v>
      </c>
      <c r="Y1330">
        <v>10</v>
      </c>
      <c r="Z1330">
        <v>162.4764384685345</v>
      </c>
      <c r="AA1330">
        <v>2</v>
      </c>
      <c r="AB1330">
        <v>3</v>
      </c>
      <c r="AC1330">
        <v>7</v>
      </c>
      <c r="AD1330">
        <v>26.84</v>
      </c>
      <c r="AE1330">
        <v>253</v>
      </c>
      <c r="AF1330">
        <v>17</v>
      </c>
      <c r="AG1330">
        <v>63</v>
      </c>
      <c r="AH1330">
        <v>32</v>
      </c>
      <c r="AI1330">
        <v>6.72</v>
      </c>
      <c r="AJ1330">
        <v>24.9</v>
      </c>
      <c r="AK1330">
        <v>12.65</v>
      </c>
      <c r="AL1330">
        <v>-19.642346249999949</v>
      </c>
      <c r="AM1330">
        <v>-43.881546938715289</v>
      </c>
      <c r="AN1330">
        <v>-19.642346249999939</v>
      </c>
      <c r="AO1330">
        <v>-43.881546938715289</v>
      </c>
      <c r="AP1330">
        <v>-19.642263</v>
      </c>
      <c r="AQ1330">
        <v>-43.881428999999997</v>
      </c>
      <c r="AR1330">
        <v>15.45239906956777</v>
      </c>
      <c r="AS1330" t="s">
        <v>65</v>
      </c>
      <c r="AT1330">
        <v>1</v>
      </c>
      <c r="AU1330" t="s">
        <v>544</v>
      </c>
      <c r="AV1330" t="s">
        <v>545</v>
      </c>
      <c r="AW1330" t="s">
        <v>60</v>
      </c>
      <c r="AX1330" t="s">
        <v>68</v>
      </c>
      <c r="AY1330" t="s">
        <v>69</v>
      </c>
      <c r="AZ1330" t="b">
        <v>1</v>
      </c>
    </row>
    <row r="1331" spans="1:52" x14ac:dyDescent="0.3">
      <c r="A1331" t="s">
        <v>52</v>
      </c>
      <c r="B1331" t="s">
        <v>53</v>
      </c>
      <c r="C1331" t="s">
        <v>54</v>
      </c>
      <c r="D1331" t="s">
        <v>55</v>
      </c>
      <c r="E1331" t="s">
        <v>831</v>
      </c>
      <c r="F1331" t="s">
        <v>512</v>
      </c>
      <c r="G1331" t="s">
        <v>552</v>
      </c>
      <c r="H1331" t="s">
        <v>553</v>
      </c>
      <c r="I1331" t="s">
        <v>553</v>
      </c>
      <c r="J1331" t="s">
        <v>60</v>
      </c>
      <c r="K1331" t="s">
        <v>445</v>
      </c>
      <c r="L1331" t="s">
        <v>62</v>
      </c>
      <c r="M1331" t="s">
        <v>445</v>
      </c>
      <c r="N1331" t="s">
        <v>554</v>
      </c>
      <c r="O1331" t="s">
        <v>207</v>
      </c>
      <c r="P1331">
        <v>-19.641549999999999</v>
      </c>
      <c r="Q1331">
        <v>-43.873263999999999</v>
      </c>
      <c r="R1331" s="2" t="str">
        <f>HYPERLINK("https://www.google.com/maps?q=-19.6415500,-43.8732640","Abrir no Google Maps")</f>
        <v>Abrir no Google Maps</v>
      </c>
      <c r="S1331">
        <v>3</v>
      </c>
      <c r="T1331">
        <v>879.45465995735231</v>
      </c>
      <c r="U1331">
        <v>2</v>
      </c>
      <c r="V1331">
        <v>0.38440163666595079</v>
      </c>
      <c r="W1331">
        <v>0.85</v>
      </c>
      <c r="X1331">
        <v>0.32674139116605821</v>
      </c>
      <c r="Y1331">
        <v>10</v>
      </c>
      <c r="Z1331">
        <v>830.70905214077095</v>
      </c>
      <c r="AA1331">
        <v>2</v>
      </c>
      <c r="AB1331">
        <v>3</v>
      </c>
      <c r="AC1331">
        <v>7</v>
      </c>
      <c r="AD1331">
        <v>26.84</v>
      </c>
      <c r="AE1331">
        <v>253</v>
      </c>
      <c r="AF1331">
        <v>17</v>
      </c>
      <c r="AG1331">
        <v>63</v>
      </c>
      <c r="AH1331">
        <v>32</v>
      </c>
      <c r="AI1331">
        <v>6.72</v>
      </c>
      <c r="AJ1331">
        <v>24.9</v>
      </c>
      <c r="AK1331">
        <v>12.65</v>
      </c>
      <c r="AL1331">
        <v>-19.641459949999959</v>
      </c>
      <c r="AM1331">
        <v>-43.873212145688711</v>
      </c>
      <c r="AN1331">
        <v>-19.641459949999959</v>
      </c>
      <c r="AO1331">
        <v>-43.873212145688711</v>
      </c>
      <c r="AP1331">
        <v>-19.641549999999999</v>
      </c>
      <c r="AQ1331">
        <v>-43.873263999999999</v>
      </c>
      <c r="AR1331">
        <v>11.40368340137019</v>
      </c>
      <c r="AS1331" t="s">
        <v>65</v>
      </c>
      <c r="AT1331">
        <v>1</v>
      </c>
      <c r="AU1331" t="s">
        <v>555</v>
      </c>
      <c r="AV1331" t="s">
        <v>556</v>
      </c>
      <c r="AW1331" t="s">
        <v>60</v>
      </c>
      <c r="AX1331" t="s">
        <v>68</v>
      </c>
      <c r="AY1331" t="s">
        <v>69</v>
      </c>
      <c r="AZ1331" t="b">
        <v>1</v>
      </c>
    </row>
    <row r="1332" spans="1:52" x14ac:dyDescent="0.3">
      <c r="A1332" t="s">
        <v>52</v>
      </c>
      <c r="B1332" t="s">
        <v>53</v>
      </c>
      <c r="C1332" t="s">
        <v>54</v>
      </c>
      <c r="D1332" t="s">
        <v>55</v>
      </c>
      <c r="E1332" t="s">
        <v>831</v>
      </c>
      <c r="F1332" t="s">
        <v>512</v>
      </c>
      <c r="G1332" t="s">
        <v>557</v>
      </c>
      <c r="H1332" t="s">
        <v>558</v>
      </c>
      <c r="I1332" t="s">
        <v>558</v>
      </c>
      <c r="J1332" t="s">
        <v>60</v>
      </c>
      <c r="K1332" t="s">
        <v>445</v>
      </c>
      <c r="L1332" t="s">
        <v>62</v>
      </c>
      <c r="M1332" t="s">
        <v>445</v>
      </c>
      <c r="N1332" t="s">
        <v>559</v>
      </c>
      <c r="O1332" t="s">
        <v>560</v>
      </c>
      <c r="P1332">
        <v>-19.641839000000001</v>
      </c>
      <c r="Q1332">
        <v>-43.876227</v>
      </c>
      <c r="R1332" s="2" t="str">
        <f>HYPERLINK("https://www.google.com/maps?q=-19.6418390,-43.8762270","Abrir no Google Maps")</f>
        <v>Abrir no Google Maps</v>
      </c>
      <c r="S1332">
        <v>3</v>
      </c>
      <c r="T1332">
        <v>564.50471877254449</v>
      </c>
      <c r="U1332">
        <v>2</v>
      </c>
      <c r="V1332">
        <v>0.39685090360173969</v>
      </c>
      <c r="W1332">
        <v>0.85</v>
      </c>
      <c r="X1332">
        <v>0.33732326806147872</v>
      </c>
      <c r="Y1332">
        <v>10</v>
      </c>
      <c r="Z1332">
        <v>490.40238336341412</v>
      </c>
      <c r="AA1332">
        <v>2</v>
      </c>
      <c r="AB1332">
        <v>3</v>
      </c>
      <c r="AC1332">
        <v>7</v>
      </c>
      <c r="AD1332">
        <v>26.84</v>
      </c>
      <c r="AE1332">
        <v>253</v>
      </c>
      <c r="AF1332">
        <v>17</v>
      </c>
      <c r="AG1332">
        <v>63</v>
      </c>
      <c r="AH1332">
        <v>32</v>
      </c>
      <c r="AI1332">
        <v>6.72</v>
      </c>
      <c r="AJ1332">
        <v>24.9</v>
      </c>
      <c r="AK1332">
        <v>12.65</v>
      </c>
      <c r="AL1332">
        <v>-19.641880699999941</v>
      </c>
      <c r="AM1332">
        <v>-43.876185869580858</v>
      </c>
      <c r="AN1332">
        <v>-19.641880699999941</v>
      </c>
      <c r="AO1332">
        <v>-43.876185869580858</v>
      </c>
      <c r="AP1332">
        <v>-19.641839000000001</v>
      </c>
      <c r="AQ1332">
        <v>-43.876227</v>
      </c>
      <c r="AR1332">
        <v>6.3359121862683301</v>
      </c>
      <c r="AS1332" t="s">
        <v>65</v>
      </c>
      <c r="AT1332">
        <v>1</v>
      </c>
      <c r="AU1332" t="s">
        <v>561</v>
      </c>
      <c r="AV1332" t="s">
        <v>562</v>
      </c>
      <c r="AW1332" t="s">
        <v>60</v>
      </c>
      <c r="AX1332" t="s">
        <v>68</v>
      </c>
      <c r="AY1332" t="s">
        <v>69</v>
      </c>
      <c r="AZ1332" t="b">
        <v>1</v>
      </c>
    </row>
    <row r="1333" spans="1:52" x14ac:dyDescent="0.3">
      <c r="A1333" t="s">
        <v>52</v>
      </c>
      <c r="B1333" t="s">
        <v>53</v>
      </c>
      <c r="C1333" t="s">
        <v>54</v>
      </c>
      <c r="D1333" t="s">
        <v>55</v>
      </c>
      <c r="E1333" t="s">
        <v>831</v>
      </c>
      <c r="F1333" t="s">
        <v>512</v>
      </c>
      <c r="G1333" t="s">
        <v>563</v>
      </c>
      <c r="H1333" t="s">
        <v>564</v>
      </c>
      <c r="I1333" t="s">
        <v>564</v>
      </c>
      <c r="J1333" t="s">
        <v>60</v>
      </c>
      <c r="K1333" t="s">
        <v>445</v>
      </c>
      <c r="L1333" t="s">
        <v>62</v>
      </c>
      <c r="M1333" t="s">
        <v>445</v>
      </c>
      <c r="N1333" t="s">
        <v>565</v>
      </c>
      <c r="O1333" t="s">
        <v>566</v>
      </c>
      <c r="P1333">
        <v>-19.645859000000002</v>
      </c>
      <c r="Q1333">
        <v>-43.878008000000001</v>
      </c>
      <c r="R1333" s="2" t="str">
        <f>HYPERLINK("https://www.google.com/maps?q=-19.6458590,-43.8780080","Abrir no Google Maps")</f>
        <v>Abrir no Google Maps</v>
      </c>
      <c r="S1333">
        <v>3</v>
      </c>
      <c r="T1333">
        <v>535.60651658514928</v>
      </c>
      <c r="U1333">
        <v>2</v>
      </c>
      <c r="V1333">
        <v>0.4275092778040383</v>
      </c>
      <c r="W1333">
        <v>0.85</v>
      </c>
      <c r="X1333">
        <v>0.36338288613343261</v>
      </c>
      <c r="Y1333">
        <v>10</v>
      </c>
      <c r="Z1333">
        <v>356.77070476702067</v>
      </c>
      <c r="AA1333">
        <v>2</v>
      </c>
      <c r="AB1333">
        <v>3</v>
      </c>
      <c r="AC1333">
        <v>7</v>
      </c>
      <c r="AD1333">
        <v>26.84</v>
      </c>
      <c r="AE1333">
        <v>253</v>
      </c>
      <c r="AF1333">
        <v>17</v>
      </c>
      <c r="AG1333">
        <v>63</v>
      </c>
      <c r="AH1333">
        <v>32</v>
      </c>
      <c r="AI1333">
        <v>6.72</v>
      </c>
      <c r="AJ1333">
        <v>24.9</v>
      </c>
      <c r="AK1333">
        <v>12.65</v>
      </c>
      <c r="AL1333">
        <v>-19.645894599999959</v>
      </c>
      <c r="AM1333">
        <v>-43.878073476665591</v>
      </c>
      <c r="AN1333">
        <v>-19.645894599999959</v>
      </c>
      <c r="AO1333">
        <v>-43.878073476665591</v>
      </c>
      <c r="AP1333">
        <v>-19.645859000000002</v>
      </c>
      <c r="AQ1333">
        <v>-43.878008000000001</v>
      </c>
      <c r="AR1333">
        <v>7.9263849189726594</v>
      </c>
      <c r="AS1333" t="s">
        <v>65</v>
      </c>
      <c r="AT1333">
        <v>1</v>
      </c>
      <c r="AU1333" t="s">
        <v>567</v>
      </c>
      <c r="AV1333" t="s">
        <v>568</v>
      </c>
      <c r="AW1333" t="s">
        <v>60</v>
      </c>
      <c r="AX1333" t="s">
        <v>68</v>
      </c>
      <c r="AY1333" t="s">
        <v>69</v>
      </c>
      <c r="AZ1333" t="b">
        <v>1</v>
      </c>
    </row>
    <row r="1334" spans="1:52" x14ac:dyDescent="0.3">
      <c r="A1334" t="s">
        <v>52</v>
      </c>
      <c r="B1334" t="s">
        <v>53</v>
      </c>
      <c r="C1334" t="s">
        <v>54</v>
      </c>
      <c r="D1334" t="s">
        <v>55</v>
      </c>
      <c r="E1334" t="s">
        <v>831</v>
      </c>
      <c r="F1334" t="s">
        <v>512</v>
      </c>
      <c r="G1334" t="s">
        <v>569</v>
      </c>
      <c r="H1334" t="s">
        <v>570</v>
      </c>
      <c r="I1334" t="s">
        <v>570</v>
      </c>
      <c r="J1334" t="s">
        <v>60</v>
      </c>
      <c r="K1334" t="s">
        <v>445</v>
      </c>
      <c r="L1334" t="s">
        <v>62</v>
      </c>
      <c r="M1334" t="s">
        <v>445</v>
      </c>
      <c r="N1334" t="s">
        <v>571</v>
      </c>
      <c r="O1334" t="s">
        <v>572</v>
      </c>
      <c r="P1334">
        <v>-19.646602999999999</v>
      </c>
      <c r="Q1334">
        <v>-43.879826000000001</v>
      </c>
      <c r="R1334" s="2" t="str">
        <f>HYPERLINK("https://www.google.com/maps?q=-19.6466030,-43.8798260","Abrir no Google Maps")</f>
        <v>Abrir no Google Maps</v>
      </c>
      <c r="S1334">
        <v>3</v>
      </c>
      <c r="T1334">
        <v>497.89126003830972</v>
      </c>
      <c r="U1334">
        <v>2</v>
      </c>
      <c r="V1334">
        <v>0.41982659725708332</v>
      </c>
      <c r="W1334">
        <v>0.85</v>
      </c>
      <c r="X1334">
        <v>0.35685260766852078</v>
      </c>
      <c r="Y1334">
        <v>10</v>
      </c>
      <c r="Z1334">
        <v>228.69190976735251</v>
      </c>
      <c r="AA1334">
        <v>2</v>
      </c>
      <c r="AB1334">
        <v>3</v>
      </c>
      <c r="AC1334">
        <v>7</v>
      </c>
      <c r="AD1334">
        <v>26.84</v>
      </c>
      <c r="AE1334">
        <v>253</v>
      </c>
      <c r="AF1334">
        <v>17</v>
      </c>
      <c r="AG1334">
        <v>63</v>
      </c>
      <c r="AH1334">
        <v>32</v>
      </c>
      <c r="AI1334">
        <v>6.72</v>
      </c>
      <c r="AJ1334">
        <v>24.9</v>
      </c>
      <c r="AK1334">
        <v>12.65</v>
      </c>
      <c r="AL1334">
        <v>-19.646577499999982</v>
      </c>
      <c r="AM1334">
        <v>-43.879934131171261</v>
      </c>
      <c r="AN1334">
        <v>-19.646577499999971</v>
      </c>
      <c r="AO1334">
        <v>-43.879934131171261</v>
      </c>
      <c r="AP1334">
        <v>-19.646602999999999</v>
      </c>
      <c r="AQ1334">
        <v>-43.879826000000001</v>
      </c>
      <c r="AR1334">
        <v>11.68641198848764</v>
      </c>
      <c r="AS1334" t="s">
        <v>65</v>
      </c>
      <c r="AT1334">
        <v>1</v>
      </c>
      <c r="AU1334" t="s">
        <v>573</v>
      </c>
      <c r="AV1334" t="s">
        <v>574</v>
      </c>
      <c r="AW1334" t="s">
        <v>60</v>
      </c>
      <c r="AX1334" t="s">
        <v>68</v>
      </c>
      <c r="AY1334" t="s">
        <v>69</v>
      </c>
      <c r="AZ1334" t="b">
        <v>1</v>
      </c>
    </row>
    <row r="1335" spans="1:52" x14ac:dyDescent="0.3">
      <c r="A1335" t="s">
        <v>52</v>
      </c>
      <c r="B1335" t="s">
        <v>53</v>
      </c>
      <c r="C1335" t="s">
        <v>54</v>
      </c>
      <c r="D1335" t="s">
        <v>55</v>
      </c>
      <c r="E1335" t="s">
        <v>831</v>
      </c>
      <c r="F1335" t="s">
        <v>512</v>
      </c>
      <c r="G1335" t="s">
        <v>580</v>
      </c>
      <c r="H1335" t="s">
        <v>581</v>
      </c>
      <c r="I1335" t="s">
        <v>581</v>
      </c>
      <c r="J1335" t="s">
        <v>60</v>
      </c>
      <c r="K1335" t="s">
        <v>179</v>
      </c>
      <c r="L1335" t="s">
        <v>62</v>
      </c>
      <c r="M1335" t="s">
        <v>179</v>
      </c>
      <c r="N1335" t="s">
        <v>582</v>
      </c>
      <c r="O1335" t="s">
        <v>583</v>
      </c>
      <c r="P1335">
        <v>-19.651917999999998</v>
      </c>
      <c r="Q1335">
        <v>-43.888081</v>
      </c>
      <c r="R1335" s="2" t="str">
        <f>HYPERLINK("https://www.google.com/maps?q=-19.6519180,-43.8880810","Abrir no Google Maps")</f>
        <v>Abrir no Google Maps</v>
      </c>
      <c r="S1335">
        <v>3</v>
      </c>
      <c r="T1335">
        <v>1192.758363020145</v>
      </c>
      <c r="U1335">
        <v>2</v>
      </c>
      <c r="V1335">
        <v>0.42178017037009591</v>
      </c>
      <c r="W1335">
        <v>0.85</v>
      </c>
      <c r="X1335">
        <v>0.35851314481458152</v>
      </c>
      <c r="Y1335">
        <v>10</v>
      </c>
      <c r="Z1335">
        <v>1164.020417046748</v>
      </c>
      <c r="AA1335">
        <v>2</v>
      </c>
      <c r="AB1335">
        <v>3</v>
      </c>
      <c r="AC1335">
        <v>7</v>
      </c>
      <c r="AD1335">
        <v>26.84</v>
      </c>
      <c r="AE1335">
        <v>253</v>
      </c>
      <c r="AF1335">
        <v>17</v>
      </c>
      <c r="AG1335">
        <v>63</v>
      </c>
      <c r="AH1335">
        <v>32</v>
      </c>
      <c r="AI1335">
        <v>6.72</v>
      </c>
      <c r="AJ1335">
        <v>24.9</v>
      </c>
      <c r="AK1335">
        <v>12.65</v>
      </c>
      <c r="AL1335">
        <v>-19.65182809999996</v>
      </c>
      <c r="AM1335">
        <v>-43.887955347266519</v>
      </c>
      <c r="AN1335">
        <v>-19.65182809999996</v>
      </c>
      <c r="AO1335">
        <v>-43.887955347266519</v>
      </c>
      <c r="AP1335">
        <v>-19.651917999999998</v>
      </c>
      <c r="AQ1335">
        <v>-43.888081</v>
      </c>
      <c r="AR1335">
        <v>16.543262936495491</v>
      </c>
      <c r="AS1335" t="s">
        <v>65</v>
      </c>
      <c r="AT1335">
        <v>1</v>
      </c>
      <c r="AU1335" t="s">
        <v>584</v>
      </c>
      <c r="AV1335" t="s">
        <v>585</v>
      </c>
      <c r="AW1335" t="s">
        <v>60</v>
      </c>
      <c r="AX1335" t="s">
        <v>68</v>
      </c>
      <c r="AY1335" t="s">
        <v>69</v>
      </c>
      <c r="AZ1335" t="b">
        <v>1</v>
      </c>
    </row>
    <row r="1336" spans="1:52" x14ac:dyDescent="0.3">
      <c r="A1336" t="s">
        <v>52</v>
      </c>
      <c r="B1336" t="s">
        <v>53</v>
      </c>
      <c r="C1336" t="s">
        <v>54</v>
      </c>
      <c r="D1336" t="s">
        <v>55</v>
      </c>
      <c r="E1336" t="s">
        <v>831</v>
      </c>
      <c r="F1336" t="s">
        <v>512</v>
      </c>
      <c r="G1336" t="s">
        <v>586</v>
      </c>
      <c r="H1336" t="s">
        <v>587</v>
      </c>
      <c r="I1336" t="s">
        <v>587</v>
      </c>
      <c r="J1336" t="s">
        <v>60</v>
      </c>
      <c r="K1336" t="s">
        <v>286</v>
      </c>
      <c r="L1336" t="s">
        <v>62</v>
      </c>
      <c r="M1336" t="s">
        <v>286</v>
      </c>
      <c r="N1336" t="s">
        <v>588</v>
      </c>
      <c r="O1336" t="s">
        <v>589</v>
      </c>
      <c r="P1336">
        <v>-19.638362999999998</v>
      </c>
      <c r="Q1336">
        <v>-43.887081000000002</v>
      </c>
      <c r="R1336" s="2" t="str">
        <f>HYPERLINK("https://www.google.com/maps?q=-19.6383630,-43.8870810","Abrir no Google Maps")</f>
        <v>Abrir no Google Maps</v>
      </c>
      <c r="S1336">
        <v>3</v>
      </c>
      <c r="T1336">
        <v>521.16909902210193</v>
      </c>
      <c r="U1336">
        <v>2</v>
      </c>
      <c r="V1336">
        <v>0.44091093815726218</v>
      </c>
      <c r="W1336">
        <v>0.85</v>
      </c>
      <c r="X1336">
        <v>0.37477429743367291</v>
      </c>
      <c r="Y1336">
        <v>10</v>
      </c>
      <c r="Z1336">
        <v>416.66355243950221</v>
      </c>
      <c r="AA1336">
        <v>2</v>
      </c>
      <c r="AB1336">
        <v>3</v>
      </c>
      <c r="AC1336">
        <v>7</v>
      </c>
      <c r="AD1336">
        <v>26.84</v>
      </c>
      <c r="AE1336">
        <v>253</v>
      </c>
      <c r="AF1336">
        <v>17</v>
      </c>
      <c r="AG1336">
        <v>63</v>
      </c>
      <c r="AH1336">
        <v>32</v>
      </c>
      <c r="AI1336">
        <v>6.72</v>
      </c>
      <c r="AJ1336">
        <v>24.9</v>
      </c>
      <c r="AK1336">
        <v>12.65</v>
      </c>
      <c r="AL1336">
        <v>-19.638074649999961</v>
      </c>
      <c r="AM1336">
        <v>-43.887517684870552</v>
      </c>
      <c r="AN1336">
        <v>-19.638074649999961</v>
      </c>
      <c r="AO1336">
        <v>-43.887517684870552</v>
      </c>
      <c r="AP1336">
        <v>-19.638362999999998</v>
      </c>
      <c r="AQ1336">
        <v>-43.887081000000002</v>
      </c>
      <c r="AR1336">
        <v>55.915550702564907</v>
      </c>
      <c r="AS1336" t="s">
        <v>65</v>
      </c>
      <c r="AT1336">
        <v>1</v>
      </c>
      <c r="AU1336" t="s">
        <v>590</v>
      </c>
      <c r="AV1336" t="s">
        <v>591</v>
      </c>
      <c r="AW1336" t="s">
        <v>60</v>
      </c>
      <c r="AX1336" t="s">
        <v>68</v>
      </c>
      <c r="AY1336" t="s">
        <v>69</v>
      </c>
      <c r="AZ1336" t="b">
        <v>1</v>
      </c>
    </row>
    <row r="1337" spans="1:52" x14ac:dyDescent="0.3">
      <c r="A1337" t="s">
        <v>52</v>
      </c>
      <c r="B1337" t="s">
        <v>53</v>
      </c>
      <c r="C1337" t="s">
        <v>54</v>
      </c>
      <c r="D1337" t="s">
        <v>55</v>
      </c>
      <c r="E1337" t="s">
        <v>831</v>
      </c>
      <c r="F1337" t="s">
        <v>512</v>
      </c>
      <c r="G1337" t="s">
        <v>411</v>
      </c>
      <c r="H1337" t="s">
        <v>412</v>
      </c>
      <c r="I1337" t="s">
        <v>412</v>
      </c>
      <c r="J1337" t="s">
        <v>60</v>
      </c>
      <c r="K1337" t="s">
        <v>179</v>
      </c>
      <c r="L1337" t="s">
        <v>62</v>
      </c>
      <c r="M1337" t="s">
        <v>179</v>
      </c>
      <c r="N1337" t="s">
        <v>413</v>
      </c>
      <c r="O1337" t="s">
        <v>414</v>
      </c>
      <c r="P1337">
        <v>-19.650079000000002</v>
      </c>
      <c r="Q1337">
        <v>-43.884253999999999</v>
      </c>
      <c r="R1337" s="2" t="str">
        <f>HYPERLINK("https://www.google.com/maps?q=-19.6500790,-43.8842540","Abrir no Google Maps")</f>
        <v>Abrir no Google Maps</v>
      </c>
      <c r="S1337">
        <v>3</v>
      </c>
      <c r="T1337">
        <v>797.21430129715498</v>
      </c>
      <c r="U1337">
        <v>2</v>
      </c>
      <c r="V1337">
        <v>0.39141799039127417</v>
      </c>
      <c r="W1337">
        <v>1</v>
      </c>
      <c r="X1337">
        <v>0.39141799039127417</v>
      </c>
      <c r="Y1337">
        <v>10</v>
      </c>
      <c r="Z1337">
        <v>774.04145012702554</v>
      </c>
      <c r="AA1337">
        <v>2</v>
      </c>
      <c r="AB1337">
        <v>3</v>
      </c>
      <c r="AC1337">
        <v>7</v>
      </c>
      <c r="AD1337">
        <v>26.84</v>
      </c>
      <c r="AE1337">
        <v>253</v>
      </c>
      <c r="AF1337">
        <v>17</v>
      </c>
      <c r="AG1337">
        <v>63</v>
      </c>
      <c r="AH1337">
        <v>32</v>
      </c>
      <c r="AI1337">
        <v>6.72</v>
      </c>
      <c r="AJ1337">
        <v>24.9</v>
      </c>
      <c r="AK1337">
        <v>12.65</v>
      </c>
      <c r="AL1337">
        <v>-19.649199399999961</v>
      </c>
      <c r="AM1337">
        <v>-43.883888390043637</v>
      </c>
      <c r="AN1337">
        <v>-19.649199399999961</v>
      </c>
      <c r="AO1337">
        <v>-43.883888390043637</v>
      </c>
      <c r="AP1337">
        <v>-19.650079000000002</v>
      </c>
      <c r="AQ1337">
        <v>-43.884253999999999</v>
      </c>
      <c r="AR1337">
        <v>105.1518915696123</v>
      </c>
      <c r="AS1337" t="s">
        <v>65</v>
      </c>
      <c r="AT1337">
        <v>1</v>
      </c>
      <c r="AU1337" t="s">
        <v>415</v>
      </c>
      <c r="AV1337" t="s">
        <v>416</v>
      </c>
      <c r="AW1337" t="s">
        <v>60</v>
      </c>
      <c r="AX1337" t="s">
        <v>68</v>
      </c>
      <c r="AY1337" t="s">
        <v>69</v>
      </c>
      <c r="AZ1337" t="b">
        <v>1</v>
      </c>
    </row>
    <row r="1338" spans="1:52" x14ac:dyDescent="0.3">
      <c r="A1338" t="s">
        <v>52</v>
      </c>
      <c r="B1338" t="s">
        <v>53</v>
      </c>
      <c r="C1338" t="s">
        <v>54</v>
      </c>
      <c r="D1338" t="s">
        <v>55</v>
      </c>
      <c r="E1338" t="s">
        <v>831</v>
      </c>
      <c r="F1338" t="s">
        <v>512</v>
      </c>
      <c r="G1338" t="s">
        <v>575</v>
      </c>
      <c r="H1338" t="s">
        <v>576</v>
      </c>
      <c r="I1338" t="s">
        <v>576</v>
      </c>
      <c r="J1338" t="s">
        <v>60</v>
      </c>
      <c r="K1338" t="s">
        <v>445</v>
      </c>
      <c r="L1338" t="s">
        <v>62</v>
      </c>
      <c r="M1338" t="s">
        <v>445</v>
      </c>
      <c r="N1338" t="s">
        <v>577</v>
      </c>
      <c r="O1338" t="s">
        <v>214</v>
      </c>
      <c r="P1338">
        <v>-19.639865</v>
      </c>
      <c r="Q1338">
        <v>-43.877858000000003</v>
      </c>
      <c r="R1338" s="2" t="str">
        <f>HYPERLINK("https://www.google.com/maps?q=-19.6398650,-43.8778580","Abrir no Google Maps")</f>
        <v>Abrir no Google Maps</v>
      </c>
      <c r="S1338">
        <v>3</v>
      </c>
      <c r="T1338">
        <v>497.47318171010488</v>
      </c>
      <c r="U1338">
        <v>2</v>
      </c>
      <c r="V1338">
        <v>0.42269658803079752</v>
      </c>
      <c r="W1338">
        <v>0.85</v>
      </c>
      <c r="X1338">
        <v>0.35929209982617788</v>
      </c>
      <c r="Y1338">
        <v>10</v>
      </c>
      <c r="Z1338">
        <v>547.08184956634818</v>
      </c>
      <c r="AA1338">
        <v>2</v>
      </c>
      <c r="AB1338">
        <v>3</v>
      </c>
      <c r="AC1338">
        <v>7</v>
      </c>
      <c r="AD1338">
        <v>26.84</v>
      </c>
      <c r="AE1338">
        <v>253</v>
      </c>
      <c r="AF1338">
        <v>17</v>
      </c>
      <c r="AG1338">
        <v>63</v>
      </c>
      <c r="AH1338">
        <v>32</v>
      </c>
      <c r="AI1338">
        <v>6.72</v>
      </c>
      <c r="AJ1338">
        <v>24.9</v>
      </c>
      <c r="AK1338">
        <v>12.65</v>
      </c>
      <c r="AL1338">
        <v>-19.639907499999961</v>
      </c>
      <c r="AM1338">
        <v>-43.877561677180587</v>
      </c>
      <c r="AN1338">
        <v>-19.639907499999961</v>
      </c>
      <c r="AO1338">
        <v>-43.877561677180587</v>
      </c>
      <c r="AP1338">
        <v>-19.639865</v>
      </c>
      <c r="AQ1338">
        <v>-43.877858000000003</v>
      </c>
      <c r="AR1338">
        <v>31.4257813556037</v>
      </c>
      <c r="AS1338" t="s">
        <v>65</v>
      </c>
      <c r="AT1338">
        <v>1</v>
      </c>
      <c r="AU1338" t="s">
        <v>578</v>
      </c>
      <c r="AV1338" t="s">
        <v>579</v>
      </c>
      <c r="AW1338" t="s">
        <v>60</v>
      </c>
      <c r="AX1338" t="s">
        <v>68</v>
      </c>
      <c r="AY1338" t="s">
        <v>69</v>
      </c>
      <c r="AZ1338" t="b">
        <v>1</v>
      </c>
    </row>
    <row r="1339" spans="1:52" x14ac:dyDescent="0.3">
      <c r="A1339" t="s">
        <v>52</v>
      </c>
      <c r="B1339" t="s">
        <v>53</v>
      </c>
      <c r="C1339" t="s">
        <v>54</v>
      </c>
      <c r="D1339" t="s">
        <v>55</v>
      </c>
      <c r="E1339" t="s">
        <v>831</v>
      </c>
      <c r="F1339" t="s">
        <v>512</v>
      </c>
      <c r="G1339" t="s">
        <v>388</v>
      </c>
      <c r="H1339" t="s">
        <v>389</v>
      </c>
      <c r="I1339" t="s">
        <v>389</v>
      </c>
      <c r="J1339" t="s">
        <v>60</v>
      </c>
      <c r="K1339" t="s">
        <v>185</v>
      </c>
      <c r="L1339" t="s">
        <v>62</v>
      </c>
      <c r="M1339" t="s">
        <v>185</v>
      </c>
      <c r="N1339" t="s">
        <v>390</v>
      </c>
      <c r="O1339" t="s">
        <v>391</v>
      </c>
      <c r="P1339">
        <v>-19.628802</v>
      </c>
      <c r="Q1339">
        <v>-43.891649000000001</v>
      </c>
      <c r="R1339" s="2" t="str">
        <f>HYPERLINK("https://www.google.com/maps?q=-19.6288020,-43.8916490","Abrir no Google Maps")</f>
        <v>Abrir no Google Maps</v>
      </c>
      <c r="S1339">
        <v>3</v>
      </c>
      <c r="T1339">
        <v>0</v>
      </c>
      <c r="U1339">
        <v>1</v>
      </c>
      <c r="V1339">
        <v>0.31640992680156432</v>
      </c>
      <c r="W1339">
        <v>0.85</v>
      </c>
      <c r="X1339">
        <v>0.26894843778132971</v>
      </c>
      <c r="Y1339">
        <v>18</v>
      </c>
      <c r="Z1339">
        <v>117.5064585283839</v>
      </c>
      <c r="AA1339">
        <v>2</v>
      </c>
      <c r="AB1339">
        <v>3</v>
      </c>
      <c r="AC1339">
        <v>7</v>
      </c>
      <c r="AD1339">
        <v>26.84</v>
      </c>
      <c r="AE1339">
        <v>253</v>
      </c>
      <c r="AF1339">
        <v>17</v>
      </c>
      <c r="AG1339">
        <v>63</v>
      </c>
      <c r="AH1339">
        <v>32</v>
      </c>
      <c r="AI1339">
        <v>6.72</v>
      </c>
      <c r="AJ1339">
        <v>24.9</v>
      </c>
      <c r="AK1339">
        <v>12.65</v>
      </c>
      <c r="AL1339">
        <v>-19.628865499999961</v>
      </c>
      <c r="AM1339">
        <v>-43.891662391334172</v>
      </c>
      <c r="AN1339">
        <v>-19.628865499999961</v>
      </c>
      <c r="AO1339">
        <v>-43.891662391334172</v>
      </c>
      <c r="AP1339">
        <v>-19.628802</v>
      </c>
      <c r="AQ1339">
        <v>-43.891649000000001</v>
      </c>
      <c r="AR1339">
        <v>7.2069201904448459</v>
      </c>
      <c r="AS1339" t="s">
        <v>65</v>
      </c>
      <c r="AT1339">
        <v>1</v>
      </c>
      <c r="AU1339" t="s">
        <v>392</v>
      </c>
      <c r="AV1339" t="s">
        <v>393</v>
      </c>
      <c r="AW1339" t="s">
        <v>60</v>
      </c>
      <c r="AX1339" t="s">
        <v>68</v>
      </c>
      <c r="AY1339" t="s">
        <v>69</v>
      </c>
      <c r="AZ1339" t="b">
        <v>1</v>
      </c>
    </row>
    <row r="1340" spans="1:52" x14ac:dyDescent="0.3">
      <c r="A1340" t="s">
        <v>52</v>
      </c>
      <c r="B1340" t="s">
        <v>53</v>
      </c>
      <c r="C1340" t="s">
        <v>54</v>
      </c>
      <c r="D1340" t="s">
        <v>55</v>
      </c>
      <c r="E1340" t="s">
        <v>831</v>
      </c>
      <c r="F1340" t="s">
        <v>512</v>
      </c>
      <c r="G1340" t="s">
        <v>536</v>
      </c>
      <c r="H1340" t="s">
        <v>537</v>
      </c>
      <c r="I1340" t="s">
        <v>537</v>
      </c>
      <c r="J1340" t="s">
        <v>60</v>
      </c>
      <c r="K1340" t="s">
        <v>185</v>
      </c>
      <c r="L1340" t="s">
        <v>62</v>
      </c>
      <c r="M1340" t="s">
        <v>185</v>
      </c>
      <c r="N1340" t="s">
        <v>538</v>
      </c>
      <c r="O1340" t="s">
        <v>408</v>
      </c>
      <c r="P1340">
        <v>-19.630147999999998</v>
      </c>
      <c r="Q1340">
        <v>-43.893844000000001</v>
      </c>
      <c r="R1340" s="2" t="str">
        <f>HYPERLINK("https://www.google.com/maps?q=-19.6301480,-43.8938440","Abrir no Google Maps")</f>
        <v>Abrir no Google Maps</v>
      </c>
      <c r="S1340">
        <v>3</v>
      </c>
      <c r="T1340">
        <v>262.94285160220159</v>
      </c>
      <c r="U1340">
        <v>1</v>
      </c>
      <c r="V1340">
        <v>0.34832506074011471</v>
      </c>
      <c r="W1340">
        <v>0.85</v>
      </c>
      <c r="X1340">
        <v>0.29607630162909748</v>
      </c>
      <c r="Y1340">
        <v>18</v>
      </c>
      <c r="Z1340">
        <v>351.25774094845309</v>
      </c>
      <c r="AA1340">
        <v>2</v>
      </c>
      <c r="AB1340">
        <v>3</v>
      </c>
      <c r="AC1340">
        <v>7</v>
      </c>
      <c r="AD1340">
        <v>26.84</v>
      </c>
      <c r="AE1340">
        <v>253</v>
      </c>
      <c r="AF1340">
        <v>17</v>
      </c>
      <c r="AG1340">
        <v>63</v>
      </c>
      <c r="AH1340">
        <v>32</v>
      </c>
      <c r="AI1340">
        <v>6.72</v>
      </c>
      <c r="AJ1340">
        <v>24.9</v>
      </c>
      <c r="AK1340">
        <v>12.65</v>
      </c>
      <c r="AL1340">
        <v>-19.630177599999939</v>
      </c>
      <c r="AM1340">
        <v>-43.893752755034278</v>
      </c>
      <c r="AN1340">
        <v>-19.630177599999939</v>
      </c>
      <c r="AO1340">
        <v>-43.893752755034278</v>
      </c>
      <c r="AP1340">
        <v>-19.630147999999998</v>
      </c>
      <c r="AQ1340">
        <v>-43.893844000000001</v>
      </c>
      <c r="AR1340">
        <v>10.1185927114604</v>
      </c>
      <c r="AS1340" t="s">
        <v>65</v>
      </c>
      <c r="AT1340">
        <v>1</v>
      </c>
      <c r="AU1340" t="s">
        <v>539</v>
      </c>
      <c r="AV1340" t="s">
        <v>540</v>
      </c>
      <c r="AW1340" t="s">
        <v>60</v>
      </c>
      <c r="AX1340" t="s">
        <v>68</v>
      </c>
      <c r="AY1340" t="s">
        <v>69</v>
      </c>
      <c r="AZ1340" t="b">
        <v>1</v>
      </c>
    </row>
    <row r="1341" spans="1:52" x14ac:dyDescent="0.3">
      <c r="A1341" t="s">
        <v>52</v>
      </c>
      <c r="B1341" t="s">
        <v>53</v>
      </c>
      <c r="C1341" t="s">
        <v>54</v>
      </c>
      <c r="D1341" t="s">
        <v>55</v>
      </c>
      <c r="E1341" t="s">
        <v>831</v>
      </c>
      <c r="F1341" t="s">
        <v>512</v>
      </c>
      <c r="G1341" t="s">
        <v>592</v>
      </c>
      <c r="H1341" t="s">
        <v>593</v>
      </c>
      <c r="I1341" t="s">
        <v>593</v>
      </c>
      <c r="J1341" t="s">
        <v>60</v>
      </c>
      <c r="K1341" t="s">
        <v>445</v>
      </c>
      <c r="L1341" t="s">
        <v>62</v>
      </c>
      <c r="M1341" t="s">
        <v>445</v>
      </c>
      <c r="N1341" t="s">
        <v>594</v>
      </c>
      <c r="O1341" t="s">
        <v>477</v>
      </c>
      <c r="P1341">
        <v>-19.640709000000001</v>
      </c>
      <c r="Q1341">
        <v>-43.868687999999999</v>
      </c>
      <c r="R1341" s="2" t="str">
        <f>HYPERLINK("https://www.google.com/maps?q=-19.6407090,-43.8686880","Abrir no Google Maps")</f>
        <v>Abrir no Google Maps</v>
      </c>
      <c r="S1341">
        <v>1</v>
      </c>
      <c r="T1341">
        <v>1174.9679995958841</v>
      </c>
      <c r="U1341">
        <v>3</v>
      </c>
      <c r="V1341">
        <v>0.4184940180081656</v>
      </c>
      <c r="W1341">
        <v>1</v>
      </c>
      <c r="X1341">
        <v>0.4184940180081656</v>
      </c>
      <c r="Y1341">
        <v>10</v>
      </c>
      <c r="Z1341">
        <v>1230.8029594060461</v>
      </c>
      <c r="AA1341">
        <v>2</v>
      </c>
      <c r="AB1341">
        <v>3</v>
      </c>
      <c r="AC1341">
        <v>7</v>
      </c>
      <c r="AD1341">
        <v>26.84</v>
      </c>
      <c r="AE1341">
        <v>253</v>
      </c>
      <c r="AF1341">
        <v>17</v>
      </c>
      <c r="AG1341">
        <v>63</v>
      </c>
      <c r="AH1341">
        <v>32</v>
      </c>
      <c r="AI1341">
        <v>6.72</v>
      </c>
      <c r="AJ1341">
        <v>24.9</v>
      </c>
      <c r="AK1341">
        <v>12.65</v>
      </c>
      <c r="AL1341">
        <v>-19.641057949999979</v>
      </c>
      <c r="AM1341">
        <v>-43.868800137485707</v>
      </c>
      <c r="AN1341">
        <v>-19.641057949999979</v>
      </c>
      <c r="AO1341">
        <v>-43.868800137485707</v>
      </c>
      <c r="AP1341">
        <v>-19.640709000000001</v>
      </c>
      <c r="AQ1341">
        <v>-43.868687999999999</v>
      </c>
      <c r="AR1341">
        <v>40.585293798071682</v>
      </c>
      <c r="AS1341" t="s">
        <v>65</v>
      </c>
      <c r="AT1341">
        <v>1</v>
      </c>
      <c r="AU1341" t="s">
        <v>595</v>
      </c>
      <c r="AV1341" t="s">
        <v>596</v>
      </c>
      <c r="AW1341" t="s">
        <v>60</v>
      </c>
      <c r="AX1341" t="s">
        <v>68</v>
      </c>
      <c r="AY1341" t="s">
        <v>69</v>
      </c>
      <c r="AZ1341" t="b">
        <v>1</v>
      </c>
    </row>
    <row r="1342" spans="1:52" x14ac:dyDescent="0.3">
      <c r="A1342" t="s">
        <v>52</v>
      </c>
      <c r="B1342" t="s">
        <v>53</v>
      </c>
      <c r="C1342" t="s">
        <v>54</v>
      </c>
      <c r="D1342" t="s">
        <v>55</v>
      </c>
      <c r="E1342" t="s">
        <v>831</v>
      </c>
      <c r="F1342" t="s">
        <v>512</v>
      </c>
      <c r="G1342" t="s">
        <v>597</v>
      </c>
      <c r="H1342" t="s">
        <v>598</v>
      </c>
      <c r="I1342" t="s">
        <v>598</v>
      </c>
      <c r="J1342" t="s">
        <v>60</v>
      </c>
      <c r="K1342" t="s">
        <v>445</v>
      </c>
      <c r="L1342" t="s">
        <v>62</v>
      </c>
      <c r="M1342" t="s">
        <v>445</v>
      </c>
      <c r="N1342" t="s">
        <v>599</v>
      </c>
      <c r="O1342" t="s">
        <v>391</v>
      </c>
      <c r="P1342">
        <v>-19.637060999999999</v>
      </c>
      <c r="Q1342">
        <v>-43.871026000000001</v>
      </c>
      <c r="R1342" s="2" t="str">
        <f>HYPERLINK("https://www.google.com/maps?q=-19.6370610,-43.8710260","Abrir no Google Maps")</f>
        <v>Abrir no Google Maps</v>
      </c>
      <c r="S1342">
        <v>1</v>
      </c>
      <c r="T1342">
        <v>737.61884389282102</v>
      </c>
      <c r="U1342">
        <v>3</v>
      </c>
      <c r="V1342">
        <v>0.44944718489874458</v>
      </c>
      <c r="W1342">
        <v>1</v>
      </c>
      <c r="X1342">
        <v>0.44944718489874458</v>
      </c>
      <c r="Y1342">
        <v>10</v>
      </c>
      <c r="Z1342">
        <v>1331.4501394006061</v>
      </c>
      <c r="AA1342">
        <v>2</v>
      </c>
      <c r="AB1342">
        <v>3</v>
      </c>
      <c r="AC1342">
        <v>7</v>
      </c>
      <c r="AD1342">
        <v>26.84</v>
      </c>
      <c r="AE1342">
        <v>253</v>
      </c>
      <c r="AF1342">
        <v>17</v>
      </c>
      <c r="AG1342">
        <v>63</v>
      </c>
      <c r="AH1342">
        <v>32</v>
      </c>
      <c r="AI1342">
        <v>6.72</v>
      </c>
      <c r="AJ1342">
        <v>24.9</v>
      </c>
      <c r="AK1342">
        <v>12.65</v>
      </c>
      <c r="AL1342">
        <v>-19.637111899999951</v>
      </c>
      <c r="AM1342">
        <v>-43.870888931681193</v>
      </c>
      <c r="AN1342">
        <v>-19.637111899999951</v>
      </c>
      <c r="AO1342">
        <v>-43.870888931681193</v>
      </c>
      <c r="AP1342">
        <v>-19.637060999999999</v>
      </c>
      <c r="AQ1342">
        <v>-43.871026000000001</v>
      </c>
      <c r="AR1342">
        <v>15.44770924391884</v>
      </c>
      <c r="AS1342" t="s">
        <v>65</v>
      </c>
      <c r="AT1342">
        <v>1</v>
      </c>
      <c r="AU1342" t="s">
        <v>600</v>
      </c>
      <c r="AV1342" t="s">
        <v>601</v>
      </c>
      <c r="AW1342" t="s">
        <v>60</v>
      </c>
      <c r="AX1342" t="s">
        <v>68</v>
      </c>
      <c r="AY1342" t="s">
        <v>69</v>
      </c>
      <c r="AZ1342" t="b">
        <v>1</v>
      </c>
    </row>
    <row r="1343" spans="1:52" x14ac:dyDescent="0.3">
      <c r="A1343" t="s">
        <v>52</v>
      </c>
      <c r="B1343" t="s">
        <v>53</v>
      </c>
      <c r="C1343" t="s">
        <v>54</v>
      </c>
      <c r="D1343" t="s">
        <v>55</v>
      </c>
      <c r="E1343" t="s">
        <v>831</v>
      </c>
      <c r="F1343" t="s">
        <v>512</v>
      </c>
      <c r="G1343" t="s">
        <v>611</v>
      </c>
      <c r="H1343" t="s">
        <v>612</v>
      </c>
      <c r="I1343" t="s">
        <v>612</v>
      </c>
      <c r="J1343" t="s">
        <v>60</v>
      </c>
      <c r="K1343" t="s">
        <v>445</v>
      </c>
      <c r="L1343" t="s">
        <v>62</v>
      </c>
      <c r="M1343" t="s">
        <v>445</v>
      </c>
      <c r="N1343" t="s">
        <v>613</v>
      </c>
      <c r="O1343" t="s">
        <v>94</v>
      </c>
      <c r="P1343">
        <v>-19.639271999999998</v>
      </c>
      <c r="Q1343">
        <v>-43.875624000000002</v>
      </c>
      <c r="R1343" s="2" t="str">
        <f>HYPERLINK("https://www.google.com/maps?q=-19.6392720,-43.8756240","Abrir no Google Maps")</f>
        <v>Abrir no Google Maps</v>
      </c>
      <c r="S1343">
        <v>1</v>
      </c>
      <c r="T1343">
        <v>618.4798639458262</v>
      </c>
      <c r="U1343">
        <v>3</v>
      </c>
      <c r="V1343">
        <v>0.46367692857248338</v>
      </c>
      <c r="W1343">
        <v>0.85</v>
      </c>
      <c r="X1343">
        <v>0.39412538928661078</v>
      </c>
      <c r="Y1343">
        <v>10</v>
      </c>
      <c r="Z1343">
        <v>724.62991660382431</v>
      </c>
      <c r="AA1343">
        <v>2</v>
      </c>
      <c r="AB1343">
        <v>3</v>
      </c>
      <c r="AC1343">
        <v>7</v>
      </c>
      <c r="AD1343">
        <v>26.84</v>
      </c>
      <c r="AE1343">
        <v>253</v>
      </c>
      <c r="AF1343">
        <v>17</v>
      </c>
      <c r="AG1343">
        <v>63</v>
      </c>
      <c r="AH1343">
        <v>32</v>
      </c>
      <c r="AI1343">
        <v>6.72</v>
      </c>
      <c r="AJ1343">
        <v>24.9</v>
      </c>
      <c r="AK1343">
        <v>12.65</v>
      </c>
      <c r="AL1343">
        <v>-19.639239899999978</v>
      </c>
      <c r="AM1343">
        <v>-43.875497463228079</v>
      </c>
      <c r="AN1343">
        <v>-19.639239899999978</v>
      </c>
      <c r="AO1343">
        <v>-43.875497463228079</v>
      </c>
      <c r="AP1343">
        <v>-19.639271999999998</v>
      </c>
      <c r="AQ1343">
        <v>-43.875624000000002</v>
      </c>
      <c r="AR1343">
        <v>13.73946951590594</v>
      </c>
      <c r="AS1343" t="s">
        <v>65</v>
      </c>
      <c r="AT1343">
        <v>1</v>
      </c>
      <c r="AU1343" t="s">
        <v>614</v>
      </c>
      <c r="AV1343" t="s">
        <v>615</v>
      </c>
      <c r="AW1343" t="s">
        <v>60</v>
      </c>
      <c r="AX1343" t="s">
        <v>68</v>
      </c>
      <c r="AY1343" t="s">
        <v>69</v>
      </c>
      <c r="AZ1343" t="b">
        <v>1</v>
      </c>
    </row>
    <row r="1344" spans="1:52" x14ac:dyDescent="0.3">
      <c r="A1344" t="s">
        <v>52</v>
      </c>
      <c r="B1344" t="s">
        <v>53</v>
      </c>
      <c r="C1344" t="s">
        <v>54</v>
      </c>
      <c r="D1344" t="s">
        <v>55</v>
      </c>
      <c r="E1344" t="s">
        <v>831</v>
      </c>
      <c r="F1344" t="s">
        <v>512</v>
      </c>
      <c r="G1344" t="s">
        <v>602</v>
      </c>
      <c r="H1344" t="s">
        <v>603</v>
      </c>
      <c r="I1344" t="s">
        <v>603</v>
      </c>
      <c r="J1344" t="s">
        <v>60</v>
      </c>
      <c r="K1344" t="s">
        <v>185</v>
      </c>
      <c r="L1344" t="s">
        <v>62</v>
      </c>
      <c r="M1344" t="s">
        <v>185</v>
      </c>
      <c r="N1344" t="s">
        <v>604</v>
      </c>
      <c r="O1344" t="s">
        <v>341</v>
      </c>
      <c r="P1344">
        <v>-19.624801999999999</v>
      </c>
      <c r="Q1344">
        <v>-43.891128999999999</v>
      </c>
      <c r="R1344" s="2" t="str">
        <f>HYPERLINK("https://www.google.com/maps?q=-19.6248020,-43.8911290","Abrir no Google Maps")</f>
        <v>Abrir no Google Maps</v>
      </c>
      <c r="S1344">
        <v>1</v>
      </c>
      <c r="T1344">
        <v>340.53720321500958</v>
      </c>
      <c r="U1344">
        <v>2</v>
      </c>
      <c r="V1344">
        <v>0.3850806257694675</v>
      </c>
      <c r="W1344">
        <v>0.85</v>
      </c>
      <c r="X1344">
        <v>0.32731853190404742</v>
      </c>
      <c r="Y1344">
        <v>18</v>
      </c>
      <c r="Z1344">
        <v>362.68114540183888</v>
      </c>
      <c r="AA1344">
        <v>2</v>
      </c>
      <c r="AB1344">
        <v>3</v>
      </c>
      <c r="AC1344">
        <v>7</v>
      </c>
      <c r="AD1344">
        <v>26.84</v>
      </c>
      <c r="AE1344">
        <v>253</v>
      </c>
      <c r="AF1344">
        <v>17</v>
      </c>
      <c r="AG1344">
        <v>63</v>
      </c>
      <c r="AH1344">
        <v>32</v>
      </c>
      <c r="AI1344">
        <v>6.72</v>
      </c>
      <c r="AJ1344">
        <v>24.9</v>
      </c>
      <c r="AK1344">
        <v>12.65</v>
      </c>
      <c r="AL1344">
        <v>-19.625033299999959</v>
      </c>
      <c r="AM1344">
        <v>-43.891084256403538</v>
      </c>
      <c r="AN1344">
        <v>-19.625033299999959</v>
      </c>
      <c r="AO1344">
        <v>-43.891084256403538</v>
      </c>
      <c r="AP1344">
        <v>-19.624801999999999</v>
      </c>
      <c r="AQ1344">
        <v>-43.891128999999999</v>
      </c>
      <c r="AR1344">
        <v>26.172240371022362</v>
      </c>
      <c r="AS1344" t="s">
        <v>65</v>
      </c>
      <c r="AT1344">
        <v>1</v>
      </c>
      <c r="AU1344" t="s">
        <v>605</v>
      </c>
      <c r="AV1344" t="s">
        <v>606</v>
      </c>
      <c r="AW1344" t="s">
        <v>60</v>
      </c>
      <c r="AX1344" t="s">
        <v>68</v>
      </c>
      <c r="AY1344" t="s">
        <v>69</v>
      </c>
      <c r="AZ1344" t="b">
        <v>1</v>
      </c>
    </row>
    <row r="1345" spans="1:52" x14ac:dyDescent="0.3">
      <c r="A1345" t="s">
        <v>52</v>
      </c>
      <c r="B1345" t="s">
        <v>53</v>
      </c>
      <c r="C1345" t="s">
        <v>54</v>
      </c>
      <c r="D1345" t="s">
        <v>55</v>
      </c>
      <c r="E1345" t="s">
        <v>831</v>
      </c>
      <c r="F1345" t="s">
        <v>512</v>
      </c>
      <c r="G1345" t="s">
        <v>123</v>
      </c>
      <c r="H1345" t="s">
        <v>607</v>
      </c>
      <c r="I1345" t="s">
        <v>607</v>
      </c>
      <c r="J1345" t="s">
        <v>60</v>
      </c>
      <c r="K1345" t="s">
        <v>333</v>
      </c>
      <c r="L1345" t="s">
        <v>62</v>
      </c>
      <c r="M1345" t="s">
        <v>333</v>
      </c>
      <c r="N1345" t="s">
        <v>125</v>
      </c>
      <c r="O1345" t="s">
        <v>608</v>
      </c>
      <c r="P1345">
        <v>-19.636002999999999</v>
      </c>
      <c r="Q1345">
        <v>-43.908445</v>
      </c>
      <c r="R1345" s="2" t="str">
        <f>HYPERLINK("https://www.google.com/maps?q=-19.6360030,-43.9084450","Abrir no Google Maps")</f>
        <v>Abrir no Google Maps</v>
      </c>
      <c r="S1345">
        <v>1</v>
      </c>
      <c r="T1345">
        <v>612.64850802557942</v>
      </c>
      <c r="U1345">
        <v>2</v>
      </c>
      <c r="V1345">
        <v>0.41145582328871277</v>
      </c>
      <c r="W1345">
        <v>0.85</v>
      </c>
      <c r="X1345">
        <v>0.34973744979540577</v>
      </c>
      <c r="Y1345">
        <v>10</v>
      </c>
      <c r="Z1345">
        <v>606.91793961222209</v>
      </c>
      <c r="AA1345">
        <v>2</v>
      </c>
      <c r="AB1345">
        <v>3</v>
      </c>
      <c r="AC1345">
        <v>7</v>
      </c>
      <c r="AD1345">
        <v>26.84</v>
      </c>
      <c r="AE1345">
        <v>253</v>
      </c>
      <c r="AF1345">
        <v>17</v>
      </c>
      <c r="AG1345">
        <v>63</v>
      </c>
      <c r="AH1345">
        <v>32</v>
      </c>
      <c r="AI1345">
        <v>6.72</v>
      </c>
      <c r="AJ1345">
        <v>24.9</v>
      </c>
      <c r="AK1345">
        <v>12.65</v>
      </c>
      <c r="AL1345">
        <v>-19.63618049999997</v>
      </c>
      <c r="AM1345">
        <v>-43.908471095478113</v>
      </c>
      <c r="AN1345">
        <v>-19.63618049999997</v>
      </c>
      <c r="AO1345">
        <v>-43.908471095478113</v>
      </c>
      <c r="AP1345">
        <v>-19.636002999999999</v>
      </c>
      <c r="AQ1345">
        <v>-43.908445</v>
      </c>
      <c r="AR1345">
        <v>19.947824476218141</v>
      </c>
      <c r="AS1345" t="s">
        <v>65</v>
      </c>
      <c r="AT1345">
        <v>1</v>
      </c>
      <c r="AU1345" t="s">
        <v>609</v>
      </c>
      <c r="AV1345" t="s">
        <v>610</v>
      </c>
      <c r="AW1345" t="s">
        <v>60</v>
      </c>
      <c r="AX1345" t="s">
        <v>68</v>
      </c>
      <c r="AY1345" t="s">
        <v>69</v>
      </c>
      <c r="AZ1345" t="b">
        <v>1</v>
      </c>
    </row>
    <row r="1346" spans="1:52" x14ac:dyDescent="0.3">
      <c r="A1346" t="s">
        <v>52</v>
      </c>
      <c r="B1346" t="s">
        <v>53</v>
      </c>
      <c r="C1346" t="s">
        <v>54</v>
      </c>
      <c r="D1346" t="s">
        <v>55</v>
      </c>
      <c r="E1346" t="s">
        <v>837</v>
      </c>
      <c r="F1346" t="s">
        <v>57</v>
      </c>
      <c r="G1346" t="s">
        <v>58</v>
      </c>
      <c r="H1346" t="s">
        <v>59</v>
      </c>
      <c r="I1346" t="s">
        <v>59</v>
      </c>
      <c r="J1346" t="s">
        <v>60</v>
      </c>
      <c r="K1346" t="s">
        <v>61</v>
      </c>
      <c r="L1346" t="s">
        <v>62</v>
      </c>
      <c r="M1346" t="s">
        <v>61</v>
      </c>
      <c r="N1346" t="s">
        <v>63</v>
      </c>
      <c r="O1346" t="s">
        <v>64</v>
      </c>
      <c r="P1346">
        <v>-19.631502000000001</v>
      </c>
      <c r="Q1346">
        <v>-43.910241999999997</v>
      </c>
      <c r="R1346" s="2" t="str">
        <f>HYPERLINK("https://www.google.com/maps?q=-19.6315020,-43.9102420","Abrir no Google Maps")</f>
        <v>Abrir no Google Maps</v>
      </c>
      <c r="S1346">
        <v>4</v>
      </c>
      <c r="T1346">
        <v>789.20099406682743</v>
      </c>
      <c r="U1346">
        <v>4</v>
      </c>
      <c r="V1346">
        <v>0.3043363111305783</v>
      </c>
      <c r="W1346">
        <v>1</v>
      </c>
      <c r="X1346">
        <v>0.3043363111305783</v>
      </c>
      <c r="Y1346">
        <v>10</v>
      </c>
      <c r="Z1346">
        <v>691.44930074509864</v>
      </c>
      <c r="AA1346">
        <v>2</v>
      </c>
      <c r="AB1346">
        <v>3</v>
      </c>
      <c r="AC1346">
        <v>7</v>
      </c>
      <c r="AD1346">
        <v>24.62</v>
      </c>
      <c r="AE1346">
        <v>253</v>
      </c>
      <c r="AF1346">
        <v>14</v>
      </c>
      <c r="AG1346">
        <v>61</v>
      </c>
      <c r="AH1346">
        <v>32</v>
      </c>
      <c r="AI1346">
        <v>5.53</v>
      </c>
      <c r="AJ1346">
        <v>24.11</v>
      </c>
      <c r="AK1346">
        <v>12.65</v>
      </c>
      <c r="AL1346">
        <v>-19.631719749999949</v>
      </c>
      <c r="AM1346">
        <v>-43.910102324517517</v>
      </c>
      <c r="AN1346">
        <v>-19.631719749999949</v>
      </c>
      <c r="AO1346">
        <v>-43.910102324517517</v>
      </c>
      <c r="AP1346">
        <v>-19.631502000000001</v>
      </c>
      <c r="AQ1346">
        <v>-43.910241999999997</v>
      </c>
      <c r="AR1346">
        <v>28.320416429206599</v>
      </c>
      <c r="AS1346" t="s">
        <v>65</v>
      </c>
      <c r="AT1346">
        <v>1</v>
      </c>
      <c r="AU1346" t="s">
        <v>66</v>
      </c>
      <c r="AV1346" t="s">
        <v>67</v>
      </c>
      <c r="AW1346" t="s">
        <v>60</v>
      </c>
      <c r="AX1346" t="s">
        <v>68</v>
      </c>
      <c r="AY1346" t="s">
        <v>69</v>
      </c>
      <c r="AZ1346" t="b">
        <v>1</v>
      </c>
    </row>
    <row r="1347" spans="1:52" x14ac:dyDescent="0.3">
      <c r="A1347" t="s">
        <v>52</v>
      </c>
      <c r="B1347" t="s">
        <v>53</v>
      </c>
      <c r="C1347" t="s">
        <v>54</v>
      </c>
      <c r="D1347" t="s">
        <v>55</v>
      </c>
      <c r="E1347" t="s">
        <v>837</v>
      </c>
      <c r="F1347" t="s">
        <v>57</v>
      </c>
      <c r="G1347" t="s">
        <v>70</v>
      </c>
      <c r="H1347" t="s">
        <v>71</v>
      </c>
      <c r="I1347" t="s">
        <v>71</v>
      </c>
      <c r="J1347" t="s">
        <v>60</v>
      </c>
      <c r="K1347" t="s">
        <v>72</v>
      </c>
      <c r="L1347" t="s">
        <v>62</v>
      </c>
      <c r="M1347" t="s">
        <v>72</v>
      </c>
      <c r="N1347" t="s">
        <v>73</v>
      </c>
      <c r="O1347" t="s">
        <v>74</v>
      </c>
      <c r="P1347">
        <v>-19.632581999999999</v>
      </c>
      <c r="Q1347">
        <v>-43.902416000000002</v>
      </c>
      <c r="R1347" s="2" t="str">
        <f>HYPERLINK("https://www.google.com/maps?q=-19.6325820,-43.9024160","Abrir no Google Maps")</f>
        <v>Abrir no Google Maps</v>
      </c>
      <c r="S1347">
        <v>4</v>
      </c>
      <c r="T1347">
        <v>0</v>
      </c>
      <c r="U1347">
        <v>4</v>
      </c>
      <c r="V1347">
        <v>0.31211182262617909</v>
      </c>
      <c r="W1347">
        <v>1</v>
      </c>
      <c r="X1347">
        <v>0.31211182262617909</v>
      </c>
      <c r="Y1347">
        <v>10</v>
      </c>
      <c r="Z1347">
        <v>146.6968158874696</v>
      </c>
      <c r="AA1347">
        <v>2</v>
      </c>
      <c r="AB1347">
        <v>3</v>
      </c>
      <c r="AC1347">
        <v>7</v>
      </c>
      <c r="AD1347">
        <v>24.62</v>
      </c>
      <c r="AE1347">
        <v>253</v>
      </c>
      <c r="AF1347">
        <v>14</v>
      </c>
      <c r="AG1347">
        <v>61</v>
      </c>
      <c r="AH1347">
        <v>32</v>
      </c>
      <c r="AI1347">
        <v>5.53</v>
      </c>
      <c r="AJ1347">
        <v>24.11</v>
      </c>
      <c r="AK1347">
        <v>12.65</v>
      </c>
      <c r="AL1347">
        <v>-19.63271449999996</v>
      </c>
      <c r="AM1347">
        <v>-43.902649897389402</v>
      </c>
      <c r="AN1347">
        <v>-19.63271449999996</v>
      </c>
      <c r="AO1347">
        <v>-43.902649897389402</v>
      </c>
      <c r="AP1347">
        <v>-19.632581999999999</v>
      </c>
      <c r="AQ1347">
        <v>-43.902416000000002</v>
      </c>
      <c r="AR1347">
        <v>28.617753432996459</v>
      </c>
      <c r="AS1347" t="s">
        <v>65</v>
      </c>
      <c r="AT1347">
        <v>1</v>
      </c>
      <c r="AU1347" t="s">
        <v>75</v>
      </c>
      <c r="AV1347" t="s">
        <v>76</v>
      </c>
      <c r="AW1347" t="s">
        <v>60</v>
      </c>
      <c r="AX1347" t="s">
        <v>68</v>
      </c>
      <c r="AY1347" t="s">
        <v>69</v>
      </c>
      <c r="AZ1347" t="b">
        <v>1</v>
      </c>
    </row>
    <row r="1348" spans="1:52" x14ac:dyDescent="0.3">
      <c r="A1348" t="s">
        <v>52</v>
      </c>
      <c r="B1348" t="s">
        <v>53</v>
      </c>
      <c r="C1348" t="s">
        <v>54</v>
      </c>
      <c r="D1348" t="s">
        <v>55</v>
      </c>
      <c r="E1348" t="s">
        <v>837</v>
      </c>
      <c r="F1348" t="s">
        <v>57</v>
      </c>
      <c r="G1348" t="s">
        <v>77</v>
      </c>
      <c r="H1348" t="s">
        <v>78</v>
      </c>
      <c r="I1348" t="s">
        <v>78</v>
      </c>
      <c r="J1348" t="s">
        <v>60</v>
      </c>
      <c r="K1348" t="s">
        <v>79</v>
      </c>
      <c r="L1348" t="s">
        <v>62</v>
      </c>
      <c r="M1348" t="s">
        <v>79</v>
      </c>
      <c r="N1348" t="s">
        <v>80</v>
      </c>
      <c r="O1348" t="s">
        <v>81</v>
      </c>
      <c r="P1348">
        <v>-19.632463999999999</v>
      </c>
      <c r="Q1348">
        <v>-43.904927999999998</v>
      </c>
      <c r="R1348" s="2" t="str">
        <f>HYPERLINK("https://www.google.com/maps?q=-19.6324640,-43.9049280","Abrir no Google Maps")</f>
        <v>Abrir no Google Maps</v>
      </c>
      <c r="S1348">
        <v>4</v>
      </c>
      <c r="T1348">
        <v>244.1735197453369</v>
      </c>
      <c r="U1348">
        <v>4</v>
      </c>
      <c r="V1348">
        <v>0.31079917649260719</v>
      </c>
      <c r="W1348">
        <v>1</v>
      </c>
      <c r="X1348">
        <v>0.31079917649260719</v>
      </c>
      <c r="Y1348">
        <v>10</v>
      </c>
      <c r="Z1348">
        <v>287.26068152447448</v>
      </c>
      <c r="AA1348">
        <v>2</v>
      </c>
      <c r="AB1348">
        <v>3</v>
      </c>
      <c r="AC1348">
        <v>7</v>
      </c>
      <c r="AD1348">
        <v>24.62</v>
      </c>
      <c r="AE1348">
        <v>253</v>
      </c>
      <c r="AF1348">
        <v>14</v>
      </c>
      <c r="AG1348">
        <v>61</v>
      </c>
      <c r="AH1348">
        <v>32</v>
      </c>
      <c r="AI1348">
        <v>5.53</v>
      </c>
      <c r="AJ1348">
        <v>24.11</v>
      </c>
      <c r="AK1348">
        <v>12.65</v>
      </c>
      <c r="AL1348">
        <v>-19.63247099999996</v>
      </c>
      <c r="AM1348">
        <v>-43.904964174285787</v>
      </c>
      <c r="AN1348">
        <v>-19.63247099999996</v>
      </c>
      <c r="AO1348">
        <v>-43.904964174285787</v>
      </c>
      <c r="AP1348">
        <v>-19.632463999999999</v>
      </c>
      <c r="AQ1348">
        <v>-43.904927999999998</v>
      </c>
      <c r="AR1348">
        <v>3.8720457500200469</v>
      </c>
      <c r="AS1348" t="s">
        <v>65</v>
      </c>
      <c r="AT1348">
        <v>1</v>
      </c>
      <c r="AU1348" t="s">
        <v>82</v>
      </c>
      <c r="AV1348" t="s">
        <v>83</v>
      </c>
      <c r="AW1348" t="s">
        <v>60</v>
      </c>
      <c r="AX1348" t="s">
        <v>68</v>
      </c>
      <c r="AY1348" t="s">
        <v>69</v>
      </c>
      <c r="AZ1348" t="b">
        <v>1</v>
      </c>
    </row>
    <row r="1349" spans="1:52" x14ac:dyDescent="0.3">
      <c r="A1349" t="s">
        <v>52</v>
      </c>
      <c r="B1349" t="s">
        <v>53</v>
      </c>
      <c r="C1349" t="s">
        <v>54</v>
      </c>
      <c r="D1349" t="s">
        <v>55</v>
      </c>
      <c r="E1349" t="s">
        <v>837</v>
      </c>
      <c r="F1349" t="s">
        <v>57</v>
      </c>
      <c r="G1349" t="s">
        <v>91</v>
      </c>
      <c r="H1349" t="s">
        <v>92</v>
      </c>
      <c r="I1349" t="s">
        <v>92</v>
      </c>
      <c r="J1349" t="s">
        <v>60</v>
      </c>
      <c r="K1349" t="s">
        <v>86</v>
      </c>
      <c r="L1349" t="s">
        <v>62</v>
      </c>
      <c r="M1349" t="s">
        <v>86</v>
      </c>
      <c r="N1349" t="s">
        <v>93</v>
      </c>
      <c r="O1349" t="s">
        <v>94</v>
      </c>
      <c r="P1349">
        <v>-19.630676999999999</v>
      </c>
      <c r="Q1349">
        <v>-43.907255999999997</v>
      </c>
      <c r="R1349" s="2" t="str">
        <f>HYPERLINK("https://www.google.com/maps?q=-19.6306770,-43.9072560","Abrir no Google Maps")</f>
        <v>Abrir no Google Maps</v>
      </c>
      <c r="S1349">
        <v>4</v>
      </c>
      <c r="T1349">
        <v>545.39374622597825</v>
      </c>
      <c r="U1349">
        <v>4</v>
      </c>
      <c r="V1349">
        <v>0.29888357256778308</v>
      </c>
      <c r="W1349">
        <v>1</v>
      </c>
      <c r="X1349">
        <v>0.29888357256778308</v>
      </c>
      <c r="Y1349">
        <v>10</v>
      </c>
      <c r="Z1349">
        <v>559.94033759457182</v>
      </c>
      <c r="AA1349">
        <v>2</v>
      </c>
      <c r="AB1349">
        <v>3</v>
      </c>
      <c r="AC1349">
        <v>7</v>
      </c>
      <c r="AD1349">
        <v>24.62</v>
      </c>
      <c r="AE1349">
        <v>253</v>
      </c>
      <c r="AF1349">
        <v>14</v>
      </c>
      <c r="AG1349">
        <v>61</v>
      </c>
      <c r="AH1349">
        <v>32</v>
      </c>
      <c r="AI1349">
        <v>5.53</v>
      </c>
      <c r="AJ1349">
        <v>24.11</v>
      </c>
      <c r="AK1349">
        <v>12.65</v>
      </c>
      <c r="AL1349">
        <v>-19.630448649999941</v>
      </c>
      <c r="AM1349">
        <v>-43.907268502495313</v>
      </c>
      <c r="AN1349">
        <v>-19.630448649999941</v>
      </c>
      <c r="AO1349">
        <v>-43.907268502495313</v>
      </c>
      <c r="AP1349">
        <v>-19.630676999999999</v>
      </c>
      <c r="AQ1349">
        <v>-43.907255999999997</v>
      </c>
      <c r="AR1349">
        <v>25.453700276562468</v>
      </c>
      <c r="AS1349" t="s">
        <v>65</v>
      </c>
      <c r="AT1349">
        <v>1</v>
      </c>
      <c r="AU1349" t="s">
        <v>95</v>
      </c>
      <c r="AV1349" t="s">
        <v>96</v>
      </c>
      <c r="AW1349" t="s">
        <v>60</v>
      </c>
      <c r="AX1349" t="s">
        <v>68</v>
      </c>
      <c r="AY1349" t="s">
        <v>69</v>
      </c>
      <c r="AZ1349" t="b">
        <v>1</v>
      </c>
    </row>
    <row r="1350" spans="1:52" x14ac:dyDescent="0.3">
      <c r="A1350" t="s">
        <v>52</v>
      </c>
      <c r="B1350" t="s">
        <v>53</v>
      </c>
      <c r="C1350" t="s">
        <v>54</v>
      </c>
      <c r="D1350" t="s">
        <v>55</v>
      </c>
      <c r="E1350" t="s">
        <v>837</v>
      </c>
      <c r="F1350" t="s">
        <v>57</v>
      </c>
      <c r="G1350" t="s">
        <v>104</v>
      </c>
      <c r="H1350" t="s">
        <v>105</v>
      </c>
      <c r="I1350" t="s">
        <v>105</v>
      </c>
      <c r="J1350" t="s">
        <v>60</v>
      </c>
      <c r="K1350" t="s">
        <v>99</v>
      </c>
      <c r="L1350" t="s">
        <v>62</v>
      </c>
      <c r="M1350" t="s">
        <v>99</v>
      </c>
      <c r="N1350" t="s">
        <v>106</v>
      </c>
      <c r="O1350" t="s">
        <v>107</v>
      </c>
      <c r="P1350">
        <v>-19.627993</v>
      </c>
      <c r="Q1350">
        <v>-43.904820000000001</v>
      </c>
      <c r="R1350" s="2" t="str">
        <f>HYPERLINK("https://www.google.com/maps?q=-19.6279930,-43.9048200","Abrir no Google Maps")</f>
        <v>Abrir no Google Maps</v>
      </c>
      <c r="S1350">
        <v>4</v>
      </c>
      <c r="T1350">
        <v>573.16526621674666</v>
      </c>
      <c r="U1350">
        <v>4</v>
      </c>
      <c r="V1350">
        <v>0.35431355469016879</v>
      </c>
      <c r="W1350">
        <v>1</v>
      </c>
      <c r="X1350">
        <v>0.35431355469016879</v>
      </c>
      <c r="Y1350">
        <v>7</v>
      </c>
      <c r="Z1350">
        <v>659.04372306144853</v>
      </c>
      <c r="AA1350">
        <v>2</v>
      </c>
      <c r="AB1350">
        <v>3</v>
      </c>
      <c r="AC1350">
        <v>7</v>
      </c>
      <c r="AD1350">
        <v>24.62</v>
      </c>
      <c r="AE1350">
        <v>253</v>
      </c>
      <c r="AF1350">
        <v>14</v>
      </c>
      <c r="AG1350">
        <v>61</v>
      </c>
      <c r="AH1350">
        <v>32</v>
      </c>
      <c r="AI1350">
        <v>5.53</v>
      </c>
      <c r="AJ1350">
        <v>24.11</v>
      </c>
      <c r="AK1350">
        <v>12.65</v>
      </c>
      <c r="AL1350">
        <v>-19.627956249999951</v>
      </c>
      <c r="AM1350">
        <v>-43.904807634206207</v>
      </c>
      <c r="AN1350">
        <v>-19.627956249999951</v>
      </c>
      <c r="AO1350">
        <v>-43.904807634206207</v>
      </c>
      <c r="AP1350">
        <v>-19.627993</v>
      </c>
      <c r="AQ1350">
        <v>-43.904820000000001</v>
      </c>
      <c r="AR1350">
        <v>4.291557430205998</v>
      </c>
      <c r="AS1350" t="s">
        <v>65</v>
      </c>
      <c r="AT1350">
        <v>1</v>
      </c>
      <c r="AU1350" t="s">
        <v>108</v>
      </c>
      <c r="AV1350" t="s">
        <v>103</v>
      </c>
      <c r="AW1350" t="s">
        <v>60</v>
      </c>
      <c r="AX1350" t="s">
        <v>68</v>
      </c>
      <c r="AY1350" t="s">
        <v>69</v>
      </c>
      <c r="AZ1350" t="b">
        <v>1</v>
      </c>
    </row>
    <row r="1351" spans="1:52" x14ac:dyDescent="0.3">
      <c r="A1351" t="s">
        <v>52</v>
      </c>
      <c r="B1351" t="s">
        <v>53</v>
      </c>
      <c r="C1351" t="s">
        <v>54</v>
      </c>
      <c r="D1351" t="s">
        <v>55</v>
      </c>
      <c r="E1351" t="s">
        <v>837</v>
      </c>
      <c r="F1351" t="s">
        <v>57</v>
      </c>
      <c r="G1351" t="s">
        <v>109</v>
      </c>
      <c r="H1351" t="s">
        <v>110</v>
      </c>
      <c r="I1351" t="s">
        <v>110</v>
      </c>
      <c r="J1351" t="s">
        <v>60</v>
      </c>
      <c r="K1351" t="s">
        <v>111</v>
      </c>
      <c r="L1351" t="s">
        <v>62</v>
      </c>
      <c r="M1351" t="s">
        <v>111</v>
      </c>
      <c r="N1351" t="s">
        <v>112</v>
      </c>
      <c r="O1351" t="s">
        <v>113</v>
      </c>
      <c r="P1351">
        <v>-19.654686000000002</v>
      </c>
      <c r="Q1351">
        <v>-43.907240000000002</v>
      </c>
      <c r="R1351" s="2" t="str">
        <f>HYPERLINK("https://www.google.com/maps?q=-19.6546860,-43.9072400","Abrir no Google Maps")</f>
        <v>Abrir no Google Maps</v>
      </c>
      <c r="S1351">
        <v>4</v>
      </c>
      <c r="T1351">
        <v>824.24450564548704</v>
      </c>
      <c r="U1351">
        <v>4</v>
      </c>
      <c r="V1351">
        <v>0.30019273674934849</v>
      </c>
      <c r="W1351">
        <v>1</v>
      </c>
      <c r="X1351">
        <v>0.30019273674934849</v>
      </c>
      <c r="Y1351">
        <v>4</v>
      </c>
      <c r="Z1351">
        <v>524.70106879290392</v>
      </c>
      <c r="AA1351">
        <v>2</v>
      </c>
      <c r="AB1351">
        <v>3</v>
      </c>
      <c r="AC1351">
        <v>7</v>
      </c>
      <c r="AD1351">
        <v>24.62</v>
      </c>
      <c r="AE1351">
        <v>253</v>
      </c>
      <c r="AF1351">
        <v>14</v>
      </c>
      <c r="AG1351">
        <v>61</v>
      </c>
      <c r="AH1351">
        <v>32</v>
      </c>
      <c r="AI1351">
        <v>5.53</v>
      </c>
      <c r="AJ1351">
        <v>24.11</v>
      </c>
      <c r="AK1351">
        <v>12.65</v>
      </c>
      <c r="AL1351">
        <v>-19.65511684999996</v>
      </c>
      <c r="AM1351">
        <v>-43.905662999837993</v>
      </c>
      <c r="AN1351">
        <v>-19.65511684999996</v>
      </c>
      <c r="AO1351">
        <v>-43.905662999837993</v>
      </c>
      <c r="AP1351">
        <v>-19.654686000000002</v>
      </c>
      <c r="AQ1351">
        <v>-43.907240000000002</v>
      </c>
      <c r="AR1351">
        <v>172.13969981835351</v>
      </c>
      <c r="AS1351" t="s">
        <v>65</v>
      </c>
      <c r="AT1351">
        <v>1</v>
      </c>
      <c r="AU1351" t="s">
        <v>114</v>
      </c>
      <c r="AV1351" t="s">
        <v>115</v>
      </c>
      <c r="AW1351" t="s">
        <v>60</v>
      </c>
      <c r="AX1351" t="s">
        <v>68</v>
      </c>
      <c r="AY1351" t="s">
        <v>69</v>
      </c>
      <c r="AZ1351" t="b">
        <v>1</v>
      </c>
    </row>
    <row r="1352" spans="1:52" x14ac:dyDescent="0.3">
      <c r="A1352" t="s">
        <v>52</v>
      </c>
      <c r="B1352" t="s">
        <v>53</v>
      </c>
      <c r="C1352" t="s">
        <v>54</v>
      </c>
      <c r="D1352" t="s">
        <v>55</v>
      </c>
      <c r="E1352" t="s">
        <v>837</v>
      </c>
      <c r="F1352" t="s">
        <v>57</v>
      </c>
      <c r="G1352" t="s">
        <v>116</v>
      </c>
      <c r="H1352" t="s">
        <v>117</v>
      </c>
      <c r="I1352" t="s">
        <v>117</v>
      </c>
      <c r="J1352" t="s">
        <v>60</v>
      </c>
      <c r="K1352" t="s">
        <v>118</v>
      </c>
      <c r="L1352" t="s">
        <v>62</v>
      </c>
      <c r="M1352" t="s">
        <v>118</v>
      </c>
      <c r="N1352" t="s">
        <v>119</v>
      </c>
      <c r="O1352" t="s">
        <v>120</v>
      </c>
      <c r="P1352">
        <v>-19.663869999999999</v>
      </c>
      <c r="Q1352">
        <v>-43.904916999999998</v>
      </c>
      <c r="R1352" s="2" t="str">
        <f>HYPERLINK("https://www.google.com/maps?q=-19.6638700,-43.9049170","Abrir no Google Maps")</f>
        <v>Abrir no Google Maps</v>
      </c>
      <c r="S1352">
        <v>4</v>
      </c>
      <c r="T1352">
        <v>0</v>
      </c>
      <c r="U1352">
        <v>4</v>
      </c>
      <c r="V1352">
        <v>0.32619610491950918</v>
      </c>
      <c r="W1352">
        <v>1</v>
      </c>
      <c r="X1352">
        <v>0.32619610491950918</v>
      </c>
      <c r="Y1352">
        <v>4</v>
      </c>
      <c r="Z1352">
        <v>1169.476938179705</v>
      </c>
      <c r="AA1352">
        <v>2</v>
      </c>
      <c r="AB1352">
        <v>3</v>
      </c>
      <c r="AC1352">
        <v>7</v>
      </c>
      <c r="AD1352">
        <v>24.62</v>
      </c>
      <c r="AE1352">
        <v>253</v>
      </c>
      <c r="AF1352">
        <v>14</v>
      </c>
      <c r="AG1352">
        <v>61</v>
      </c>
      <c r="AH1352">
        <v>32</v>
      </c>
      <c r="AI1352">
        <v>5.53</v>
      </c>
      <c r="AJ1352">
        <v>24.11</v>
      </c>
      <c r="AK1352">
        <v>12.65</v>
      </c>
      <c r="AL1352">
        <v>-19.657063599999962</v>
      </c>
      <c r="AM1352">
        <v>-43.898074976464507</v>
      </c>
      <c r="AN1352">
        <v>-19.657063599999962</v>
      </c>
      <c r="AO1352">
        <v>-43.898074976464507</v>
      </c>
      <c r="AP1352">
        <v>-19.663869999999999</v>
      </c>
      <c r="AQ1352">
        <v>-43.904916999999998</v>
      </c>
      <c r="AR1352">
        <v>1043.3426220355029</v>
      </c>
      <c r="AS1352" t="s">
        <v>65</v>
      </c>
      <c r="AT1352">
        <v>1</v>
      </c>
      <c r="AU1352" t="s">
        <v>121</v>
      </c>
      <c r="AV1352" t="s">
        <v>122</v>
      </c>
      <c r="AW1352" t="s">
        <v>60</v>
      </c>
      <c r="AX1352" t="s">
        <v>68</v>
      </c>
      <c r="AY1352" t="s">
        <v>69</v>
      </c>
      <c r="AZ1352" t="b">
        <v>1</v>
      </c>
    </row>
    <row r="1353" spans="1:52" x14ac:dyDescent="0.3">
      <c r="A1353" t="s">
        <v>52</v>
      </c>
      <c r="B1353" t="s">
        <v>53</v>
      </c>
      <c r="C1353" t="s">
        <v>54</v>
      </c>
      <c r="D1353" t="s">
        <v>55</v>
      </c>
      <c r="E1353" t="s">
        <v>837</v>
      </c>
      <c r="F1353" t="s">
        <v>57</v>
      </c>
      <c r="G1353" t="s">
        <v>123</v>
      </c>
      <c r="H1353" t="s">
        <v>124</v>
      </c>
      <c r="I1353" t="s">
        <v>124</v>
      </c>
      <c r="J1353" t="s">
        <v>60</v>
      </c>
      <c r="K1353" t="s">
        <v>72</v>
      </c>
      <c r="L1353" t="s">
        <v>62</v>
      </c>
      <c r="M1353" t="s">
        <v>72</v>
      </c>
      <c r="N1353" t="s">
        <v>125</v>
      </c>
      <c r="O1353" t="s">
        <v>126</v>
      </c>
      <c r="P1353">
        <v>-19.634015000000002</v>
      </c>
      <c r="Q1353">
        <v>-43.918776000000001</v>
      </c>
      <c r="R1353" s="2" t="str">
        <f>HYPERLINK("https://www.google.com/maps?q=-19.6340150,-43.9187760","Abrir no Google Maps")</f>
        <v>Abrir no Google Maps</v>
      </c>
      <c r="S1353">
        <v>4</v>
      </c>
      <c r="T1353">
        <v>525.62818365919122</v>
      </c>
      <c r="U1353">
        <v>4</v>
      </c>
      <c r="V1353">
        <v>0.30975574400231931</v>
      </c>
      <c r="W1353">
        <v>1</v>
      </c>
      <c r="X1353">
        <v>0.30975574400231931</v>
      </c>
      <c r="Y1353">
        <v>3</v>
      </c>
      <c r="Z1353">
        <v>474.91441433808131</v>
      </c>
      <c r="AA1353">
        <v>2</v>
      </c>
      <c r="AB1353">
        <v>3</v>
      </c>
      <c r="AC1353">
        <v>7</v>
      </c>
      <c r="AD1353">
        <v>24.62</v>
      </c>
      <c r="AE1353">
        <v>253</v>
      </c>
      <c r="AF1353">
        <v>14</v>
      </c>
      <c r="AG1353">
        <v>61</v>
      </c>
      <c r="AH1353">
        <v>32</v>
      </c>
      <c r="AI1353">
        <v>5.53</v>
      </c>
      <c r="AJ1353">
        <v>24.11</v>
      </c>
      <c r="AK1353">
        <v>12.65</v>
      </c>
      <c r="AL1353">
        <v>-19.63405809999994</v>
      </c>
      <c r="AM1353">
        <v>-43.919666391328043</v>
      </c>
      <c r="AN1353">
        <v>-19.63405809999994</v>
      </c>
      <c r="AO1353">
        <v>-43.919666391328029</v>
      </c>
      <c r="AP1353">
        <v>-19.634015000000002</v>
      </c>
      <c r="AQ1353">
        <v>-43.918776000000001</v>
      </c>
      <c r="AR1353">
        <v>93.478621134470259</v>
      </c>
      <c r="AS1353" t="s">
        <v>65</v>
      </c>
      <c r="AT1353">
        <v>1</v>
      </c>
      <c r="AU1353" t="s">
        <v>127</v>
      </c>
      <c r="AV1353" t="s">
        <v>128</v>
      </c>
      <c r="AW1353" t="s">
        <v>60</v>
      </c>
      <c r="AX1353" t="s">
        <v>68</v>
      </c>
      <c r="AY1353" t="s">
        <v>69</v>
      </c>
      <c r="AZ1353" t="b">
        <v>1</v>
      </c>
    </row>
    <row r="1354" spans="1:52" x14ac:dyDescent="0.3">
      <c r="A1354" t="s">
        <v>52</v>
      </c>
      <c r="B1354" t="s">
        <v>53</v>
      </c>
      <c r="C1354" t="s">
        <v>54</v>
      </c>
      <c r="D1354" t="s">
        <v>55</v>
      </c>
      <c r="E1354" t="s">
        <v>837</v>
      </c>
      <c r="F1354" t="s">
        <v>57</v>
      </c>
      <c r="G1354" t="s">
        <v>129</v>
      </c>
      <c r="H1354" t="s">
        <v>130</v>
      </c>
      <c r="I1354" t="s">
        <v>130</v>
      </c>
      <c r="J1354" t="s">
        <v>60</v>
      </c>
      <c r="K1354" t="s">
        <v>131</v>
      </c>
      <c r="L1354" t="s">
        <v>62</v>
      </c>
      <c r="M1354" t="s">
        <v>131</v>
      </c>
      <c r="N1354" t="s">
        <v>132</v>
      </c>
      <c r="O1354" t="s">
        <v>133</v>
      </c>
      <c r="P1354">
        <v>-19.632088</v>
      </c>
      <c r="Q1354">
        <v>-43.916114999999998</v>
      </c>
      <c r="R1354" s="2" t="str">
        <f>HYPERLINK("https://www.google.com/maps?q=-19.6320880,-43.9161150","Abrir no Google Maps")</f>
        <v>Abrir no Google Maps</v>
      </c>
      <c r="S1354">
        <v>4</v>
      </c>
      <c r="T1354">
        <v>566.5346232632869</v>
      </c>
      <c r="U1354">
        <v>4</v>
      </c>
      <c r="V1354">
        <v>0.3947257383966245</v>
      </c>
      <c r="W1354">
        <v>1</v>
      </c>
      <c r="X1354">
        <v>0.3947257383966245</v>
      </c>
      <c r="Y1354">
        <v>3</v>
      </c>
      <c r="Z1354">
        <v>488.06597434012792</v>
      </c>
      <c r="AA1354">
        <v>2</v>
      </c>
      <c r="AB1354">
        <v>3</v>
      </c>
      <c r="AC1354">
        <v>7</v>
      </c>
      <c r="AD1354">
        <v>24.62</v>
      </c>
      <c r="AE1354">
        <v>253</v>
      </c>
      <c r="AF1354">
        <v>14</v>
      </c>
      <c r="AG1354">
        <v>61</v>
      </c>
      <c r="AH1354">
        <v>32</v>
      </c>
      <c r="AI1354">
        <v>5.53</v>
      </c>
      <c r="AJ1354">
        <v>24.11</v>
      </c>
      <c r="AK1354">
        <v>12.65</v>
      </c>
      <c r="AL1354">
        <v>-19.632034449999939</v>
      </c>
      <c r="AM1354">
        <v>-43.916174776913351</v>
      </c>
      <c r="AN1354">
        <v>-19.632034449999939</v>
      </c>
      <c r="AO1354">
        <v>-43.916174776913351</v>
      </c>
      <c r="AP1354">
        <v>-19.632088</v>
      </c>
      <c r="AQ1354">
        <v>-43.916114999999998</v>
      </c>
      <c r="AR1354">
        <v>8.6497324882263911</v>
      </c>
      <c r="AS1354" t="s">
        <v>65</v>
      </c>
      <c r="AT1354">
        <v>1</v>
      </c>
      <c r="AU1354" t="s">
        <v>134</v>
      </c>
      <c r="AV1354" t="s">
        <v>135</v>
      </c>
      <c r="AW1354" t="s">
        <v>60</v>
      </c>
      <c r="AX1354" t="s">
        <v>68</v>
      </c>
      <c r="AY1354" t="s">
        <v>69</v>
      </c>
      <c r="AZ1354" t="b">
        <v>1</v>
      </c>
    </row>
    <row r="1355" spans="1:52" x14ac:dyDescent="0.3">
      <c r="A1355" t="s">
        <v>52</v>
      </c>
      <c r="B1355" t="s">
        <v>53</v>
      </c>
      <c r="C1355" t="s">
        <v>54</v>
      </c>
      <c r="D1355" t="s">
        <v>55</v>
      </c>
      <c r="E1355" t="s">
        <v>837</v>
      </c>
      <c r="F1355" t="s">
        <v>57</v>
      </c>
      <c r="G1355" t="s">
        <v>129</v>
      </c>
      <c r="H1355" t="s">
        <v>136</v>
      </c>
      <c r="I1355" t="s">
        <v>136</v>
      </c>
      <c r="J1355" t="s">
        <v>60</v>
      </c>
      <c r="K1355" t="s">
        <v>131</v>
      </c>
      <c r="L1355" t="s">
        <v>62</v>
      </c>
      <c r="M1355" t="s">
        <v>131</v>
      </c>
      <c r="N1355" t="s">
        <v>132</v>
      </c>
      <c r="O1355" t="s">
        <v>133</v>
      </c>
      <c r="P1355">
        <v>-19.632290999999999</v>
      </c>
      <c r="Q1355">
        <v>-43.916542999999997</v>
      </c>
      <c r="R1355" s="2" t="str">
        <f>HYPERLINK("https://www.google.com/maps?q=-19.6322910,-43.9165430","Abrir no Google Maps")</f>
        <v>Abrir no Google Maps</v>
      </c>
      <c r="S1355">
        <v>4</v>
      </c>
      <c r="T1355">
        <v>556.95255545673058</v>
      </c>
      <c r="U1355">
        <v>4</v>
      </c>
      <c r="V1355">
        <v>0.38612320274370138</v>
      </c>
      <c r="W1355">
        <v>1</v>
      </c>
      <c r="X1355">
        <v>0.38612320274370138</v>
      </c>
      <c r="Y1355">
        <v>3</v>
      </c>
      <c r="Z1355">
        <v>479.66756878400719</v>
      </c>
      <c r="AA1355">
        <v>2</v>
      </c>
      <c r="AB1355">
        <v>3</v>
      </c>
      <c r="AC1355">
        <v>7</v>
      </c>
      <c r="AD1355">
        <v>24.62</v>
      </c>
      <c r="AE1355">
        <v>253</v>
      </c>
      <c r="AF1355">
        <v>14</v>
      </c>
      <c r="AG1355">
        <v>61</v>
      </c>
      <c r="AH1355">
        <v>32</v>
      </c>
      <c r="AI1355">
        <v>5.53</v>
      </c>
      <c r="AJ1355">
        <v>24.11</v>
      </c>
      <c r="AK1355">
        <v>12.65</v>
      </c>
      <c r="AL1355">
        <v>-19.63215424999996</v>
      </c>
      <c r="AM1355">
        <v>-43.916542189528307</v>
      </c>
      <c r="AN1355">
        <v>-19.63215424999996</v>
      </c>
      <c r="AO1355">
        <v>-43.916542189528307</v>
      </c>
      <c r="AP1355">
        <v>-19.632290999999999</v>
      </c>
      <c r="AQ1355">
        <v>-43.916542999999997</v>
      </c>
      <c r="AR1355">
        <v>15.22324717984722</v>
      </c>
      <c r="AS1355" t="s">
        <v>65</v>
      </c>
      <c r="AT1355">
        <v>1</v>
      </c>
      <c r="AU1355" t="s">
        <v>137</v>
      </c>
      <c r="AV1355" t="s">
        <v>138</v>
      </c>
      <c r="AW1355" t="s">
        <v>60</v>
      </c>
      <c r="AX1355" t="s">
        <v>68</v>
      </c>
      <c r="AY1355" t="s">
        <v>69</v>
      </c>
      <c r="AZ1355" t="b">
        <v>1</v>
      </c>
    </row>
    <row r="1356" spans="1:52" x14ac:dyDescent="0.3">
      <c r="A1356" t="s">
        <v>52</v>
      </c>
      <c r="B1356" t="s">
        <v>53</v>
      </c>
      <c r="C1356" t="s">
        <v>54</v>
      </c>
      <c r="D1356" t="s">
        <v>55</v>
      </c>
      <c r="E1356" t="s">
        <v>837</v>
      </c>
      <c r="F1356" t="s">
        <v>57</v>
      </c>
      <c r="G1356" t="s">
        <v>139</v>
      </c>
      <c r="H1356" t="s">
        <v>140</v>
      </c>
      <c r="I1356" t="s">
        <v>140</v>
      </c>
      <c r="J1356" t="s">
        <v>60</v>
      </c>
      <c r="K1356" t="s">
        <v>79</v>
      </c>
      <c r="L1356" t="s">
        <v>62</v>
      </c>
      <c r="M1356" t="s">
        <v>79</v>
      </c>
      <c r="N1356" t="s">
        <v>141</v>
      </c>
      <c r="O1356" t="s">
        <v>142</v>
      </c>
      <c r="P1356">
        <v>-19.628888</v>
      </c>
      <c r="Q1356">
        <v>-43.912554</v>
      </c>
      <c r="R1356" s="2" t="str">
        <f>HYPERLINK("https://www.google.com/maps?q=-19.6288880,-43.9125540","Abrir no Google Maps")</f>
        <v>Abrir no Google Maps</v>
      </c>
      <c r="S1356">
        <v>4</v>
      </c>
      <c r="T1356">
        <v>1013.629555558835</v>
      </c>
      <c r="U1356">
        <v>4</v>
      </c>
      <c r="V1356">
        <v>0.39893439893439891</v>
      </c>
      <c r="W1356">
        <v>0.85</v>
      </c>
      <c r="X1356">
        <v>0.33909423909423908</v>
      </c>
      <c r="Y1356">
        <v>3</v>
      </c>
      <c r="Z1356">
        <v>950.42126394515765</v>
      </c>
      <c r="AA1356">
        <v>2</v>
      </c>
      <c r="AB1356">
        <v>3</v>
      </c>
      <c r="AC1356">
        <v>7</v>
      </c>
      <c r="AD1356">
        <v>24.62</v>
      </c>
      <c r="AE1356">
        <v>253</v>
      </c>
      <c r="AF1356">
        <v>14</v>
      </c>
      <c r="AG1356">
        <v>61</v>
      </c>
      <c r="AH1356">
        <v>32</v>
      </c>
      <c r="AI1356">
        <v>5.53</v>
      </c>
      <c r="AJ1356">
        <v>24.11</v>
      </c>
      <c r="AK1356">
        <v>12.65</v>
      </c>
      <c r="AL1356">
        <v>-19.628472899999959</v>
      </c>
      <c r="AM1356">
        <v>-43.912746118821246</v>
      </c>
      <c r="AN1356">
        <v>-19.628472899999959</v>
      </c>
      <c r="AO1356">
        <v>-43.912746118821246</v>
      </c>
      <c r="AP1356">
        <v>-19.628888</v>
      </c>
      <c r="AQ1356">
        <v>-43.912554</v>
      </c>
      <c r="AR1356">
        <v>50.408750888077009</v>
      </c>
      <c r="AS1356" t="s">
        <v>65</v>
      </c>
      <c r="AT1356">
        <v>1</v>
      </c>
      <c r="AU1356" t="s">
        <v>143</v>
      </c>
      <c r="AV1356" t="s">
        <v>144</v>
      </c>
      <c r="AW1356" t="s">
        <v>60</v>
      </c>
      <c r="AX1356" t="s">
        <v>68</v>
      </c>
      <c r="AY1356" t="s">
        <v>69</v>
      </c>
      <c r="AZ1356" t="b">
        <v>1</v>
      </c>
    </row>
    <row r="1357" spans="1:52" x14ac:dyDescent="0.3">
      <c r="A1357" t="s">
        <v>52</v>
      </c>
      <c r="B1357" t="s">
        <v>53</v>
      </c>
      <c r="C1357" t="s">
        <v>54</v>
      </c>
      <c r="D1357" t="s">
        <v>55</v>
      </c>
      <c r="E1357" t="s">
        <v>837</v>
      </c>
      <c r="F1357" t="s">
        <v>57</v>
      </c>
      <c r="G1357" t="s">
        <v>252</v>
      </c>
      <c r="H1357" t="s">
        <v>253</v>
      </c>
      <c r="I1357" t="s">
        <v>253</v>
      </c>
      <c r="J1357" t="s">
        <v>60</v>
      </c>
      <c r="K1357" t="s">
        <v>164</v>
      </c>
      <c r="L1357" t="s">
        <v>62</v>
      </c>
      <c r="M1357" t="s">
        <v>164</v>
      </c>
      <c r="N1357" t="s">
        <v>254</v>
      </c>
      <c r="O1357" t="s">
        <v>255</v>
      </c>
      <c r="P1357">
        <v>-19.652244</v>
      </c>
      <c r="Q1357">
        <v>-43.906869</v>
      </c>
      <c r="R1357" s="2" t="str">
        <f>HYPERLINK("https://www.google.com/maps?q=-19.6522440,-43.9068690","Abrir no Google Maps")</f>
        <v>Abrir no Google Maps</v>
      </c>
      <c r="S1357">
        <v>4</v>
      </c>
      <c r="T1357">
        <v>659.98887289357856</v>
      </c>
      <c r="U1357">
        <v>4</v>
      </c>
      <c r="V1357">
        <v>0.30469241536052322</v>
      </c>
      <c r="W1357">
        <v>1</v>
      </c>
      <c r="X1357">
        <v>0.30469241536052322</v>
      </c>
      <c r="Y1357">
        <v>1</v>
      </c>
      <c r="Z1357">
        <v>607.69009953455907</v>
      </c>
      <c r="AA1357">
        <v>2</v>
      </c>
      <c r="AB1357">
        <v>3</v>
      </c>
      <c r="AC1357">
        <v>7</v>
      </c>
      <c r="AD1357">
        <v>24.62</v>
      </c>
      <c r="AE1357">
        <v>253</v>
      </c>
      <c r="AF1357">
        <v>14</v>
      </c>
      <c r="AG1357">
        <v>61</v>
      </c>
      <c r="AH1357">
        <v>32</v>
      </c>
      <c r="AI1357">
        <v>5.53</v>
      </c>
      <c r="AJ1357">
        <v>24.11</v>
      </c>
      <c r="AK1357">
        <v>12.65</v>
      </c>
      <c r="AL1357">
        <v>-19.65225609999996</v>
      </c>
      <c r="AM1357">
        <v>-43.906862663911163</v>
      </c>
      <c r="AN1357">
        <v>-19.65225609999996</v>
      </c>
      <c r="AO1357">
        <v>-43.906862663911149</v>
      </c>
      <c r="AP1357">
        <v>-19.652244</v>
      </c>
      <c r="AQ1357">
        <v>-43.906869</v>
      </c>
      <c r="AR1357">
        <v>1.501852076897872</v>
      </c>
      <c r="AS1357" t="s">
        <v>65</v>
      </c>
      <c r="AT1357">
        <v>1</v>
      </c>
      <c r="AU1357" t="s">
        <v>256</v>
      </c>
      <c r="AV1357" t="s">
        <v>257</v>
      </c>
      <c r="AW1357" t="s">
        <v>60</v>
      </c>
      <c r="AX1357" t="s">
        <v>68</v>
      </c>
      <c r="AY1357" t="s">
        <v>69</v>
      </c>
      <c r="AZ1357" t="b">
        <v>1</v>
      </c>
    </row>
    <row r="1358" spans="1:52" x14ac:dyDescent="0.3">
      <c r="A1358" t="s">
        <v>52</v>
      </c>
      <c r="B1358" t="s">
        <v>53</v>
      </c>
      <c r="C1358" t="s">
        <v>54</v>
      </c>
      <c r="D1358" t="s">
        <v>55</v>
      </c>
      <c r="E1358" t="s">
        <v>837</v>
      </c>
      <c r="F1358" t="s">
        <v>57</v>
      </c>
      <c r="G1358" t="s">
        <v>268</v>
      </c>
      <c r="H1358" t="s">
        <v>269</v>
      </c>
      <c r="I1358" t="s">
        <v>269</v>
      </c>
      <c r="J1358" t="s">
        <v>60</v>
      </c>
      <c r="K1358" t="s">
        <v>164</v>
      </c>
      <c r="L1358" t="s">
        <v>62</v>
      </c>
      <c r="M1358" t="s">
        <v>164</v>
      </c>
      <c r="N1358" t="s">
        <v>270</v>
      </c>
      <c r="O1358" t="s">
        <v>113</v>
      </c>
      <c r="P1358">
        <v>-19.648771</v>
      </c>
      <c r="Q1358">
        <v>-43.903640000000003</v>
      </c>
      <c r="R1358" s="2" t="str">
        <f>HYPERLINK("https://www.google.com/maps?q=-19.6487710,-43.9036400","Abrir no Google Maps")</f>
        <v>Abrir no Google Maps</v>
      </c>
      <c r="S1358">
        <v>4</v>
      </c>
      <c r="T1358">
        <v>206.63717887005251</v>
      </c>
      <c r="U1358">
        <v>4</v>
      </c>
      <c r="V1358">
        <v>0.31167303274082608</v>
      </c>
      <c r="W1358">
        <v>1</v>
      </c>
      <c r="X1358">
        <v>0.31167303274082608</v>
      </c>
      <c r="Y1358">
        <v>1</v>
      </c>
      <c r="Z1358">
        <v>200.80459056276209</v>
      </c>
      <c r="AA1358">
        <v>2</v>
      </c>
      <c r="AB1358">
        <v>3</v>
      </c>
      <c r="AC1358">
        <v>7</v>
      </c>
      <c r="AD1358">
        <v>24.62</v>
      </c>
      <c r="AE1358">
        <v>253</v>
      </c>
      <c r="AF1358">
        <v>14</v>
      </c>
      <c r="AG1358">
        <v>61</v>
      </c>
      <c r="AH1358">
        <v>32</v>
      </c>
      <c r="AI1358">
        <v>5.53</v>
      </c>
      <c r="AJ1358">
        <v>24.11</v>
      </c>
      <c r="AK1358">
        <v>12.65</v>
      </c>
      <c r="AL1358">
        <v>-19.648938299999969</v>
      </c>
      <c r="AM1358">
        <v>-43.903687287450857</v>
      </c>
      <c r="AN1358">
        <v>-19.648938299999969</v>
      </c>
      <c r="AO1358">
        <v>-43.903687287450857</v>
      </c>
      <c r="AP1358">
        <v>-19.648771</v>
      </c>
      <c r="AQ1358">
        <v>-43.903640000000003</v>
      </c>
      <c r="AR1358">
        <v>19.272369946853829</v>
      </c>
      <c r="AS1358" t="s">
        <v>65</v>
      </c>
      <c r="AT1358">
        <v>1</v>
      </c>
      <c r="AU1358" t="s">
        <v>271</v>
      </c>
      <c r="AV1358" t="s">
        <v>272</v>
      </c>
      <c r="AW1358" t="s">
        <v>60</v>
      </c>
      <c r="AX1358" t="s">
        <v>68</v>
      </c>
      <c r="AY1358" t="s">
        <v>69</v>
      </c>
      <c r="AZ1358" t="b">
        <v>1</v>
      </c>
    </row>
    <row r="1359" spans="1:52" x14ac:dyDescent="0.3">
      <c r="A1359" t="s">
        <v>52</v>
      </c>
      <c r="B1359" t="s">
        <v>53</v>
      </c>
      <c r="C1359" t="s">
        <v>54</v>
      </c>
      <c r="D1359" t="s">
        <v>55</v>
      </c>
      <c r="E1359" t="s">
        <v>837</v>
      </c>
      <c r="F1359" t="s">
        <v>57</v>
      </c>
      <c r="G1359" t="s">
        <v>162</v>
      </c>
      <c r="H1359" t="s">
        <v>163</v>
      </c>
      <c r="I1359" t="s">
        <v>163</v>
      </c>
      <c r="J1359" t="s">
        <v>60</v>
      </c>
      <c r="K1359" t="s">
        <v>164</v>
      </c>
      <c r="L1359" t="s">
        <v>62</v>
      </c>
      <c r="M1359" t="s">
        <v>164</v>
      </c>
      <c r="N1359" t="s">
        <v>165</v>
      </c>
      <c r="O1359" t="s">
        <v>166</v>
      </c>
      <c r="P1359">
        <v>-19.650033000000001</v>
      </c>
      <c r="Q1359">
        <v>-43.904634000000001</v>
      </c>
      <c r="R1359" s="2" t="str">
        <f>HYPERLINK("https://www.google.com/maps?q=-19.6500330,-43.9046340","Abrir no Google Maps")</f>
        <v>Abrir no Google Maps</v>
      </c>
      <c r="S1359">
        <v>4</v>
      </c>
      <c r="T1359">
        <v>343.61469317865811</v>
      </c>
      <c r="U1359">
        <v>4</v>
      </c>
      <c r="V1359">
        <v>0.321928161156457</v>
      </c>
      <c r="W1359">
        <v>1</v>
      </c>
      <c r="X1359">
        <v>0.321928161156457</v>
      </c>
      <c r="Y1359">
        <v>1</v>
      </c>
      <c r="Z1359">
        <v>351.81960241626399</v>
      </c>
      <c r="AA1359">
        <v>2</v>
      </c>
      <c r="AB1359">
        <v>3</v>
      </c>
      <c r="AC1359">
        <v>7</v>
      </c>
      <c r="AD1359">
        <v>24.62</v>
      </c>
      <c r="AE1359">
        <v>253</v>
      </c>
      <c r="AF1359">
        <v>14</v>
      </c>
      <c r="AG1359">
        <v>61</v>
      </c>
      <c r="AH1359">
        <v>32</v>
      </c>
      <c r="AI1359">
        <v>5.53</v>
      </c>
      <c r="AJ1359">
        <v>24.11</v>
      </c>
      <c r="AK1359">
        <v>12.65</v>
      </c>
      <c r="AL1359">
        <v>-19.650065899999959</v>
      </c>
      <c r="AM1359">
        <v>-43.904619920569793</v>
      </c>
      <c r="AN1359">
        <v>-19.650065899999959</v>
      </c>
      <c r="AO1359">
        <v>-43.904619920569793</v>
      </c>
      <c r="AP1359">
        <v>-19.650033000000001</v>
      </c>
      <c r="AQ1359">
        <v>-43.904634000000001</v>
      </c>
      <c r="AR1359">
        <v>3.9486827164921792</v>
      </c>
      <c r="AS1359" t="s">
        <v>65</v>
      </c>
      <c r="AT1359">
        <v>1</v>
      </c>
      <c r="AU1359" t="s">
        <v>167</v>
      </c>
      <c r="AV1359" t="s">
        <v>168</v>
      </c>
      <c r="AW1359" t="s">
        <v>60</v>
      </c>
      <c r="AX1359" t="s">
        <v>68</v>
      </c>
      <c r="AY1359" t="s">
        <v>69</v>
      </c>
      <c r="AZ1359" t="b">
        <v>1</v>
      </c>
    </row>
    <row r="1360" spans="1:52" x14ac:dyDescent="0.3">
      <c r="A1360" t="s">
        <v>52</v>
      </c>
      <c r="B1360" t="s">
        <v>53</v>
      </c>
      <c r="C1360" t="s">
        <v>54</v>
      </c>
      <c r="D1360" t="s">
        <v>55</v>
      </c>
      <c r="E1360" t="s">
        <v>837</v>
      </c>
      <c r="F1360" t="s">
        <v>176</v>
      </c>
      <c r="G1360" t="s">
        <v>513</v>
      </c>
      <c r="H1360" t="s">
        <v>514</v>
      </c>
      <c r="I1360" t="s">
        <v>514</v>
      </c>
      <c r="J1360" t="s">
        <v>60</v>
      </c>
      <c r="K1360" t="s">
        <v>185</v>
      </c>
      <c r="L1360" t="s">
        <v>62</v>
      </c>
      <c r="M1360" t="s">
        <v>185</v>
      </c>
      <c r="N1360" t="s">
        <v>515</v>
      </c>
      <c r="O1360" t="s">
        <v>516</v>
      </c>
      <c r="P1360">
        <v>-19.63184</v>
      </c>
      <c r="Q1360">
        <v>-43.899625999999998</v>
      </c>
      <c r="R1360" s="2" t="str">
        <f>HYPERLINK("https://www.google.com/maps?q=-19.6318400,-43.8996260","Abrir no Google Maps")</f>
        <v>Abrir no Google Maps</v>
      </c>
      <c r="S1360">
        <v>4</v>
      </c>
      <c r="T1360">
        <v>317.05369638212568</v>
      </c>
      <c r="U1360">
        <v>3</v>
      </c>
      <c r="V1360">
        <v>0.3049832049002173</v>
      </c>
      <c r="W1360">
        <v>0.85</v>
      </c>
      <c r="X1360">
        <v>0.2592357241651847</v>
      </c>
      <c r="Y1360">
        <v>10</v>
      </c>
      <c r="Z1360">
        <v>467.39112963581732</v>
      </c>
      <c r="AA1360">
        <v>2</v>
      </c>
      <c r="AB1360">
        <v>3</v>
      </c>
      <c r="AC1360">
        <v>7</v>
      </c>
      <c r="AD1360">
        <v>24.62</v>
      </c>
      <c r="AE1360">
        <v>253</v>
      </c>
      <c r="AF1360">
        <v>14</v>
      </c>
      <c r="AG1360">
        <v>61</v>
      </c>
      <c r="AH1360">
        <v>32</v>
      </c>
      <c r="AI1360">
        <v>5.53</v>
      </c>
      <c r="AJ1360">
        <v>24.11</v>
      </c>
      <c r="AK1360">
        <v>12.65</v>
      </c>
      <c r="AL1360">
        <v>-19.631819699999941</v>
      </c>
      <c r="AM1360">
        <v>-43.89977767057065</v>
      </c>
      <c r="AN1360">
        <v>-19.631819699999941</v>
      </c>
      <c r="AO1360">
        <v>-43.89977767057065</v>
      </c>
      <c r="AP1360">
        <v>-19.63184</v>
      </c>
      <c r="AQ1360">
        <v>-43.899625999999998</v>
      </c>
      <c r="AR1360">
        <v>16.062279375806241</v>
      </c>
      <c r="AS1360" t="s">
        <v>65</v>
      </c>
      <c r="AT1360">
        <v>1</v>
      </c>
      <c r="AU1360" t="s">
        <v>517</v>
      </c>
      <c r="AV1360" t="s">
        <v>518</v>
      </c>
      <c r="AW1360" t="s">
        <v>60</v>
      </c>
      <c r="AX1360" t="s">
        <v>68</v>
      </c>
      <c r="AY1360" t="s">
        <v>69</v>
      </c>
      <c r="AZ1360" t="b">
        <v>1</v>
      </c>
    </row>
    <row r="1361" spans="1:52" x14ac:dyDescent="0.3">
      <c r="A1361" t="s">
        <v>52</v>
      </c>
      <c r="B1361" t="s">
        <v>53</v>
      </c>
      <c r="C1361" t="s">
        <v>54</v>
      </c>
      <c r="D1361" t="s">
        <v>55</v>
      </c>
      <c r="E1361" t="s">
        <v>837</v>
      </c>
      <c r="F1361" t="s">
        <v>176</v>
      </c>
      <c r="G1361" t="s">
        <v>84</v>
      </c>
      <c r="H1361" t="s">
        <v>85</v>
      </c>
      <c r="I1361" t="s">
        <v>85</v>
      </c>
      <c r="J1361" t="s">
        <v>60</v>
      </c>
      <c r="K1361" t="s">
        <v>86</v>
      </c>
      <c r="L1361" t="s">
        <v>62</v>
      </c>
      <c r="M1361" t="s">
        <v>86</v>
      </c>
      <c r="N1361" t="s">
        <v>87</v>
      </c>
      <c r="O1361" t="s">
        <v>88</v>
      </c>
      <c r="P1361">
        <v>-19.629436999999999</v>
      </c>
      <c r="Q1361">
        <v>-43.910398999999998</v>
      </c>
      <c r="R1361" s="2" t="str">
        <f>HYPERLINK("https://www.google.com/maps?q=-19.6294370,-43.9103990","Abrir no Google Maps")</f>
        <v>Abrir no Google Maps</v>
      </c>
      <c r="S1361">
        <v>4</v>
      </c>
      <c r="T1361">
        <v>888.82060643108082</v>
      </c>
      <c r="U1361">
        <v>3</v>
      </c>
      <c r="V1361">
        <v>0.2919540229885057</v>
      </c>
      <c r="W1361">
        <v>1</v>
      </c>
      <c r="X1361">
        <v>0.2919540229885057</v>
      </c>
      <c r="Y1361">
        <v>10</v>
      </c>
      <c r="Z1361">
        <v>867.42797341651737</v>
      </c>
      <c r="AA1361">
        <v>2</v>
      </c>
      <c r="AB1361">
        <v>3</v>
      </c>
      <c r="AC1361">
        <v>7</v>
      </c>
      <c r="AD1361">
        <v>24.62</v>
      </c>
      <c r="AE1361">
        <v>253</v>
      </c>
      <c r="AF1361">
        <v>14</v>
      </c>
      <c r="AG1361">
        <v>61</v>
      </c>
      <c r="AH1361">
        <v>32</v>
      </c>
      <c r="AI1361">
        <v>5.53</v>
      </c>
      <c r="AJ1361">
        <v>24.11</v>
      </c>
      <c r="AK1361">
        <v>12.65</v>
      </c>
      <c r="AL1361">
        <v>-19.62934694999996</v>
      </c>
      <c r="AM1361">
        <v>-43.910344699357317</v>
      </c>
      <c r="AN1361">
        <v>-19.62934694999996</v>
      </c>
      <c r="AO1361">
        <v>-43.910344699357331</v>
      </c>
      <c r="AP1361">
        <v>-19.629436999999999</v>
      </c>
      <c r="AQ1361">
        <v>-43.910398999999998</v>
      </c>
      <c r="AR1361">
        <v>11.52837377953678</v>
      </c>
      <c r="AS1361" t="s">
        <v>65</v>
      </c>
      <c r="AT1361">
        <v>1</v>
      </c>
      <c r="AU1361" t="s">
        <v>89</v>
      </c>
      <c r="AV1361" t="s">
        <v>90</v>
      </c>
      <c r="AW1361" t="s">
        <v>60</v>
      </c>
      <c r="AX1361" t="s">
        <v>68</v>
      </c>
      <c r="AY1361" t="s">
        <v>69</v>
      </c>
      <c r="AZ1361" t="b">
        <v>1</v>
      </c>
    </row>
    <row r="1362" spans="1:52" x14ac:dyDescent="0.3">
      <c r="A1362" t="s">
        <v>52</v>
      </c>
      <c r="B1362" t="s">
        <v>53</v>
      </c>
      <c r="C1362" t="s">
        <v>54</v>
      </c>
      <c r="D1362" t="s">
        <v>55</v>
      </c>
      <c r="E1362" t="s">
        <v>837</v>
      </c>
      <c r="F1362" t="s">
        <v>176</v>
      </c>
      <c r="G1362" t="s">
        <v>97</v>
      </c>
      <c r="H1362" t="s">
        <v>98</v>
      </c>
      <c r="I1362" t="s">
        <v>98</v>
      </c>
      <c r="J1362" t="s">
        <v>60</v>
      </c>
      <c r="K1362" t="s">
        <v>99</v>
      </c>
      <c r="L1362" t="s">
        <v>62</v>
      </c>
      <c r="M1362" t="s">
        <v>99</v>
      </c>
      <c r="N1362" t="s">
        <v>100</v>
      </c>
      <c r="O1362" t="s">
        <v>101</v>
      </c>
      <c r="P1362">
        <v>-19.629822000000001</v>
      </c>
      <c r="Q1362">
        <v>-43.905341</v>
      </c>
      <c r="R1362" s="2" t="str">
        <f>HYPERLINK("https://www.google.com/maps?q=-19.6298220,-43.9053410","Abrir no Google Maps")</f>
        <v>Abrir no Google Maps</v>
      </c>
      <c r="S1362">
        <v>4</v>
      </c>
      <c r="T1362">
        <v>441.30597341744129</v>
      </c>
      <c r="U1362">
        <v>3</v>
      </c>
      <c r="V1362">
        <v>0.29318115019104529</v>
      </c>
      <c r="W1362">
        <v>1</v>
      </c>
      <c r="X1362">
        <v>0.29318115019104529</v>
      </c>
      <c r="Y1362">
        <v>10</v>
      </c>
      <c r="Z1362">
        <v>513.56493751010987</v>
      </c>
      <c r="AA1362">
        <v>2</v>
      </c>
      <c r="AB1362">
        <v>3</v>
      </c>
      <c r="AC1362">
        <v>7</v>
      </c>
      <c r="AD1362">
        <v>24.62</v>
      </c>
      <c r="AE1362">
        <v>253</v>
      </c>
      <c r="AF1362">
        <v>14</v>
      </c>
      <c r="AG1362">
        <v>61</v>
      </c>
      <c r="AH1362">
        <v>32</v>
      </c>
      <c r="AI1362">
        <v>5.53</v>
      </c>
      <c r="AJ1362">
        <v>24.11</v>
      </c>
      <c r="AK1362">
        <v>12.65</v>
      </c>
      <c r="AL1362">
        <v>-19.629671599999941</v>
      </c>
      <c r="AM1362">
        <v>-43.905369597920988</v>
      </c>
      <c r="AN1362">
        <v>-19.629671599999931</v>
      </c>
      <c r="AO1362">
        <v>-43.905369597920988</v>
      </c>
      <c r="AP1362">
        <v>-19.629822000000001</v>
      </c>
      <c r="AQ1362">
        <v>-43.905341</v>
      </c>
      <c r="AR1362">
        <v>17.008917699186132</v>
      </c>
      <c r="AS1362" t="s">
        <v>65</v>
      </c>
      <c r="AT1362">
        <v>1</v>
      </c>
      <c r="AU1362" t="s">
        <v>102</v>
      </c>
      <c r="AV1362" t="s">
        <v>103</v>
      </c>
      <c r="AW1362" t="s">
        <v>60</v>
      </c>
      <c r="AX1362" t="s">
        <v>68</v>
      </c>
      <c r="AY1362" t="s">
        <v>69</v>
      </c>
      <c r="AZ1362" t="b">
        <v>1</v>
      </c>
    </row>
    <row r="1363" spans="1:52" x14ac:dyDescent="0.3">
      <c r="A1363" t="s">
        <v>52</v>
      </c>
      <c r="B1363" t="s">
        <v>53</v>
      </c>
      <c r="C1363" t="s">
        <v>54</v>
      </c>
      <c r="D1363" t="s">
        <v>55</v>
      </c>
      <c r="E1363" t="s">
        <v>837</v>
      </c>
      <c r="F1363" t="s">
        <v>176</v>
      </c>
      <c r="G1363" t="s">
        <v>805</v>
      </c>
      <c r="H1363" t="s">
        <v>806</v>
      </c>
      <c r="I1363" t="s">
        <v>806</v>
      </c>
      <c r="J1363" t="s">
        <v>60</v>
      </c>
      <c r="K1363" t="s">
        <v>185</v>
      </c>
      <c r="L1363" t="s">
        <v>62</v>
      </c>
      <c r="M1363" t="s">
        <v>185</v>
      </c>
      <c r="N1363" t="s">
        <v>807</v>
      </c>
      <c r="O1363" t="s">
        <v>808</v>
      </c>
      <c r="P1363">
        <v>-19.627182000000001</v>
      </c>
      <c r="Q1363">
        <v>-43.902304999999998</v>
      </c>
      <c r="R1363" s="2" t="str">
        <f>HYPERLINK("https://www.google.com/maps?q=-19.6271820,-43.9023050","Abrir no Google Maps")</f>
        <v>Abrir no Google Maps</v>
      </c>
      <c r="S1363">
        <v>4</v>
      </c>
      <c r="T1363">
        <v>616.79254108479665</v>
      </c>
      <c r="U1363">
        <v>3</v>
      </c>
      <c r="V1363">
        <v>0.30431369759059002</v>
      </c>
      <c r="W1363">
        <v>0.85</v>
      </c>
      <c r="X1363">
        <v>0.25866664295200148</v>
      </c>
      <c r="Y1363">
        <v>7</v>
      </c>
      <c r="Z1363">
        <v>380.94095493365262</v>
      </c>
      <c r="AA1363">
        <v>2</v>
      </c>
      <c r="AB1363">
        <v>3</v>
      </c>
      <c r="AC1363">
        <v>7</v>
      </c>
      <c r="AD1363">
        <v>24.62</v>
      </c>
      <c r="AE1363">
        <v>253</v>
      </c>
      <c r="AF1363">
        <v>14</v>
      </c>
      <c r="AG1363">
        <v>61</v>
      </c>
      <c r="AH1363">
        <v>32</v>
      </c>
      <c r="AI1363">
        <v>5.53</v>
      </c>
      <c r="AJ1363">
        <v>24.11</v>
      </c>
      <c r="AK1363">
        <v>12.65</v>
      </c>
      <c r="AL1363">
        <v>-19.62716294999996</v>
      </c>
      <c r="AM1363">
        <v>-43.902133386240209</v>
      </c>
      <c r="AN1363">
        <v>-19.62716294999996</v>
      </c>
      <c r="AO1363">
        <v>-43.902133386240209</v>
      </c>
      <c r="AP1363">
        <v>-19.627182000000001</v>
      </c>
      <c r="AQ1363">
        <v>-43.902304999999998</v>
      </c>
      <c r="AR1363">
        <v>18.118597424375309</v>
      </c>
      <c r="AS1363" t="s">
        <v>65</v>
      </c>
      <c r="AT1363">
        <v>1</v>
      </c>
      <c r="AU1363" t="s">
        <v>809</v>
      </c>
      <c r="AV1363" t="s">
        <v>810</v>
      </c>
      <c r="AW1363" t="s">
        <v>60</v>
      </c>
      <c r="AX1363" t="s">
        <v>68</v>
      </c>
      <c r="AY1363" t="s">
        <v>69</v>
      </c>
      <c r="AZ1363" t="b">
        <v>1</v>
      </c>
    </row>
    <row r="1364" spans="1:52" x14ac:dyDescent="0.3">
      <c r="A1364" t="s">
        <v>52</v>
      </c>
      <c r="B1364" t="s">
        <v>53</v>
      </c>
      <c r="C1364" t="s">
        <v>54</v>
      </c>
      <c r="D1364" t="s">
        <v>55</v>
      </c>
      <c r="E1364" t="s">
        <v>837</v>
      </c>
      <c r="F1364" t="s">
        <v>176</v>
      </c>
      <c r="G1364" t="s">
        <v>177</v>
      </c>
      <c r="H1364" t="s">
        <v>178</v>
      </c>
      <c r="I1364" t="s">
        <v>178</v>
      </c>
      <c r="J1364" t="s">
        <v>60</v>
      </c>
      <c r="K1364" t="s">
        <v>179</v>
      </c>
      <c r="L1364" t="s">
        <v>62</v>
      </c>
      <c r="M1364" t="s">
        <v>179</v>
      </c>
      <c r="N1364" t="s">
        <v>180</v>
      </c>
      <c r="O1364" t="s">
        <v>120</v>
      </c>
      <c r="P1364">
        <v>-19.651526</v>
      </c>
      <c r="Q1364">
        <v>-43.891382999999998</v>
      </c>
      <c r="R1364" s="2" t="str">
        <f>HYPERLINK("https://www.google.com/maps?q=-19.6515260,-43.8913830","Abrir no Google Maps")</f>
        <v>Abrir no Google Maps</v>
      </c>
      <c r="S1364">
        <v>4</v>
      </c>
      <c r="T1364">
        <v>925.67779296789433</v>
      </c>
      <c r="U1364">
        <v>3</v>
      </c>
      <c r="V1364">
        <v>0.2628666598688012</v>
      </c>
      <c r="W1364">
        <v>1</v>
      </c>
      <c r="X1364">
        <v>0.2628666598688012</v>
      </c>
      <c r="Y1364">
        <v>7</v>
      </c>
      <c r="Z1364">
        <v>1193.102297436121</v>
      </c>
      <c r="AA1364">
        <v>2</v>
      </c>
      <c r="AB1364">
        <v>3</v>
      </c>
      <c r="AC1364">
        <v>7</v>
      </c>
      <c r="AD1364">
        <v>24.62</v>
      </c>
      <c r="AE1364">
        <v>253</v>
      </c>
      <c r="AF1364">
        <v>14</v>
      </c>
      <c r="AG1364">
        <v>61</v>
      </c>
      <c r="AH1364">
        <v>32</v>
      </c>
      <c r="AI1364">
        <v>5.53</v>
      </c>
      <c r="AJ1364">
        <v>24.11</v>
      </c>
      <c r="AK1364">
        <v>12.65</v>
      </c>
      <c r="AL1364">
        <v>-19.651590199999958</v>
      </c>
      <c r="AM1364">
        <v>-43.891399191449963</v>
      </c>
      <c r="AN1364">
        <v>-19.651590199999958</v>
      </c>
      <c r="AO1364">
        <v>-43.891399191449963</v>
      </c>
      <c r="AP1364">
        <v>-19.651526</v>
      </c>
      <c r="AQ1364">
        <v>-43.891382999999998</v>
      </c>
      <c r="AR1364">
        <v>7.3455622550785931</v>
      </c>
      <c r="AS1364" t="s">
        <v>65</v>
      </c>
      <c r="AT1364">
        <v>1</v>
      </c>
      <c r="AU1364" t="s">
        <v>181</v>
      </c>
      <c r="AV1364" t="s">
        <v>182</v>
      </c>
      <c r="AW1364" t="s">
        <v>60</v>
      </c>
      <c r="AX1364" t="s">
        <v>68</v>
      </c>
      <c r="AY1364" t="s">
        <v>69</v>
      </c>
      <c r="AZ1364" t="b">
        <v>1</v>
      </c>
    </row>
    <row r="1365" spans="1:52" x14ac:dyDescent="0.3">
      <c r="A1365" t="s">
        <v>52</v>
      </c>
      <c r="B1365" t="s">
        <v>53</v>
      </c>
      <c r="C1365" t="s">
        <v>54</v>
      </c>
      <c r="D1365" t="s">
        <v>55</v>
      </c>
      <c r="E1365" t="s">
        <v>837</v>
      </c>
      <c r="F1365" t="s">
        <v>176</v>
      </c>
      <c r="G1365" t="s">
        <v>183</v>
      </c>
      <c r="H1365" t="s">
        <v>184</v>
      </c>
      <c r="I1365" t="s">
        <v>184</v>
      </c>
      <c r="J1365" t="s">
        <v>60</v>
      </c>
      <c r="K1365" t="s">
        <v>185</v>
      </c>
      <c r="L1365" t="s">
        <v>62</v>
      </c>
      <c r="M1365" t="s">
        <v>185</v>
      </c>
      <c r="N1365" t="s">
        <v>186</v>
      </c>
      <c r="O1365" t="s">
        <v>187</v>
      </c>
      <c r="P1365">
        <v>-19.628589000000002</v>
      </c>
      <c r="Q1365">
        <v>-43.900232000000003</v>
      </c>
      <c r="R1365" s="2" t="str">
        <f>HYPERLINK("https://www.google.com/maps?q=-19.6285890,-43.9002320","Abrir no Google Maps")</f>
        <v>Abrir no Google Maps</v>
      </c>
      <c r="S1365">
        <v>4</v>
      </c>
      <c r="T1365">
        <v>479.31588622283061</v>
      </c>
      <c r="U1365">
        <v>3</v>
      </c>
      <c r="V1365">
        <v>0.33018654270218728</v>
      </c>
      <c r="W1365">
        <v>0.85</v>
      </c>
      <c r="X1365">
        <v>0.28065856129685918</v>
      </c>
      <c r="Y1365">
        <v>6</v>
      </c>
      <c r="Z1365">
        <v>383.34726345998263</v>
      </c>
      <c r="AA1365">
        <v>2</v>
      </c>
      <c r="AB1365">
        <v>3</v>
      </c>
      <c r="AC1365">
        <v>7</v>
      </c>
      <c r="AD1365">
        <v>24.62</v>
      </c>
      <c r="AE1365">
        <v>253</v>
      </c>
      <c r="AF1365">
        <v>14</v>
      </c>
      <c r="AG1365">
        <v>61</v>
      </c>
      <c r="AH1365">
        <v>32</v>
      </c>
      <c r="AI1365">
        <v>5.53</v>
      </c>
      <c r="AJ1365">
        <v>24.11</v>
      </c>
      <c r="AK1365">
        <v>12.65</v>
      </c>
      <c r="AL1365">
        <v>-19.628813749999949</v>
      </c>
      <c r="AM1365">
        <v>-43.90066394563523</v>
      </c>
      <c r="AN1365">
        <v>-19.628813749999949</v>
      </c>
      <c r="AO1365">
        <v>-43.90066394563523</v>
      </c>
      <c r="AP1365">
        <v>-19.628589000000002</v>
      </c>
      <c r="AQ1365">
        <v>-43.900232000000003</v>
      </c>
      <c r="AR1365">
        <v>51.741071441894853</v>
      </c>
      <c r="AS1365" t="s">
        <v>65</v>
      </c>
      <c r="AT1365">
        <v>1</v>
      </c>
      <c r="AU1365" t="s">
        <v>188</v>
      </c>
      <c r="AV1365" t="s">
        <v>189</v>
      </c>
      <c r="AW1365" t="s">
        <v>60</v>
      </c>
      <c r="AX1365" t="s">
        <v>68</v>
      </c>
      <c r="AY1365" t="s">
        <v>69</v>
      </c>
      <c r="AZ1365" t="b">
        <v>1</v>
      </c>
    </row>
    <row r="1366" spans="1:52" x14ac:dyDescent="0.3">
      <c r="A1366" t="s">
        <v>52</v>
      </c>
      <c r="B1366" t="s">
        <v>53</v>
      </c>
      <c r="C1366" t="s">
        <v>54</v>
      </c>
      <c r="D1366" t="s">
        <v>55</v>
      </c>
      <c r="E1366" t="s">
        <v>837</v>
      </c>
      <c r="F1366" t="s">
        <v>176</v>
      </c>
      <c r="G1366" t="s">
        <v>204</v>
      </c>
      <c r="H1366" t="s">
        <v>205</v>
      </c>
      <c r="I1366" t="s">
        <v>205</v>
      </c>
      <c r="J1366" t="s">
        <v>60</v>
      </c>
      <c r="K1366" t="s">
        <v>171</v>
      </c>
      <c r="L1366" t="s">
        <v>62</v>
      </c>
      <c r="M1366" t="s">
        <v>171</v>
      </c>
      <c r="N1366" t="s">
        <v>206</v>
      </c>
      <c r="O1366" t="s">
        <v>207</v>
      </c>
      <c r="P1366">
        <v>-19.674109000000001</v>
      </c>
      <c r="Q1366">
        <v>-43.890711000000003</v>
      </c>
      <c r="R1366" s="2" t="str">
        <f>HYPERLINK("https://www.google.com/maps?q=-19.6741090,-43.8907110","Abrir no Google Maps")</f>
        <v>Abrir no Google Maps</v>
      </c>
      <c r="S1366">
        <v>4</v>
      </c>
      <c r="T1366">
        <v>396.53059443764772</v>
      </c>
      <c r="U1366">
        <v>3</v>
      </c>
      <c r="V1366">
        <v>0.27465076192591181</v>
      </c>
      <c r="W1366">
        <v>1</v>
      </c>
      <c r="X1366">
        <v>0.27465076192591181</v>
      </c>
      <c r="Y1366">
        <v>3</v>
      </c>
      <c r="Z1366">
        <v>499.22520255557538</v>
      </c>
      <c r="AA1366">
        <v>2</v>
      </c>
      <c r="AB1366">
        <v>3</v>
      </c>
      <c r="AC1366">
        <v>7</v>
      </c>
      <c r="AD1366">
        <v>24.62</v>
      </c>
      <c r="AE1366">
        <v>253</v>
      </c>
      <c r="AF1366">
        <v>14</v>
      </c>
      <c r="AG1366">
        <v>61</v>
      </c>
      <c r="AH1366">
        <v>32</v>
      </c>
      <c r="AI1366">
        <v>5.53</v>
      </c>
      <c r="AJ1366">
        <v>24.11</v>
      </c>
      <c r="AK1366">
        <v>12.65</v>
      </c>
      <c r="AL1366">
        <v>-19.67362479999997</v>
      </c>
      <c r="AM1366">
        <v>-43.89068378253377</v>
      </c>
      <c r="AN1366">
        <v>-19.67362479999997</v>
      </c>
      <c r="AO1366">
        <v>-43.89068378253377</v>
      </c>
      <c r="AP1366">
        <v>-19.674109000000001</v>
      </c>
      <c r="AQ1366">
        <v>-43.890711000000003</v>
      </c>
      <c r="AR1366">
        <v>53.976595260276227</v>
      </c>
      <c r="AS1366" t="s">
        <v>65</v>
      </c>
      <c r="AT1366">
        <v>1</v>
      </c>
      <c r="AU1366" t="s">
        <v>208</v>
      </c>
      <c r="AV1366" t="s">
        <v>209</v>
      </c>
      <c r="AW1366" t="s">
        <v>60</v>
      </c>
      <c r="AX1366" t="s">
        <v>68</v>
      </c>
      <c r="AY1366" t="s">
        <v>69</v>
      </c>
      <c r="AZ1366" t="b">
        <v>1</v>
      </c>
    </row>
    <row r="1367" spans="1:52" x14ac:dyDescent="0.3">
      <c r="A1367" t="s">
        <v>52</v>
      </c>
      <c r="B1367" t="s">
        <v>53</v>
      </c>
      <c r="C1367" t="s">
        <v>54</v>
      </c>
      <c r="D1367" t="s">
        <v>55</v>
      </c>
      <c r="E1367" t="s">
        <v>837</v>
      </c>
      <c r="F1367" t="s">
        <v>176</v>
      </c>
      <c r="G1367" t="s">
        <v>145</v>
      </c>
      <c r="H1367" t="s">
        <v>146</v>
      </c>
      <c r="I1367" t="s">
        <v>146</v>
      </c>
      <c r="J1367" t="s">
        <v>60</v>
      </c>
      <c r="K1367" t="s">
        <v>147</v>
      </c>
      <c r="L1367" t="s">
        <v>62</v>
      </c>
      <c r="M1367" t="s">
        <v>147</v>
      </c>
      <c r="N1367" t="s">
        <v>148</v>
      </c>
      <c r="O1367" t="s">
        <v>81</v>
      </c>
      <c r="P1367">
        <v>-19.629356999999999</v>
      </c>
      <c r="Q1367">
        <v>-43.916857</v>
      </c>
      <c r="R1367" s="2" t="str">
        <f>HYPERLINK("https://www.google.com/maps?q=-19.6293570,-43.9168570","Abrir no Google Maps")</f>
        <v>Abrir no Google Maps</v>
      </c>
      <c r="S1367">
        <v>4</v>
      </c>
      <c r="T1367">
        <v>834.49898564045827</v>
      </c>
      <c r="U1367">
        <v>3</v>
      </c>
      <c r="V1367">
        <v>0.2923755620806559</v>
      </c>
      <c r="W1367">
        <v>1</v>
      </c>
      <c r="X1367">
        <v>0.2923755620806559</v>
      </c>
      <c r="Y1367">
        <v>3</v>
      </c>
      <c r="Z1367">
        <v>774.2841152512085</v>
      </c>
      <c r="AA1367">
        <v>2</v>
      </c>
      <c r="AB1367">
        <v>3</v>
      </c>
      <c r="AC1367">
        <v>7</v>
      </c>
      <c r="AD1367">
        <v>24.62</v>
      </c>
      <c r="AE1367">
        <v>253</v>
      </c>
      <c r="AF1367">
        <v>14</v>
      </c>
      <c r="AG1367">
        <v>61</v>
      </c>
      <c r="AH1367">
        <v>32</v>
      </c>
      <c r="AI1367">
        <v>5.53</v>
      </c>
      <c r="AJ1367">
        <v>24.11</v>
      </c>
      <c r="AK1367">
        <v>12.65</v>
      </c>
      <c r="AL1367">
        <v>-19.62962324999998</v>
      </c>
      <c r="AM1367">
        <v>-43.916419823634037</v>
      </c>
      <c r="AN1367">
        <v>-19.62962324999998</v>
      </c>
      <c r="AO1367">
        <v>-43.916419823634051</v>
      </c>
      <c r="AP1367">
        <v>-19.629356999999999</v>
      </c>
      <c r="AQ1367">
        <v>-43.916857</v>
      </c>
      <c r="AR1367">
        <v>54.585757388798442</v>
      </c>
      <c r="AS1367" t="s">
        <v>65</v>
      </c>
      <c r="AT1367">
        <v>1</v>
      </c>
      <c r="AU1367" t="s">
        <v>149</v>
      </c>
      <c r="AV1367" t="s">
        <v>150</v>
      </c>
      <c r="AW1367" t="s">
        <v>60</v>
      </c>
      <c r="AX1367" t="s">
        <v>68</v>
      </c>
      <c r="AY1367" t="s">
        <v>69</v>
      </c>
      <c r="AZ1367" t="b">
        <v>1</v>
      </c>
    </row>
    <row r="1368" spans="1:52" x14ac:dyDescent="0.3">
      <c r="A1368" t="s">
        <v>52</v>
      </c>
      <c r="B1368" t="s">
        <v>53</v>
      </c>
      <c r="C1368" t="s">
        <v>54</v>
      </c>
      <c r="D1368" t="s">
        <v>55</v>
      </c>
      <c r="E1368" t="s">
        <v>837</v>
      </c>
      <c r="F1368" t="s">
        <v>176</v>
      </c>
      <c r="G1368" t="s">
        <v>217</v>
      </c>
      <c r="H1368" t="s">
        <v>218</v>
      </c>
      <c r="I1368" t="s">
        <v>218</v>
      </c>
      <c r="J1368" t="s">
        <v>60</v>
      </c>
      <c r="K1368" t="s">
        <v>219</v>
      </c>
      <c r="L1368" t="s">
        <v>62</v>
      </c>
      <c r="M1368" t="s">
        <v>219</v>
      </c>
      <c r="N1368" t="s">
        <v>220</v>
      </c>
      <c r="O1368" t="s">
        <v>221</v>
      </c>
      <c r="P1368">
        <v>-19.668924000000001</v>
      </c>
      <c r="Q1368">
        <v>-43.888824</v>
      </c>
      <c r="R1368" s="2" t="str">
        <f>HYPERLINK("https://www.google.com/maps?q=-19.6689240,-43.8888240","Abrir no Google Maps")</f>
        <v>Abrir no Google Maps</v>
      </c>
      <c r="S1368">
        <v>4</v>
      </c>
      <c r="T1368">
        <v>911.82770913869297</v>
      </c>
      <c r="U1368">
        <v>3</v>
      </c>
      <c r="V1368">
        <v>0.26232901762855682</v>
      </c>
      <c r="W1368">
        <v>1</v>
      </c>
      <c r="X1368">
        <v>0.26232901762855682</v>
      </c>
      <c r="Y1368">
        <v>3</v>
      </c>
      <c r="Z1368">
        <v>306.43809582423751</v>
      </c>
      <c r="AA1368">
        <v>2</v>
      </c>
      <c r="AB1368">
        <v>3</v>
      </c>
      <c r="AC1368">
        <v>7</v>
      </c>
      <c r="AD1368">
        <v>24.62</v>
      </c>
      <c r="AE1368">
        <v>253</v>
      </c>
      <c r="AF1368">
        <v>14</v>
      </c>
      <c r="AG1368">
        <v>61</v>
      </c>
      <c r="AH1368">
        <v>32</v>
      </c>
      <c r="AI1368">
        <v>5.53</v>
      </c>
      <c r="AJ1368">
        <v>24.11</v>
      </c>
      <c r="AK1368">
        <v>12.65</v>
      </c>
      <c r="AL1368">
        <v>-19.669015399999981</v>
      </c>
      <c r="AM1368">
        <v>-43.88883436988452</v>
      </c>
      <c r="AN1368">
        <v>-19.669015399999971</v>
      </c>
      <c r="AO1368">
        <v>-43.88883436988452</v>
      </c>
      <c r="AP1368">
        <v>-19.668924000000001</v>
      </c>
      <c r="AQ1368">
        <v>-43.888824</v>
      </c>
      <c r="AR1368">
        <v>10.23254983885769</v>
      </c>
      <c r="AS1368" t="s">
        <v>65</v>
      </c>
      <c r="AT1368">
        <v>1</v>
      </c>
      <c r="AU1368" t="s">
        <v>222</v>
      </c>
      <c r="AV1368" t="s">
        <v>223</v>
      </c>
      <c r="AW1368" t="s">
        <v>60</v>
      </c>
      <c r="AX1368" t="s">
        <v>68</v>
      </c>
      <c r="AY1368" t="s">
        <v>69</v>
      </c>
      <c r="AZ1368" t="b">
        <v>1</v>
      </c>
    </row>
    <row r="1369" spans="1:52" x14ac:dyDescent="0.3">
      <c r="A1369" t="s">
        <v>52</v>
      </c>
      <c r="B1369" t="s">
        <v>53</v>
      </c>
      <c r="C1369" t="s">
        <v>54</v>
      </c>
      <c r="D1369" t="s">
        <v>55</v>
      </c>
      <c r="E1369" t="s">
        <v>837</v>
      </c>
      <c r="F1369" t="s">
        <v>176</v>
      </c>
      <c r="G1369" t="s">
        <v>197</v>
      </c>
      <c r="H1369" t="s">
        <v>224</v>
      </c>
      <c r="I1369" t="s">
        <v>224</v>
      </c>
      <c r="J1369" t="s">
        <v>60</v>
      </c>
      <c r="K1369" t="s">
        <v>199</v>
      </c>
      <c r="L1369" t="s">
        <v>62</v>
      </c>
      <c r="M1369" t="s">
        <v>199</v>
      </c>
      <c r="N1369" t="s">
        <v>200</v>
      </c>
      <c r="O1369" t="s">
        <v>225</v>
      </c>
      <c r="P1369">
        <v>-19.637217</v>
      </c>
      <c r="Q1369">
        <v>-43.916117</v>
      </c>
      <c r="R1369" s="2" t="str">
        <f>HYPERLINK("https://www.google.com/maps?q=-19.6372170,-43.9161170","Abrir no Google Maps")</f>
        <v>Abrir no Google Maps</v>
      </c>
      <c r="S1369">
        <v>4</v>
      </c>
      <c r="T1369">
        <v>0</v>
      </c>
      <c r="U1369">
        <v>3</v>
      </c>
      <c r="V1369">
        <v>0.26592879542519821</v>
      </c>
      <c r="W1369">
        <v>1</v>
      </c>
      <c r="X1369">
        <v>0.26592879542519821</v>
      </c>
      <c r="Y1369">
        <v>3</v>
      </c>
      <c r="Z1369">
        <v>94.289538231800577</v>
      </c>
      <c r="AA1369">
        <v>2</v>
      </c>
      <c r="AB1369">
        <v>3</v>
      </c>
      <c r="AC1369">
        <v>7</v>
      </c>
      <c r="AD1369">
        <v>24.62</v>
      </c>
      <c r="AE1369">
        <v>253</v>
      </c>
      <c r="AF1369">
        <v>14</v>
      </c>
      <c r="AG1369">
        <v>61</v>
      </c>
      <c r="AH1369">
        <v>32</v>
      </c>
      <c r="AI1369">
        <v>5.53</v>
      </c>
      <c r="AJ1369">
        <v>24.11</v>
      </c>
      <c r="AK1369">
        <v>12.65</v>
      </c>
      <c r="AL1369">
        <v>-19.63714454999996</v>
      </c>
      <c r="AM1369">
        <v>-43.915856532303224</v>
      </c>
      <c r="AN1369">
        <v>-19.63714454999996</v>
      </c>
      <c r="AO1369">
        <v>-43.915856532303224</v>
      </c>
      <c r="AP1369">
        <v>-19.637217</v>
      </c>
      <c r="AQ1369">
        <v>-43.916117</v>
      </c>
      <c r="AR1369">
        <v>28.47493692061667</v>
      </c>
      <c r="AS1369" t="s">
        <v>65</v>
      </c>
      <c r="AT1369">
        <v>1</v>
      </c>
      <c r="AU1369" t="s">
        <v>226</v>
      </c>
      <c r="AV1369" t="s">
        <v>227</v>
      </c>
      <c r="AW1369" t="s">
        <v>60</v>
      </c>
      <c r="AX1369" t="s">
        <v>68</v>
      </c>
      <c r="AY1369" t="s">
        <v>69</v>
      </c>
      <c r="AZ1369" t="b">
        <v>1</v>
      </c>
    </row>
    <row r="1370" spans="1:52" x14ac:dyDescent="0.3">
      <c r="A1370" t="s">
        <v>52</v>
      </c>
      <c r="B1370" t="s">
        <v>53</v>
      </c>
      <c r="C1370" t="s">
        <v>54</v>
      </c>
      <c r="D1370" t="s">
        <v>55</v>
      </c>
      <c r="E1370" t="s">
        <v>837</v>
      </c>
      <c r="F1370" t="s">
        <v>176</v>
      </c>
      <c r="G1370" t="s">
        <v>151</v>
      </c>
      <c r="H1370" t="s">
        <v>152</v>
      </c>
      <c r="I1370" t="s">
        <v>152</v>
      </c>
      <c r="J1370" t="s">
        <v>60</v>
      </c>
      <c r="K1370" t="s">
        <v>72</v>
      </c>
      <c r="L1370" t="s">
        <v>62</v>
      </c>
      <c r="M1370" t="s">
        <v>72</v>
      </c>
      <c r="N1370" t="s">
        <v>153</v>
      </c>
      <c r="O1370" t="s">
        <v>81</v>
      </c>
      <c r="P1370">
        <v>-19.635065999999998</v>
      </c>
      <c r="Q1370">
        <v>-43.916640000000001</v>
      </c>
      <c r="R1370" s="2" t="str">
        <f>HYPERLINK("https://www.google.com/maps?q=-19.6350660,-43.9166400","Abrir no Google Maps")</f>
        <v>Abrir no Google Maps</v>
      </c>
      <c r="S1370">
        <v>4</v>
      </c>
      <c r="T1370">
        <v>245.09875796292749</v>
      </c>
      <c r="U1370">
        <v>3</v>
      </c>
      <c r="V1370">
        <v>0.26234756097560979</v>
      </c>
      <c r="W1370">
        <v>1</v>
      </c>
      <c r="X1370">
        <v>0.26234756097560979</v>
      </c>
      <c r="Y1370">
        <v>3</v>
      </c>
      <c r="Z1370">
        <v>207.74356419317499</v>
      </c>
      <c r="AA1370">
        <v>2</v>
      </c>
      <c r="AB1370">
        <v>3</v>
      </c>
      <c r="AC1370">
        <v>7</v>
      </c>
      <c r="AD1370">
        <v>24.62</v>
      </c>
      <c r="AE1370">
        <v>253</v>
      </c>
      <c r="AF1370">
        <v>14</v>
      </c>
      <c r="AG1370">
        <v>61</v>
      </c>
      <c r="AH1370">
        <v>32</v>
      </c>
      <c r="AI1370">
        <v>5.53</v>
      </c>
      <c r="AJ1370">
        <v>24.11</v>
      </c>
      <c r="AK1370">
        <v>12.65</v>
      </c>
      <c r="AL1370">
        <v>-19.63505579999995</v>
      </c>
      <c r="AM1370">
        <v>-43.916633303072622</v>
      </c>
      <c r="AN1370">
        <v>-19.63505579999995</v>
      </c>
      <c r="AO1370">
        <v>-43.916633303072622</v>
      </c>
      <c r="AP1370">
        <v>-19.635065999999998</v>
      </c>
      <c r="AQ1370">
        <v>-43.916640000000001</v>
      </c>
      <c r="AR1370">
        <v>1.335026849412978</v>
      </c>
      <c r="AS1370" t="s">
        <v>65</v>
      </c>
      <c r="AT1370">
        <v>1</v>
      </c>
      <c r="AU1370" t="s">
        <v>154</v>
      </c>
      <c r="AV1370" t="s">
        <v>155</v>
      </c>
      <c r="AW1370" t="s">
        <v>60</v>
      </c>
      <c r="AX1370" t="s">
        <v>68</v>
      </c>
      <c r="AY1370" t="s">
        <v>69</v>
      </c>
      <c r="AZ1370" t="b">
        <v>1</v>
      </c>
    </row>
    <row r="1371" spans="1:52" x14ac:dyDescent="0.3">
      <c r="A1371" t="s">
        <v>52</v>
      </c>
      <c r="B1371" t="s">
        <v>53</v>
      </c>
      <c r="C1371" t="s">
        <v>54</v>
      </c>
      <c r="D1371" t="s">
        <v>55</v>
      </c>
      <c r="E1371" t="s">
        <v>837</v>
      </c>
      <c r="F1371" t="s">
        <v>176</v>
      </c>
      <c r="G1371" t="s">
        <v>156</v>
      </c>
      <c r="H1371" t="s">
        <v>157</v>
      </c>
      <c r="I1371" t="s">
        <v>157</v>
      </c>
      <c r="J1371" t="s">
        <v>60</v>
      </c>
      <c r="K1371" t="s">
        <v>79</v>
      </c>
      <c r="L1371" t="s">
        <v>62</v>
      </c>
      <c r="M1371" t="s">
        <v>79</v>
      </c>
      <c r="N1371" t="s">
        <v>158</v>
      </c>
      <c r="O1371" t="s">
        <v>159</v>
      </c>
      <c r="P1371">
        <v>-19.634687</v>
      </c>
      <c r="Q1371">
        <v>-43.912925999999999</v>
      </c>
      <c r="R1371" s="2" t="str">
        <f>HYPERLINK("https://www.google.com/maps?q=-19.6346870,-43.9129260","Abrir no Google Maps")</f>
        <v>Abrir no Google Maps</v>
      </c>
      <c r="S1371">
        <v>4</v>
      </c>
      <c r="T1371">
        <v>363.69725005634331</v>
      </c>
      <c r="U1371">
        <v>3</v>
      </c>
      <c r="V1371">
        <v>0.27437867519003412</v>
      </c>
      <c r="W1371">
        <v>1</v>
      </c>
      <c r="X1371">
        <v>0.27437867519003412</v>
      </c>
      <c r="Y1371">
        <v>3</v>
      </c>
      <c r="Z1371">
        <v>343.04088334900467</v>
      </c>
      <c r="AA1371">
        <v>2</v>
      </c>
      <c r="AB1371">
        <v>3</v>
      </c>
      <c r="AC1371">
        <v>7</v>
      </c>
      <c r="AD1371">
        <v>24.62</v>
      </c>
      <c r="AE1371">
        <v>253</v>
      </c>
      <c r="AF1371">
        <v>14</v>
      </c>
      <c r="AG1371">
        <v>61</v>
      </c>
      <c r="AH1371">
        <v>32</v>
      </c>
      <c r="AI1371">
        <v>5.53</v>
      </c>
      <c r="AJ1371">
        <v>24.11</v>
      </c>
      <c r="AK1371">
        <v>12.65</v>
      </c>
      <c r="AL1371">
        <v>-19.635145849999962</v>
      </c>
      <c r="AM1371">
        <v>-43.913103387269381</v>
      </c>
      <c r="AN1371">
        <v>-19.635145849999962</v>
      </c>
      <c r="AO1371">
        <v>-43.913103387269381</v>
      </c>
      <c r="AP1371">
        <v>-19.634687</v>
      </c>
      <c r="AQ1371">
        <v>-43.912925999999999</v>
      </c>
      <c r="AR1371">
        <v>54.359794849827942</v>
      </c>
      <c r="AS1371" t="s">
        <v>65</v>
      </c>
      <c r="AT1371">
        <v>1</v>
      </c>
      <c r="AU1371" t="s">
        <v>160</v>
      </c>
      <c r="AV1371" t="s">
        <v>161</v>
      </c>
      <c r="AW1371" t="s">
        <v>60</v>
      </c>
      <c r="AX1371" t="s">
        <v>68</v>
      </c>
      <c r="AY1371" t="s">
        <v>69</v>
      </c>
      <c r="AZ1371" t="b">
        <v>1</v>
      </c>
    </row>
    <row r="1372" spans="1:52" x14ac:dyDescent="0.3">
      <c r="A1372" t="s">
        <v>52</v>
      </c>
      <c r="B1372" t="s">
        <v>53</v>
      </c>
      <c r="C1372" t="s">
        <v>54</v>
      </c>
      <c r="D1372" t="s">
        <v>55</v>
      </c>
      <c r="E1372" t="s">
        <v>837</v>
      </c>
      <c r="F1372" t="s">
        <v>176</v>
      </c>
      <c r="G1372" t="s">
        <v>239</v>
      </c>
      <c r="H1372" t="s">
        <v>240</v>
      </c>
      <c r="I1372" t="s">
        <v>240</v>
      </c>
      <c r="J1372" t="s">
        <v>60</v>
      </c>
      <c r="K1372" t="s">
        <v>241</v>
      </c>
      <c r="L1372" t="s">
        <v>62</v>
      </c>
      <c r="M1372" t="s">
        <v>241</v>
      </c>
      <c r="N1372" t="s">
        <v>242</v>
      </c>
      <c r="O1372" t="s">
        <v>243</v>
      </c>
      <c r="P1372">
        <v>-19.64987</v>
      </c>
      <c r="Q1372">
        <v>-43.901328999999997</v>
      </c>
      <c r="R1372" s="2" t="str">
        <f>HYPERLINK("https://www.google.com/maps?q=-19.6498700,-43.9013290","Abrir no Google Maps")</f>
        <v>Abrir no Google Maps</v>
      </c>
      <c r="S1372">
        <v>4</v>
      </c>
      <c r="T1372">
        <v>379.88574886534309</v>
      </c>
      <c r="U1372">
        <v>3</v>
      </c>
      <c r="V1372">
        <v>0.25978203083466239</v>
      </c>
      <c r="W1372">
        <v>1</v>
      </c>
      <c r="X1372">
        <v>0.25978203083466239</v>
      </c>
      <c r="Y1372">
        <v>1</v>
      </c>
      <c r="Z1372">
        <v>442.33649591135162</v>
      </c>
      <c r="AA1372">
        <v>2</v>
      </c>
      <c r="AB1372">
        <v>3</v>
      </c>
      <c r="AC1372">
        <v>7</v>
      </c>
      <c r="AD1372">
        <v>24.62</v>
      </c>
      <c r="AE1372">
        <v>253</v>
      </c>
      <c r="AF1372">
        <v>14</v>
      </c>
      <c r="AG1372">
        <v>61</v>
      </c>
      <c r="AH1372">
        <v>32</v>
      </c>
      <c r="AI1372">
        <v>5.53</v>
      </c>
      <c r="AJ1372">
        <v>24.11</v>
      </c>
      <c r="AK1372">
        <v>12.65</v>
      </c>
      <c r="AL1372">
        <v>-19.64971674999995</v>
      </c>
      <c r="AM1372">
        <v>-43.901441574655102</v>
      </c>
      <c r="AN1372">
        <v>-19.64971674999995</v>
      </c>
      <c r="AO1372">
        <v>-43.901441574655102</v>
      </c>
      <c r="AP1372">
        <v>-19.64987</v>
      </c>
      <c r="AQ1372">
        <v>-43.901328999999997</v>
      </c>
      <c r="AR1372">
        <v>20.744262514610401</v>
      </c>
      <c r="AS1372" t="s">
        <v>65</v>
      </c>
      <c r="AT1372">
        <v>1</v>
      </c>
      <c r="AU1372" t="s">
        <v>244</v>
      </c>
      <c r="AV1372" t="s">
        <v>245</v>
      </c>
      <c r="AW1372" t="s">
        <v>60</v>
      </c>
      <c r="AX1372" t="s">
        <v>68</v>
      </c>
      <c r="AY1372" t="s">
        <v>69</v>
      </c>
      <c r="AZ1372" t="b">
        <v>1</v>
      </c>
    </row>
    <row r="1373" spans="1:52" x14ac:dyDescent="0.3">
      <c r="A1373" t="s">
        <v>52</v>
      </c>
      <c r="B1373" t="s">
        <v>53</v>
      </c>
      <c r="C1373" t="s">
        <v>54</v>
      </c>
      <c r="D1373" t="s">
        <v>55</v>
      </c>
      <c r="E1373" t="s">
        <v>837</v>
      </c>
      <c r="F1373" t="s">
        <v>176</v>
      </c>
      <c r="G1373" t="s">
        <v>632</v>
      </c>
      <c r="H1373" t="s">
        <v>633</v>
      </c>
      <c r="I1373" t="s">
        <v>633</v>
      </c>
      <c r="J1373" t="s">
        <v>60</v>
      </c>
      <c r="K1373" t="s">
        <v>164</v>
      </c>
      <c r="L1373" t="s">
        <v>62</v>
      </c>
      <c r="M1373" t="s">
        <v>164</v>
      </c>
      <c r="N1373" t="s">
        <v>287</v>
      </c>
      <c r="O1373" t="s">
        <v>634</v>
      </c>
      <c r="P1373">
        <v>-19.647012</v>
      </c>
      <c r="Q1373">
        <v>-43.903843000000002</v>
      </c>
      <c r="R1373" s="2" t="str">
        <f>HYPERLINK("https://www.google.com/maps?q=-19.6470120,-43.9038430","Abrir no Google Maps")</f>
        <v>Abrir no Google Maps</v>
      </c>
      <c r="S1373">
        <v>4</v>
      </c>
      <c r="T1373">
        <v>0</v>
      </c>
      <c r="U1373">
        <v>3</v>
      </c>
      <c r="V1373">
        <v>0.30619047619047618</v>
      </c>
      <c r="W1373">
        <v>0.85</v>
      </c>
      <c r="X1373">
        <v>0.26026190476190469</v>
      </c>
      <c r="Y1373">
        <v>1</v>
      </c>
      <c r="Z1373">
        <v>126.45608798330009</v>
      </c>
      <c r="AA1373">
        <v>2</v>
      </c>
      <c r="AB1373">
        <v>3</v>
      </c>
      <c r="AC1373">
        <v>7</v>
      </c>
      <c r="AD1373">
        <v>24.62</v>
      </c>
      <c r="AE1373">
        <v>253</v>
      </c>
      <c r="AF1373">
        <v>14</v>
      </c>
      <c r="AG1373">
        <v>61</v>
      </c>
      <c r="AH1373">
        <v>32</v>
      </c>
      <c r="AI1373">
        <v>5.53</v>
      </c>
      <c r="AJ1373">
        <v>24.11</v>
      </c>
      <c r="AK1373">
        <v>12.65</v>
      </c>
      <c r="AL1373">
        <v>-19.647072199999968</v>
      </c>
      <c r="AM1373">
        <v>-43.903751273681941</v>
      </c>
      <c r="AN1373">
        <v>-19.647072199999968</v>
      </c>
      <c r="AO1373">
        <v>-43.903751273681941</v>
      </c>
      <c r="AP1373">
        <v>-19.647012</v>
      </c>
      <c r="AQ1373">
        <v>-43.903843000000002</v>
      </c>
      <c r="AR1373">
        <v>11.72121231224985</v>
      </c>
      <c r="AS1373" t="s">
        <v>65</v>
      </c>
      <c r="AT1373">
        <v>1</v>
      </c>
      <c r="AU1373" t="s">
        <v>635</v>
      </c>
      <c r="AV1373" t="s">
        <v>636</v>
      </c>
      <c r="AW1373" t="s">
        <v>60</v>
      </c>
      <c r="AX1373" t="s">
        <v>68</v>
      </c>
      <c r="AY1373" t="s">
        <v>69</v>
      </c>
      <c r="AZ1373" t="b">
        <v>1</v>
      </c>
    </row>
    <row r="1374" spans="1:52" x14ac:dyDescent="0.3">
      <c r="A1374" t="s">
        <v>52</v>
      </c>
      <c r="B1374" t="s">
        <v>53</v>
      </c>
      <c r="C1374" t="s">
        <v>54</v>
      </c>
      <c r="D1374" t="s">
        <v>55</v>
      </c>
      <c r="E1374" t="s">
        <v>837</v>
      </c>
      <c r="F1374" t="s">
        <v>176</v>
      </c>
      <c r="G1374" t="s">
        <v>637</v>
      </c>
      <c r="H1374" t="s">
        <v>638</v>
      </c>
      <c r="I1374" t="s">
        <v>638</v>
      </c>
      <c r="J1374" t="s">
        <v>60</v>
      </c>
      <c r="K1374" t="s">
        <v>164</v>
      </c>
      <c r="L1374" t="s">
        <v>62</v>
      </c>
      <c r="M1374" t="s">
        <v>164</v>
      </c>
      <c r="N1374" t="s">
        <v>515</v>
      </c>
      <c r="O1374" t="s">
        <v>639</v>
      </c>
      <c r="P1374">
        <v>-19.649045000000001</v>
      </c>
      <c r="Q1374">
        <v>-43.906213000000001</v>
      </c>
      <c r="R1374" s="2" t="str">
        <f>HYPERLINK("https://www.google.com/maps?q=-19.6490450,-43.9062130","Abrir no Google Maps")</f>
        <v>Abrir no Google Maps</v>
      </c>
      <c r="S1374">
        <v>4</v>
      </c>
      <c r="T1374">
        <v>354.5775313741824</v>
      </c>
      <c r="U1374">
        <v>3</v>
      </c>
      <c r="V1374">
        <v>0.3104897959183674</v>
      </c>
      <c r="W1374">
        <v>0.85</v>
      </c>
      <c r="X1374">
        <v>0.26391632653061231</v>
      </c>
      <c r="Y1374">
        <v>1</v>
      </c>
      <c r="Z1374">
        <v>313.4728845052731</v>
      </c>
      <c r="AA1374">
        <v>2</v>
      </c>
      <c r="AB1374">
        <v>3</v>
      </c>
      <c r="AC1374">
        <v>7</v>
      </c>
      <c r="AD1374">
        <v>24.62</v>
      </c>
      <c r="AE1374">
        <v>253</v>
      </c>
      <c r="AF1374">
        <v>14</v>
      </c>
      <c r="AG1374">
        <v>61</v>
      </c>
      <c r="AH1374">
        <v>32</v>
      </c>
      <c r="AI1374">
        <v>5.53</v>
      </c>
      <c r="AJ1374">
        <v>24.11</v>
      </c>
      <c r="AK1374">
        <v>12.65</v>
      </c>
      <c r="AL1374">
        <v>-19.64957229999996</v>
      </c>
      <c r="AM1374">
        <v>-43.905865971426437</v>
      </c>
      <c r="AN1374">
        <v>-19.64957229999996</v>
      </c>
      <c r="AO1374">
        <v>-43.905865971426437</v>
      </c>
      <c r="AP1374">
        <v>-19.649045000000001</v>
      </c>
      <c r="AQ1374">
        <v>-43.906213000000001</v>
      </c>
      <c r="AR1374">
        <v>69.059379686882949</v>
      </c>
      <c r="AS1374" t="s">
        <v>65</v>
      </c>
      <c r="AT1374">
        <v>1</v>
      </c>
      <c r="AU1374" t="s">
        <v>640</v>
      </c>
      <c r="AV1374" t="s">
        <v>641</v>
      </c>
      <c r="AW1374" t="s">
        <v>60</v>
      </c>
      <c r="AX1374" t="s">
        <v>68</v>
      </c>
      <c r="AY1374" t="s">
        <v>69</v>
      </c>
      <c r="AZ1374" t="b">
        <v>1</v>
      </c>
    </row>
    <row r="1375" spans="1:52" x14ac:dyDescent="0.3">
      <c r="A1375" t="s">
        <v>52</v>
      </c>
      <c r="B1375" t="s">
        <v>53</v>
      </c>
      <c r="C1375" t="s">
        <v>54</v>
      </c>
      <c r="D1375" t="s">
        <v>55</v>
      </c>
      <c r="E1375" t="s">
        <v>837</v>
      </c>
      <c r="F1375" t="s">
        <v>176</v>
      </c>
      <c r="G1375" t="s">
        <v>246</v>
      </c>
      <c r="H1375" t="s">
        <v>247</v>
      </c>
      <c r="I1375" t="s">
        <v>247</v>
      </c>
      <c r="J1375" t="s">
        <v>60</v>
      </c>
      <c r="K1375" t="s">
        <v>164</v>
      </c>
      <c r="L1375" t="s">
        <v>62</v>
      </c>
      <c r="M1375" t="s">
        <v>164</v>
      </c>
      <c r="N1375" t="s">
        <v>248</v>
      </c>
      <c r="O1375" t="s">
        <v>249</v>
      </c>
      <c r="P1375">
        <v>-19.6448</v>
      </c>
      <c r="Q1375">
        <v>-43.901600999999999</v>
      </c>
      <c r="R1375" s="2" t="str">
        <f>HYPERLINK("https://www.google.com/maps?q=-19.6448000,-43.9016010","Abrir no Google Maps")</f>
        <v>Abrir no Google Maps</v>
      </c>
      <c r="S1375">
        <v>4</v>
      </c>
      <c r="T1375">
        <v>317.869447308274</v>
      </c>
      <c r="U1375">
        <v>3</v>
      </c>
      <c r="V1375">
        <v>0.29068010075566741</v>
      </c>
      <c r="W1375">
        <v>1</v>
      </c>
      <c r="X1375">
        <v>0.29068010075566741</v>
      </c>
      <c r="Y1375">
        <v>1</v>
      </c>
      <c r="Z1375">
        <v>349.42631749673592</v>
      </c>
      <c r="AA1375">
        <v>2</v>
      </c>
      <c r="AB1375">
        <v>3</v>
      </c>
      <c r="AC1375">
        <v>7</v>
      </c>
      <c r="AD1375">
        <v>24.62</v>
      </c>
      <c r="AE1375">
        <v>253</v>
      </c>
      <c r="AF1375">
        <v>14</v>
      </c>
      <c r="AG1375">
        <v>61</v>
      </c>
      <c r="AH1375">
        <v>32</v>
      </c>
      <c r="AI1375">
        <v>5.53</v>
      </c>
      <c r="AJ1375">
        <v>24.11</v>
      </c>
      <c r="AK1375">
        <v>12.65</v>
      </c>
      <c r="AL1375">
        <v>-19.644877249999951</v>
      </c>
      <c r="AM1375">
        <v>-43.901796079893373</v>
      </c>
      <c r="AN1375">
        <v>-19.644877249999951</v>
      </c>
      <c r="AO1375">
        <v>-43.901796079893373</v>
      </c>
      <c r="AP1375">
        <v>-19.6448</v>
      </c>
      <c r="AQ1375">
        <v>-43.901600999999999</v>
      </c>
      <c r="AR1375">
        <v>22.186635956426102</v>
      </c>
      <c r="AS1375" t="s">
        <v>65</v>
      </c>
      <c r="AT1375">
        <v>1</v>
      </c>
      <c r="AU1375" t="s">
        <v>250</v>
      </c>
      <c r="AV1375" t="s">
        <v>251</v>
      </c>
      <c r="AW1375" t="s">
        <v>60</v>
      </c>
      <c r="AX1375" t="s">
        <v>68</v>
      </c>
      <c r="AY1375" t="s">
        <v>69</v>
      </c>
      <c r="AZ1375" t="b">
        <v>1</v>
      </c>
    </row>
    <row r="1376" spans="1:52" x14ac:dyDescent="0.3">
      <c r="A1376" t="s">
        <v>52</v>
      </c>
      <c r="B1376" t="s">
        <v>53</v>
      </c>
      <c r="C1376" t="s">
        <v>54</v>
      </c>
      <c r="D1376" t="s">
        <v>55</v>
      </c>
      <c r="E1376" t="s">
        <v>837</v>
      </c>
      <c r="F1376" t="s">
        <v>176</v>
      </c>
      <c r="G1376" t="s">
        <v>217</v>
      </c>
      <c r="H1376" t="s">
        <v>264</v>
      </c>
      <c r="I1376" t="s">
        <v>264</v>
      </c>
      <c r="J1376" t="s">
        <v>60</v>
      </c>
      <c r="K1376" t="s">
        <v>219</v>
      </c>
      <c r="L1376" t="s">
        <v>62</v>
      </c>
      <c r="M1376" t="s">
        <v>219</v>
      </c>
      <c r="N1376" t="s">
        <v>220</v>
      </c>
      <c r="O1376" t="s">
        <v>265</v>
      </c>
      <c r="P1376">
        <v>-19.668958</v>
      </c>
      <c r="Q1376">
        <v>-43.890619999999998</v>
      </c>
      <c r="R1376" s="2" t="str">
        <f>HYPERLINK("https://www.google.com/maps?q=-19.6689580,-43.8906200","Abrir no Google Maps")</f>
        <v>Abrir no Google Maps</v>
      </c>
      <c r="S1376">
        <v>4</v>
      </c>
      <c r="T1376">
        <v>893.53138484322108</v>
      </c>
      <c r="U1376">
        <v>3</v>
      </c>
      <c r="V1376">
        <v>0.2697736527579459</v>
      </c>
      <c r="W1376">
        <v>1</v>
      </c>
      <c r="X1376">
        <v>0.2697736527579459</v>
      </c>
      <c r="Y1376">
        <v>1</v>
      </c>
      <c r="Z1376">
        <v>336.68220024294959</v>
      </c>
      <c r="AA1376">
        <v>2</v>
      </c>
      <c r="AB1376">
        <v>3</v>
      </c>
      <c r="AC1376">
        <v>7</v>
      </c>
      <c r="AD1376">
        <v>24.62</v>
      </c>
      <c r="AE1376">
        <v>253</v>
      </c>
      <c r="AF1376">
        <v>14</v>
      </c>
      <c r="AG1376">
        <v>61</v>
      </c>
      <c r="AH1376">
        <v>32</v>
      </c>
      <c r="AI1376">
        <v>5.53</v>
      </c>
      <c r="AJ1376">
        <v>24.11</v>
      </c>
      <c r="AK1376">
        <v>12.65</v>
      </c>
      <c r="AL1376">
        <v>-19.669114549999961</v>
      </c>
      <c r="AM1376">
        <v>-43.890740893526242</v>
      </c>
      <c r="AN1376">
        <v>-19.669114549999961</v>
      </c>
      <c r="AO1376">
        <v>-43.890740893526242</v>
      </c>
      <c r="AP1376">
        <v>-19.668958</v>
      </c>
      <c r="AQ1376">
        <v>-43.890619999999998</v>
      </c>
      <c r="AR1376">
        <v>21.54764375256557</v>
      </c>
      <c r="AS1376" t="s">
        <v>65</v>
      </c>
      <c r="AT1376">
        <v>1</v>
      </c>
      <c r="AU1376" t="s">
        <v>266</v>
      </c>
      <c r="AV1376" t="s">
        <v>267</v>
      </c>
      <c r="AW1376" t="s">
        <v>60</v>
      </c>
      <c r="AX1376" t="s">
        <v>68</v>
      </c>
      <c r="AY1376" t="s">
        <v>69</v>
      </c>
      <c r="AZ1376" t="b">
        <v>1</v>
      </c>
    </row>
    <row r="1377" spans="1:52" x14ac:dyDescent="0.3">
      <c r="A1377" t="s">
        <v>52</v>
      </c>
      <c r="B1377" t="s">
        <v>53</v>
      </c>
      <c r="C1377" t="s">
        <v>54</v>
      </c>
      <c r="D1377" t="s">
        <v>55</v>
      </c>
      <c r="E1377" t="s">
        <v>837</v>
      </c>
      <c r="F1377" t="s">
        <v>176</v>
      </c>
      <c r="G1377" t="s">
        <v>658</v>
      </c>
      <c r="H1377" t="s">
        <v>659</v>
      </c>
      <c r="I1377" t="s">
        <v>659</v>
      </c>
      <c r="J1377" t="s">
        <v>60</v>
      </c>
      <c r="K1377" t="s">
        <v>219</v>
      </c>
      <c r="L1377" t="s">
        <v>62</v>
      </c>
      <c r="M1377" t="s">
        <v>219</v>
      </c>
      <c r="N1377" t="s">
        <v>660</v>
      </c>
      <c r="O1377" t="s">
        <v>661</v>
      </c>
      <c r="P1377">
        <v>-19.666937999999998</v>
      </c>
      <c r="Q1377">
        <v>-43.888468000000003</v>
      </c>
      <c r="R1377" s="2" t="str">
        <f>HYPERLINK("https://www.google.com/maps?q=-19.6669380,-43.8884680","Abrir no Google Maps")</f>
        <v>Abrir no Google Maps</v>
      </c>
      <c r="S1377">
        <v>4</v>
      </c>
      <c r="T1377">
        <v>1154.601486572938</v>
      </c>
      <c r="U1377">
        <v>3</v>
      </c>
      <c r="V1377">
        <v>0.32789653314172801</v>
      </c>
      <c r="W1377">
        <v>0.85</v>
      </c>
      <c r="X1377">
        <v>0.27871205317046882</v>
      </c>
      <c r="Y1377">
        <v>1</v>
      </c>
      <c r="Z1377">
        <v>129.9648546404961</v>
      </c>
      <c r="AA1377">
        <v>2</v>
      </c>
      <c r="AB1377">
        <v>3</v>
      </c>
      <c r="AC1377">
        <v>7</v>
      </c>
      <c r="AD1377">
        <v>24.62</v>
      </c>
      <c r="AE1377">
        <v>253</v>
      </c>
      <c r="AF1377">
        <v>14</v>
      </c>
      <c r="AG1377">
        <v>61</v>
      </c>
      <c r="AH1377">
        <v>32</v>
      </c>
      <c r="AI1377">
        <v>5.53</v>
      </c>
      <c r="AJ1377">
        <v>24.11</v>
      </c>
      <c r="AK1377">
        <v>12.65</v>
      </c>
      <c r="AL1377">
        <v>-19.666844549999951</v>
      </c>
      <c r="AM1377">
        <v>-43.888501800017913</v>
      </c>
      <c r="AN1377">
        <v>-19.666844549999951</v>
      </c>
      <c r="AO1377">
        <v>-43.888501800017913</v>
      </c>
      <c r="AP1377">
        <v>-19.666937999999998</v>
      </c>
      <c r="AQ1377">
        <v>-43.888468000000003</v>
      </c>
      <c r="AR1377">
        <v>10.9896825754148</v>
      </c>
      <c r="AS1377" t="s">
        <v>65</v>
      </c>
      <c r="AT1377">
        <v>1</v>
      </c>
      <c r="AU1377" t="s">
        <v>662</v>
      </c>
      <c r="AV1377" t="s">
        <v>663</v>
      </c>
      <c r="AW1377" t="s">
        <v>60</v>
      </c>
      <c r="AX1377" t="s">
        <v>68</v>
      </c>
      <c r="AY1377" t="s">
        <v>69</v>
      </c>
      <c r="AZ1377" t="b">
        <v>1</v>
      </c>
    </row>
    <row r="1378" spans="1:52" x14ac:dyDescent="0.3">
      <c r="A1378" t="s">
        <v>52</v>
      </c>
      <c r="B1378" t="s">
        <v>53</v>
      </c>
      <c r="C1378" t="s">
        <v>54</v>
      </c>
      <c r="D1378" t="s">
        <v>55</v>
      </c>
      <c r="E1378" t="s">
        <v>837</v>
      </c>
      <c r="F1378" t="s">
        <v>176</v>
      </c>
      <c r="G1378" t="s">
        <v>169</v>
      </c>
      <c r="H1378" t="s">
        <v>170</v>
      </c>
      <c r="I1378" t="s">
        <v>170</v>
      </c>
      <c r="J1378" t="s">
        <v>60</v>
      </c>
      <c r="K1378" t="s">
        <v>171</v>
      </c>
      <c r="L1378" t="s">
        <v>62</v>
      </c>
      <c r="M1378" t="s">
        <v>171</v>
      </c>
      <c r="N1378" t="s">
        <v>172</v>
      </c>
      <c r="O1378" t="s">
        <v>173</v>
      </c>
      <c r="P1378">
        <v>-19.676233</v>
      </c>
      <c r="Q1378">
        <v>-43.88861</v>
      </c>
      <c r="R1378" s="2" t="str">
        <f>HYPERLINK("https://www.google.com/maps?q=-19.6762330,-43.8886100","Abrir no Google Maps")</f>
        <v>Abrir no Google Maps</v>
      </c>
      <c r="S1378">
        <v>4</v>
      </c>
      <c r="T1378">
        <v>209.5772620412292</v>
      </c>
      <c r="U1378">
        <v>3</v>
      </c>
      <c r="V1378">
        <v>0.2792643156969532</v>
      </c>
      <c r="W1378">
        <v>1</v>
      </c>
      <c r="X1378">
        <v>0.2792643156969532</v>
      </c>
      <c r="Y1378">
        <v>0</v>
      </c>
      <c r="Z1378">
        <v>194.26571923644971</v>
      </c>
      <c r="AA1378">
        <v>2</v>
      </c>
      <c r="AB1378">
        <v>3</v>
      </c>
      <c r="AC1378">
        <v>7</v>
      </c>
      <c r="AD1378">
        <v>24.62</v>
      </c>
      <c r="AE1378">
        <v>253</v>
      </c>
      <c r="AF1378">
        <v>14</v>
      </c>
      <c r="AG1378">
        <v>61</v>
      </c>
      <c r="AH1378">
        <v>32</v>
      </c>
      <c r="AI1378">
        <v>5.53</v>
      </c>
      <c r="AJ1378">
        <v>24.11</v>
      </c>
      <c r="AK1378">
        <v>12.65</v>
      </c>
      <c r="AL1378">
        <v>-19.676097449999961</v>
      </c>
      <c r="AM1378">
        <v>-43.888455613153738</v>
      </c>
      <c r="AN1378">
        <v>-19.676097449999961</v>
      </c>
      <c r="AO1378">
        <v>-43.888455613153738</v>
      </c>
      <c r="AP1378">
        <v>-19.676233</v>
      </c>
      <c r="AQ1378">
        <v>-43.88861</v>
      </c>
      <c r="AR1378">
        <v>22.126352434234079</v>
      </c>
      <c r="AS1378" t="s">
        <v>65</v>
      </c>
      <c r="AT1378">
        <v>1</v>
      </c>
      <c r="AU1378" t="s">
        <v>174</v>
      </c>
      <c r="AV1378" t="s">
        <v>175</v>
      </c>
      <c r="AW1378" t="s">
        <v>60</v>
      </c>
      <c r="AX1378" t="s">
        <v>68</v>
      </c>
      <c r="AY1378" t="s">
        <v>69</v>
      </c>
      <c r="AZ1378" t="b">
        <v>1</v>
      </c>
    </row>
    <row r="1379" spans="1:52" x14ac:dyDescent="0.3">
      <c r="A1379" t="s">
        <v>52</v>
      </c>
      <c r="B1379" t="s">
        <v>53</v>
      </c>
      <c r="C1379" t="s">
        <v>54</v>
      </c>
      <c r="D1379" t="s">
        <v>55</v>
      </c>
      <c r="E1379" t="s">
        <v>837</v>
      </c>
      <c r="F1379" t="s">
        <v>176</v>
      </c>
      <c r="G1379" t="s">
        <v>279</v>
      </c>
      <c r="H1379" t="s">
        <v>280</v>
      </c>
      <c r="I1379" t="s">
        <v>280</v>
      </c>
      <c r="J1379" t="s">
        <v>60</v>
      </c>
      <c r="K1379" t="s">
        <v>171</v>
      </c>
      <c r="L1379" t="s">
        <v>62</v>
      </c>
      <c r="M1379" t="s">
        <v>171</v>
      </c>
      <c r="N1379" t="s">
        <v>281</v>
      </c>
      <c r="O1379" t="s">
        <v>282</v>
      </c>
      <c r="P1379">
        <v>-19.677088000000001</v>
      </c>
      <c r="Q1379">
        <v>-43.890014000000001</v>
      </c>
      <c r="R1379" s="2" t="str">
        <f>HYPERLINK("https://www.google.com/maps?q=-19.6770880,-43.8900140","Abrir no Google Maps")</f>
        <v>Abrir no Google Maps</v>
      </c>
      <c r="S1379">
        <v>4</v>
      </c>
      <c r="T1379">
        <v>0</v>
      </c>
      <c r="U1379">
        <v>3</v>
      </c>
      <c r="V1379">
        <v>0.2616963064295485</v>
      </c>
      <c r="W1379">
        <v>1</v>
      </c>
      <c r="X1379">
        <v>0.2616963064295485</v>
      </c>
      <c r="Y1379">
        <v>0</v>
      </c>
      <c r="Z1379">
        <v>151.75635194559609</v>
      </c>
      <c r="AA1379">
        <v>2</v>
      </c>
      <c r="AB1379">
        <v>3</v>
      </c>
      <c r="AC1379">
        <v>7</v>
      </c>
      <c r="AD1379">
        <v>24.62</v>
      </c>
      <c r="AE1379">
        <v>253</v>
      </c>
      <c r="AF1379">
        <v>14</v>
      </c>
      <c r="AG1379">
        <v>61</v>
      </c>
      <c r="AH1379">
        <v>32</v>
      </c>
      <c r="AI1379">
        <v>5.53</v>
      </c>
      <c r="AJ1379">
        <v>24.11</v>
      </c>
      <c r="AK1379">
        <v>12.65</v>
      </c>
      <c r="AL1379">
        <v>-19.677165649999949</v>
      </c>
      <c r="AM1379">
        <v>-43.890106299611283</v>
      </c>
      <c r="AN1379">
        <v>-19.677165649999949</v>
      </c>
      <c r="AO1379">
        <v>-43.890106299611283</v>
      </c>
      <c r="AP1379">
        <v>-19.677088000000001</v>
      </c>
      <c r="AQ1379">
        <v>-43.890014000000001</v>
      </c>
      <c r="AR1379">
        <v>12.973833126778279</v>
      </c>
      <c r="AS1379" t="s">
        <v>65</v>
      </c>
      <c r="AT1379">
        <v>1</v>
      </c>
      <c r="AU1379" t="s">
        <v>283</v>
      </c>
      <c r="AV1379" t="s">
        <v>175</v>
      </c>
      <c r="AW1379" t="s">
        <v>60</v>
      </c>
      <c r="AX1379" t="s">
        <v>68</v>
      </c>
      <c r="AY1379" t="s">
        <v>69</v>
      </c>
      <c r="AZ1379" t="b">
        <v>1</v>
      </c>
    </row>
    <row r="1380" spans="1:52" x14ac:dyDescent="0.3">
      <c r="A1380" t="s">
        <v>52</v>
      </c>
      <c r="B1380" t="s">
        <v>53</v>
      </c>
      <c r="C1380" t="s">
        <v>54</v>
      </c>
      <c r="D1380" t="s">
        <v>55</v>
      </c>
      <c r="E1380" t="s">
        <v>837</v>
      </c>
      <c r="F1380" t="s">
        <v>176</v>
      </c>
      <c r="G1380" t="s">
        <v>284</v>
      </c>
      <c r="H1380" t="s">
        <v>285</v>
      </c>
      <c r="I1380" t="s">
        <v>285</v>
      </c>
      <c r="J1380" t="s">
        <v>60</v>
      </c>
      <c r="K1380" t="s">
        <v>286</v>
      </c>
      <c r="L1380" t="s">
        <v>62</v>
      </c>
      <c r="M1380" t="s">
        <v>286</v>
      </c>
      <c r="N1380" t="s">
        <v>287</v>
      </c>
      <c r="O1380" t="s">
        <v>288</v>
      </c>
      <c r="P1380">
        <v>-19.639790000000001</v>
      </c>
      <c r="Q1380">
        <v>-43.882798999999999</v>
      </c>
      <c r="R1380" s="2" t="str">
        <f>HYPERLINK("https://www.google.com/maps?q=-19.6397900,-43.8827990","Abrir no Google Maps")</f>
        <v>Abrir no Google Maps</v>
      </c>
      <c r="S1380">
        <v>3</v>
      </c>
      <c r="T1380">
        <v>242.7052058134478</v>
      </c>
      <c r="U1380">
        <v>4</v>
      </c>
      <c r="V1380">
        <v>0.30929627124203102</v>
      </c>
      <c r="W1380">
        <v>1</v>
      </c>
      <c r="X1380">
        <v>0.30929627124203102</v>
      </c>
      <c r="Y1380">
        <v>10</v>
      </c>
      <c r="Z1380">
        <v>187.2088809462339</v>
      </c>
      <c r="AA1380">
        <v>2</v>
      </c>
      <c r="AB1380">
        <v>3</v>
      </c>
      <c r="AC1380">
        <v>7</v>
      </c>
      <c r="AD1380">
        <v>24.62</v>
      </c>
      <c r="AE1380">
        <v>253</v>
      </c>
      <c r="AF1380">
        <v>14</v>
      </c>
      <c r="AG1380">
        <v>61</v>
      </c>
      <c r="AH1380">
        <v>32</v>
      </c>
      <c r="AI1380">
        <v>5.53</v>
      </c>
      <c r="AJ1380">
        <v>24.11</v>
      </c>
      <c r="AK1380">
        <v>12.65</v>
      </c>
      <c r="AL1380">
        <v>-19.639855599999951</v>
      </c>
      <c r="AM1380">
        <v>-43.882909745178452</v>
      </c>
      <c r="AN1380">
        <v>-19.639855599999951</v>
      </c>
      <c r="AO1380">
        <v>-43.882909745178452</v>
      </c>
      <c r="AP1380">
        <v>-19.639790000000001</v>
      </c>
      <c r="AQ1380">
        <v>-43.882798999999999</v>
      </c>
      <c r="AR1380">
        <v>13.716486068571211</v>
      </c>
      <c r="AS1380" t="s">
        <v>65</v>
      </c>
      <c r="AT1380">
        <v>1</v>
      </c>
      <c r="AU1380" t="s">
        <v>289</v>
      </c>
      <c r="AV1380" t="s">
        <v>290</v>
      </c>
      <c r="AW1380" t="s">
        <v>60</v>
      </c>
      <c r="AX1380" t="s">
        <v>68</v>
      </c>
      <c r="AY1380" t="s">
        <v>69</v>
      </c>
      <c r="AZ1380" t="b">
        <v>1</v>
      </c>
    </row>
    <row r="1381" spans="1:52" x14ac:dyDescent="0.3">
      <c r="A1381" t="s">
        <v>52</v>
      </c>
      <c r="B1381" t="s">
        <v>53</v>
      </c>
      <c r="C1381" t="s">
        <v>54</v>
      </c>
      <c r="D1381" t="s">
        <v>55</v>
      </c>
      <c r="E1381" t="s">
        <v>837</v>
      </c>
      <c r="F1381" t="s">
        <v>176</v>
      </c>
      <c r="G1381" t="s">
        <v>291</v>
      </c>
      <c r="H1381" t="s">
        <v>292</v>
      </c>
      <c r="I1381" t="s">
        <v>292</v>
      </c>
      <c r="J1381" t="s">
        <v>60</v>
      </c>
      <c r="K1381" t="s">
        <v>286</v>
      </c>
      <c r="L1381" t="s">
        <v>62</v>
      </c>
      <c r="M1381" t="s">
        <v>286</v>
      </c>
      <c r="N1381" t="s">
        <v>293</v>
      </c>
      <c r="O1381" t="s">
        <v>294</v>
      </c>
      <c r="P1381">
        <v>-19.640333999999999</v>
      </c>
      <c r="Q1381">
        <v>-43.880004999999997</v>
      </c>
      <c r="R1381" s="2" t="str">
        <f>HYPERLINK("https://www.google.com/maps?q=-19.6403340,-43.8800050","Abrir no Google Maps")</f>
        <v>Abrir no Google Maps</v>
      </c>
      <c r="S1381">
        <v>3</v>
      </c>
      <c r="T1381">
        <v>276.80943817309782</v>
      </c>
      <c r="U1381">
        <v>4</v>
      </c>
      <c r="V1381">
        <v>0.31677282377919319</v>
      </c>
      <c r="W1381">
        <v>1</v>
      </c>
      <c r="X1381">
        <v>0.31677282377919319</v>
      </c>
      <c r="Y1381">
        <v>10</v>
      </c>
      <c r="Z1381">
        <v>361.98332038983392</v>
      </c>
      <c r="AA1381">
        <v>2</v>
      </c>
      <c r="AB1381">
        <v>3</v>
      </c>
      <c r="AC1381">
        <v>7</v>
      </c>
      <c r="AD1381">
        <v>24.62</v>
      </c>
      <c r="AE1381">
        <v>253</v>
      </c>
      <c r="AF1381">
        <v>14</v>
      </c>
      <c r="AG1381">
        <v>61</v>
      </c>
      <c r="AH1381">
        <v>32</v>
      </c>
      <c r="AI1381">
        <v>5.53</v>
      </c>
      <c r="AJ1381">
        <v>24.11</v>
      </c>
      <c r="AK1381">
        <v>12.65</v>
      </c>
      <c r="AL1381">
        <v>-19.640260249999951</v>
      </c>
      <c r="AM1381">
        <v>-43.880090474326408</v>
      </c>
      <c r="AN1381">
        <v>-19.640260249999951</v>
      </c>
      <c r="AO1381">
        <v>-43.880090474326408</v>
      </c>
      <c r="AP1381">
        <v>-19.640333999999999</v>
      </c>
      <c r="AQ1381">
        <v>-43.880004999999997</v>
      </c>
      <c r="AR1381">
        <v>12.153556195359609</v>
      </c>
      <c r="AS1381" t="s">
        <v>65</v>
      </c>
      <c r="AT1381">
        <v>1</v>
      </c>
      <c r="AU1381" t="s">
        <v>295</v>
      </c>
      <c r="AV1381" t="s">
        <v>296</v>
      </c>
      <c r="AW1381" t="s">
        <v>60</v>
      </c>
      <c r="AX1381" t="s">
        <v>68</v>
      </c>
      <c r="AY1381" t="s">
        <v>69</v>
      </c>
      <c r="AZ1381" t="b">
        <v>1</v>
      </c>
    </row>
    <row r="1382" spans="1:52" x14ac:dyDescent="0.3">
      <c r="A1382" t="s">
        <v>52</v>
      </c>
      <c r="B1382" t="s">
        <v>53</v>
      </c>
      <c r="C1382" t="s">
        <v>54</v>
      </c>
      <c r="D1382" t="s">
        <v>55</v>
      </c>
      <c r="E1382" t="s">
        <v>837</v>
      </c>
      <c r="F1382" t="s">
        <v>176</v>
      </c>
      <c r="G1382" t="s">
        <v>405</v>
      </c>
      <c r="H1382" t="s">
        <v>406</v>
      </c>
      <c r="I1382" t="s">
        <v>406</v>
      </c>
      <c r="J1382" t="s">
        <v>60</v>
      </c>
      <c r="K1382" t="s">
        <v>286</v>
      </c>
      <c r="L1382" t="s">
        <v>62</v>
      </c>
      <c r="M1382" t="s">
        <v>286</v>
      </c>
      <c r="N1382" t="s">
        <v>407</v>
      </c>
      <c r="O1382" t="s">
        <v>408</v>
      </c>
      <c r="P1382">
        <v>-19.646345</v>
      </c>
      <c r="Q1382">
        <v>-43.882294999999999</v>
      </c>
      <c r="R1382" s="2" t="str">
        <f>HYPERLINK("https://www.google.com/maps?q=-19.6463450,-43.8822950","Abrir no Google Maps")</f>
        <v>Abrir no Google Maps</v>
      </c>
      <c r="S1382">
        <v>3</v>
      </c>
      <c r="T1382">
        <v>450.3180538635894</v>
      </c>
      <c r="U1382">
        <v>4</v>
      </c>
      <c r="V1382">
        <v>0.29754066721808659</v>
      </c>
      <c r="W1382">
        <v>1</v>
      </c>
      <c r="X1382">
        <v>0.29754066721808659</v>
      </c>
      <c r="Y1382">
        <v>10</v>
      </c>
      <c r="Z1382">
        <v>349.23341775902583</v>
      </c>
      <c r="AA1382">
        <v>2</v>
      </c>
      <c r="AB1382">
        <v>3</v>
      </c>
      <c r="AC1382">
        <v>7</v>
      </c>
      <c r="AD1382">
        <v>24.62</v>
      </c>
      <c r="AE1382">
        <v>253</v>
      </c>
      <c r="AF1382">
        <v>14</v>
      </c>
      <c r="AG1382">
        <v>61</v>
      </c>
      <c r="AH1382">
        <v>32</v>
      </c>
      <c r="AI1382">
        <v>5.53</v>
      </c>
      <c r="AJ1382">
        <v>24.11</v>
      </c>
      <c r="AK1382">
        <v>12.65</v>
      </c>
      <c r="AL1382">
        <v>-19.646391649999941</v>
      </c>
      <c r="AM1382">
        <v>-43.882007396993302</v>
      </c>
      <c r="AN1382">
        <v>-19.646391649999941</v>
      </c>
      <c r="AO1382">
        <v>-43.882007396993302</v>
      </c>
      <c r="AP1382">
        <v>-19.646345</v>
      </c>
      <c r="AQ1382">
        <v>-43.882294999999999</v>
      </c>
      <c r="AR1382">
        <v>30.596105513395301</v>
      </c>
      <c r="AS1382" t="s">
        <v>65</v>
      </c>
      <c r="AT1382">
        <v>1</v>
      </c>
      <c r="AU1382" t="s">
        <v>409</v>
      </c>
      <c r="AV1382" t="s">
        <v>410</v>
      </c>
      <c r="AW1382" t="s">
        <v>60</v>
      </c>
      <c r="AX1382" t="s">
        <v>68</v>
      </c>
      <c r="AY1382" t="s">
        <v>69</v>
      </c>
      <c r="AZ1382" t="b">
        <v>1</v>
      </c>
    </row>
    <row r="1383" spans="1:52" x14ac:dyDescent="0.3">
      <c r="A1383" t="s">
        <v>52</v>
      </c>
      <c r="B1383" t="s">
        <v>53</v>
      </c>
      <c r="C1383" t="s">
        <v>54</v>
      </c>
      <c r="D1383" t="s">
        <v>55</v>
      </c>
      <c r="E1383" t="s">
        <v>837</v>
      </c>
      <c r="F1383" t="s">
        <v>176</v>
      </c>
      <c r="G1383" t="s">
        <v>228</v>
      </c>
      <c r="H1383" t="s">
        <v>423</v>
      </c>
      <c r="I1383" t="s">
        <v>423</v>
      </c>
      <c r="J1383" t="s">
        <v>60</v>
      </c>
      <c r="K1383" t="s">
        <v>286</v>
      </c>
      <c r="L1383" t="s">
        <v>62</v>
      </c>
      <c r="M1383" t="s">
        <v>286</v>
      </c>
      <c r="N1383" t="s">
        <v>230</v>
      </c>
      <c r="O1383" t="s">
        <v>424</v>
      </c>
      <c r="P1383">
        <v>-19.641656999999999</v>
      </c>
      <c r="Q1383">
        <v>-43.884228999999998</v>
      </c>
      <c r="R1383" s="2" t="str">
        <f>HYPERLINK("https://www.google.com/maps?q=-19.6416570,-43.8842290","Abrir no Google Maps")</f>
        <v>Abrir no Google Maps</v>
      </c>
      <c r="S1383">
        <v>3</v>
      </c>
      <c r="T1383">
        <v>0</v>
      </c>
      <c r="U1383">
        <v>4</v>
      </c>
      <c r="V1383">
        <v>0.30199800007692001</v>
      </c>
      <c r="W1383">
        <v>1</v>
      </c>
      <c r="X1383">
        <v>0.30199800007692001</v>
      </c>
      <c r="Y1383">
        <v>7</v>
      </c>
      <c r="Z1383">
        <v>67.727401070752876</v>
      </c>
      <c r="AA1383">
        <v>2</v>
      </c>
      <c r="AB1383">
        <v>3</v>
      </c>
      <c r="AC1383">
        <v>7</v>
      </c>
      <c r="AD1383">
        <v>24.62</v>
      </c>
      <c r="AE1383">
        <v>253</v>
      </c>
      <c r="AF1383">
        <v>14</v>
      </c>
      <c r="AG1383">
        <v>61</v>
      </c>
      <c r="AH1383">
        <v>32</v>
      </c>
      <c r="AI1383">
        <v>5.53</v>
      </c>
      <c r="AJ1383">
        <v>24.11</v>
      </c>
      <c r="AK1383">
        <v>12.65</v>
      </c>
      <c r="AL1383">
        <v>-19.641634199999942</v>
      </c>
      <c r="AM1383">
        <v>-43.884263743972831</v>
      </c>
      <c r="AN1383">
        <v>-19.641634199999942</v>
      </c>
      <c r="AO1383">
        <v>-43.884263743972831</v>
      </c>
      <c r="AP1383">
        <v>-19.641656999999999</v>
      </c>
      <c r="AQ1383">
        <v>-43.884228999999998</v>
      </c>
      <c r="AR1383">
        <v>4.4396888961435659</v>
      </c>
      <c r="AS1383" t="s">
        <v>65</v>
      </c>
      <c r="AT1383">
        <v>1</v>
      </c>
      <c r="AU1383" t="s">
        <v>425</v>
      </c>
      <c r="AV1383" t="s">
        <v>426</v>
      </c>
      <c r="AW1383" t="s">
        <v>60</v>
      </c>
      <c r="AX1383" t="s">
        <v>68</v>
      </c>
      <c r="AY1383" t="s">
        <v>69</v>
      </c>
      <c r="AZ1383" t="b">
        <v>1</v>
      </c>
    </row>
    <row r="1384" spans="1:52" x14ac:dyDescent="0.3">
      <c r="A1384" t="s">
        <v>52</v>
      </c>
      <c r="B1384" t="s">
        <v>53</v>
      </c>
      <c r="C1384" t="s">
        <v>54</v>
      </c>
      <c r="D1384" t="s">
        <v>55</v>
      </c>
      <c r="E1384" t="s">
        <v>837</v>
      </c>
      <c r="F1384" t="s">
        <v>176</v>
      </c>
      <c r="G1384" t="s">
        <v>297</v>
      </c>
      <c r="H1384" t="s">
        <v>298</v>
      </c>
      <c r="I1384" t="s">
        <v>298</v>
      </c>
      <c r="J1384" t="s">
        <v>60</v>
      </c>
      <c r="K1384" t="s">
        <v>299</v>
      </c>
      <c r="L1384" t="s">
        <v>62</v>
      </c>
      <c r="M1384" t="s">
        <v>299</v>
      </c>
      <c r="N1384" t="s">
        <v>300</v>
      </c>
      <c r="O1384" t="s">
        <v>301</v>
      </c>
      <c r="P1384">
        <v>-19.679597000000001</v>
      </c>
      <c r="Q1384">
        <v>-43.912095000000001</v>
      </c>
      <c r="R1384" s="2" t="str">
        <f>HYPERLINK("https://www.google.com/maps?q=-19.6795970,-43.9120950","Abrir no Google Maps")</f>
        <v>Abrir no Google Maps</v>
      </c>
      <c r="S1384">
        <v>3</v>
      </c>
      <c r="T1384">
        <v>1581.3368267219889</v>
      </c>
      <c r="U1384">
        <v>4</v>
      </c>
      <c r="V1384">
        <v>0.31069063386944179</v>
      </c>
      <c r="W1384">
        <v>1</v>
      </c>
      <c r="X1384">
        <v>0.31069063386944179</v>
      </c>
      <c r="Y1384">
        <v>5</v>
      </c>
      <c r="Z1384">
        <v>2051.2590436749392</v>
      </c>
      <c r="AA1384">
        <v>2</v>
      </c>
      <c r="AB1384">
        <v>3</v>
      </c>
      <c r="AC1384">
        <v>7</v>
      </c>
      <c r="AD1384">
        <v>24.62</v>
      </c>
      <c r="AE1384">
        <v>253</v>
      </c>
      <c r="AF1384">
        <v>14</v>
      </c>
      <c r="AG1384">
        <v>61</v>
      </c>
      <c r="AH1384">
        <v>32</v>
      </c>
      <c r="AI1384">
        <v>5.53</v>
      </c>
      <c r="AJ1384">
        <v>24.11</v>
      </c>
      <c r="AK1384">
        <v>12.65</v>
      </c>
      <c r="AL1384">
        <v>-19.679572799999931</v>
      </c>
      <c r="AM1384">
        <v>-43.912071775440793</v>
      </c>
      <c r="AN1384">
        <v>-19.679572799999931</v>
      </c>
      <c r="AO1384">
        <v>-43.912071775440793</v>
      </c>
      <c r="AP1384">
        <v>-19.679597000000001</v>
      </c>
      <c r="AQ1384">
        <v>-43.912095000000001</v>
      </c>
      <c r="AR1384">
        <v>3.6308936744190978</v>
      </c>
      <c r="AS1384" t="s">
        <v>65</v>
      </c>
      <c r="AT1384">
        <v>1</v>
      </c>
      <c r="AU1384" t="s">
        <v>302</v>
      </c>
      <c r="AV1384" t="s">
        <v>303</v>
      </c>
      <c r="AW1384" t="s">
        <v>60</v>
      </c>
      <c r="AX1384" t="s">
        <v>68</v>
      </c>
      <c r="AY1384" t="s">
        <v>69</v>
      </c>
      <c r="AZ1384" t="b">
        <v>1</v>
      </c>
    </row>
    <row r="1385" spans="1:52" x14ac:dyDescent="0.3">
      <c r="A1385" t="s">
        <v>52</v>
      </c>
      <c r="B1385" t="s">
        <v>53</v>
      </c>
      <c r="C1385" t="s">
        <v>54</v>
      </c>
      <c r="D1385" t="s">
        <v>55</v>
      </c>
      <c r="E1385" t="s">
        <v>837</v>
      </c>
      <c r="F1385" t="s">
        <v>176</v>
      </c>
      <c r="G1385" t="s">
        <v>304</v>
      </c>
      <c r="H1385" t="s">
        <v>305</v>
      </c>
      <c r="I1385" t="s">
        <v>305</v>
      </c>
      <c r="J1385" t="s">
        <v>60</v>
      </c>
      <c r="K1385" t="s">
        <v>299</v>
      </c>
      <c r="L1385" t="s">
        <v>62</v>
      </c>
      <c r="M1385" t="s">
        <v>299</v>
      </c>
      <c r="N1385" t="s">
        <v>306</v>
      </c>
      <c r="O1385" t="s">
        <v>307</v>
      </c>
      <c r="P1385">
        <v>-19.681051</v>
      </c>
      <c r="Q1385">
        <v>-43.914375</v>
      </c>
      <c r="R1385" s="2" t="str">
        <f>HYPERLINK("https://www.google.com/maps?q=-19.6810510,-43.9143750","Abrir no Google Maps")</f>
        <v>Abrir no Google Maps</v>
      </c>
      <c r="S1385">
        <v>3</v>
      </c>
      <c r="T1385">
        <v>1793.507056919605</v>
      </c>
      <c r="U1385">
        <v>4</v>
      </c>
      <c r="V1385">
        <v>0.31908290714260862</v>
      </c>
      <c r="W1385">
        <v>1</v>
      </c>
      <c r="X1385">
        <v>0.31908290714260862</v>
      </c>
      <c r="Y1385">
        <v>5</v>
      </c>
      <c r="Z1385">
        <v>2183.7125920783069</v>
      </c>
      <c r="AA1385">
        <v>2</v>
      </c>
      <c r="AB1385">
        <v>3</v>
      </c>
      <c r="AC1385">
        <v>7</v>
      </c>
      <c r="AD1385">
        <v>24.62</v>
      </c>
      <c r="AE1385">
        <v>253</v>
      </c>
      <c r="AF1385">
        <v>14</v>
      </c>
      <c r="AG1385">
        <v>61</v>
      </c>
      <c r="AH1385">
        <v>32</v>
      </c>
      <c r="AI1385">
        <v>5.53</v>
      </c>
      <c r="AJ1385">
        <v>24.11</v>
      </c>
      <c r="AK1385">
        <v>12.65</v>
      </c>
      <c r="AL1385">
        <v>-19.680967149999962</v>
      </c>
      <c r="AM1385">
        <v>-43.914383884426663</v>
      </c>
      <c r="AN1385">
        <v>-19.680967149999962</v>
      </c>
      <c r="AO1385">
        <v>-43.914383884426663</v>
      </c>
      <c r="AP1385">
        <v>-19.681051</v>
      </c>
      <c r="AQ1385">
        <v>-43.914375</v>
      </c>
      <c r="AR1385">
        <v>9.3805201894968722</v>
      </c>
      <c r="AS1385" t="s">
        <v>65</v>
      </c>
      <c r="AT1385">
        <v>1</v>
      </c>
      <c r="AU1385" t="s">
        <v>308</v>
      </c>
      <c r="AV1385" t="s">
        <v>303</v>
      </c>
      <c r="AW1385" t="s">
        <v>60</v>
      </c>
      <c r="AX1385" t="s">
        <v>68</v>
      </c>
      <c r="AY1385" t="s">
        <v>69</v>
      </c>
      <c r="AZ1385" t="b">
        <v>1</v>
      </c>
    </row>
    <row r="1386" spans="1:52" x14ac:dyDescent="0.3">
      <c r="A1386" t="s">
        <v>52</v>
      </c>
      <c r="B1386" t="s">
        <v>53</v>
      </c>
      <c r="C1386" t="s">
        <v>54</v>
      </c>
      <c r="D1386" t="s">
        <v>55</v>
      </c>
      <c r="E1386" t="s">
        <v>837</v>
      </c>
      <c r="F1386" t="s">
        <v>176</v>
      </c>
      <c r="G1386" t="s">
        <v>309</v>
      </c>
      <c r="H1386" t="s">
        <v>310</v>
      </c>
      <c r="I1386" t="s">
        <v>310</v>
      </c>
      <c r="J1386" t="s">
        <v>60</v>
      </c>
      <c r="K1386" t="s">
        <v>311</v>
      </c>
      <c r="L1386" t="s">
        <v>62</v>
      </c>
      <c r="M1386" t="s">
        <v>311</v>
      </c>
      <c r="N1386" t="s">
        <v>312</v>
      </c>
      <c r="O1386" t="s">
        <v>313</v>
      </c>
      <c r="P1386">
        <v>-19.576996999999999</v>
      </c>
      <c r="Q1386">
        <v>-43.919024999999998</v>
      </c>
      <c r="R1386" s="2" t="str">
        <f>HYPERLINK("https://www.google.com/maps?q=-19.5769970,-43.9190250","Abrir no Google Maps")</f>
        <v>Abrir no Google Maps</v>
      </c>
      <c r="S1386">
        <v>3</v>
      </c>
      <c r="T1386">
        <v>316.64266747869789</v>
      </c>
      <c r="U1386">
        <v>4</v>
      </c>
      <c r="V1386">
        <v>0.45640975862292099</v>
      </c>
      <c r="W1386">
        <v>0.85</v>
      </c>
      <c r="X1386">
        <v>0.38794829482948279</v>
      </c>
      <c r="Y1386">
        <v>5</v>
      </c>
      <c r="Z1386">
        <v>411.74435151529269</v>
      </c>
      <c r="AA1386">
        <v>2</v>
      </c>
      <c r="AB1386">
        <v>3</v>
      </c>
      <c r="AC1386">
        <v>7</v>
      </c>
      <c r="AD1386">
        <v>24.62</v>
      </c>
      <c r="AE1386">
        <v>253</v>
      </c>
      <c r="AF1386">
        <v>14</v>
      </c>
      <c r="AG1386">
        <v>61</v>
      </c>
      <c r="AH1386">
        <v>32</v>
      </c>
      <c r="AI1386">
        <v>5.53</v>
      </c>
      <c r="AJ1386">
        <v>24.11</v>
      </c>
      <c r="AK1386">
        <v>12.65</v>
      </c>
      <c r="AL1386">
        <v>-19.576964999999941</v>
      </c>
      <c r="AM1386">
        <v>-43.919068241233632</v>
      </c>
      <c r="AN1386">
        <v>-19.576964999999941</v>
      </c>
      <c r="AO1386">
        <v>-43.919068241233632</v>
      </c>
      <c r="AP1386">
        <v>-19.576996999999999</v>
      </c>
      <c r="AQ1386">
        <v>-43.919024999999998</v>
      </c>
      <c r="AR1386">
        <v>5.7670575161946216</v>
      </c>
      <c r="AS1386" t="s">
        <v>65</v>
      </c>
      <c r="AT1386">
        <v>1</v>
      </c>
      <c r="AU1386" t="s">
        <v>314</v>
      </c>
      <c r="AV1386" t="s">
        <v>315</v>
      </c>
      <c r="AW1386" t="s">
        <v>60</v>
      </c>
      <c r="AX1386" t="s">
        <v>68</v>
      </c>
      <c r="AY1386" t="s">
        <v>69</v>
      </c>
      <c r="AZ1386" t="b">
        <v>1</v>
      </c>
    </row>
    <row r="1387" spans="1:52" x14ac:dyDescent="0.3">
      <c r="A1387" t="s">
        <v>52</v>
      </c>
      <c r="B1387" t="s">
        <v>53</v>
      </c>
      <c r="C1387" t="s">
        <v>54</v>
      </c>
      <c r="D1387" t="s">
        <v>55</v>
      </c>
      <c r="E1387" t="s">
        <v>837</v>
      </c>
      <c r="F1387" t="s">
        <v>176</v>
      </c>
      <c r="G1387" t="s">
        <v>309</v>
      </c>
      <c r="H1387" t="s">
        <v>316</v>
      </c>
      <c r="I1387" t="s">
        <v>316</v>
      </c>
      <c r="J1387" t="s">
        <v>60</v>
      </c>
      <c r="K1387" t="s">
        <v>311</v>
      </c>
      <c r="L1387" t="s">
        <v>62</v>
      </c>
      <c r="M1387" t="s">
        <v>311</v>
      </c>
      <c r="N1387" t="s">
        <v>317</v>
      </c>
      <c r="O1387" t="s">
        <v>313</v>
      </c>
      <c r="P1387">
        <v>-19.580131999999999</v>
      </c>
      <c r="Q1387">
        <v>-43.918303000000002</v>
      </c>
      <c r="R1387" s="2" t="str">
        <f>HYPERLINK("https://www.google.com/maps?q=-19.5801320,-43.9183030","Abrir no Google Maps")</f>
        <v>Abrir no Google Maps</v>
      </c>
      <c r="S1387">
        <v>3</v>
      </c>
      <c r="T1387">
        <v>665.05989403461285</v>
      </c>
      <c r="U1387">
        <v>4</v>
      </c>
      <c r="V1387">
        <v>0.46170345875413349</v>
      </c>
      <c r="W1387">
        <v>1</v>
      </c>
      <c r="X1387">
        <v>0.46170345875413349</v>
      </c>
      <c r="Y1387">
        <v>5</v>
      </c>
      <c r="Z1387">
        <v>743.64474333505098</v>
      </c>
      <c r="AA1387">
        <v>2</v>
      </c>
      <c r="AB1387">
        <v>3</v>
      </c>
      <c r="AC1387">
        <v>7</v>
      </c>
      <c r="AD1387">
        <v>24.62</v>
      </c>
      <c r="AE1387">
        <v>253</v>
      </c>
      <c r="AF1387">
        <v>14</v>
      </c>
      <c r="AG1387">
        <v>61</v>
      </c>
      <c r="AH1387">
        <v>32</v>
      </c>
      <c r="AI1387">
        <v>5.53</v>
      </c>
      <c r="AJ1387">
        <v>24.11</v>
      </c>
      <c r="AK1387">
        <v>12.65</v>
      </c>
      <c r="AL1387">
        <v>-19.58010349999995</v>
      </c>
      <c r="AM1387">
        <v>-43.918363319288602</v>
      </c>
      <c r="AN1387">
        <v>-19.58010349999995</v>
      </c>
      <c r="AO1387">
        <v>-43.918363319288602</v>
      </c>
      <c r="AP1387">
        <v>-19.580131999999999</v>
      </c>
      <c r="AQ1387">
        <v>-43.918303000000002</v>
      </c>
      <c r="AR1387">
        <v>7.0773977790944862</v>
      </c>
      <c r="AS1387" t="s">
        <v>65</v>
      </c>
      <c r="AT1387">
        <v>1</v>
      </c>
      <c r="AU1387" t="s">
        <v>318</v>
      </c>
      <c r="AV1387" t="s">
        <v>319</v>
      </c>
      <c r="AW1387" t="s">
        <v>60</v>
      </c>
      <c r="AX1387" t="s">
        <v>68</v>
      </c>
      <c r="AY1387" t="s">
        <v>69</v>
      </c>
      <c r="AZ1387" t="b">
        <v>1</v>
      </c>
    </row>
    <row r="1388" spans="1:52" x14ac:dyDescent="0.3">
      <c r="A1388" t="s">
        <v>52</v>
      </c>
      <c r="B1388" t="s">
        <v>53</v>
      </c>
      <c r="C1388" t="s">
        <v>54</v>
      </c>
      <c r="D1388" t="s">
        <v>55</v>
      </c>
      <c r="E1388" t="s">
        <v>837</v>
      </c>
      <c r="F1388" t="s">
        <v>176</v>
      </c>
      <c r="G1388" t="s">
        <v>309</v>
      </c>
      <c r="H1388" t="s">
        <v>320</v>
      </c>
      <c r="I1388" t="s">
        <v>320</v>
      </c>
      <c r="J1388" t="s">
        <v>60</v>
      </c>
      <c r="K1388" t="s">
        <v>311</v>
      </c>
      <c r="L1388" t="s">
        <v>62</v>
      </c>
      <c r="M1388" t="s">
        <v>311</v>
      </c>
      <c r="N1388" t="s">
        <v>321</v>
      </c>
      <c r="O1388" t="s">
        <v>313</v>
      </c>
      <c r="P1388">
        <v>-19.578469999999999</v>
      </c>
      <c r="Q1388">
        <v>-43.918922000000002</v>
      </c>
      <c r="R1388" s="2" t="str">
        <f>HYPERLINK("https://www.google.com/maps?q=-19.5784700,-43.9189220","Abrir no Google Maps")</f>
        <v>Abrir no Google Maps</v>
      </c>
      <c r="S1388">
        <v>3</v>
      </c>
      <c r="T1388">
        <v>474.92456146278471</v>
      </c>
      <c r="U1388">
        <v>4</v>
      </c>
      <c r="V1388">
        <v>0.43797967709406821</v>
      </c>
      <c r="W1388">
        <v>0.85</v>
      </c>
      <c r="X1388">
        <v>0.37228272552995789</v>
      </c>
      <c r="Y1388">
        <v>5</v>
      </c>
      <c r="Z1388">
        <v>562.61594151292854</v>
      </c>
      <c r="AA1388">
        <v>2</v>
      </c>
      <c r="AB1388">
        <v>3</v>
      </c>
      <c r="AC1388">
        <v>7</v>
      </c>
      <c r="AD1388">
        <v>24.62</v>
      </c>
      <c r="AE1388">
        <v>253</v>
      </c>
      <c r="AF1388">
        <v>14</v>
      </c>
      <c r="AG1388">
        <v>61</v>
      </c>
      <c r="AH1388">
        <v>32</v>
      </c>
      <c r="AI1388">
        <v>5.53</v>
      </c>
      <c r="AJ1388">
        <v>24.11</v>
      </c>
      <c r="AK1388">
        <v>12.65</v>
      </c>
      <c r="AL1388">
        <v>-19.578483899999959</v>
      </c>
      <c r="AM1388">
        <v>-43.918967993509547</v>
      </c>
      <c r="AN1388">
        <v>-19.578483899999959</v>
      </c>
      <c r="AO1388">
        <v>-43.918967993509547</v>
      </c>
      <c r="AP1388">
        <v>-19.578469999999999</v>
      </c>
      <c r="AQ1388">
        <v>-43.918922000000002</v>
      </c>
      <c r="AR1388">
        <v>5.0660669465561501</v>
      </c>
      <c r="AS1388" t="s">
        <v>65</v>
      </c>
      <c r="AT1388">
        <v>1</v>
      </c>
      <c r="AU1388" t="s">
        <v>322</v>
      </c>
      <c r="AV1388" t="s">
        <v>323</v>
      </c>
      <c r="AW1388" t="s">
        <v>60</v>
      </c>
      <c r="AX1388" t="s">
        <v>68</v>
      </c>
      <c r="AY1388" t="s">
        <v>69</v>
      </c>
      <c r="AZ1388" t="b">
        <v>1</v>
      </c>
    </row>
    <row r="1389" spans="1:52" x14ac:dyDescent="0.3">
      <c r="A1389" t="s">
        <v>52</v>
      </c>
      <c r="B1389" t="s">
        <v>53</v>
      </c>
      <c r="C1389" t="s">
        <v>54</v>
      </c>
      <c r="D1389" t="s">
        <v>55</v>
      </c>
      <c r="E1389" t="s">
        <v>837</v>
      </c>
      <c r="F1389" t="s">
        <v>176</v>
      </c>
      <c r="G1389" t="s">
        <v>427</v>
      </c>
      <c r="H1389" t="s">
        <v>428</v>
      </c>
      <c r="I1389" t="s">
        <v>428</v>
      </c>
      <c r="J1389" t="s">
        <v>60</v>
      </c>
      <c r="K1389" t="s">
        <v>311</v>
      </c>
      <c r="L1389" t="s">
        <v>62</v>
      </c>
      <c r="M1389" t="s">
        <v>311</v>
      </c>
      <c r="N1389" t="s">
        <v>429</v>
      </c>
      <c r="O1389" t="s">
        <v>430</v>
      </c>
      <c r="P1389">
        <v>-19.574636999999999</v>
      </c>
      <c r="Q1389">
        <v>-43.919919999999998</v>
      </c>
      <c r="R1389" s="2" t="str">
        <f>HYPERLINK("https://www.google.com/maps?q=-19.5746370,-43.9199200","Abrir no Google Maps")</f>
        <v>Abrir no Google Maps</v>
      </c>
      <c r="S1389">
        <v>3</v>
      </c>
      <c r="T1389">
        <v>0</v>
      </c>
      <c r="U1389">
        <v>4</v>
      </c>
      <c r="V1389">
        <v>0.29917260234549248</v>
      </c>
      <c r="W1389">
        <v>1</v>
      </c>
      <c r="X1389">
        <v>0.29917260234549248</v>
      </c>
      <c r="Y1389">
        <v>5</v>
      </c>
      <c r="Z1389">
        <v>161.2304444692663</v>
      </c>
      <c r="AA1389">
        <v>2</v>
      </c>
      <c r="AB1389">
        <v>3</v>
      </c>
      <c r="AC1389">
        <v>7</v>
      </c>
      <c r="AD1389">
        <v>24.62</v>
      </c>
      <c r="AE1389">
        <v>253</v>
      </c>
      <c r="AF1389">
        <v>14</v>
      </c>
      <c r="AG1389">
        <v>61</v>
      </c>
      <c r="AH1389">
        <v>32</v>
      </c>
      <c r="AI1389">
        <v>5.53</v>
      </c>
      <c r="AJ1389">
        <v>24.11</v>
      </c>
      <c r="AK1389">
        <v>12.65</v>
      </c>
      <c r="AL1389">
        <v>-19.57444484999996</v>
      </c>
      <c r="AM1389">
        <v>-43.920497272225433</v>
      </c>
      <c r="AN1389">
        <v>-19.57444484999996</v>
      </c>
      <c r="AO1389">
        <v>-43.920497272225433</v>
      </c>
      <c r="AP1389">
        <v>-19.574636999999999</v>
      </c>
      <c r="AQ1389">
        <v>-43.919919999999998</v>
      </c>
      <c r="AR1389">
        <v>64.215298992893679</v>
      </c>
      <c r="AS1389" t="s">
        <v>65</v>
      </c>
      <c r="AT1389">
        <v>1</v>
      </c>
      <c r="AU1389" t="s">
        <v>431</v>
      </c>
      <c r="AV1389" t="s">
        <v>432</v>
      </c>
      <c r="AW1389" t="s">
        <v>60</v>
      </c>
      <c r="AX1389" t="s">
        <v>68</v>
      </c>
      <c r="AY1389" t="s">
        <v>69</v>
      </c>
      <c r="AZ1389" t="b">
        <v>1</v>
      </c>
    </row>
    <row r="1390" spans="1:52" x14ac:dyDescent="0.3">
      <c r="A1390" t="s">
        <v>52</v>
      </c>
      <c r="B1390" t="s">
        <v>53</v>
      </c>
      <c r="C1390" t="s">
        <v>54</v>
      </c>
      <c r="D1390" t="s">
        <v>55</v>
      </c>
      <c r="E1390" t="s">
        <v>837</v>
      </c>
      <c r="F1390" t="s">
        <v>176</v>
      </c>
      <c r="G1390" t="s">
        <v>338</v>
      </c>
      <c r="H1390" t="s">
        <v>339</v>
      </c>
      <c r="I1390" t="s">
        <v>339</v>
      </c>
      <c r="J1390" t="s">
        <v>60</v>
      </c>
      <c r="K1390" t="s">
        <v>219</v>
      </c>
      <c r="L1390" t="s">
        <v>62</v>
      </c>
      <c r="M1390" t="s">
        <v>219</v>
      </c>
      <c r="N1390" t="s">
        <v>340</v>
      </c>
      <c r="O1390" t="s">
        <v>341</v>
      </c>
      <c r="P1390">
        <v>-19.666964</v>
      </c>
      <c r="Q1390">
        <v>-43.884436999999998</v>
      </c>
      <c r="R1390" s="2" t="str">
        <f>HYPERLINK("https://www.google.com/maps?q=-19.6669640,-43.8844370","Abrir no Google Maps")</f>
        <v>Abrir no Google Maps</v>
      </c>
      <c r="S1390">
        <v>3</v>
      </c>
      <c r="T1390">
        <v>957.0047152726122</v>
      </c>
      <c r="U1390">
        <v>4</v>
      </c>
      <c r="V1390">
        <v>0.29932901988976751</v>
      </c>
      <c r="W1390">
        <v>1</v>
      </c>
      <c r="X1390">
        <v>0.29932901988976751</v>
      </c>
      <c r="Y1390">
        <v>3</v>
      </c>
      <c r="Z1390">
        <v>558.02655966087093</v>
      </c>
      <c r="AA1390">
        <v>2</v>
      </c>
      <c r="AB1390">
        <v>3</v>
      </c>
      <c r="AC1390">
        <v>7</v>
      </c>
      <c r="AD1390">
        <v>24.62</v>
      </c>
      <c r="AE1390">
        <v>253</v>
      </c>
      <c r="AF1390">
        <v>14</v>
      </c>
      <c r="AG1390">
        <v>61</v>
      </c>
      <c r="AH1390">
        <v>32</v>
      </c>
      <c r="AI1390">
        <v>5.53</v>
      </c>
      <c r="AJ1390">
        <v>24.11</v>
      </c>
      <c r="AK1390">
        <v>12.65</v>
      </c>
      <c r="AL1390">
        <v>-19.66693374999997</v>
      </c>
      <c r="AM1390">
        <v>-43.884551162820181</v>
      </c>
      <c r="AN1390">
        <v>-19.66693374999997</v>
      </c>
      <c r="AO1390">
        <v>-43.884551162820181</v>
      </c>
      <c r="AP1390">
        <v>-19.666964</v>
      </c>
      <c r="AQ1390">
        <v>-43.884436999999998</v>
      </c>
      <c r="AR1390">
        <v>12.43199920714442</v>
      </c>
      <c r="AS1390" t="s">
        <v>65</v>
      </c>
      <c r="AT1390">
        <v>1</v>
      </c>
      <c r="AU1390" t="s">
        <v>342</v>
      </c>
      <c r="AV1390" t="s">
        <v>343</v>
      </c>
      <c r="AW1390" t="s">
        <v>60</v>
      </c>
      <c r="AX1390" t="s">
        <v>68</v>
      </c>
      <c r="AY1390" t="s">
        <v>69</v>
      </c>
      <c r="AZ1390" t="b">
        <v>1</v>
      </c>
    </row>
    <row r="1391" spans="1:52" x14ac:dyDescent="0.3">
      <c r="A1391" t="s">
        <v>52</v>
      </c>
      <c r="B1391" t="s">
        <v>53</v>
      </c>
      <c r="C1391" t="s">
        <v>54</v>
      </c>
      <c r="D1391" t="s">
        <v>55</v>
      </c>
      <c r="E1391" t="s">
        <v>837</v>
      </c>
      <c r="F1391" t="s">
        <v>176</v>
      </c>
      <c r="G1391" t="s">
        <v>474</v>
      </c>
      <c r="H1391" t="s">
        <v>475</v>
      </c>
      <c r="I1391" t="s">
        <v>475</v>
      </c>
      <c r="J1391" t="s">
        <v>60</v>
      </c>
      <c r="K1391" t="s">
        <v>326</v>
      </c>
      <c r="L1391" t="s">
        <v>62</v>
      </c>
      <c r="M1391" t="s">
        <v>326</v>
      </c>
      <c r="N1391" t="s">
        <v>476</v>
      </c>
      <c r="O1391" t="s">
        <v>477</v>
      </c>
      <c r="P1391">
        <v>-19.658083000000001</v>
      </c>
      <c r="Q1391">
        <v>-43.866957999999997</v>
      </c>
      <c r="R1391" s="2" t="str">
        <f>HYPERLINK("https://www.google.com/maps?q=-19.6580830,-43.8669580","Abrir no Google Maps")</f>
        <v>Abrir no Google Maps</v>
      </c>
      <c r="S1391">
        <v>3</v>
      </c>
      <c r="T1391">
        <v>753.45055811539748</v>
      </c>
      <c r="U1391">
        <v>4</v>
      </c>
      <c r="V1391">
        <v>0.29827938791340519</v>
      </c>
      <c r="W1391">
        <v>1</v>
      </c>
      <c r="X1391">
        <v>0.29827938791340519</v>
      </c>
      <c r="Y1391">
        <v>3</v>
      </c>
      <c r="Z1391">
        <v>808.47816984050394</v>
      </c>
      <c r="AA1391">
        <v>2</v>
      </c>
      <c r="AB1391">
        <v>3</v>
      </c>
      <c r="AC1391">
        <v>7</v>
      </c>
      <c r="AD1391">
        <v>24.62</v>
      </c>
      <c r="AE1391">
        <v>253</v>
      </c>
      <c r="AF1391">
        <v>14</v>
      </c>
      <c r="AG1391">
        <v>61</v>
      </c>
      <c r="AH1391">
        <v>32</v>
      </c>
      <c r="AI1391">
        <v>5.53</v>
      </c>
      <c r="AJ1391">
        <v>24.11</v>
      </c>
      <c r="AK1391">
        <v>12.65</v>
      </c>
      <c r="AL1391">
        <v>-19.658034899999929</v>
      </c>
      <c r="AM1391">
        <v>-43.867024921196148</v>
      </c>
      <c r="AN1391">
        <v>-19.658034899999929</v>
      </c>
      <c r="AO1391">
        <v>-43.867024921196148</v>
      </c>
      <c r="AP1391">
        <v>-19.658083000000001</v>
      </c>
      <c r="AQ1391">
        <v>-43.866957999999997</v>
      </c>
      <c r="AR1391">
        <v>8.8253920204286462</v>
      </c>
      <c r="AS1391" t="s">
        <v>65</v>
      </c>
      <c r="AT1391">
        <v>1</v>
      </c>
      <c r="AU1391" t="s">
        <v>478</v>
      </c>
      <c r="AV1391" t="s">
        <v>349</v>
      </c>
      <c r="AW1391" t="s">
        <v>60</v>
      </c>
      <c r="AX1391" t="s">
        <v>68</v>
      </c>
      <c r="AY1391" t="s">
        <v>69</v>
      </c>
      <c r="AZ1391" t="b">
        <v>1</v>
      </c>
    </row>
    <row r="1392" spans="1:52" x14ac:dyDescent="0.3">
      <c r="A1392" t="s">
        <v>52</v>
      </c>
      <c r="B1392" t="s">
        <v>53</v>
      </c>
      <c r="C1392" t="s">
        <v>54</v>
      </c>
      <c r="D1392" t="s">
        <v>55</v>
      </c>
      <c r="E1392" t="s">
        <v>837</v>
      </c>
      <c r="F1392" t="s">
        <v>176</v>
      </c>
      <c r="G1392" t="s">
        <v>479</v>
      </c>
      <c r="H1392" t="s">
        <v>480</v>
      </c>
      <c r="I1392" t="s">
        <v>480</v>
      </c>
      <c r="J1392" t="s">
        <v>60</v>
      </c>
      <c r="K1392" t="s">
        <v>286</v>
      </c>
      <c r="L1392" t="s">
        <v>62</v>
      </c>
      <c r="M1392" t="s">
        <v>286</v>
      </c>
      <c r="N1392" t="s">
        <v>481</v>
      </c>
      <c r="O1392" t="s">
        <v>159</v>
      </c>
      <c r="P1392">
        <v>-19.635337</v>
      </c>
      <c r="Q1392">
        <v>-43.884400999999997</v>
      </c>
      <c r="R1392" s="2" t="str">
        <f>HYPERLINK("https://www.google.com/maps?q=-19.6353370,-43.8844010","Abrir no Google Maps")</f>
        <v>Abrir no Google Maps</v>
      </c>
      <c r="S1392">
        <v>3</v>
      </c>
      <c r="T1392">
        <v>697.1404216088763</v>
      </c>
      <c r="U1392">
        <v>4</v>
      </c>
      <c r="V1392">
        <v>0.29751306270096461</v>
      </c>
      <c r="W1392">
        <v>1</v>
      </c>
      <c r="X1392">
        <v>0.29751306270096461</v>
      </c>
      <c r="Y1392">
        <v>2</v>
      </c>
      <c r="Z1392">
        <v>178.9017814618079</v>
      </c>
      <c r="AA1392">
        <v>2</v>
      </c>
      <c r="AB1392">
        <v>3</v>
      </c>
      <c r="AC1392">
        <v>7</v>
      </c>
      <c r="AD1392">
        <v>24.62</v>
      </c>
      <c r="AE1392">
        <v>253</v>
      </c>
      <c r="AF1392">
        <v>14</v>
      </c>
      <c r="AG1392">
        <v>61</v>
      </c>
      <c r="AH1392">
        <v>32</v>
      </c>
      <c r="AI1392">
        <v>5.53</v>
      </c>
      <c r="AJ1392">
        <v>24.11</v>
      </c>
      <c r="AK1392">
        <v>12.65</v>
      </c>
      <c r="AL1392">
        <v>-19.635338699999949</v>
      </c>
      <c r="AM1392">
        <v>-43.884486286355838</v>
      </c>
      <c r="AN1392">
        <v>-19.635338699999949</v>
      </c>
      <c r="AO1392">
        <v>-43.884486286355838</v>
      </c>
      <c r="AP1392">
        <v>-19.635337</v>
      </c>
      <c r="AQ1392">
        <v>-43.884400999999997</v>
      </c>
      <c r="AR1392">
        <v>8.9440024153343494</v>
      </c>
      <c r="AS1392" t="s">
        <v>65</v>
      </c>
      <c r="AT1392">
        <v>1</v>
      </c>
      <c r="AU1392" t="s">
        <v>482</v>
      </c>
      <c r="AV1392" t="s">
        <v>483</v>
      </c>
      <c r="AW1392" t="s">
        <v>60</v>
      </c>
      <c r="AX1392" t="s">
        <v>68</v>
      </c>
      <c r="AY1392" t="s">
        <v>69</v>
      </c>
      <c r="AZ1392" t="b">
        <v>1</v>
      </c>
    </row>
    <row r="1393" spans="1:52" x14ac:dyDescent="0.3">
      <c r="A1393" t="s">
        <v>52</v>
      </c>
      <c r="B1393" t="s">
        <v>53</v>
      </c>
      <c r="C1393" t="s">
        <v>54</v>
      </c>
      <c r="D1393" t="s">
        <v>55</v>
      </c>
      <c r="E1393" t="s">
        <v>837</v>
      </c>
      <c r="F1393" t="s">
        <v>176</v>
      </c>
      <c r="G1393" t="s">
        <v>484</v>
      </c>
      <c r="H1393" t="s">
        <v>485</v>
      </c>
      <c r="I1393" t="s">
        <v>485</v>
      </c>
      <c r="J1393" t="s">
        <v>60</v>
      </c>
      <c r="K1393" t="s">
        <v>486</v>
      </c>
      <c r="L1393" t="s">
        <v>62</v>
      </c>
      <c r="M1393" t="s">
        <v>486</v>
      </c>
      <c r="N1393" t="s">
        <v>487</v>
      </c>
      <c r="O1393" t="s">
        <v>488</v>
      </c>
      <c r="P1393">
        <v>-19.599471999999999</v>
      </c>
      <c r="Q1393">
        <v>-43.904423999999999</v>
      </c>
      <c r="R1393" s="2" t="str">
        <f>HYPERLINK("https://www.google.com/maps?q=-19.5994720,-43.9044240","Abrir no Google Maps")</f>
        <v>Abrir no Google Maps</v>
      </c>
      <c r="S1393">
        <v>3</v>
      </c>
      <c r="T1393">
        <v>0</v>
      </c>
      <c r="U1393">
        <v>4</v>
      </c>
      <c r="V1393">
        <v>0.30574622555894732</v>
      </c>
      <c r="W1393">
        <v>1</v>
      </c>
      <c r="X1393">
        <v>0.30574622555894732</v>
      </c>
      <c r="Y1393">
        <v>2</v>
      </c>
      <c r="Z1393">
        <v>112.207711482489</v>
      </c>
      <c r="AA1393">
        <v>2</v>
      </c>
      <c r="AB1393">
        <v>3</v>
      </c>
      <c r="AC1393">
        <v>7</v>
      </c>
      <c r="AD1393">
        <v>24.62</v>
      </c>
      <c r="AE1393">
        <v>253</v>
      </c>
      <c r="AF1393">
        <v>14</v>
      </c>
      <c r="AG1393">
        <v>61</v>
      </c>
      <c r="AH1393">
        <v>32</v>
      </c>
      <c r="AI1393">
        <v>5.53</v>
      </c>
      <c r="AJ1393">
        <v>24.11</v>
      </c>
      <c r="AK1393">
        <v>12.65</v>
      </c>
      <c r="AL1393">
        <v>-19.599417149999969</v>
      </c>
      <c r="AM1393">
        <v>-43.904309145074677</v>
      </c>
      <c r="AN1393">
        <v>-19.599417149999969</v>
      </c>
      <c r="AO1393">
        <v>-43.904309145074677</v>
      </c>
      <c r="AP1393">
        <v>-19.599471999999999</v>
      </c>
      <c r="AQ1393">
        <v>-43.904423999999999</v>
      </c>
      <c r="AR1393">
        <v>13.50409975769734</v>
      </c>
      <c r="AS1393" t="s">
        <v>65</v>
      </c>
      <c r="AT1393">
        <v>1</v>
      </c>
      <c r="AU1393" t="s">
        <v>489</v>
      </c>
      <c r="AV1393" t="s">
        <v>490</v>
      </c>
      <c r="AW1393" t="s">
        <v>60</v>
      </c>
      <c r="AX1393" t="s">
        <v>68</v>
      </c>
      <c r="AY1393" t="s">
        <v>69</v>
      </c>
      <c r="AZ1393" t="b">
        <v>1</v>
      </c>
    </row>
    <row r="1394" spans="1:52" x14ac:dyDescent="0.3">
      <c r="A1394" t="s">
        <v>52</v>
      </c>
      <c r="B1394" t="s">
        <v>53</v>
      </c>
      <c r="C1394" t="s">
        <v>54</v>
      </c>
      <c r="D1394" t="s">
        <v>55</v>
      </c>
      <c r="E1394" t="s">
        <v>837</v>
      </c>
      <c r="F1394" t="s">
        <v>176</v>
      </c>
      <c r="G1394" t="s">
        <v>350</v>
      </c>
      <c r="H1394" t="s">
        <v>351</v>
      </c>
      <c r="I1394" t="s">
        <v>351</v>
      </c>
      <c r="J1394" t="s">
        <v>60</v>
      </c>
      <c r="K1394" t="s">
        <v>352</v>
      </c>
      <c r="L1394" t="s">
        <v>62</v>
      </c>
      <c r="M1394" t="s">
        <v>352</v>
      </c>
      <c r="N1394" t="s">
        <v>353</v>
      </c>
      <c r="O1394" t="s">
        <v>354</v>
      </c>
      <c r="P1394">
        <v>-19.595734</v>
      </c>
      <c r="Q1394">
        <v>-43.900387000000002</v>
      </c>
      <c r="R1394" s="2" t="str">
        <f>HYPERLINK("https://www.google.com/maps?q=-19.5957340,-43.9003870","Abrir no Google Maps")</f>
        <v>Abrir no Google Maps</v>
      </c>
      <c r="S1394">
        <v>3</v>
      </c>
      <c r="T1394">
        <v>600.67809066127609</v>
      </c>
      <c r="U1394">
        <v>4</v>
      </c>
      <c r="V1394">
        <v>0.39164267997977548</v>
      </c>
      <c r="W1394">
        <v>1</v>
      </c>
      <c r="X1394">
        <v>0.39164267997977548</v>
      </c>
      <c r="Y1394">
        <v>2</v>
      </c>
      <c r="Z1394">
        <v>676.06682548988681</v>
      </c>
      <c r="AA1394">
        <v>2</v>
      </c>
      <c r="AB1394">
        <v>3</v>
      </c>
      <c r="AC1394">
        <v>7</v>
      </c>
      <c r="AD1394">
        <v>24.62</v>
      </c>
      <c r="AE1394">
        <v>253</v>
      </c>
      <c r="AF1394">
        <v>14</v>
      </c>
      <c r="AG1394">
        <v>61</v>
      </c>
      <c r="AH1394">
        <v>32</v>
      </c>
      <c r="AI1394">
        <v>5.53</v>
      </c>
      <c r="AJ1394">
        <v>24.11</v>
      </c>
      <c r="AK1394">
        <v>12.65</v>
      </c>
      <c r="AL1394">
        <v>-19.595574149999951</v>
      </c>
      <c r="AM1394">
        <v>-43.900265035317688</v>
      </c>
      <c r="AN1394">
        <v>-19.595574149999951</v>
      </c>
      <c r="AO1394">
        <v>-43.900265035317688</v>
      </c>
      <c r="AP1394">
        <v>-19.595734</v>
      </c>
      <c r="AQ1394">
        <v>-43.900387000000002</v>
      </c>
      <c r="AR1394">
        <v>21.91456243504582</v>
      </c>
      <c r="AS1394" t="s">
        <v>65</v>
      </c>
      <c r="AT1394">
        <v>1</v>
      </c>
      <c r="AU1394" t="s">
        <v>355</v>
      </c>
      <c r="AV1394" t="s">
        <v>356</v>
      </c>
      <c r="AW1394" t="s">
        <v>60</v>
      </c>
      <c r="AX1394" t="s">
        <v>68</v>
      </c>
      <c r="AY1394" t="s">
        <v>69</v>
      </c>
      <c r="AZ1394" t="b">
        <v>1</v>
      </c>
    </row>
    <row r="1395" spans="1:52" x14ac:dyDescent="0.3">
      <c r="A1395" t="s">
        <v>52</v>
      </c>
      <c r="B1395" t="s">
        <v>53</v>
      </c>
      <c r="C1395" t="s">
        <v>54</v>
      </c>
      <c r="D1395" t="s">
        <v>55</v>
      </c>
      <c r="E1395" t="s">
        <v>837</v>
      </c>
      <c r="F1395" t="s">
        <v>176</v>
      </c>
      <c r="G1395" t="s">
        <v>350</v>
      </c>
      <c r="H1395" t="s">
        <v>363</v>
      </c>
      <c r="I1395" t="s">
        <v>363</v>
      </c>
      <c r="J1395" t="s">
        <v>60</v>
      </c>
      <c r="K1395" t="s">
        <v>364</v>
      </c>
      <c r="L1395" t="s">
        <v>62</v>
      </c>
      <c r="M1395" t="s">
        <v>364</v>
      </c>
      <c r="N1395" t="s">
        <v>353</v>
      </c>
      <c r="O1395" t="s">
        <v>365</v>
      </c>
      <c r="P1395">
        <v>-19.594657000000002</v>
      </c>
      <c r="Q1395">
        <v>-43.901567</v>
      </c>
      <c r="R1395" s="2" t="str">
        <f>HYPERLINK("https://www.google.com/maps?q=-19.5946570,-43.9015670","Abrir no Google Maps")</f>
        <v>Abrir no Google Maps</v>
      </c>
      <c r="S1395">
        <v>3</v>
      </c>
      <c r="T1395">
        <v>592.43040989358553</v>
      </c>
      <c r="U1395">
        <v>4</v>
      </c>
      <c r="V1395">
        <v>0.39249487704918029</v>
      </c>
      <c r="W1395">
        <v>1</v>
      </c>
      <c r="X1395">
        <v>0.39249487704918029</v>
      </c>
      <c r="Y1395">
        <v>2</v>
      </c>
      <c r="Z1395">
        <v>597.4493869225131</v>
      </c>
      <c r="AA1395">
        <v>2</v>
      </c>
      <c r="AB1395">
        <v>3</v>
      </c>
      <c r="AC1395">
        <v>7</v>
      </c>
      <c r="AD1395">
        <v>24.62</v>
      </c>
      <c r="AE1395">
        <v>253</v>
      </c>
      <c r="AF1395">
        <v>14</v>
      </c>
      <c r="AG1395">
        <v>61</v>
      </c>
      <c r="AH1395">
        <v>32</v>
      </c>
      <c r="AI1395">
        <v>5.53</v>
      </c>
      <c r="AJ1395">
        <v>24.11</v>
      </c>
      <c r="AK1395">
        <v>12.65</v>
      </c>
      <c r="AL1395">
        <v>-19.59470494999994</v>
      </c>
      <c r="AM1395">
        <v>-43.901629434678291</v>
      </c>
      <c r="AN1395">
        <v>-19.59470494999994</v>
      </c>
      <c r="AO1395">
        <v>-43.901629434678291</v>
      </c>
      <c r="AP1395">
        <v>-19.594657000000002</v>
      </c>
      <c r="AQ1395">
        <v>-43.901567</v>
      </c>
      <c r="AR1395">
        <v>8.4477696105165858</v>
      </c>
      <c r="AS1395" t="s">
        <v>65</v>
      </c>
      <c r="AT1395">
        <v>1</v>
      </c>
      <c r="AU1395" t="s">
        <v>366</v>
      </c>
      <c r="AV1395" t="s">
        <v>367</v>
      </c>
      <c r="AW1395" t="s">
        <v>60</v>
      </c>
      <c r="AX1395" t="s">
        <v>68</v>
      </c>
      <c r="AY1395" t="s">
        <v>69</v>
      </c>
      <c r="AZ1395" t="b">
        <v>1</v>
      </c>
    </row>
    <row r="1396" spans="1:52" x14ac:dyDescent="0.3">
      <c r="A1396" t="s">
        <v>52</v>
      </c>
      <c r="B1396" t="s">
        <v>53</v>
      </c>
      <c r="C1396" t="s">
        <v>54</v>
      </c>
      <c r="D1396" t="s">
        <v>55</v>
      </c>
      <c r="E1396" t="s">
        <v>837</v>
      </c>
      <c r="F1396" t="s">
        <v>176</v>
      </c>
      <c r="G1396" t="s">
        <v>350</v>
      </c>
      <c r="H1396" t="s">
        <v>368</v>
      </c>
      <c r="I1396" t="s">
        <v>368</v>
      </c>
      <c r="J1396" t="s">
        <v>60</v>
      </c>
      <c r="K1396" t="s">
        <v>364</v>
      </c>
      <c r="L1396" t="s">
        <v>62</v>
      </c>
      <c r="M1396" t="s">
        <v>364</v>
      </c>
      <c r="N1396" t="s">
        <v>353</v>
      </c>
      <c r="O1396" t="s">
        <v>365</v>
      </c>
      <c r="P1396">
        <v>-19.593221</v>
      </c>
      <c r="Q1396">
        <v>-43.901839000000002</v>
      </c>
      <c r="R1396" s="2" t="str">
        <f>HYPERLINK("https://www.google.com/maps?q=-19.5932210,-43.9018390","Abrir no Google Maps")</f>
        <v>Abrir no Google Maps</v>
      </c>
      <c r="S1396">
        <v>3</v>
      </c>
      <c r="T1396">
        <v>741.77482535005606</v>
      </c>
      <c r="U1396">
        <v>4</v>
      </c>
      <c r="V1396">
        <v>0.38165869218500797</v>
      </c>
      <c r="W1396">
        <v>0.85</v>
      </c>
      <c r="X1396">
        <v>0.32440988835725681</v>
      </c>
      <c r="Y1396">
        <v>2</v>
      </c>
      <c r="Z1396">
        <v>790.59331647558088</v>
      </c>
      <c r="AA1396">
        <v>2</v>
      </c>
      <c r="AB1396">
        <v>3</v>
      </c>
      <c r="AC1396">
        <v>7</v>
      </c>
      <c r="AD1396">
        <v>24.62</v>
      </c>
      <c r="AE1396">
        <v>253</v>
      </c>
      <c r="AF1396">
        <v>14</v>
      </c>
      <c r="AG1396">
        <v>61</v>
      </c>
      <c r="AH1396">
        <v>32</v>
      </c>
      <c r="AI1396">
        <v>5.53</v>
      </c>
      <c r="AJ1396">
        <v>24.11</v>
      </c>
      <c r="AK1396">
        <v>12.65</v>
      </c>
      <c r="AL1396">
        <v>-19.593187449999959</v>
      </c>
      <c r="AM1396">
        <v>-43.901700308057322</v>
      </c>
      <c r="AN1396">
        <v>-19.593187449999959</v>
      </c>
      <c r="AO1396">
        <v>-43.901700308057322</v>
      </c>
      <c r="AP1396">
        <v>-19.593221</v>
      </c>
      <c r="AQ1396">
        <v>-43.901839000000002</v>
      </c>
      <c r="AR1396">
        <v>15.017055708279431</v>
      </c>
      <c r="AS1396" t="s">
        <v>65</v>
      </c>
      <c r="AT1396">
        <v>1</v>
      </c>
      <c r="AU1396" t="s">
        <v>369</v>
      </c>
      <c r="AV1396" t="s">
        <v>370</v>
      </c>
      <c r="AW1396" t="s">
        <v>60</v>
      </c>
      <c r="AX1396" t="s">
        <v>68</v>
      </c>
      <c r="AY1396" t="s">
        <v>69</v>
      </c>
      <c r="AZ1396" t="b">
        <v>1</v>
      </c>
    </row>
    <row r="1397" spans="1:52" x14ac:dyDescent="0.3">
      <c r="A1397" t="s">
        <v>52</v>
      </c>
      <c r="B1397" t="s">
        <v>53</v>
      </c>
      <c r="C1397" t="s">
        <v>54</v>
      </c>
      <c r="D1397" t="s">
        <v>55</v>
      </c>
      <c r="E1397" t="s">
        <v>837</v>
      </c>
      <c r="F1397" t="s">
        <v>176</v>
      </c>
      <c r="G1397" t="s">
        <v>371</v>
      </c>
      <c r="H1397" t="s">
        <v>372</v>
      </c>
      <c r="I1397" t="s">
        <v>372</v>
      </c>
      <c r="J1397" t="s">
        <v>60</v>
      </c>
      <c r="K1397" t="s">
        <v>352</v>
      </c>
      <c r="L1397" t="s">
        <v>62</v>
      </c>
      <c r="M1397" t="s">
        <v>352</v>
      </c>
      <c r="N1397" t="s">
        <v>353</v>
      </c>
      <c r="O1397" t="s">
        <v>373</v>
      </c>
      <c r="P1397">
        <v>-19.596541999999999</v>
      </c>
      <c r="Q1397">
        <v>-43.900803000000003</v>
      </c>
      <c r="R1397" s="2" t="str">
        <f>HYPERLINK("https://www.google.com/maps?q=-19.5965420,-43.9008030","Abrir no Google Maps")</f>
        <v>Abrir no Google Maps</v>
      </c>
      <c r="S1397">
        <v>3</v>
      </c>
      <c r="T1397">
        <v>401.18305899095373</v>
      </c>
      <c r="U1397">
        <v>4</v>
      </c>
      <c r="V1397">
        <v>0.40860847771602921</v>
      </c>
      <c r="W1397">
        <v>1</v>
      </c>
      <c r="X1397">
        <v>0.40860847771602921</v>
      </c>
      <c r="Y1397">
        <v>2</v>
      </c>
      <c r="Z1397">
        <v>484.51228510119228</v>
      </c>
      <c r="AA1397">
        <v>2</v>
      </c>
      <c r="AB1397">
        <v>3</v>
      </c>
      <c r="AC1397">
        <v>7</v>
      </c>
      <c r="AD1397">
        <v>24.62</v>
      </c>
      <c r="AE1397">
        <v>253</v>
      </c>
      <c r="AF1397">
        <v>14</v>
      </c>
      <c r="AG1397">
        <v>61</v>
      </c>
      <c r="AH1397">
        <v>32</v>
      </c>
      <c r="AI1397">
        <v>5.53</v>
      </c>
      <c r="AJ1397">
        <v>24.11</v>
      </c>
      <c r="AK1397">
        <v>12.65</v>
      </c>
      <c r="AL1397">
        <v>-19.596464449999932</v>
      </c>
      <c r="AM1397">
        <v>-43.902090320142641</v>
      </c>
      <c r="AN1397">
        <v>-19.596464449999932</v>
      </c>
      <c r="AO1397">
        <v>-43.902090320142641</v>
      </c>
      <c r="AP1397">
        <v>-19.596541999999999</v>
      </c>
      <c r="AQ1397">
        <v>-43.900803000000003</v>
      </c>
      <c r="AR1397">
        <v>135.27975170069479</v>
      </c>
      <c r="AS1397" t="s">
        <v>65</v>
      </c>
      <c r="AT1397">
        <v>1</v>
      </c>
      <c r="AU1397" t="s">
        <v>374</v>
      </c>
      <c r="AV1397" t="s">
        <v>375</v>
      </c>
      <c r="AW1397" t="s">
        <v>60</v>
      </c>
      <c r="AX1397" t="s">
        <v>68</v>
      </c>
      <c r="AY1397" t="s">
        <v>69</v>
      </c>
      <c r="AZ1397" t="b">
        <v>1</v>
      </c>
    </row>
    <row r="1398" spans="1:52" x14ac:dyDescent="0.3">
      <c r="A1398" t="s">
        <v>52</v>
      </c>
      <c r="B1398" t="s">
        <v>53</v>
      </c>
      <c r="C1398" t="s">
        <v>54</v>
      </c>
      <c r="D1398" t="s">
        <v>55</v>
      </c>
      <c r="E1398" t="s">
        <v>837</v>
      </c>
      <c r="F1398" t="s">
        <v>176</v>
      </c>
      <c r="G1398" t="s">
        <v>376</v>
      </c>
      <c r="H1398" t="s">
        <v>377</v>
      </c>
      <c r="I1398" t="s">
        <v>377</v>
      </c>
      <c r="J1398" t="s">
        <v>60</v>
      </c>
      <c r="K1398" t="s">
        <v>352</v>
      </c>
      <c r="L1398" t="s">
        <v>62</v>
      </c>
      <c r="M1398" t="s">
        <v>352</v>
      </c>
      <c r="N1398" t="s">
        <v>378</v>
      </c>
      <c r="O1398" t="s">
        <v>379</v>
      </c>
      <c r="P1398">
        <v>-19.596966999999999</v>
      </c>
      <c r="Q1398">
        <v>-43.90155</v>
      </c>
      <c r="R1398" s="2" t="str">
        <f>HYPERLINK("https://www.google.com/maps?q=-19.5969670,-43.9015500","Abrir no Google Maps")</f>
        <v>Abrir no Google Maps</v>
      </c>
      <c r="S1398">
        <v>3</v>
      </c>
      <c r="T1398">
        <v>366.5160120865408</v>
      </c>
      <c r="U1398">
        <v>4</v>
      </c>
      <c r="V1398">
        <v>0.35745772605731929</v>
      </c>
      <c r="W1398">
        <v>1</v>
      </c>
      <c r="X1398">
        <v>0.35745772605731929</v>
      </c>
      <c r="Y1398">
        <v>2</v>
      </c>
      <c r="Z1398">
        <v>437.88042928493138</v>
      </c>
      <c r="AA1398">
        <v>2</v>
      </c>
      <c r="AB1398">
        <v>3</v>
      </c>
      <c r="AC1398">
        <v>7</v>
      </c>
      <c r="AD1398">
        <v>24.62</v>
      </c>
      <c r="AE1398">
        <v>253</v>
      </c>
      <c r="AF1398">
        <v>14</v>
      </c>
      <c r="AG1398">
        <v>61</v>
      </c>
      <c r="AH1398">
        <v>32</v>
      </c>
      <c r="AI1398">
        <v>5.53</v>
      </c>
      <c r="AJ1398">
        <v>24.11</v>
      </c>
      <c r="AK1398">
        <v>12.65</v>
      </c>
      <c r="AL1398">
        <v>-19.597188549999942</v>
      </c>
      <c r="AM1398">
        <v>-43.901724335633787</v>
      </c>
      <c r="AN1398">
        <v>-19.597188549999942</v>
      </c>
      <c r="AO1398">
        <v>-43.901724335633787</v>
      </c>
      <c r="AP1398">
        <v>-19.596966999999999</v>
      </c>
      <c r="AQ1398">
        <v>-43.90155</v>
      </c>
      <c r="AR1398">
        <v>30.700556875456439</v>
      </c>
      <c r="AS1398" t="s">
        <v>65</v>
      </c>
      <c r="AT1398">
        <v>1</v>
      </c>
      <c r="AU1398" t="s">
        <v>380</v>
      </c>
      <c r="AV1398" t="s">
        <v>381</v>
      </c>
      <c r="AW1398" t="s">
        <v>60</v>
      </c>
      <c r="AX1398" t="s">
        <v>68</v>
      </c>
      <c r="AY1398" t="s">
        <v>69</v>
      </c>
      <c r="AZ1398" t="b">
        <v>1</v>
      </c>
    </row>
    <row r="1399" spans="1:52" x14ac:dyDescent="0.3">
      <c r="A1399" t="s">
        <v>52</v>
      </c>
      <c r="B1399" t="s">
        <v>53</v>
      </c>
      <c r="C1399" t="s">
        <v>54</v>
      </c>
      <c r="D1399" t="s">
        <v>55</v>
      </c>
      <c r="E1399" t="s">
        <v>837</v>
      </c>
      <c r="F1399" t="s">
        <v>176</v>
      </c>
      <c r="G1399" t="s">
        <v>382</v>
      </c>
      <c r="H1399" t="s">
        <v>383</v>
      </c>
      <c r="I1399" t="s">
        <v>383</v>
      </c>
      <c r="J1399" t="s">
        <v>60</v>
      </c>
      <c r="K1399" t="s">
        <v>185</v>
      </c>
      <c r="L1399" t="s">
        <v>62</v>
      </c>
      <c r="M1399" t="s">
        <v>185</v>
      </c>
      <c r="N1399" t="s">
        <v>384</v>
      </c>
      <c r="O1399" t="s">
        <v>385</v>
      </c>
      <c r="P1399">
        <v>-19.623774000000001</v>
      </c>
      <c r="Q1399">
        <v>-43.886352000000002</v>
      </c>
      <c r="R1399" s="2" t="str">
        <f>HYPERLINK("https://www.google.com/maps?q=-19.6237740,-43.8863520","Abrir no Google Maps")</f>
        <v>Abrir no Google Maps</v>
      </c>
      <c r="S1399">
        <v>3</v>
      </c>
      <c r="T1399">
        <v>818.17252856383368</v>
      </c>
      <c r="U1399">
        <v>4</v>
      </c>
      <c r="V1399">
        <v>0.32617788226075028</v>
      </c>
      <c r="W1399">
        <v>1</v>
      </c>
      <c r="X1399">
        <v>0.32617788226075028</v>
      </c>
      <c r="Y1399">
        <v>0</v>
      </c>
      <c r="Z1399">
        <v>327.32213182525902</v>
      </c>
      <c r="AA1399">
        <v>2</v>
      </c>
      <c r="AB1399">
        <v>3</v>
      </c>
      <c r="AC1399">
        <v>7</v>
      </c>
      <c r="AD1399">
        <v>24.62</v>
      </c>
      <c r="AE1399">
        <v>253</v>
      </c>
      <c r="AF1399">
        <v>14</v>
      </c>
      <c r="AG1399">
        <v>61</v>
      </c>
      <c r="AH1399">
        <v>32</v>
      </c>
      <c r="AI1399">
        <v>5.53</v>
      </c>
      <c r="AJ1399">
        <v>24.11</v>
      </c>
      <c r="AK1399">
        <v>12.65</v>
      </c>
      <c r="AL1399">
        <v>-19.623056299999941</v>
      </c>
      <c r="AM1399">
        <v>-43.886837120297002</v>
      </c>
      <c r="AN1399">
        <v>-19.623056299999941</v>
      </c>
      <c r="AO1399">
        <v>-43.886837120297002</v>
      </c>
      <c r="AP1399">
        <v>-19.623774000000001</v>
      </c>
      <c r="AQ1399">
        <v>-43.886352000000002</v>
      </c>
      <c r="AR1399">
        <v>94.713149059175393</v>
      </c>
      <c r="AS1399" t="s">
        <v>65</v>
      </c>
      <c r="AT1399">
        <v>1</v>
      </c>
      <c r="AU1399" t="s">
        <v>386</v>
      </c>
      <c r="AV1399" t="s">
        <v>387</v>
      </c>
      <c r="AW1399" t="s">
        <v>60</v>
      </c>
      <c r="AX1399" t="s">
        <v>68</v>
      </c>
      <c r="AY1399" t="s">
        <v>69</v>
      </c>
      <c r="AZ1399" t="b">
        <v>1</v>
      </c>
    </row>
    <row r="1400" spans="1:52" x14ac:dyDescent="0.3">
      <c r="A1400" t="s">
        <v>52</v>
      </c>
      <c r="B1400" t="s">
        <v>53</v>
      </c>
      <c r="C1400" t="s">
        <v>54</v>
      </c>
      <c r="D1400" t="s">
        <v>55</v>
      </c>
      <c r="E1400" t="s">
        <v>837</v>
      </c>
      <c r="F1400" t="s">
        <v>176</v>
      </c>
      <c r="G1400" t="s">
        <v>388</v>
      </c>
      <c r="H1400" t="s">
        <v>389</v>
      </c>
      <c r="I1400" t="s">
        <v>389</v>
      </c>
      <c r="J1400" t="s">
        <v>60</v>
      </c>
      <c r="K1400" t="s">
        <v>185</v>
      </c>
      <c r="L1400" t="s">
        <v>62</v>
      </c>
      <c r="M1400" t="s">
        <v>185</v>
      </c>
      <c r="N1400" t="s">
        <v>390</v>
      </c>
      <c r="O1400" t="s">
        <v>391</v>
      </c>
      <c r="P1400">
        <v>-19.628802</v>
      </c>
      <c r="Q1400">
        <v>-43.891649000000001</v>
      </c>
      <c r="R1400" s="2" t="str">
        <f>HYPERLINK("https://www.google.com/maps?q=-19.6288020,-43.8916490","Abrir no Google Maps")</f>
        <v>Abrir no Google Maps</v>
      </c>
      <c r="S1400">
        <v>3</v>
      </c>
      <c r="T1400">
        <v>0</v>
      </c>
      <c r="U1400">
        <v>3</v>
      </c>
      <c r="V1400">
        <v>0.34614346227249448</v>
      </c>
      <c r="W1400">
        <v>0.85</v>
      </c>
      <c r="X1400">
        <v>0.29422194293162029</v>
      </c>
      <c r="Y1400">
        <v>18</v>
      </c>
      <c r="Z1400">
        <v>117.5064585283839</v>
      </c>
      <c r="AA1400">
        <v>2</v>
      </c>
      <c r="AB1400">
        <v>3</v>
      </c>
      <c r="AC1400">
        <v>7</v>
      </c>
      <c r="AD1400">
        <v>24.62</v>
      </c>
      <c r="AE1400">
        <v>253</v>
      </c>
      <c r="AF1400">
        <v>14</v>
      </c>
      <c r="AG1400">
        <v>61</v>
      </c>
      <c r="AH1400">
        <v>32</v>
      </c>
      <c r="AI1400">
        <v>5.53</v>
      </c>
      <c r="AJ1400">
        <v>24.11</v>
      </c>
      <c r="AK1400">
        <v>12.65</v>
      </c>
      <c r="AL1400">
        <v>-19.628865499999961</v>
      </c>
      <c r="AM1400">
        <v>-43.891662391334172</v>
      </c>
      <c r="AN1400">
        <v>-19.628865499999961</v>
      </c>
      <c r="AO1400">
        <v>-43.891662391334172</v>
      </c>
      <c r="AP1400">
        <v>-19.628802</v>
      </c>
      <c r="AQ1400">
        <v>-43.891649000000001</v>
      </c>
      <c r="AR1400">
        <v>7.2069201904448459</v>
      </c>
      <c r="AS1400" t="s">
        <v>65</v>
      </c>
      <c r="AT1400">
        <v>1</v>
      </c>
      <c r="AU1400" t="s">
        <v>392</v>
      </c>
      <c r="AV1400" t="s">
        <v>393</v>
      </c>
      <c r="AW1400" t="s">
        <v>60</v>
      </c>
      <c r="AX1400" t="s">
        <v>68</v>
      </c>
      <c r="AY1400" t="s">
        <v>69</v>
      </c>
      <c r="AZ1400" t="b">
        <v>1</v>
      </c>
    </row>
    <row r="1401" spans="1:52" x14ac:dyDescent="0.3">
      <c r="A1401" t="s">
        <v>52</v>
      </c>
      <c r="B1401" t="s">
        <v>53</v>
      </c>
      <c r="C1401" t="s">
        <v>54</v>
      </c>
      <c r="D1401" t="s">
        <v>55</v>
      </c>
      <c r="E1401" t="s">
        <v>837</v>
      </c>
      <c r="F1401" t="s">
        <v>176</v>
      </c>
      <c r="G1401" t="s">
        <v>530</v>
      </c>
      <c r="H1401" t="s">
        <v>531</v>
      </c>
      <c r="I1401" t="s">
        <v>531</v>
      </c>
      <c r="J1401" t="s">
        <v>60</v>
      </c>
      <c r="K1401" t="s">
        <v>185</v>
      </c>
      <c r="L1401" t="s">
        <v>62</v>
      </c>
      <c r="M1401" t="s">
        <v>185</v>
      </c>
      <c r="N1401" t="s">
        <v>532</v>
      </c>
      <c r="O1401" t="s">
        <v>533</v>
      </c>
      <c r="P1401">
        <v>-19.625264000000001</v>
      </c>
      <c r="Q1401">
        <v>-43.889451000000001</v>
      </c>
      <c r="R1401" s="2" t="str">
        <f>HYPERLINK("https://www.google.com/maps?q=-19.6252640,-43.8894510","Abrir no Google Maps")</f>
        <v>Abrir no Google Maps</v>
      </c>
      <c r="S1401">
        <v>3</v>
      </c>
      <c r="T1401">
        <v>466.11340370665903</v>
      </c>
      <c r="U1401">
        <v>3</v>
      </c>
      <c r="V1401">
        <v>0.3295149295149295</v>
      </c>
      <c r="W1401">
        <v>0.85</v>
      </c>
      <c r="X1401">
        <v>0.28008769008769008</v>
      </c>
      <c r="Y1401">
        <v>18</v>
      </c>
      <c r="Z1401">
        <v>320.77337440837812</v>
      </c>
      <c r="AA1401">
        <v>2</v>
      </c>
      <c r="AB1401">
        <v>3</v>
      </c>
      <c r="AC1401">
        <v>7</v>
      </c>
      <c r="AD1401">
        <v>24.62</v>
      </c>
      <c r="AE1401">
        <v>253</v>
      </c>
      <c r="AF1401">
        <v>14</v>
      </c>
      <c r="AG1401">
        <v>61</v>
      </c>
      <c r="AH1401">
        <v>32</v>
      </c>
      <c r="AI1401">
        <v>5.53</v>
      </c>
      <c r="AJ1401">
        <v>24.11</v>
      </c>
      <c r="AK1401">
        <v>12.65</v>
      </c>
      <c r="AL1401">
        <v>-19.62516189999997</v>
      </c>
      <c r="AM1401">
        <v>-43.88954614566876</v>
      </c>
      <c r="AN1401">
        <v>-19.62516189999997</v>
      </c>
      <c r="AO1401">
        <v>-43.88954614566876</v>
      </c>
      <c r="AP1401">
        <v>-19.625264000000001</v>
      </c>
      <c r="AQ1401">
        <v>-43.889451000000001</v>
      </c>
      <c r="AR1401">
        <v>15.12310549834147</v>
      </c>
      <c r="AS1401" t="s">
        <v>65</v>
      </c>
      <c r="AT1401">
        <v>1</v>
      </c>
      <c r="AU1401" t="s">
        <v>534</v>
      </c>
      <c r="AV1401" t="s">
        <v>535</v>
      </c>
      <c r="AW1401" t="s">
        <v>60</v>
      </c>
      <c r="AX1401" t="s">
        <v>68</v>
      </c>
      <c r="AY1401" t="s">
        <v>69</v>
      </c>
      <c r="AZ1401" t="b">
        <v>1</v>
      </c>
    </row>
    <row r="1402" spans="1:52" x14ac:dyDescent="0.3">
      <c r="A1402" t="s">
        <v>52</v>
      </c>
      <c r="B1402" t="s">
        <v>53</v>
      </c>
      <c r="C1402" t="s">
        <v>54</v>
      </c>
      <c r="D1402" t="s">
        <v>55</v>
      </c>
      <c r="E1402" t="s">
        <v>837</v>
      </c>
      <c r="F1402" t="s">
        <v>176</v>
      </c>
      <c r="G1402" t="s">
        <v>394</v>
      </c>
      <c r="H1402" t="s">
        <v>395</v>
      </c>
      <c r="I1402" t="s">
        <v>395</v>
      </c>
      <c r="J1402" t="s">
        <v>60</v>
      </c>
      <c r="K1402" t="s">
        <v>286</v>
      </c>
      <c r="L1402" t="s">
        <v>62</v>
      </c>
      <c r="M1402" t="s">
        <v>286</v>
      </c>
      <c r="N1402" t="s">
        <v>396</v>
      </c>
      <c r="O1402" t="s">
        <v>88</v>
      </c>
      <c r="P1402">
        <v>-19.636932999999999</v>
      </c>
      <c r="Q1402">
        <v>-43.882691999999999</v>
      </c>
      <c r="R1402" s="2" t="str">
        <f>HYPERLINK("https://www.google.com/maps?q=-19.6369330,-43.8826920","Abrir no Google Maps")</f>
        <v>Abrir no Google Maps</v>
      </c>
      <c r="S1402">
        <v>3</v>
      </c>
      <c r="T1402">
        <v>523.52675813688109</v>
      </c>
      <c r="U1402">
        <v>3</v>
      </c>
      <c r="V1402">
        <v>0.29299679893144182</v>
      </c>
      <c r="W1402">
        <v>1</v>
      </c>
      <c r="X1402">
        <v>0.29299679893144182</v>
      </c>
      <c r="Y1402">
        <v>10</v>
      </c>
      <c r="Z1402">
        <v>372.58135532659509</v>
      </c>
      <c r="AA1402">
        <v>2</v>
      </c>
      <c r="AB1402">
        <v>3</v>
      </c>
      <c r="AC1402">
        <v>7</v>
      </c>
      <c r="AD1402">
        <v>24.62</v>
      </c>
      <c r="AE1402">
        <v>253</v>
      </c>
      <c r="AF1402">
        <v>14</v>
      </c>
      <c r="AG1402">
        <v>61</v>
      </c>
      <c r="AH1402">
        <v>32</v>
      </c>
      <c r="AI1402">
        <v>5.53</v>
      </c>
      <c r="AJ1402">
        <v>24.11</v>
      </c>
      <c r="AK1402">
        <v>12.65</v>
      </c>
      <c r="AL1402">
        <v>-19.637159949999951</v>
      </c>
      <c r="AM1402">
        <v>-43.882643289441461</v>
      </c>
      <c r="AN1402">
        <v>-19.637159949999951</v>
      </c>
      <c r="AO1402">
        <v>-43.882643289441461</v>
      </c>
      <c r="AP1402">
        <v>-19.636932999999999</v>
      </c>
      <c r="AQ1402">
        <v>-43.882691999999999</v>
      </c>
      <c r="AR1402">
        <v>25.775099947452478</v>
      </c>
      <c r="AS1402" t="s">
        <v>65</v>
      </c>
      <c r="AT1402">
        <v>1</v>
      </c>
      <c r="AU1402" t="s">
        <v>397</v>
      </c>
      <c r="AV1402" t="s">
        <v>398</v>
      </c>
      <c r="AW1402" t="s">
        <v>60</v>
      </c>
      <c r="AX1402" t="s">
        <v>68</v>
      </c>
      <c r="AY1402" t="s">
        <v>69</v>
      </c>
      <c r="AZ1402" t="b">
        <v>1</v>
      </c>
    </row>
    <row r="1403" spans="1:52" x14ac:dyDescent="0.3">
      <c r="A1403" t="s">
        <v>52</v>
      </c>
      <c r="B1403" t="s">
        <v>53</v>
      </c>
      <c r="C1403" t="s">
        <v>54</v>
      </c>
      <c r="D1403" t="s">
        <v>55</v>
      </c>
      <c r="E1403" t="s">
        <v>837</v>
      </c>
      <c r="F1403" t="s">
        <v>176</v>
      </c>
      <c r="G1403" t="s">
        <v>399</v>
      </c>
      <c r="H1403" t="s">
        <v>400</v>
      </c>
      <c r="I1403" t="s">
        <v>400</v>
      </c>
      <c r="J1403" t="s">
        <v>60</v>
      </c>
      <c r="K1403" t="s">
        <v>286</v>
      </c>
      <c r="L1403" t="s">
        <v>62</v>
      </c>
      <c r="M1403" t="s">
        <v>286</v>
      </c>
      <c r="N1403" t="s">
        <v>401</v>
      </c>
      <c r="O1403" t="s">
        <v>402</v>
      </c>
      <c r="P1403">
        <v>-19.639906</v>
      </c>
      <c r="Q1403">
        <v>-43.886059000000003</v>
      </c>
      <c r="R1403" s="2" t="str">
        <f>HYPERLINK("https://www.google.com/maps?q=-19.6399060,-43.8860590","Abrir no Google Maps")</f>
        <v>Abrir no Google Maps</v>
      </c>
      <c r="S1403">
        <v>3</v>
      </c>
      <c r="T1403">
        <v>256.0748811302048</v>
      </c>
      <c r="U1403">
        <v>3</v>
      </c>
      <c r="V1403">
        <v>0.28921218877740618</v>
      </c>
      <c r="W1403">
        <v>1</v>
      </c>
      <c r="X1403">
        <v>0.28921218877740618</v>
      </c>
      <c r="Y1403">
        <v>10</v>
      </c>
      <c r="Z1403">
        <v>205.06236700857289</v>
      </c>
      <c r="AA1403">
        <v>2</v>
      </c>
      <c r="AB1403">
        <v>3</v>
      </c>
      <c r="AC1403">
        <v>7</v>
      </c>
      <c r="AD1403">
        <v>24.62</v>
      </c>
      <c r="AE1403">
        <v>253</v>
      </c>
      <c r="AF1403">
        <v>14</v>
      </c>
      <c r="AG1403">
        <v>61</v>
      </c>
      <c r="AH1403">
        <v>32</v>
      </c>
      <c r="AI1403">
        <v>5.53</v>
      </c>
      <c r="AJ1403">
        <v>24.11</v>
      </c>
      <c r="AK1403">
        <v>12.65</v>
      </c>
      <c r="AL1403">
        <v>-19.639789499999949</v>
      </c>
      <c r="AM1403">
        <v>-43.885737855031408</v>
      </c>
      <c r="AN1403">
        <v>-19.639789499999949</v>
      </c>
      <c r="AO1403">
        <v>-43.885737855031408</v>
      </c>
      <c r="AP1403">
        <v>-19.639906</v>
      </c>
      <c r="AQ1403">
        <v>-43.886059000000003</v>
      </c>
      <c r="AR1403">
        <v>36.081349702130403</v>
      </c>
      <c r="AS1403" t="s">
        <v>65</v>
      </c>
      <c r="AT1403">
        <v>1</v>
      </c>
      <c r="AU1403" t="s">
        <v>403</v>
      </c>
      <c r="AV1403" t="s">
        <v>404</v>
      </c>
      <c r="AW1403" t="s">
        <v>60</v>
      </c>
      <c r="AX1403" t="s">
        <v>68</v>
      </c>
      <c r="AY1403" t="s">
        <v>69</v>
      </c>
      <c r="AZ1403" t="b">
        <v>1</v>
      </c>
    </row>
    <row r="1404" spans="1:52" x14ac:dyDescent="0.3">
      <c r="A1404" t="s">
        <v>52</v>
      </c>
      <c r="B1404" t="s">
        <v>53</v>
      </c>
      <c r="C1404" t="s">
        <v>54</v>
      </c>
      <c r="D1404" t="s">
        <v>55</v>
      </c>
      <c r="E1404" t="s">
        <v>837</v>
      </c>
      <c r="F1404" t="s">
        <v>176</v>
      </c>
      <c r="G1404" t="s">
        <v>417</v>
      </c>
      <c r="H1404" t="s">
        <v>418</v>
      </c>
      <c r="I1404" t="s">
        <v>418</v>
      </c>
      <c r="J1404" t="s">
        <v>60</v>
      </c>
      <c r="K1404" t="s">
        <v>179</v>
      </c>
      <c r="L1404" t="s">
        <v>62</v>
      </c>
      <c r="M1404" t="s">
        <v>179</v>
      </c>
      <c r="N1404" t="s">
        <v>419</v>
      </c>
      <c r="O1404" t="s">
        <v>420</v>
      </c>
      <c r="P1404">
        <v>-19.646516999999999</v>
      </c>
      <c r="Q1404">
        <v>-43.889716</v>
      </c>
      <c r="R1404" s="2" t="str">
        <f>HYPERLINK("https://www.google.com/maps?q=-19.6465170,-43.8897160","Abrir no Google Maps")</f>
        <v>Abrir no Google Maps</v>
      </c>
      <c r="S1404">
        <v>3</v>
      </c>
      <c r="T1404">
        <v>796.8355517653099</v>
      </c>
      <c r="U1404">
        <v>3</v>
      </c>
      <c r="V1404">
        <v>0.2751898913120307</v>
      </c>
      <c r="W1404">
        <v>1</v>
      </c>
      <c r="X1404">
        <v>0.2751898913120307</v>
      </c>
      <c r="Y1404">
        <v>7</v>
      </c>
      <c r="Z1404">
        <v>749.72812632947034</v>
      </c>
      <c r="AA1404">
        <v>2</v>
      </c>
      <c r="AB1404">
        <v>3</v>
      </c>
      <c r="AC1404">
        <v>7</v>
      </c>
      <c r="AD1404">
        <v>24.62</v>
      </c>
      <c r="AE1404">
        <v>253</v>
      </c>
      <c r="AF1404">
        <v>14</v>
      </c>
      <c r="AG1404">
        <v>61</v>
      </c>
      <c r="AH1404">
        <v>32</v>
      </c>
      <c r="AI1404">
        <v>5.53</v>
      </c>
      <c r="AJ1404">
        <v>24.11</v>
      </c>
      <c r="AK1404">
        <v>12.65</v>
      </c>
      <c r="AL1404">
        <v>-19.646452649999961</v>
      </c>
      <c r="AM1404">
        <v>-43.88991036523079</v>
      </c>
      <c r="AN1404">
        <v>-19.646452649999961</v>
      </c>
      <c r="AO1404">
        <v>-43.88991036523079</v>
      </c>
      <c r="AP1404">
        <v>-19.646516999999999</v>
      </c>
      <c r="AQ1404">
        <v>-43.889716</v>
      </c>
      <c r="AR1404">
        <v>21.599617922669939</v>
      </c>
      <c r="AS1404" t="s">
        <v>65</v>
      </c>
      <c r="AT1404">
        <v>1</v>
      </c>
      <c r="AU1404" t="s">
        <v>421</v>
      </c>
      <c r="AV1404" t="s">
        <v>422</v>
      </c>
      <c r="AW1404" t="s">
        <v>60</v>
      </c>
      <c r="AX1404" t="s">
        <v>68</v>
      </c>
      <c r="AY1404" t="s">
        <v>69</v>
      </c>
      <c r="AZ1404" t="b">
        <v>1</v>
      </c>
    </row>
    <row r="1405" spans="1:52" x14ac:dyDescent="0.3">
      <c r="A1405" t="s">
        <v>52</v>
      </c>
      <c r="B1405" t="s">
        <v>53</v>
      </c>
      <c r="C1405" t="s">
        <v>54</v>
      </c>
      <c r="D1405" t="s">
        <v>55</v>
      </c>
      <c r="E1405" t="s">
        <v>837</v>
      </c>
      <c r="F1405" t="s">
        <v>176</v>
      </c>
      <c r="G1405" t="s">
        <v>777</v>
      </c>
      <c r="H1405" t="s">
        <v>778</v>
      </c>
      <c r="I1405" t="s">
        <v>778</v>
      </c>
      <c r="J1405" t="s">
        <v>60</v>
      </c>
      <c r="K1405" t="s">
        <v>352</v>
      </c>
      <c r="L1405" t="s">
        <v>62</v>
      </c>
      <c r="M1405" t="s">
        <v>352</v>
      </c>
      <c r="N1405" t="s">
        <v>779</v>
      </c>
      <c r="O1405" t="s">
        <v>780</v>
      </c>
      <c r="P1405">
        <v>-19.579518</v>
      </c>
      <c r="Q1405">
        <v>-43.909238000000002</v>
      </c>
      <c r="R1405" s="2" t="str">
        <f>HYPERLINK("https://www.google.com/maps?q=-19.5795180,-43.9092380","Abrir no Google Maps")</f>
        <v>Abrir no Google Maps</v>
      </c>
      <c r="S1405">
        <v>3</v>
      </c>
      <c r="T1405">
        <v>1293.9709096326289</v>
      </c>
      <c r="U1405">
        <v>3</v>
      </c>
      <c r="V1405">
        <v>0.32139533505231022</v>
      </c>
      <c r="W1405">
        <v>0.85</v>
      </c>
      <c r="X1405">
        <v>0.27318603479446368</v>
      </c>
      <c r="Y1405">
        <v>7</v>
      </c>
      <c r="Z1405">
        <v>1024.030940986815</v>
      </c>
      <c r="AA1405">
        <v>2</v>
      </c>
      <c r="AB1405">
        <v>3</v>
      </c>
      <c r="AC1405">
        <v>7</v>
      </c>
      <c r="AD1405">
        <v>24.62</v>
      </c>
      <c r="AE1405">
        <v>253</v>
      </c>
      <c r="AF1405">
        <v>14</v>
      </c>
      <c r="AG1405">
        <v>61</v>
      </c>
      <c r="AH1405">
        <v>32</v>
      </c>
      <c r="AI1405">
        <v>5.53</v>
      </c>
      <c r="AJ1405">
        <v>24.11</v>
      </c>
      <c r="AK1405">
        <v>12.65</v>
      </c>
      <c r="AL1405">
        <v>-19.579767999999941</v>
      </c>
      <c r="AM1405">
        <v>-43.909514457818823</v>
      </c>
      <c r="AN1405">
        <v>-19.579767999999941</v>
      </c>
      <c r="AO1405">
        <v>-43.909514457818823</v>
      </c>
      <c r="AP1405">
        <v>-19.579518</v>
      </c>
      <c r="AQ1405">
        <v>-43.909238000000002</v>
      </c>
      <c r="AR1405">
        <v>40.190312724728379</v>
      </c>
      <c r="AS1405" t="s">
        <v>65</v>
      </c>
      <c r="AT1405">
        <v>1</v>
      </c>
      <c r="AU1405" t="s">
        <v>781</v>
      </c>
      <c r="AV1405" t="s">
        <v>782</v>
      </c>
      <c r="AW1405" t="s">
        <v>60</v>
      </c>
      <c r="AX1405" t="s">
        <v>68</v>
      </c>
      <c r="AY1405" t="s">
        <v>69</v>
      </c>
      <c r="AZ1405" t="b">
        <v>1</v>
      </c>
    </row>
    <row r="1406" spans="1:52" x14ac:dyDescent="0.3">
      <c r="A1406" t="s">
        <v>52</v>
      </c>
      <c r="B1406" t="s">
        <v>53</v>
      </c>
      <c r="C1406" t="s">
        <v>54</v>
      </c>
      <c r="D1406" t="s">
        <v>55</v>
      </c>
      <c r="E1406" t="s">
        <v>837</v>
      </c>
      <c r="F1406" t="s">
        <v>176</v>
      </c>
      <c r="G1406" t="s">
        <v>433</v>
      </c>
      <c r="H1406" t="s">
        <v>434</v>
      </c>
      <c r="I1406" t="s">
        <v>434</v>
      </c>
      <c r="J1406" t="s">
        <v>60</v>
      </c>
      <c r="K1406" t="s">
        <v>311</v>
      </c>
      <c r="L1406" t="s">
        <v>62</v>
      </c>
      <c r="M1406" t="s">
        <v>311</v>
      </c>
      <c r="N1406" t="s">
        <v>435</v>
      </c>
      <c r="O1406" t="s">
        <v>120</v>
      </c>
      <c r="P1406">
        <v>-19.563834</v>
      </c>
      <c r="Q1406">
        <v>-43.917617</v>
      </c>
      <c r="R1406" s="2" t="str">
        <f>HYPERLINK("https://www.google.com/maps?q=-19.5638340,-43.9176170","Abrir no Google Maps")</f>
        <v>Abrir no Google Maps</v>
      </c>
      <c r="S1406">
        <v>3</v>
      </c>
      <c r="T1406">
        <v>1208.4380275937069</v>
      </c>
      <c r="U1406">
        <v>3</v>
      </c>
      <c r="V1406">
        <v>0.26501014198782957</v>
      </c>
      <c r="W1406">
        <v>1</v>
      </c>
      <c r="X1406">
        <v>0.26501014198782957</v>
      </c>
      <c r="Y1406">
        <v>5</v>
      </c>
      <c r="Z1406">
        <v>1239.357315084522</v>
      </c>
      <c r="AA1406">
        <v>2</v>
      </c>
      <c r="AB1406">
        <v>3</v>
      </c>
      <c r="AC1406">
        <v>7</v>
      </c>
      <c r="AD1406">
        <v>24.62</v>
      </c>
      <c r="AE1406">
        <v>253</v>
      </c>
      <c r="AF1406">
        <v>14</v>
      </c>
      <c r="AG1406">
        <v>61</v>
      </c>
      <c r="AH1406">
        <v>32</v>
      </c>
      <c r="AI1406">
        <v>5.53</v>
      </c>
      <c r="AJ1406">
        <v>24.11</v>
      </c>
      <c r="AK1406">
        <v>12.65</v>
      </c>
      <c r="AL1406">
        <v>-19.563932349999959</v>
      </c>
      <c r="AM1406">
        <v>-43.917383104532327</v>
      </c>
      <c r="AN1406">
        <v>-19.563932349999959</v>
      </c>
      <c r="AO1406">
        <v>-43.917383104532327</v>
      </c>
      <c r="AP1406">
        <v>-19.563834</v>
      </c>
      <c r="AQ1406">
        <v>-43.917617</v>
      </c>
      <c r="AR1406">
        <v>26.86608405010627</v>
      </c>
      <c r="AS1406" t="s">
        <v>65</v>
      </c>
      <c r="AT1406">
        <v>1</v>
      </c>
      <c r="AU1406" t="s">
        <v>436</v>
      </c>
      <c r="AV1406" t="s">
        <v>437</v>
      </c>
      <c r="AW1406" t="s">
        <v>60</v>
      </c>
      <c r="AX1406" t="s">
        <v>68</v>
      </c>
      <c r="AY1406" t="s">
        <v>69</v>
      </c>
      <c r="AZ1406" t="b">
        <v>1</v>
      </c>
    </row>
    <row r="1407" spans="1:52" x14ac:dyDescent="0.3">
      <c r="A1407" t="s">
        <v>52</v>
      </c>
      <c r="B1407" t="s">
        <v>53</v>
      </c>
      <c r="C1407" t="s">
        <v>54</v>
      </c>
      <c r="D1407" t="s">
        <v>55</v>
      </c>
      <c r="E1407" t="s">
        <v>837</v>
      </c>
      <c r="F1407" t="s">
        <v>176</v>
      </c>
      <c r="G1407" t="s">
        <v>438</v>
      </c>
      <c r="H1407" t="s">
        <v>439</v>
      </c>
      <c r="I1407" t="s">
        <v>439</v>
      </c>
      <c r="J1407" t="s">
        <v>60</v>
      </c>
      <c r="K1407" t="s">
        <v>199</v>
      </c>
      <c r="L1407" t="s">
        <v>62</v>
      </c>
      <c r="M1407" t="s">
        <v>199</v>
      </c>
      <c r="N1407" t="s">
        <v>440</v>
      </c>
      <c r="O1407" t="s">
        <v>120</v>
      </c>
      <c r="P1407">
        <v>-19.642907000000001</v>
      </c>
      <c r="Q1407">
        <v>-43.912584000000003</v>
      </c>
      <c r="R1407" s="2" t="str">
        <f>HYPERLINK("https://www.google.com/maps?q=-19.6429070,-43.9125840","Abrir no Google Maps")</f>
        <v>Abrir no Google Maps</v>
      </c>
      <c r="S1407">
        <v>3</v>
      </c>
      <c r="T1407">
        <v>0</v>
      </c>
      <c r="U1407">
        <v>3</v>
      </c>
      <c r="V1407">
        <v>0.265811659294932</v>
      </c>
      <c r="W1407">
        <v>1</v>
      </c>
      <c r="X1407">
        <v>0.265811659294932</v>
      </c>
      <c r="Y1407">
        <v>4</v>
      </c>
      <c r="Z1407">
        <v>617.66392653629225</v>
      </c>
      <c r="AA1407">
        <v>2</v>
      </c>
      <c r="AB1407">
        <v>3</v>
      </c>
      <c r="AC1407">
        <v>7</v>
      </c>
      <c r="AD1407">
        <v>24.62</v>
      </c>
      <c r="AE1407">
        <v>253</v>
      </c>
      <c r="AF1407">
        <v>14</v>
      </c>
      <c r="AG1407">
        <v>61</v>
      </c>
      <c r="AH1407">
        <v>32</v>
      </c>
      <c r="AI1407">
        <v>5.53</v>
      </c>
      <c r="AJ1407">
        <v>24.11</v>
      </c>
      <c r="AK1407">
        <v>12.65</v>
      </c>
      <c r="AL1407">
        <v>-19.64265969999996</v>
      </c>
      <c r="AM1407">
        <v>-43.912763285666202</v>
      </c>
      <c r="AN1407">
        <v>-19.64265969999996</v>
      </c>
      <c r="AO1407">
        <v>-43.912763285666202</v>
      </c>
      <c r="AP1407">
        <v>-19.642907000000001</v>
      </c>
      <c r="AQ1407">
        <v>-43.912584000000003</v>
      </c>
      <c r="AR1407">
        <v>33.334435483196202</v>
      </c>
      <c r="AS1407" t="s">
        <v>65</v>
      </c>
      <c r="AT1407">
        <v>1</v>
      </c>
      <c r="AU1407" t="s">
        <v>441</v>
      </c>
      <c r="AV1407" t="s">
        <v>442</v>
      </c>
      <c r="AW1407" t="s">
        <v>60</v>
      </c>
      <c r="AX1407" t="s">
        <v>68</v>
      </c>
      <c r="AY1407" t="s">
        <v>69</v>
      </c>
      <c r="AZ1407" t="b">
        <v>1</v>
      </c>
    </row>
    <row r="1408" spans="1:52" x14ac:dyDescent="0.3">
      <c r="A1408" t="s">
        <v>52</v>
      </c>
      <c r="B1408" t="s">
        <v>53</v>
      </c>
      <c r="C1408" t="s">
        <v>54</v>
      </c>
      <c r="D1408" t="s">
        <v>55</v>
      </c>
      <c r="E1408" t="s">
        <v>837</v>
      </c>
      <c r="F1408" t="s">
        <v>176</v>
      </c>
      <c r="G1408" t="s">
        <v>443</v>
      </c>
      <c r="H1408" t="s">
        <v>444</v>
      </c>
      <c r="I1408" t="s">
        <v>444</v>
      </c>
      <c r="J1408" t="s">
        <v>60</v>
      </c>
      <c r="K1408" t="s">
        <v>445</v>
      </c>
      <c r="L1408" t="s">
        <v>62</v>
      </c>
      <c r="M1408" t="s">
        <v>445</v>
      </c>
      <c r="N1408" t="s">
        <v>446</v>
      </c>
      <c r="O1408" t="s">
        <v>447</v>
      </c>
      <c r="P1408">
        <v>-19.650062999999999</v>
      </c>
      <c r="Q1408">
        <v>-43.878337000000002</v>
      </c>
      <c r="R1408" s="2" t="str">
        <f>HYPERLINK("https://www.google.com/maps?q=-19.6500630,-43.8783370","Abrir no Google Maps")</f>
        <v>Abrir no Google Maps</v>
      </c>
      <c r="S1408">
        <v>3</v>
      </c>
      <c r="T1408">
        <v>839.11860749856135</v>
      </c>
      <c r="U1408">
        <v>3</v>
      </c>
      <c r="V1408">
        <v>0.28551267157179122</v>
      </c>
      <c r="W1408">
        <v>1</v>
      </c>
      <c r="X1408">
        <v>0.28551267157179122</v>
      </c>
      <c r="Y1408">
        <v>3</v>
      </c>
      <c r="Z1408">
        <v>698.86168887476526</v>
      </c>
      <c r="AA1408">
        <v>2</v>
      </c>
      <c r="AB1408">
        <v>3</v>
      </c>
      <c r="AC1408">
        <v>7</v>
      </c>
      <c r="AD1408">
        <v>24.62</v>
      </c>
      <c r="AE1408">
        <v>253</v>
      </c>
      <c r="AF1408">
        <v>14</v>
      </c>
      <c r="AG1408">
        <v>61</v>
      </c>
      <c r="AH1408">
        <v>32</v>
      </c>
      <c r="AI1408">
        <v>5.53</v>
      </c>
      <c r="AJ1408">
        <v>24.11</v>
      </c>
      <c r="AK1408">
        <v>12.65</v>
      </c>
      <c r="AL1408">
        <v>-19.650555399999941</v>
      </c>
      <c r="AM1408">
        <v>-43.878603008553611</v>
      </c>
      <c r="AN1408">
        <v>-19.650555399999941</v>
      </c>
      <c r="AO1408">
        <v>-43.878603008553611</v>
      </c>
      <c r="AP1408">
        <v>-19.650062999999999</v>
      </c>
      <c r="AQ1408">
        <v>-43.878337000000002</v>
      </c>
      <c r="AR1408">
        <v>61.500273251918507</v>
      </c>
      <c r="AS1408" t="s">
        <v>65</v>
      </c>
      <c r="AT1408">
        <v>1</v>
      </c>
      <c r="AU1408" t="s">
        <v>448</v>
      </c>
      <c r="AV1408" t="s">
        <v>449</v>
      </c>
      <c r="AW1408" t="s">
        <v>60</v>
      </c>
      <c r="AX1408" t="s">
        <v>68</v>
      </c>
      <c r="AY1408" t="s">
        <v>69</v>
      </c>
      <c r="AZ1408" t="b">
        <v>1</v>
      </c>
    </row>
    <row r="1409" spans="1:52" x14ac:dyDescent="0.3">
      <c r="A1409" t="s">
        <v>52</v>
      </c>
      <c r="B1409" t="s">
        <v>53</v>
      </c>
      <c r="C1409" t="s">
        <v>54</v>
      </c>
      <c r="D1409" t="s">
        <v>55</v>
      </c>
      <c r="E1409" t="s">
        <v>837</v>
      </c>
      <c r="F1409" t="s">
        <v>176</v>
      </c>
      <c r="G1409" t="s">
        <v>450</v>
      </c>
      <c r="H1409" t="s">
        <v>451</v>
      </c>
      <c r="I1409" t="s">
        <v>451</v>
      </c>
      <c r="J1409" t="s">
        <v>60</v>
      </c>
      <c r="K1409" t="s">
        <v>452</v>
      </c>
      <c r="L1409" t="s">
        <v>62</v>
      </c>
      <c r="M1409" t="s">
        <v>452</v>
      </c>
      <c r="N1409" t="s">
        <v>453</v>
      </c>
      <c r="O1409" t="s">
        <v>454</v>
      </c>
      <c r="P1409">
        <v>-19.649691000000001</v>
      </c>
      <c r="Q1409">
        <v>-43.873970999999997</v>
      </c>
      <c r="R1409" s="2" t="str">
        <f>HYPERLINK("https://www.google.com/maps?q=-19.6496910,-43.8739710","Abrir no Google Maps")</f>
        <v>Abrir no Google Maps</v>
      </c>
      <c r="S1409">
        <v>3</v>
      </c>
      <c r="T1409">
        <v>433.54329587849469</v>
      </c>
      <c r="U1409">
        <v>3</v>
      </c>
      <c r="V1409">
        <v>0.26642111724984652</v>
      </c>
      <c r="W1409">
        <v>1</v>
      </c>
      <c r="X1409">
        <v>0.26642111724984652</v>
      </c>
      <c r="Y1409">
        <v>3</v>
      </c>
      <c r="Z1409">
        <v>298.71042308886041</v>
      </c>
      <c r="AA1409">
        <v>2</v>
      </c>
      <c r="AB1409">
        <v>3</v>
      </c>
      <c r="AC1409">
        <v>7</v>
      </c>
      <c r="AD1409">
        <v>24.62</v>
      </c>
      <c r="AE1409">
        <v>253</v>
      </c>
      <c r="AF1409">
        <v>14</v>
      </c>
      <c r="AG1409">
        <v>61</v>
      </c>
      <c r="AH1409">
        <v>32</v>
      </c>
      <c r="AI1409">
        <v>5.53</v>
      </c>
      <c r="AJ1409">
        <v>24.11</v>
      </c>
      <c r="AK1409">
        <v>12.65</v>
      </c>
      <c r="AL1409">
        <v>-19.64973869999994</v>
      </c>
      <c r="AM1409">
        <v>-43.873980587601103</v>
      </c>
      <c r="AN1409">
        <v>-19.64973869999994</v>
      </c>
      <c r="AO1409">
        <v>-43.873980587601103</v>
      </c>
      <c r="AP1409">
        <v>-19.649691000000001</v>
      </c>
      <c r="AQ1409">
        <v>-43.873970999999997</v>
      </c>
      <c r="AR1409">
        <v>5.4042596125531333</v>
      </c>
      <c r="AS1409" t="s">
        <v>65</v>
      </c>
      <c r="AT1409">
        <v>1</v>
      </c>
      <c r="AU1409" t="s">
        <v>455</v>
      </c>
      <c r="AV1409" t="s">
        <v>456</v>
      </c>
      <c r="AW1409" t="s">
        <v>60</v>
      </c>
      <c r="AX1409" t="s">
        <v>68</v>
      </c>
      <c r="AY1409" t="s">
        <v>69</v>
      </c>
      <c r="AZ1409" t="b">
        <v>1</v>
      </c>
    </row>
    <row r="1410" spans="1:52" x14ac:dyDescent="0.3">
      <c r="A1410" t="s">
        <v>52</v>
      </c>
      <c r="B1410" t="s">
        <v>53</v>
      </c>
      <c r="C1410" t="s">
        <v>54</v>
      </c>
      <c r="D1410" t="s">
        <v>55</v>
      </c>
      <c r="E1410" t="s">
        <v>837</v>
      </c>
      <c r="F1410" t="s">
        <v>176</v>
      </c>
      <c r="G1410" t="s">
        <v>324</v>
      </c>
      <c r="H1410" t="s">
        <v>325</v>
      </c>
      <c r="I1410" t="s">
        <v>325</v>
      </c>
      <c r="J1410" t="s">
        <v>60</v>
      </c>
      <c r="K1410" t="s">
        <v>326</v>
      </c>
      <c r="L1410" t="s">
        <v>62</v>
      </c>
      <c r="M1410" t="s">
        <v>326</v>
      </c>
      <c r="N1410" t="s">
        <v>327</v>
      </c>
      <c r="O1410" t="s">
        <v>328</v>
      </c>
      <c r="P1410">
        <v>-19.654454000000001</v>
      </c>
      <c r="Q1410">
        <v>-43.874654</v>
      </c>
      <c r="R1410" s="2" t="str">
        <f>HYPERLINK("https://www.google.com/maps?q=-19.6544540,-43.8746540","Abrir no Google Maps")</f>
        <v>Abrir no Google Maps</v>
      </c>
      <c r="S1410">
        <v>3</v>
      </c>
      <c r="T1410">
        <v>461.71515786258828</v>
      </c>
      <c r="U1410">
        <v>3</v>
      </c>
      <c r="V1410">
        <v>0.2822556535994985</v>
      </c>
      <c r="W1410">
        <v>1</v>
      </c>
      <c r="X1410">
        <v>0.2822556535994985</v>
      </c>
      <c r="Y1410">
        <v>3</v>
      </c>
      <c r="Z1410">
        <v>321.42492762576637</v>
      </c>
      <c r="AA1410">
        <v>2</v>
      </c>
      <c r="AB1410">
        <v>3</v>
      </c>
      <c r="AC1410">
        <v>7</v>
      </c>
      <c r="AD1410">
        <v>24.62</v>
      </c>
      <c r="AE1410">
        <v>253</v>
      </c>
      <c r="AF1410">
        <v>14</v>
      </c>
      <c r="AG1410">
        <v>61</v>
      </c>
      <c r="AH1410">
        <v>32</v>
      </c>
      <c r="AI1410">
        <v>5.53</v>
      </c>
      <c r="AJ1410">
        <v>24.11</v>
      </c>
      <c r="AK1410">
        <v>12.65</v>
      </c>
      <c r="AL1410">
        <v>-19.654399599999941</v>
      </c>
      <c r="AM1410">
        <v>-43.87457008070222</v>
      </c>
      <c r="AN1410">
        <v>-19.654399599999941</v>
      </c>
      <c r="AO1410">
        <v>-43.87457008070222</v>
      </c>
      <c r="AP1410">
        <v>-19.654454000000001</v>
      </c>
      <c r="AQ1410">
        <v>-43.874654</v>
      </c>
      <c r="AR1410">
        <v>10.68040226290562</v>
      </c>
      <c r="AS1410" t="s">
        <v>65</v>
      </c>
      <c r="AT1410">
        <v>1</v>
      </c>
      <c r="AU1410" t="s">
        <v>329</v>
      </c>
      <c r="AV1410" t="s">
        <v>330</v>
      </c>
      <c r="AW1410" t="s">
        <v>60</v>
      </c>
      <c r="AX1410" t="s">
        <v>68</v>
      </c>
      <c r="AY1410" t="s">
        <v>69</v>
      </c>
      <c r="AZ1410" t="b">
        <v>1</v>
      </c>
    </row>
    <row r="1411" spans="1:52" x14ac:dyDescent="0.3">
      <c r="A1411" t="s">
        <v>52</v>
      </c>
      <c r="B1411" t="s">
        <v>53</v>
      </c>
      <c r="C1411" t="s">
        <v>54</v>
      </c>
      <c r="D1411" t="s">
        <v>55</v>
      </c>
      <c r="E1411" t="s">
        <v>837</v>
      </c>
      <c r="F1411" t="s">
        <v>176</v>
      </c>
      <c r="G1411" t="s">
        <v>457</v>
      </c>
      <c r="H1411" t="s">
        <v>458</v>
      </c>
      <c r="I1411" t="s">
        <v>458</v>
      </c>
      <c r="J1411" t="s">
        <v>60</v>
      </c>
      <c r="K1411" t="s">
        <v>286</v>
      </c>
      <c r="L1411" t="s">
        <v>62</v>
      </c>
      <c r="M1411" t="s">
        <v>286</v>
      </c>
      <c r="N1411" t="s">
        <v>459</v>
      </c>
      <c r="O1411" t="s">
        <v>408</v>
      </c>
      <c r="P1411">
        <v>-19.648675000000001</v>
      </c>
      <c r="Q1411">
        <v>-43.876176999999998</v>
      </c>
      <c r="R1411" s="2" t="str">
        <f>HYPERLINK("https://www.google.com/maps?q=-19.6486750,-43.8761770","Abrir no Google Maps")</f>
        <v>Abrir no Google Maps</v>
      </c>
      <c r="S1411">
        <v>3</v>
      </c>
      <c r="T1411">
        <v>696.15049931004592</v>
      </c>
      <c r="U1411">
        <v>3</v>
      </c>
      <c r="V1411">
        <v>0.2924557777186555</v>
      </c>
      <c r="W1411">
        <v>1</v>
      </c>
      <c r="X1411">
        <v>0.2924557777186555</v>
      </c>
      <c r="Y1411">
        <v>3</v>
      </c>
      <c r="Z1411">
        <v>617.40976221624703</v>
      </c>
      <c r="AA1411">
        <v>2</v>
      </c>
      <c r="AB1411">
        <v>3</v>
      </c>
      <c r="AC1411">
        <v>7</v>
      </c>
      <c r="AD1411">
        <v>24.62</v>
      </c>
      <c r="AE1411">
        <v>253</v>
      </c>
      <c r="AF1411">
        <v>14</v>
      </c>
      <c r="AG1411">
        <v>61</v>
      </c>
      <c r="AH1411">
        <v>32</v>
      </c>
      <c r="AI1411">
        <v>5.53</v>
      </c>
      <c r="AJ1411">
        <v>24.11</v>
      </c>
      <c r="AK1411">
        <v>12.65</v>
      </c>
      <c r="AL1411">
        <v>-19.648626649999951</v>
      </c>
      <c r="AM1411">
        <v>-43.876233357879343</v>
      </c>
      <c r="AN1411">
        <v>-19.648626649999951</v>
      </c>
      <c r="AO1411">
        <v>-43.876233357879343</v>
      </c>
      <c r="AP1411">
        <v>-19.648675000000001</v>
      </c>
      <c r="AQ1411">
        <v>-43.876176999999998</v>
      </c>
      <c r="AR1411">
        <v>7.9924470956447653</v>
      </c>
      <c r="AS1411" t="s">
        <v>65</v>
      </c>
      <c r="AT1411">
        <v>1</v>
      </c>
      <c r="AU1411" t="s">
        <v>460</v>
      </c>
      <c r="AV1411" t="s">
        <v>461</v>
      </c>
      <c r="AW1411" t="s">
        <v>60</v>
      </c>
      <c r="AX1411" t="s">
        <v>68</v>
      </c>
      <c r="AY1411" t="s">
        <v>69</v>
      </c>
      <c r="AZ1411" t="b">
        <v>1</v>
      </c>
    </row>
    <row r="1412" spans="1:52" x14ac:dyDescent="0.3">
      <c r="A1412" t="s">
        <v>52</v>
      </c>
      <c r="B1412" t="s">
        <v>53</v>
      </c>
      <c r="C1412" t="s">
        <v>54</v>
      </c>
      <c r="D1412" t="s">
        <v>55</v>
      </c>
      <c r="E1412" t="s">
        <v>837</v>
      </c>
      <c r="F1412" t="s">
        <v>176</v>
      </c>
      <c r="G1412" t="s">
        <v>468</v>
      </c>
      <c r="H1412" t="s">
        <v>469</v>
      </c>
      <c r="I1412" t="s">
        <v>469</v>
      </c>
      <c r="J1412" t="s">
        <v>60</v>
      </c>
      <c r="K1412" t="s">
        <v>326</v>
      </c>
      <c r="L1412" t="s">
        <v>62</v>
      </c>
      <c r="M1412" t="s">
        <v>326</v>
      </c>
      <c r="N1412" t="s">
        <v>470</v>
      </c>
      <c r="O1412" t="s">
        <v>471</v>
      </c>
      <c r="P1412">
        <v>-19.655975999999999</v>
      </c>
      <c r="Q1412">
        <v>-43.870057000000003</v>
      </c>
      <c r="R1412" s="2" t="str">
        <f>HYPERLINK("https://www.google.com/maps?q=-19.6559760,-43.8700570","Abrir no Google Maps")</f>
        <v>Abrir no Google Maps</v>
      </c>
      <c r="S1412">
        <v>3</v>
      </c>
      <c r="T1412">
        <v>409.25016374145417</v>
      </c>
      <c r="U1412">
        <v>3</v>
      </c>
      <c r="V1412">
        <v>0.29478504710605419</v>
      </c>
      <c r="W1412">
        <v>1</v>
      </c>
      <c r="X1412">
        <v>0.29478504710605419</v>
      </c>
      <c r="Y1412">
        <v>3</v>
      </c>
      <c r="Z1412">
        <v>484.59511175905197</v>
      </c>
      <c r="AA1412">
        <v>2</v>
      </c>
      <c r="AB1412">
        <v>3</v>
      </c>
      <c r="AC1412">
        <v>7</v>
      </c>
      <c r="AD1412">
        <v>24.62</v>
      </c>
      <c r="AE1412">
        <v>253</v>
      </c>
      <c r="AF1412">
        <v>14</v>
      </c>
      <c r="AG1412">
        <v>61</v>
      </c>
      <c r="AH1412">
        <v>32</v>
      </c>
      <c r="AI1412">
        <v>5.53</v>
      </c>
      <c r="AJ1412">
        <v>24.11</v>
      </c>
      <c r="AK1412">
        <v>12.65</v>
      </c>
      <c r="AL1412">
        <v>-19.655869499999969</v>
      </c>
      <c r="AM1412">
        <v>-43.870040006843681</v>
      </c>
      <c r="AN1412">
        <v>-19.655869499999969</v>
      </c>
      <c r="AO1412">
        <v>-43.870040006843681</v>
      </c>
      <c r="AP1412">
        <v>-19.655975999999999</v>
      </c>
      <c r="AQ1412">
        <v>-43.870057000000003</v>
      </c>
      <c r="AR1412">
        <v>11.98867552929476</v>
      </c>
      <c r="AS1412" t="s">
        <v>65</v>
      </c>
      <c r="AT1412">
        <v>1</v>
      </c>
      <c r="AU1412" t="s">
        <v>472</v>
      </c>
      <c r="AV1412" t="s">
        <v>473</v>
      </c>
      <c r="AW1412" t="s">
        <v>60</v>
      </c>
      <c r="AX1412" t="s">
        <v>68</v>
      </c>
      <c r="AY1412" t="s">
        <v>69</v>
      </c>
      <c r="AZ1412" t="b">
        <v>1</v>
      </c>
    </row>
    <row r="1413" spans="1:52" x14ac:dyDescent="0.3">
      <c r="A1413" t="s">
        <v>52</v>
      </c>
      <c r="B1413" t="s">
        <v>53</v>
      </c>
      <c r="C1413" t="s">
        <v>54</v>
      </c>
      <c r="D1413" t="s">
        <v>55</v>
      </c>
      <c r="E1413" t="s">
        <v>837</v>
      </c>
      <c r="F1413" t="s">
        <v>176</v>
      </c>
      <c r="G1413" t="s">
        <v>331</v>
      </c>
      <c r="H1413" t="s">
        <v>332</v>
      </c>
      <c r="I1413" t="s">
        <v>332</v>
      </c>
      <c r="J1413" t="s">
        <v>60</v>
      </c>
      <c r="K1413" t="s">
        <v>333</v>
      </c>
      <c r="L1413" t="s">
        <v>62</v>
      </c>
      <c r="M1413" t="s">
        <v>333</v>
      </c>
      <c r="N1413" t="s">
        <v>334</v>
      </c>
      <c r="O1413" t="s">
        <v>335</v>
      </c>
      <c r="P1413">
        <v>-19.638455</v>
      </c>
      <c r="Q1413">
        <v>-43.911239000000002</v>
      </c>
      <c r="R1413" s="2" t="str">
        <f>HYPERLINK("https://www.google.com/maps?q=-19.6384550,-43.9112390","Abrir no Google Maps")</f>
        <v>Abrir no Google Maps</v>
      </c>
      <c r="S1413">
        <v>3</v>
      </c>
      <c r="T1413">
        <v>488.53051432983438</v>
      </c>
      <c r="U1413">
        <v>3</v>
      </c>
      <c r="V1413">
        <v>0.28033126293995858</v>
      </c>
      <c r="W1413">
        <v>1</v>
      </c>
      <c r="X1413">
        <v>0.28033126293995858</v>
      </c>
      <c r="Y1413">
        <v>3</v>
      </c>
      <c r="Z1413">
        <v>503.17412324010428</v>
      </c>
      <c r="AA1413">
        <v>2</v>
      </c>
      <c r="AB1413">
        <v>3</v>
      </c>
      <c r="AC1413">
        <v>7</v>
      </c>
      <c r="AD1413">
        <v>24.62</v>
      </c>
      <c r="AE1413">
        <v>253</v>
      </c>
      <c r="AF1413">
        <v>14</v>
      </c>
      <c r="AG1413">
        <v>61</v>
      </c>
      <c r="AH1413">
        <v>32</v>
      </c>
      <c r="AI1413">
        <v>5.53</v>
      </c>
      <c r="AJ1413">
        <v>24.11</v>
      </c>
      <c r="AK1413">
        <v>12.65</v>
      </c>
      <c r="AL1413">
        <v>-19.63853704999994</v>
      </c>
      <c r="AM1413">
        <v>-43.911098254478723</v>
      </c>
      <c r="AN1413">
        <v>-19.63853704999994</v>
      </c>
      <c r="AO1413">
        <v>-43.911098254478723</v>
      </c>
      <c r="AP1413">
        <v>-19.638455</v>
      </c>
      <c r="AQ1413">
        <v>-43.911239000000002</v>
      </c>
      <c r="AR1413">
        <v>17.354491692685801</v>
      </c>
      <c r="AS1413" t="s">
        <v>65</v>
      </c>
      <c r="AT1413">
        <v>1</v>
      </c>
      <c r="AU1413" t="s">
        <v>336</v>
      </c>
      <c r="AV1413" t="s">
        <v>337</v>
      </c>
      <c r="AW1413" t="s">
        <v>60</v>
      </c>
      <c r="AX1413" t="s">
        <v>68</v>
      </c>
      <c r="AY1413" t="s">
        <v>69</v>
      </c>
      <c r="AZ1413" t="b">
        <v>1</v>
      </c>
    </row>
    <row r="1414" spans="1:52" x14ac:dyDescent="0.3">
      <c r="A1414" t="s">
        <v>52</v>
      </c>
      <c r="B1414" t="s">
        <v>53</v>
      </c>
      <c r="C1414" t="s">
        <v>54</v>
      </c>
      <c r="D1414" t="s">
        <v>55</v>
      </c>
      <c r="E1414" t="s">
        <v>837</v>
      </c>
      <c r="F1414" t="s">
        <v>176</v>
      </c>
      <c r="G1414" t="s">
        <v>728</v>
      </c>
      <c r="H1414" t="s">
        <v>729</v>
      </c>
      <c r="I1414" t="s">
        <v>729</v>
      </c>
      <c r="J1414" t="s">
        <v>60</v>
      </c>
      <c r="K1414" t="s">
        <v>730</v>
      </c>
      <c r="L1414" t="s">
        <v>62</v>
      </c>
      <c r="M1414" t="s">
        <v>730</v>
      </c>
      <c r="N1414" t="s">
        <v>731</v>
      </c>
      <c r="O1414" t="s">
        <v>732</v>
      </c>
      <c r="P1414">
        <v>-19.598894999999999</v>
      </c>
      <c r="Q1414">
        <v>-43.907265000000002</v>
      </c>
      <c r="R1414" s="2" t="str">
        <f>HYPERLINK("https://www.google.com/maps?q=-19.5988950,-43.9072650","Abrir no Google Maps")</f>
        <v>Abrir no Google Maps</v>
      </c>
      <c r="S1414">
        <v>3</v>
      </c>
      <c r="T1414">
        <v>308.81161626838701</v>
      </c>
      <c r="U1414">
        <v>3</v>
      </c>
      <c r="V1414">
        <v>0.31174152876280542</v>
      </c>
      <c r="W1414">
        <v>0.85</v>
      </c>
      <c r="X1414">
        <v>0.26498029944838458</v>
      </c>
      <c r="Y1414">
        <v>2</v>
      </c>
      <c r="Z1414">
        <v>305.65808615712928</v>
      </c>
      <c r="AA1414">
        <v>2</v>
      </c>
      <c r="AB1414">
        <v>3</v>
      </c>
      <c r="AC1414">
        <v>7</v>
      </c>
      <c r="AD1414">
        <v>24.62</v>
      </c>
      <c r="AE1414">
        <v>253</v>
      </c>
      <c r="AF1414">
        <v>14</v>
      </c>
      <c r="AG1414">
        <v>61</v>
      </c>
      <c r="AH1414">
        <v>32</v>
      </c>
      <c r="AI1414">
        <v>5.53</v>
      </c>
      <c r="AJ1414">
        <v>24.11</v>
      </c>
      <c r="AK1414">
        <v>12.65</v>
      </c>
      <c r="AL1414">
        <v>-19.598929649999949</v>
      </c>
      <c r="AM1414">
        <v>-43.90720816146667</v>
      </c>
      <c r="AN1414">
        <v>-19.598929649999949</v>
      </c>
      <c r="AO1414">
        <v>-43.90720816146667</v>
      </c>
      <c r="AP1414">
        <v>-19.598894999999999</v>
      </c>
      <c r="AQ1414">
        <v>-43.907265000000002</v>
      </c>
      <c r="AR1414">
        <v>7.099864647387605</v>
      </c>
      <c r="AS1414" t="s">
        <v>65</v>
      </c>
      <c r="AT1414">
        <v>1</v>
      </c>
      <c r="AU1414" t="s">
        <v>733</v>
      </c>
      <c r="AV1414" t="s">
        <v>734</v>
      </c>
      <c r="AW1414" t="s">
        <v>60</v>
      </c>
      <c r="AX1414" t="s">
        <v>68</v>
      </c>
      <c r="AY1414" t="s">
        <v>69</v>
      </c>
      <c r="AZ1414" t="b">
        <v>1</v>
      </c>
    </row>
    <row r="1415" spans="1:52" x14ac:dyDescent="0.3">
      <c r="A1415" t="s">
        <v>52</v>
      </c>
      <c r="B1415" t="s">
        <v>53</v>
      </c>
      <c r="C1415" t="s">
        <v>54</v>
      </c>
      <c r="D1415" t="s">
        <v>55</v>
      </c>
      <c r="E1415" t="s">
        <v>837</v>
      </c>
      <c r="F1415" t="s">
        <v>176</v>
      </c>
      <c r="G1415" t="s">
        <v>438</v>
      </c>
      <c r="H1415" t="s">
        <v>491</v>
      </c>
      <c r="I1415" t="s">
        <v>491</v>
      </c>
      <c r="J1415" t="s">
        <v>60</v>
      </c>
      <c r="K1415" t="s">
        <v>492</v>
      </c>
      <c r="L1415" t="s">
        <v>62</v>
      </c>
      <c r="M1415" t="s">
        <v>492</v>
      </c>
      <c r="N1415" t="s">
        <v>493</v>
      </c>
      <c r="O1415" t="s">
        <v>81</v>
      </c>
      <c r="P1415">
        <v>-19.599810999999999</v>
      </c>
      <c r="Q1415">
        <v>-43.906267</v>
      </c>
      <c r="R1415" s="2" t="str">
        <f>HYPERLINK("https://www.google.com/maps?q=-19.5998110,-43.9062670","Abrir no Google Maps")</f>
        <v>Abrir no Google Maps</v>
      </c>
      <c r="S1415">
        <v>3</v>
      </c>
      <c r="T1415">
        <v>214.87460546260371</v>
      </c>
      <c r="U1415">
        <v>3</v>
      </c>
      <c r="V1415">
        <v>0.29393858477970619</v>
      </c>
      <c r="W1415">
        <v>1</v>
      </c>
      <c r="X1415">
        <v>0.29393858477970619</v>
      </c>
      <c r="Y1415">
        <v>2</v>
      </c>
      <c r="Z1415">
        <v>211.0648412523515</v>
      </c>
      <c r="AA1415">
        <v>2</v>
      </c>
      <c r="AB1415">
        <v>3</v>
      </c>
      <c r="AC1415">
        <v>7</v>
      </c>
      <c r="AD1415">
        <v>24.62</v>
      </c>
      <c r="AE1415">
        <v>253</v>
      </c>
      <c r="AF1415">
        <v>14</v>
      </c>
      <c r="AG1415">
        <v>61</v>
      </c>
      <c r="AH1415">
        <v>32</v>
      </c>
      <c r="AI1415">
        <v>5.53</v>
      </c>
      <c r="AJ1415">
        <v>24.11</v>
      </c>
      <c r="AK1415">
        <v>12.65</v>
      </c>
      <c r="AL1415">
        <v>-19.600032099999961</v>
      </c>
      <c r="AM1415">
        <v>-43.906252350845229</v>
      </c>
      <c r="AN1415">
        <v>-19.600032099999961</v>
      </c>
      <c r="AO1415">
        <v>-43.906252350845229</v>
      </c>
      <c r="AP1415">
        <v>-19.599810999999999</v>
      </c>
      <c r="AQ1415">
        <v>-43.906267</v>
      </c>
      <c r="AR1415">
        <v>24.660749384148179</v>
      </c>
      <c r="AS1415" t="s">
        <v>65</v>
      </c>
      <c r="AT1415">
        <v>1</v>
      </c>
      <c r="AU1415" t="s">
        <v>494</v>
      </c>
      <c r="AV1415" t="s">
        <v>495</v>
      </c>
      <c r="AW1415" t="s">
        <v>60</v>
      </c>
      <c r="AX1415" t="s">
        <v>68</v>
      </c>
      <c r="AY1415" t="s">
        <v>69</v>
      </c>
      <c r="AZ1415" t="b">
        <v>1</v>
      </c>
    </row>
    <row r="1416" spans="1:52" x14ac:dyDescent="0.3">
      <c r="A1416" t="s">
        <v>52</v>
      </c>
      <c r="B1416" t="s">
        <v>53</v>
      </c>
      <c r="C1416" t="s">
        <v>54</v>
      </c>
      <c r="D1416" t="s">
        <v>55</v>
      </c>
      <c r="E1416" t="s">
        <v>837</v>
      </c>
      <c r="F1416" t="s">
        <v>176</v>
      </c>
      <c r="G1416" t="s">
        <v>371</v>
      </c>
      <c r="H1416" t="s">
        <v>496</v>
      </c>
      <c r="I1416" t="s">
        <v>496</v>
      </c>
      <c r="J1416" t="s">
        <v>60</v>
      </c>
      <c r="K1416" t="s">
        <v>352</v>
      </c>
      <c r="L1416" t="s">
        <v>62</v>
      </c>
      <c r="M1416" t="s">
        <v>352</v>
      </c>
      <c r="N1416" t="s">
        <v>497</v>
      </c>
      <c r="O1416" t="s">
        <v>120</v>
      </c>
      <c r="P1416">
        <v>-19.599603999999999</v>
      </c>
      <c r="Q1416">
        <v>-43.899650000000001</v>
      </c>
      <c r="R1416" s="2" t="str">
        <f>HYPERLINK("https://www.google.com/maps?q=-19.5996040,-43.8996500","Abrir no Google Maps")</f>
        <v>Abrir no Google Maps</v>
      </c>
      <c r="S1416">
        <v>3</v>
      </c>
      <c r="T1416">
        <v>381.13553853255752</v>
      </c>
      <c r="U1416">
        <v>3</v>
      </c>
      <c r="V1416">
        <v>0.3185834198684665</v>
      </c>
      <c r="W1416">
        <v>0.85</v>
      </c>
      <c r="X1416">
        <v>0.27079590688819649</v>
      </c>
      <c r="Y1416">
        <v>2</v>
      </c>
      <c r="Z1416">
        <v>445.30611048306139</v>
      </c>
      <c r="AA1416">
        <v>2</v>
      </c>
      <c r="AB1416">
        <v>3</v>
      </c>
      <c r="AC1416">
        <v>7</v>
      </c>
      <c r="AD1416">
        <v>24.62</v>
      </c>
      <c r="AE1416">
        <v>253</v>
      </c>
      <c r="AF1416">
        <v>14</v>
      </c>
      <c r="AG1416">
        <v>61</v>
      </c>
      <c r="AH1416">
        <v>32</v>
      </c>
      <c r="AI1416">
        <v>5.53</v>
      </c>
      <c r="AJ1416">
        <v>24.11</v>
      </c>
      <c r="AK1416">
        <v>12.65</v>
      </c>
      <c r="AL1416">
        <v>-19.59984999999995</v>
      </c>
      <c r="AM1416">
        <v>-43.90070409772008</v>
      </c>
      <c r="AN1416">
        <v>-19.59984999999995</v>
      </c>
      <c r="AO1416">
        <v>-43.90070409772008</v>
      </c>
      <c r="AP1416">
        <v>-19.599603999999999</v>
      </c>
      <c r="AQ1416">
        <v>-43.899650000000001</v>
      </c>
      <c r="AR1416">
        <v>113.8846460473157</v>
      </c>
      <c r="AS1416" t="s">
        <v>65</v>
      </c>
      <c r="AT1416">
        <v>1</v>
      </c>
      <c r="AU1416" t="s">
        <v>498</v>
      </c>
      <c r="AV1416" t="s">
        <v>499</v>
      </c>
      <c r="AW1416" t="s">
        <v>60</v>
      </c>
      <c r="AX1416" t="s">
        <v>68</v>
      </c>
      <c r="AY1416" t="s">
        <v>69</v>
      </c>
      <c r="AZ1416" t="b">
        <v>1</v>
      </c>
    </row>
    <row r="1417" spans="1:52" x14ac:dyDescent="0.3">
      <c r="A1417" t="s">
        <v>52</v>
      </c>
      <c r="B1417" t="s">
        <v>53</v>
      </c>
      <c r="C1417" t="s">
        <v>54</v>
      </c>
      <c r="D1417" t="s">
        <v>55</v>
      </c>
      <c r="E1417" t="s">
        <v>837</v>
      </c>
      <c r="F1417" t="s">
        <v>176</v>
      </c>
      <c r="G1417" t="s">
        <v>357</v>
      </c>
      <c r="H1417" t="s">
        <v>358</v>
      </c>
      <c r="I1417" t="s">
        <v>358</v>
      </c>
      <c r="J1417" t="s">
        <v>60</v>
      </c>
      <c r="K1417" t="s">
        <v>359</v>
      </c>
      <c r="L1417" t="s">
        <v>62</v>
      </c>
      <c r="M1417" t="s">
        <v>359</v>
      </c>
      <c r="N1417" t="s">
        <v>360</v>
      </c>
      <c r="O1417" t="s">
        <v>201</v>
      </c>
      <c r="P1417">
        <v>-19.601168000000001</v>
      </c>
      <c r="Q1417">
        <v>-43.896143000000002</v>
      </c>
      <c r="R1417" s="2" t="str">
        <f>HYPERLINK("https://www.google.com/maps?q=-19.6011680,-43.8961430","Abrir no Google Maps")</f>
        <v>Abrir no Google Maps</v>
      </c>
      <c r="S1417">
        <v>3</v>
      </c>
      <c r="T1417">
        <v>886.80074895427902</v>
      </c>
      <c r="U1417">
        <v>3</v>
      </c>
      <c r="V1417">
        <v>0.28686062660358258</v>
      </c>
      <c r="W1417">
        <v>1</v>
      </c>
      <c r="X1417">
        <v>0.28686062660358258</v>
      </c>
      <c r="Y1417">
        <v>2</v>
      </c>
      <c r="Z1417">
        <v>807.27931110193254</v>
      </c>
      <c r="AA1417">
        <v>2</v>
      </c>
      <c r="AB1417">
        <v>3</v>
      </c>
      <c r="AC1417">
        <v>7</v>
      </c>
      <c r="AD1417">
        <v>24.62</v>
      </c>
      <c r="AE1417">
        <v>253</v>
      </c>
      <c r="AF1417">
        <v>14</v>
      </c>
      <c r="AG1417">
        <v>61</v>
      </c>
      <c r="AH1417">
        <v>32</v>
      </c>
      <c r="AI1417">
        <v>5.53</v>
      </c>
      <c r="AJ1417">
        <v>24.11</v>
      </c>
      <c r="AK1417">
        <v>12.65</v>
      </c>
      <c r="AL1417">
        <v>-19.60112959999995</v>
      </c>
      <c r="AM1417">
        <v>-43.896049426747439</v>
      </c>
      <c r="AN1417">
        <v>-19.60112959999995</v>
      </c>
      <c r="AO1417">
        <v>-43.896049426747439</v>
      </c>
      <c r="AP1417">
        <v>-19.601168000000001</v>
      </c>
      <c r="AQ1417">
        <v>-43.896143000000002</v>
      </c>
      <c r="AR1417">
        <v>10.703588298793671</v>
      </c>
      <c r="AS1417" t="s">
        <v>65</v>
      </c>
      <c r="AT1417">
        <v>1</v>
      </c>
      <c r="AU1417" t="s">
        <v>361</v>
      </c>
      <c r="AV1417" t="s">
        <v>362</v>
      </c>
      <c r="AW1417" t="s">
        <v>60</v>
      </c>
      <c r="AX1417" t="s">
        <v>68</v>
      </c>
      <c r="AY1417" t="s">
        <v>69</v>
      </c>
      <c r="AZ1417" t="b">
        <v>1</v>
      </c>
    </row>
    <row r="1418" spans="1:52" x14ac:dyDescent="0.3">
      <c r="A1418" t="s">
        <v>52</v>
      </c>
      <c r="B1418" t="s">
        <v>53</v>
      </c>
      <c r="C1418" t="s">
        <v>54</v>
      </c>
      <c r="D1418" t="s">
        <v>55</v>
      </c>
      <c r="E1418" t="s">
        <v>837</v>
      </c>
      <c r="F1418" t="s">
        <v>176</v>
      </c>
      <c r="G1418" t="s">
        <v>838</v>
      </c>
      <c r="H1418" t="s">
        <v>839</v>
      </c>
      <c r="I1418" t="s">
        <v>839</v>
      </c>
      <c r="J1418" t="s">
        <v>60</v>
      </c>
      <c r="K1418" t="s">
        <v>286</v>
      </c>
      <c r="L1418" t="s">
        <v>62</v>
      </c>
      <c r="M1418" t="s">
        <v>286</v>
      </c>
      <c r="N1418" t="s">
        <v>840</v>
      </c>
      <c r="O1418" t="s">
        <v>841</v>
      </c>
      <c r="P1418">
        <v>-19.632566000000001</v>
      </c>
      <c r="Q1418">
        <v>-43.886761999999997</v>
      </c>
      <c r="R1418" s="2" t="str">
        <f>HYPERLINK("https://www.google.com/maps?q=-19.6325660,-43.8867620","Abrir no Google Maps")</f>
        <v>Abrir no Google Maps</v>
      </c>
      <c r="S1418">
        <v>3</v>
      </c>
      <c r="T1418">
        <v>617.08897174422054</v>
      </c>
      <c r="U1418">
        <v>3</v>
      </c>
      <c r="V1418">
        <v>0.3048648648648648</v>
      </c>
      <c r="W1418">
        <v>0.85</v>
      </c>
      <c r="X1418">
        <v>0.25913513513513509</v>
      </c>
      <c r="Y1418">
        <v>2</v>
      </c>
      <c r="Z1418">
        <v>207.97402585552319</v>
      </c>
      <c r="AA1418">
        <v>2</v>
      </c>
      <c r="AB1418">
        <v>3</v>
      </c>
      <c r="AC1418">
        <v>7</v>
      </c>
      <c r="AD1418">
        <v>24.62</v>
      </c>
      <c r="AE1418">
        <v>253</v>
      </c>
      <c r="AF1418">
        <v>14</v>
      </c>
      <c r="AG1418">
        <v>61</v>
      </c>
      <c r="AH1418">
        <v>32</v>
      </c>
      <c r="AI1418">
        <v>5.53</v>
      </c>
      <c r="AJ1418">
        <v>24.11</v>
      </c>
      <c r="AK1418">
        <v>12.65</v>
      </c>
      <c r="AL1418">
        <v>-19.632531149999949</v>
      </c>
      <c r="AM1418">
        <v>-43.887228227300241</v>
      </c>
      <c r="AN1418">
        <v>-19.632531149999949</v>
      </c>
      <c r="AO1418">
        <v>-43.887228227300241</v>
      </c>
      <c r="AP1418">
        <v>-19.632566000000001</v>
      </c>
      <c r="AQ1418">
        <v>-43.886761999999997</v>
      </c>
      <c r="AR1418">
        <v>49.036989382941393</v>
      </c>
      <c r="AS1418" t="s">
        <v>65</v>
      </c>
      <c r="AT1418">
        <v>1</v>
      </c>
      <c r="AU1418" t="s">
        <v>842</v>
      </c>
      <c r="AV1418" t="s">
        <v>843</v>
      </c>
      <c r="AW1418" t="s">
        <v>60</v>
      </c>
      <c r="AX1418" t="s">
        <v>68</v>
      </c>
      <c r="AY1418" t="s">
        <v>69</v>
      </c>
      <c r="AZ1418" t="b">
        <v>1</v>
      </c>
    </row>
    <row r="1419" spans="1:52" x14ac:dyDescent="0.3">
      <c r="A1419" t="s">
        <v>52</v>
      </c>
      <c r="B1419" t="s">
        <v>53</v>
      </c>
      <c r="C1419" t="s">
        <v>54</v>
      </c>
      <c r="D1419" t="s">
        <v>55</v>
      </c>
      <c r="E1419" t="s">
        <v>837</v>
      </c>
      <c r="F1419" t="s">
        <v>176</v>
      </c>
      <c r="G1419" t="s">
        <v>500</v>
      </c>
      <c r="H1419" t="s">
        <v>501</v>
      </c>
      <c r="I1419" t="s">
        <v>501</v>
      </c>
      <c r="J1419" t="s">
        <v>60</v>
      </c>
      <c r="K1419" t="s">
        <v>164</v>
      </c>
      <c r="L1419" t="s">
        <v>62</v>
      </c>
      <c r="M1419" t="s">
        <v>164</v>
      </c>
      <c r="N1419" t="s">
        <v>502</v>
      </c>
      <c r="O1419" t="s">
        <v>503</v>
      </c>
      <c r="P1419">
        <v>-19.665816</v>
      </c>
      <c r="Q1419">
        <v>-43.886322999999997</v>
      </c>
      <c r="R1419" s="2" t="str">
        <f>HYPERLINK("https://www.google.com/maps?q=-19.6658160,-43.8863230","Abrir no Google Maps")</f>
        <v>Abrir no Google Maps</v>
      </c>
      <c r="S1419">
        <v>3</v>
      </c>
      <c r="T1419">
        <v>1149.957610345353</v>
      </c>
      <c r="U1419">
        <v>3</v>
      </c>
      <c r="V1419">
        <v>0.27165091515009498</v>
      </c>
      <c r="W1419">
        <v>1</v>
      </c>
      <c r="X1419">
        <v>0.27165091515009498</v>
      </c>
      <c r="Y1419">
        <v>1</v>
      </c>
      <c r="Z1419">
        <v>381.605286477493</v>
      </c>
      <c r="AA1419">
        <v>2</v>
      </c>
      <c r="AB1419">
        <v>3</v>
      </c>
      <c r="AC1419">
        <v>7</v>
      </c>
      <c r="AD1419">
        <v>24.62</v>
      </c>
      <c r="AE1419">
        <v>253</v>
      </c>
      <c r="AF1419">
        <v>14</v>
      </c>
      <c r="AG1419">
        <v>61</v>
      </c>
      <c r="AH1419">
        <v>32</v>
      </c>
      <c r="AI1419">
        <v>5.53</v>
      </c>
      <c r="AJ1419">
        <v>24.11</v>
      </c>
      <c r="AK1419">
        <v>12.65</v>
      </c>
      <c r="AL1419">
        <v>-19.665844049999951</v>
      </c>
      <c r="AM1419">
        <v>-43.886344205728712</v>
      </c>
      <c r="AN1419">
        <v>-19.665844049999951</v>
      </c>
      <c r="AO1419">
        <v>-43.886344205728712</v>
      </c>
      <c r="AP1419">
        <v>-19.665816</v>
      </c>
      <c r="AQ1419">
        <v>-43.886322999999997</v>
      </c>
      <c r="AR1419">
        <v>3.8329604058735098</v>
      </c>
      <c r="AS1419" t="s">
        <v>65</v>
      </c>
      <c r="AT1419">
        <v>1</v>
      </c>
      <c r="AU1419" t="s">
        <v>504</v>
      </c>
      <c r="AV1419" t="s">
        <v>505</v>
      </c>
      <c r="AW1419" t="s">
        <v>60</v>
      </c>
      <c r="AX1419" t="s">
        <v>68</v>
      </c>
      <c r="AY1419" t="s">
        <v>69</v>
      </c>
      <c r="AZ1419" t="b">
        <v>1</v>
      </c>
    </row>
    <row r="1420" spans="1:52" x14ac:dyDescent="0.3">
      <c r="A1420" t="s">
        <v>52</v>
      </c>
      <c r="B1420" t="s">
        <v>53</v>
      </c>
      <c r="C1420" t="s">
        <v>54</v>
      </c>
      <c r="D1420" t="s">
        <v>55</v>
      </c>
      <c r="E1420" t="s">
        <v>837</v>
      </c>
      <c r="F1420" t="s">
        <v>176</v>
      </c>
      <c r="G1420" t="s">
        <v>506</v>
      </c>
      <c r="H1420" t="s">
        <v>507</v>
      </c>
      <c r="I1420" t="s">
        <v>507</v>
      </c>
      <c r="J1420" t="s">
        <v>60</v>
      </c>
      <c r="K1420" t="s">
        <v>219</v>
      </c>
      <c r="L1420" t="s">
        <v>62</v>
      </c>
      <c r="M1420" t="s">
        <v>219</v>
      </c>
      <c r="N1420" t="s">
        <v>508</v>
      </c>
      <c r="O1420" t="s">
        <v>509</v>
      </c>
      <c r="P1420">
        <v>-19.663573</v>
      </c>
      <c r="Q1420">
        <v>-43.884306000000002</v>
      </c>
      <c r="R1420" s="2" t="str">
        <f>HYPERLINK("https://www.google.com/maps?q=-19.6635730,-43.8843060","Abrir no Google Maps")</f>
        <v>Abrir no Google Maps</v>
      </c>
      <c r="S1420">
        <v>3</v>
      </c>
      <c r="T1420">
        <v>1293.040666597964</v>
      </c>
      <c r="U1420">
        <v>3</v>
      </c>
      <c r="V1420">
        <v>0.2957960940086064</v>
      </c>
      <c r="W1420">
        <v>1</v>
      </c>
      <c r="X1420">
        <v>0.2957960940086064</v>
      </c>
      <c r="Y1420">
        <v>1</v>
      </c>
      <c r="Z1420">
        <v>649.69199246551727</v>
      </c>
      <c r="AA1420">
        <v>2</v>
      </c>
      <c r="AB1420">
        <v>3</v>
      </c>
      <c r="AC1420">
        <v>7</v>
      </c>
      <c r="AD1420">
        <v>24.62</v>
      </c>
      <c r="AE1420">
        <v>253</v>
      </c>
      <c r="AF1420">
        <v>14</v>
      </c>
      <c r="AG1420">
        <v>61</v>
      </c>
      <c r="AH1420">
        <v>32</v>
      </c>
      <c r="AI1420">
        <v>5.53</v>
      </c>
      <c r="AJ1420">
        <v>24.11</v>
      </c>
      <c r="AK1420">
        <v>12.65</v>
      </c>
      <c r="AL1420">
        <v>-19.663616899999969</v>
      </c>
      <c r="AM1420">
        <v>-43.884279937960187</v>
      </c>
      <c r="AN1420">
        <v>-19.663616899999969</v>
      </c>
      <c r="AO1420">
        <v>-43.884279937960187</v>
      </c>
      <c r="AP1420">
        <v>-19.663573</v>
      </c>
      <c r="AQ1420">
        <v>-43.884306000000002</v>
      </c>
      <c r="AR1420">
        <v>5.5987767285658263</v>
      </c>
      <c r="AS1420" t="s">
        <v>65</v>
      </c>
      <c r="AT1420">
        <v>1</v>
      </c>
      <c r="AU1420" t="s">
        <v>510</v>
      </c>
      <c r="AV1420" t="s">
        <v>511</v>
      </c>
      <c r="AW1420" t="s">
        <v>60</v>
      </c>
      <c r="AX1420" t="s">
        <v>68</v>
      </c>
      <c r="AY1420" t="s">
        <v>69</v>
      </c>
      <c r="AZ1420" t="b">
        <v>1</v>
      </c>
    </row>
    <row r="1421" spans="1:52" x14ac:dyDescent="0.3">
      <c r="A1421" t="s">
        <v>52</v>
      </c>
      <c r="B1421" t="s">
        <v>53</v>
      </c>
      <c r="C1421" t="s">
        <v>54</v>
      </c>
      <c r="D1421" t="s">
        <v>55</v>
      </c>
      <c r="E1421" t="s">
        <v>837</v>
      </c>
      <c r="F1421" t="s">
        <v>512</v>
      </c>
      <c r="G1421" t="s">
        <v>58</v>
      </c>
      <c r="H1421" t="s">
        <v>59</v>
      </c>
      <c r="I1421" t="s">
        <v>59</v>
      </c>
      <c r="J1421" t="s">
        <v>60</v>
      </c>
      <c r="K1421" t="s">
        <v>61</v>
      </c>
      <c r="L1421" t="s">
        <v>62</v>
      </c>
      <c r="M1421" t="s">
        <v>61</v>
      </c>
      <c r="N1421" t="s">
        <v>63</v>
      </c>
      <c r="O1421" t="s">
        <v>64</v>
      </c>
      <c r="P1421">
        <v>-19.631502000000001</v>
      </c>
      <c r="Q1421">
        <v>-43.910241999999997</v>
      </c>
      <c r="R1421" s="2" t="str">
        <f>HYPERLINK("https://www.google.com/maps?q=-19.6315020,-43.9102420","Abrir no Google Maps")</f>
        <v>Abrir no Google Maps</v>
      </c>
      <c r="S1421">
        <v>4</v>
      </c>
      <c r="T1421">
        <v>789.20099406682743</v>
      </c>
      <c r="U1421">
        <v>4</v>
      </c>
      <c r="V1421">
        <v>0.3043363111305783</v>
      </c>
      <c r="W1421">
        <v>1</v>
      </c>
      <c r="X1421">
        <v>0.3043363111305783</v>
      </c>
      <c r="Y1421">
        <v>10</v>
      </c>
      <c r="Z1421">
        <v>691.44930074509864</v>
      </c>
      <c r="AA1421">
        <v>2</v>
      </c>
      <c r="AB1421">
        <v>3</v>
      </c>
      <c r="AC1421">
        <v>7</v>
      </c>
      <c r="AD1421">
        <v>24.62</v>
      </c>
      <c r="AE1421">
        <v>253</v>
      </c>
      <c r="AF1421">
        <v>14</v>
      </c>
      <c r="AG1421">
        <v>61</v>
      </c>
      <c r="AH1421">
        <v>32</v>
      </c>
      <c r="AI1421">
        <v>5.53</v>
      </c>
      <c r="AJ1421">
        <v>24.11</v>
      </c>
      <c r="AK1421">
        <v>12.65</v>
      </c>
      <c r="AL1421">
        <v>-19.631719749999949</v>
      </c>
      <c r="AM1421">
        <v>-43.910102324517517</v>
      </c>
      <c r="AN1421">
        <v>-19.631719749999949</v>
      </c>
      <c r="AO1421">
        <v>-43.910102324517517</v>
      </c>
      <c r="AP1421">
        <v>-19.631502000000001</v>
      </c>
      <c r="AQ1421">
        <v>-43.910241999999997</v>
      </c>
      <c r="AR1421">
        <v>28.320416429206599</v>
      </c>
      <c r="AS1421" t="s">
        <v>65</v>
      </c>
      <c r="AT1421">
        <v>1</v>
      </c>
      <c r="AU1421" t="s">
        <v>66</v>
      </c>
      <c r="AV1421" t="s">
        <v>67</v>
      </c>
      <c r="AW1421" t="s">
        <v>60</v>
      </c>
      <c r="AX1421" t="s">
        <v>68</v>
      </c>
      <c r="AY1421" t="s">
        <v>69</v>
      </c>
      <c r="AZ1421" t="b">
        <v>1</v>
      </c>
    </row>
    <row r="1422" spans="1:52" x14ac:dyDescent="0.3">
      <c r="A1422" t="s">
        <v>52</v>
      </c>
      <c r="B1422" t="s">
        <v>53</v>
      </c>
      <c r="C1422" t="s">
        <v>54</v>
      </c>
      <c r="D1422" t="s">
        <v>55</v>
      </c>
      <c r="E1422" t="s">
        <v>837</v>
      </c>
      <c r="F1422" t="s">
        <v>512</v>
      </c>
      <c r="G1422" t="s">
        <v>70</v>
      </c>
      <c r="H1422" t="s">
        <v>71</v>
      </c>
      <c r="I1422" t="s">
        <v>71</v>
      </c>
      <c r="J1422" t="s">
        <v>60</v>
      </c>
      <c r="K1422" t="s">
        <v>72</v>
      </c>
      <c r="L1422" t="s">
        <v>62</v>
      </c>
      <c r="M1422" t="s">
        <v>72</v>
      </c>
      <c r="N1422" t="s">
        <v>73</v>
      </c>
      <c r="O1422" t="s">
        <v>74</v>
      </c>
      <c r="P1422">
        <v>-19.632581999999999</v>
      </c>
      <c r="Q1422">
        <v>-43.902416000000002</v>
      </c>
      <c r="R1422" s="2" t="str">
        <f>HYPERLINK("https://www.google.com/maps?q=-19.6325820,-43.9024160","Abrir no Google Maps")</f>
        <v>Abrir no Google Maps</v>
      </c>
      <c r="S1422">
        <v>4</v>
      </c>
      <c r="T1422">
        <v>0</v>
      </c>
      <c r="U1422">
        <v>4</v>
      </c>
      <c r="V1422">
        <v>0.31211182262617909</v>
      </c>
      <c r="W1422">
        <v>1</v>
      </c>
      <c r="X1422">
        <v>0.31211182262617909</v>
      </c>
      <c r="Y1422">
        <v>10</v>
      </c>
      <c r="Z1422">
        <v>146.6968158874696</v>
      </c>
      <c r="AA1422">
        <v>2</v>
      </c>
      <c r="AB1422">
        <v>3</v>
      </c>
      <c r="AC1422">
        <v>7</v>
      </c>
      <c r="AD1422">
        <v>24.62</v>
      </c>
      <c r="AE1422">
        <v>253</v>
      </c>
      <c r="AF1422">
        <v>14</v>
      </c>
      <c r="AG1422">
        <v>61</v>
      </c>
      <c r="AH1422">
        <v>32</v>
      </c>
      <c r="AI1422">
        <v>5.53</v>
      </c>
      <c r="AJ1422">
        <v>24.11</v>
      </c>
      <c r="AK1422">
        <v>12.65</v>
      </c>
      <c r="AL1422">
        <v>-19.63271449999996</v>
      </c>
      <c r="AM1422">
        <v>-43.902649897389402</v>
      </c>
      <c r="AN1422">
        <v>-19.63271449999996</v>
      </c>
      <c r="AO1422">
        <v>-43.902649897389402</v>
      </c>
      <c r="AP1422">
        <v>-19.632581999999999</v>
      </c>
      <c r="AQ1422">
        <v>-43.902416000000002</v>
      </c>
      <c r="AR1422">
        <v>28.617753432996459</v>
      </c>
      <c r="AS1422" t="s">
        <v>65</v>
      </c>
      <c r="AT1422">
        <v>1</v>
      </c>
      <c r="AU1422" t="s">
        <v>75</v>
      </c>
      <c r="AV1422" t="s">
        <v>76</v>
      </c>
      <c r="AW1422" t="s">
        <v>60</v>
      </c>
      <c r="AX1422" t="s">
        <v>68</v>
      </c>
      <c r="AY1422" t="s">
        <v>69</v>
      </c>
      <c r="AZ1422" t="b">
        <v>1</v>
      </c>
    </row>
    <row r="1423" spans="1:52" x14ac:dyDescent="0.3">
      <c r="A1423" t="s">
        <v>52</v>
      </c>
      <c r="B1423" t="s">
        <v>53</v>
      </c>
      <c r="C1423" t="s">
        <v>54</v>
      </c>
      <c r="D1423" t="s">
        <v>55</v>
      </c>
      <c r="E1423" t="s">
        <v>837</v>
      </c>
      <c r="F1423" t="s">
        <v>512</v>
      </c>
      <c r="G1423" t="s">
        <v>77</v>
      </c>
      <c r="H1423" t="s">
        <v>78</v>
      </c>
      <c r="I1423" t="s">
        <v>78</v>
      </c>
      <c r="J1423" t="s">
        <v>60</v>
      </c>
      <c r="K1423" t="s">
        <v>79</v>
      </c>
      <c r="L1423" t="s">
        <v>62</v>
      </c>
      <c r="M1423" t="s">
        <v>79</v>
      </c>
      <c r="N1423" t="s">
        <v>80</v>
      </c>
      <c r="O1423" t="s">
        <v>81</v>
      </c>
      <c r="P1423">
        <v>-19.632463999999999</v>
      </c>
      <c r="Q1423">
        <v>-43.904927999999998</v>
      </c>
      <c r="R1423" s="2" t="str">
        <f>HYPERLINK("https://www.google.com/maps?q=-19.6324640,-43.9049280","Abrir no Google Maps")</f>
        <v>Abrir no Google Maps</v>
      </c>
      <c r="S1423">
        <v>4</v>
      </c>
      <c r="T1423">
        <v>244.1735197453369</v>
      </c>
      <c r="U1423">
        <v>4</v>
      </c>
      <c r="V1423">
        <v>0.31079917649260719</v>
      </c>
      <c r="W1423">
        <v>1</v>
      </c>
      <c r="X1423">
        <v>0.31079917649260719</v>
      </c>
      <c r="Y1423">
        <v>10</v>
      </c>
      <c r="Z1423">
        <v>287.26068152447448</v>
      </c>
      <c r="AA1423">
        <v>2</v>
      </c>
      <c r="AB1423">
        <v>3</v>
      </c>
      <c r="AC1423">
        <v>7</v>
      </c>
      <c r="AD1423">
        <v>24.62</v>
      </c>
      <c r="AE1423">
        <v>253</v>
      </c>
      <c r="AF1423">
        <v>14</v>
      </c>
      <c r="AG1423">
        <v>61</v>
      </c>
      <c r="AH1423">
        <v>32</v>
      </c>
      <c r="AI1423">
        <v>5.53</v>
      </c>
      <c r="AJ1423">
        <v>24.11</v>
      </c>
      <c r="AK1423">
        <v>12.65</v>
      </c>
      <c r="AL1423">
        <v>-19.63247099999996</v>
      </c>
      <c r="AM1423">
        <v>-43.904964174285787</v>
      </c>
      <c r="AN1423">
        <v>-19.63247099999996</v>
      </c>
      <c r="AO1423">
        <v>-43.904964174285787</v>
      </c>
      <c r="AP1423">
        <v>-19.632463999999999</v>
      </c>
      <c r="AQ1423">
        <v>-43.904927999999998</v>
      </c>
      <c r="AR1423">
        <v>3.8720457500200469</v>
      </c>
      <c r="AS1423" t="s">
        <v>65</v>
      </c>
      <c r="AT1423">
        <v>1</v>
      </c>
      <c r="AU1423" t="s">
        <v>82</v>
      </c>
      <c r="AV1423" t="s">
        <v>83</v>
      </c>
      <c r="AW1423" t="s">
        <v>60</v>
      </c>
      <c r="AX1423" t="s">
        <v>68</v>
      </c>
      <c r="AY1423" t="s">
        <v>69</v>
      </c>
      <c r="AZ1423" t="b">
        <v>1</v>
      </c>
    </row>
    <row r="1424" spans="1:52" x14ac:dyDescent="0.3">
      <c r="A1424" t="s">
        <v>52</v>
      </c>
      <c r="B1424" t="s">
        <v>53</v>
      </c>
      <c r="C1424" t="s">
        <v>54</v>
      </c>
      <c r="D1424" t="s">
        <v>55</v>
      </c>
      <c r="E1424" t="s">
        <v>837</v>
      </c>
      <c r="F1424" t="s">
        <v>512</v>
      </c>
      <c r="G1424" t="s">
        <v>91</v>
      </c>
      <c r="H1424" t="s">
        <v>92</v>
      </c>
      <c r="I1424" t="s">
        <v>92</v>
      </c>
      <c r="J1424" t="s">
        <v>60</v>
      </c>
      <c r="K1424" t="s">
        <v>86</v>
      </c>
      <c r="L1424" t="s">
        <v>62</v>
      </c>
      <c r="M1424" t="s">
        <v>86</v>
      </c>
      <c r="N1424" t="s">
        <v>93</v>
      </c>
      <c r="O1424" t="s">
        <v>94</v>
      </c>
      <c r="P1424">
        <v>-19.630676999999999</v>
      </c>
      <c r="Q1424">
        <v>-43.907255999999997</v>
      </c>
      <c r="R1424" s="2" t="str">
        <f>HYPERLINK("https://www.google.com/maps?q=-19.6306770,-43.9072560","Abrir no Google Maps")</f>
        <v>Abrir no Google Maps</v>
      </c>
      <c r="S1424">
        <v>4</v>
      </c>
      <c r="T1424">
        <v>545.39374622597825</v>
      </c>
      <c r="U1424">
        <v>4</v>
      </c>
      <c r="V1424">
        <v>0.29888357256778308</v>
      </c>
      <c r="W1424">
        <v>1</v>
      </c>
      <c r="X1424">
        <v>0.29888357256778308</v>
      </c>
      <c r="Y1424">
        <v>10</v>
      </c>
      <c r="Z1424">
        <v>559.94033759457182</v>
      </c>
      <c r="AA1424">
        <v>2</v>
      </c>
      <c r="AB1424">
        <v>3</v>
      </c>
      <c r="AC1424">
        <v>7</v>
      </c>
      <c r="AD1424">
        <v>24.62</v>
      </c>
      <c r="AE1424">
        <v>253</v>
      </c>
      <c r="AF1424">
        <v>14</v>
      </c>
      <c r="AG1424">
        <v>61</v>
      </c>
      <c r="AH1424">
        <v>32</v>
      </c>
      <c r="AI1424">
        <v>5.53</v>
      </c>
      <c r="AJ1424">
        <v>24.11</v>
      </c>
      <c r="AK1424">
        <v>12.65</v>
      </c>
      <c r="AL1424">
        <v>-19.630448649999941</v>
      </c>
      <c r="AM1424">
        <v>-43.907268502495313</v>
      </c>
      <c r="AN1424">
        <v>-19.630448649999941</v>
      </c>
      <c r="AO1424">
        <v>-43.907268502495313</v>
      </c>
      <c r="AP1424">
        <v>-19.630676999999999</v>
      </c>
      <c r="AQ1424">
        <v>-43.907255999999997</v>
      </c>
      <c r="AR1424">
        <v>25.453700276562468</v>
      </c>
      <c r="AS1424" t="s">
        <v>65</v>
      </c>
      <c r="AT1424">
        <v>1</v>
      </c>
      <c r="AU1424" t="s">
        <v>95</v>
      </c>
      <c r="AV1424" t="s">
        <v>96</v>
      </c>
      <c r="AW1424" t="s">
        <v>60</v>
      </c>
      <c r="AX1424" t="s">
        <v>68</v>
      </c>
      <c r="AY1424" t="s">
        <v>69</v>
      </c>
      <c r="AZ1424" t="b">
        <v>1</v>
      </c>
    </row>
    <row r="1425" spans="1:52" x14ac:dyDescent="0.3">
      <c r="A1425" t="s">
        <v>52</v>
      </c>
      <c r="B1425" t="s">
        <v>53</v>
      </c>
      <c r="C1425" t="s">
        <v>54</v>
      </c>
      <c r="D1425" t="s">
        <v>55</v>
      </c>
      <c r="E1425" t="s">
        <v>837</v>
      </c>
      <c r="F1425" t="s">
        <v>512</v>
      </c>
      <c r="G1425" t="s">
        <v>513</v>
      </c>
      <c r="H1425" t="s">
        <v>514</v>
      </c>
      <c r="I1425" t="s">
        <v>514</v>
      </c>
      <c r="J1425" t="s">
        <v>60</v>
      </c>
      <c r="K1425" t="s">
        <v>185</v>
      </c>
      <c r="L1425" t="s">
        <v>62</v>
      </c>
      <c r="M1425" t="s">
        <v>185</v>
      </c>
      <c r="N1425" t="s">
        <v>515</v>
      </c>
      <c r="O1425" t="s">
        <v>516</v>
      </c>
      <c r="P1425">
        <v>-19.63184</v>
      </c>
      <c r="Q1425">
        <v>-43.899625999999998</v>
      </c>
      <c r="R1425" s="2" t="str">
        <f>HYPERLINK("https://www.google.com/maps?q=-19.6318400,-43.8996260","Abrir no Google Maps")</f>
        <v>Abrir no Google Maps</v>
      </c>
      <c r="S1425">
        <v>4</v>
      </c>
      <c r="T1425">
        <v>317.05369638212568</v>
      </c>
      <c r="U1425">
        <v>3</v>
      </c>
      <c r="V1425">
        <v>0.3049832049002173</v>
      </c>
      <c r="W1425">
        <v>0.85</v>
      </c>
      <c r="X1425">
        <v>0.2592357241651847</v>
      </c>
      <c r="Y1425">
        <v>10</v>
      </c>
      <c r="Z1425">
        <v>467.39112963581732</v>
      </c>
      <c r="AA1425">
        <v>2</v>
      </c>
      <c r="AB1425">
        <v>3</v>
      </c>
      <c r="AC1425">
        <v>7</v>
      </c>
      <c r="AD1425">
        <v>24.62</v>
      </c>
      <c r="AE1425">
        <v>253</v>
      </c>
      <c r="AF1425">
        <v>14</v>
      </c>
      <c r="AG1425">
        <v>61</v>
      </c>
      <c r="AH1425">
        <v>32</v>
      </c>
      <c r="AI1425">
        <v>5.53</v>
      </c>
      <c r="AJ1425">
        <v>24.11</v>
      </c>
      <c r="AK1425">
        <v>12.65</v>
      </c>
      <c r="AL1425">
        <v>-19.631819699999941</v>
      </c>
      <c r="AM1425">
        <v>-43.89977767057065</v>
      </c>
      <c r="AN1425">
        <v>-19.631819699999941</v>
      </c>
      <c r="AO1425">
        <v>-43.89977767057065</v>
      </c>
      <c r="AP1425">
        <v>-19.63184</v>
      </c>
      <c r="AQ1425">
        <v>-43.899625999999998</v>
      </c>
      <c r="AR1425">
        <v>16.062279375806241</v>
      </c>
      <c r="AS1425" t="s">
        <v>65</v>
      </c>
      <c r="AT1425">
        <v>1</v>
      </c>
      <c r="AU1425" t="s">
        <v>517</v>
      </c>
      <c r="AV1425" t="s">
        <v>518</v>
      </c>
      <c r="AW1425" t="s">
        <v>60</v>
      </c>
      <c r="AX1425" t="s">
        <v>68</v>
      </c>
      <c r="AY1425" t="s">
        <v>69</v>
      </c>
      <c r="AZ1425" t="b">
        <v>1</v>
      </c>
    </row>
    <row r="1426" spans="1:52" x14ac:dyDescent="0.3">
      <c r="A1426" t="s">
        <v>52</v>
      </c>
      <c r="B1426" t="s">
        <v>53</v>
      </c>
      <c r="C1426" t="s">
        <v>54</v>
      </c>
      <c r="D1426" t="s">
        <v>55</v>
      </c>
      <c r="E1426" t="s">
        <v>837</v>
      </c>
      <c r="F1426" t="s">
        <v>512</v>
      </c>
      <c r="G1426" t="s">
        <v>84</v>
      </c>
      <c r="H1426" t="s">
        <v>85</v>
      </c>
      <c r="I1426" t="s">
        <v>85</v>
      </c>
      <c r="J1426" t="s">
        <v>60</v>
      </c>
      <c r="K1426" t="s">
        <v>86</v>
      </c>
      <c r="L1426" t="s">
        <v>62</v>
      </c>
      <c r="M1426" t="s">
        <v>86</v>
      </c>
      <c r="N1426" t="s">
        <v>87</v>
      </c>
      <c r="O1426" t="s">
        <v>88</v>
      </c>
      <c r="P1426">
        <v>-19.629436999999999</v>
      </c>
      <c r="Q1426">
        <v>-43.910398999999998</v>
      </c>
      <c r="R1426" s="2" t="str">
        <f>HYPERLINK("https://www.google.com/maps?q=-19.6294370,-43.9103990","Abrir no Google Maps")</f>
        <v>Abrir no Google Maps</v>
      </c>
      <c r="S1426">
        <v>4</v>
      </c>
      <c r="T1426">
        <v>888.82060643108082</v>
      </c>
      <c r="U1426">
        <v>3</v>
      </c>
      <c r="V1426">
        <v>0.2919540229885057</v>
      </c>
      <c r="W1426">
        <v>1</v>
      </c>
      <c r="X1426">
        <v>0.2919540229885057</v>
      </c>
      <c r="Y1426">
        <v>10</v>
      </c>
      <c r="Z1426">
        <v>867.42797341651737</v>
      </c>
      <c r="AA1426">
        <v>2</v>
      </c>
      <c r="AB1426">
        <v>3</v>
      </c>
      <c r="AC1426">
        <v>7</v>
      </c>
      <c r="AD1426">
        <v>24.62</v>
      </c>
      <c r="AE1426">
        <v>253</v>
      </c>
      <c r="AF1426">
        <v>14</v>
      </c>
      <c r="AG1426">
        <v>61</v>
      </c>
      <c r="AH1426">
        <v>32</v>
      </c>
      <c r="AI1426">
        <v>5.53</v>
      </c>
      <c r="AJ1426">
        <v>24.11</v>
      </c>
      <c r="AK1426">
        <v>12.65</v>
      </c>
      <c r="AL1426">
        <v>-19.62934694999996</v>
      </c>
      <c r="AM1426">
        <v>-43.910344699357317</v>
      </c>
      <c r="AN1426">
        <v>-19.62934694999996</v>
      </c>
      <c r="AO1426">
        <v>-43.910344699357331</v>
      </c>
      <c r="AP1426">
        <v>-19.629436999999999</v>
      </c>
      <c r="AQ1426">
        <v>-43.910398999999998</v>
      </c>
      <c r="AR1426">
        <v>11.52837377953678</v>
      </c>
      <c r="AS1426" t="s">
        <v>65</v>
      </c>
      <c r="AT1426">
        <v>1</v>
      </c>
      <c r="AU1426" t="s">
        <v>89</v>
      </c>
      <c r="AV1426" t="s">
        <v>90</v>
      </c>
      <c r="AW1426" t="s">
        <v>60</v>
      </c>
      <c r="AX1426" t="s">
        <v>68</v>
      </c>
      <c r="AY1426" t="s">
        <v>69</v>
      </c>
      <c r="AZ1426" t="b">
        <v>1</v>
      </c>
    </row>
    <row r="1427" spans="1:52" x14ac:dyDescent="0.3">
      <c r="A1427" t="s">
        <v>52</v>
      </c>
      <c r="B1427" t="s">
        <v>53</v>
      </c>
      <c r="C1427" t="s">
        <v>54</v>
      </c>
      <c r="D1427" t="s">
        <v>55</v>
      </c>
      <c r="E1427" t="s">
        <v>837</v>
      </c>
      <c r="F1427" t="s">
        <v>512</v>
      </c>
      <c r="G1427" t="s">
        <v>97</v>
      </c>
      <c r="H1427" t="s">
        <v>98</v>
      </c>
      <c r="I1427" t="s">
        <v>98</v>
      </c>
      <c r="J1427" t="s">
        <v>60</v>
      </c>
      <c r="K1427" t="s">
        <v>99</v>
      </c>
      <c r="L1427" t="s">
        <v>62</v>
      </c>
      <c r="M1427" t="s">
        <v>99</v>
      </c>
      <c r="N1427" t="s">
        <v>100</v>
      </c>
      <c r="O1427" t="s">
        <v>101</v>
      </c>
      <c r="P1427">
        <v>-19.629822000000001</v>
      </c>
      <c r="Q1427">
        <v>-43.905341</v>
      </c>
      <c r="R1427" s="2" t="str">
        <f>HYPERLINK("https://www.google.com/maps?q=-19.6298220,-43.9053410","Abrir no Google Maps")</f>
        <v>Abrir no Google Maps</v>
      </c>
      <c r="S1427">
        <v>4</v>
      </c>
      <c r="T1427">
        <v>441.30597341744129</v>
      </c>
      <c r="U1427">
        <v>3</v>
      </c>
      <c r="V1427">
        <v>0.29318115019104529</v>
      </c>
      <c r="W1427">
        <v>1</v>
      </c>
      <c r="X1427">
        <v>0.29318115019104529</v>
      </c>
      <c r="Y1427">
        <v>10</v>
      </c>
      <c r="Z1427">
        <v>513.56493751010987</v>
      </c>
      <c r="AA1427">
        <v>2</v>
      </c>
      <c r="AB1427">
        <v>3</v>
      </c>
      <c r="AC1427">
        <v>7</v>
      </c>
      <c r="AD1427">
        <v>24.62</v>
      </c>
      <c r="AE1427">
        <v>253</v>
      </c>
      <c r="AF1427">
        <v>14</v>
      </c>
      <c r="AG1427">
        <v>61</v>
      </c>
      <c r="AH1427">
        <v>32</v>
      </c>
      <c r="AI1427">
        <v>5.53</v>
      </c>
      <c r="AJ1427">
        <v>24.11</v>
      </c>
      <c r="AK1427">
        <v>12.65</v>
      </c>
      <c r="AL1427">
        <v>-19.629671599999941</v>
      </c>
      <c r="AM1427">
        <v>-43.905369597920988</v>
      </c>
      <c r="AN1427">
        <v>-19.629671599999931</v>
      </c>
      <c r="AO1427">
        <v>-43.905369597920988</v>
      </c>
      <c r="AP1427">
        <v>-19.629822000000001</v>
      </c>
      <c r="AQ1427">
        <v>-43.905341</v>
      </c>
      <c r="AR1427">
        <v>17.008917699186132</v>
      </c>
      <c r="AS1427" t="s">
        <v>65</v>
      </c>
      <c r="AT1427">
        <v>1</v>
      </c>
      <c r="AU1427" t="s">
        <v>102</v>
      </c>
      <c r="AV1427" t="s">
        <v>103</v>
      </c>
      <c r="AW1427" t="s">
        <v>60</v>
      </c>
      <c r="AX1427" t="s">
        <v>68</v>
      </c>
      <c r="AY1427" t="s">
        <v>69</v>
      </c>
      <c r="AZ1427" t="b">
        <v>1</v>
      </c>
    </row>
    <row r="1428" spans="1:52" x14ac:dyDescent="0.3">
      <c r="A1428" t="s">
        <v>52</v>
      </c>
      <c r="B1428" t="s">
        <v>53</v>
      </c>
      <c r="C1428" t="s">
        <v>54</v>
      </c>
      <c r="D1428" t="s">
        <v>55</v>
      </c>
      <c r="E1428" t="s">
        <v>837</v>
      </c>
      <c r="F1428" t="s">
        <v>512</v>
      </c>
      <c r="G1428" t="s">
        <v>519</v>
      </c>
      <c r="H1428" t="s">
        <v>520</v>
      </c>
      <c r="I1428" t="s">
        <v>520</v>
      </c>
      <c r="J1428" t="s">
        <v>60</v>
      </c>
      <c r="K1428" t="s">
        <v>72</v>
      </c>
      <c r="L1428" t="s">
        <v>62</v>
      </c>
      <c r="M1428" t="s">
        <v>72</v>
      </c>
      <c r="N1428" t="s">
        <v>521</v>
      </c>
      <c r="O1428" t="s">
        <v>522</v>
      </c>
      <c r="P1428">
        <v>-19.634713000000001</v>
      </c>
      <c r="Q1428">
        <v>-43.908909999999999</v>
      </c>
      <c r="R1428" s="2" t="str">
        <f>HYPERLINK("https://www.google.com/maps?q=-19.6347130,-43.9089100","Abrir no Google Maps")</f>
        <v>Abrir no Google Maps</v>
      </c>
      <c r="S1428">
        <v>4</v>
      </c>
      <c r="T1428">
        <v>700.74700083720154</v>
      </c>
      <c r="U1428">
        <v>2</v>
      </c>
      <c r="V1428">
        <v>0.26827209533267132</v>
      </c>
      <c r="W1428">
        <v>0.85</v>
      </c>
      <c r="X1428">
        <v>0.22803128103277059</v>
      </c>
      <c r="Y1428">
        <v>10</v>
      </c>
      <c r="Z1428">
        <v>557.86159429038207</v>
      </c>
      <c r="AA1428">
        <v>2</v>
      </c>
      <c r="AB1428">
        <v>3</v>
      </c>
      <c r="AC1428">
        <v>7</v>
      </c>
      <c r="AD1428">
        <v>24.62</v>
      </c>
      <c r="AE1428">
        <v>253</v>
      </c>
      <c r="AF1428">
        <v>14</v>
      </c>
      <c r="AG1428">
        <v>61</v>
      </c>
      <c r="AH1428">
        <v>32</v>
      </c>
      <c r="AI1428">
        <v>5.53</v>
      </c>
      <c r="AJ1428">
        <v>24.11</v>
      </c>
      <c r="AK1428">
        <v>12.65</v>
      </c>
      <c r="AL1428">
        <v>-19.634626949999959</v>
      </c>
      <c r="AM1428">
        <v>-43.909020333181857</v>
      </c>
      <c r="AN1428">
        <v>-19.634626949999959</v>
      </c>
      <c r="AO1428">
        <v>-43.909020333181857</v>
      </c>
      <c r="AP1428">
        <v>-19.634713000000001</v>
      </c>
      <c r="AQ1428">
        <v>-43.908909999999999</v>
      </c>
      <c r="AR1428">
        <v>15.01933861967664</v>
      </c>
      <c r="AS1428" t="s">
        <v>65</v>
      </c>
      <c r="AT1428">
        <v>1</v>
      </c>
      <c r="AU1428" t="s">
        <v>523</v>
      </c>
      <c r="AV1428" t="s">
        <v>524</v>
      </c>
      <c r="AW1428" t="s">
        <v>60</v>
      </c>
      <c r="AX1428" t="s">
        <v>68</v>
      </c>
      <c r="AY1428" t="s">
        <v>69</v>
      </c>
      <c r="AZ1428" t="b">
        <v>1</v>
      </c>
    </row>
    <row r="1429" spans="1:52" x14ac:dyDescent="0.3">
      <c r="A1429" t="s">
        <v>52</v>
      </c>
      <c r="B1429" t="s">
        <v>53</v>
      </c>
      <c r="C1429" t="s">
        <v>54</v>
      </c>
      <c r="D1429" t="s">
        <v>55</v>
      </c>
      <c r="E1429" t="s">
        <v>837</v>
      </c>
      <c r="F1429" t="s">
        <v>512</v>
      </c>
      <c r="G1429" t="s">
        <v>284</v>
      </c>
      <c r="H1429" t="s">
        <v>285</v>
      </c>
      <c r="I1429" t="s">
        <v>285</v>
      </c>
      <c r="J1429" t="s">
        <v>60</v>
      </c>
      <c r="K1429" t="s">
        <v>286</v>
      </c>
      <c r="L1429" t="s">
        <v>62</v>
      </c>
      <c r="M1429" t="s">
        <v>286</v>
      </c>
      <c r="N1429" t="s">
        <v>287</v>
      </c>
      <c r="O1429" t="s">
        <v>288</v>
      </c>
      <c r="P1429">
        <v>-19.639790000000001</v>
      </c>
      <c r="Q1429">
        <v>-43.882798999999999</v>
      </c>
      <c r="R1429" s="2" t="str">
        <f>HYPERLINK("https://www.google.com/maps?q=-19.6397900,-43.8827990","Abrir no Google Maps")</f>
        <v>Abrir no Google Maps</v>
      </c>
      <c r="S1429">
        <v>3</v>
      </c>
      <c r="T1429">
        <v>242.7052058134478</v>
      </c>
      <c r="U1429">
        <v>4</v>
      </c>
      <c r="V1429">
        <v>0.30929627124203102</v>
      </c>
      <c r="W1429">
        <v>1</v>
      </c>
      <c r="X1429">
        <v>0.30929627124203102</v>
      </c>
      <c r="Y1429">
        <v>10</v>
      </c>
      <c r="Z1429">
        <v>187.2088809462339</v>
      </c>
      <c r="AA1429">
        <v>2</v>
      </c>
      <c r="AB1429">
        <v>3</v>
      </c>
      <c r="AC1429">
        <v>7</v>
      </c>
      <c r="AD1429">
        <v>24.62</v>
      </c>
      <c r="AE1429">
        <v>253</v>
      </c>
      <c r="AF1429">
        <v>14</v>
      </c>
      <c r="AG1429">
        <v>61</v>
      </c>
      <c r="AH1429">
        <v>32</v>
      </c>
      <c r="AI1429">
        <v>5.53</v>
      </c>
      <c r="AJ1429">
        <v>24.11</v>
      </c>
      <c r="AK1429">
        <v>12.65</v>
      </c>
      <c r="AL1429">
        <v>-19.639855599999951</v>
      </c>
      <c r="AM1429">
        <v>-43.882909745178452</v>
      </c>
      <c r="AN1429">
        <v>-19.639855599999951</v>
      </c>
      <c r="AO1429">
        <v>-43.882909745178452</v>
      </c>
      <c r="AP1429">
        <v>-19.639790000000001</v>
      </c>
      <c r="AQ1429">
        <v>-43.882798999999999</v>
      </c>
      <c r="AR1429">
        <v>13.716486068571211</v>
      </c>
      <c r="AS1429" t="s">
        <v>65</v>
      </c>
      <c r="AT1429">
        <v>1</v>
      </c>
      <c r="AU1429" t="s">
        <v>289</v>
      </c>
      <c r="AV1429" t="s">
        <v>290</v>
      </c>
      <c r="AW1429" t="s">
        <v>60</v>
      </c>
      <c r="AX1429" t="s">
        <v>68</v>
      </c>
      <c r="AY1429" t="s">
        <v>69</v>
      </c>
      <c r="AZ1429" t="b">
        <v>1</v>
      </c>
    </row>
    <row r="1430" spans="1:52" x14ac:dyDescent="0.3">
      <c r="A1430" t="s">
        <v>52</v>
      </c>
      <c r="B1430" t="s">
        <v>53</v>
      </c>
      <c r="C1430" t="s">
        <v>54</v>
      </c>
      <c r="D1430" t="s">
        <v>55</v>
      </c>
      <c r="E1430" t="s">
        <v>837</v>
      </c>
      <c r="F1430" t="s">
        <v>512</v>
      </c>
      <c r="G1430" t="s">
        <v>291</v>
      </c>
      <c r="H1430" t="s">
        <v>292</v>
      </c>
      <c r="I1430" t="s">
        <v>292</v>
      </c>
      <c r="J1430" t="s">
        <v>60</v>
      </c>
      <c r="K1430" t="s">
        <v>286</v>
      </c>
      <c r="L1430" t="s">
        <v>62</v>
      </c>
      <c r="M1430" t="s">
        <v>286</v>
      </c>
      <c r="N1430" t="s">
        <v>293</v>
      </c>
      <c r="O1430" t="s">
        <v>294</v>
      </c>
      <c r="P1430">
        <v>-19.640333999999999</v>
      </c>
      <c r="Q1430">
        <v>-43.880004999999997</v>
      </c>
      <c r="R1430" s="2" t="str">
        <f>HYPERLINK("https://www.google.com/maps?q=-19.6403340,-43.8800050","Abrir no Google Maps")</f>
        <v>Abrir no Google Maps</v>
      </c>
      <c r="S1430">
        <v>3</v>
      </c>
      <c r="T1430">
        <v>276.80943817309782</v>
      </c>
      <c r="U1430">
        <v>4</v>
      </c>
      <c r="V1430">
        <v>0.31677282377919319</v>
      </c>
      <c r="W1430">
        <v>1</v>
      </c>
      <c r="X1430">
        <v>0.31677282377919319</v>
      </c>
      <c r="Y1430">
        <v>10</v>
      </c>
      <c r="Z1430">
        <v>361.98332038983392</v>
      </c>
      <c r="AA1430">
        <v>2</v>
      </c>
      <c r="AB1430">
        <v>3</v>
      </c>
      <c r="AC1430">
        <v>7</v>
      </c>
      <c r="AD1430">
        <v>24.62</v>
      </c>
      <c r="AE1430">
        <v>253</v>
      </c>
      <c r="AF1430">
        <v>14</v>
      </c>
      <c r="AG1430">
        <v>61</v>
      </c>
      <c r="AH1430">
        <v>32</v>
      </c>
      <c r="AI1430">
        <v>5.53</v>
      </c>
      <c r="AJ1430">
        <v>24.11</v>
      </c>
      <c r="AK1430">
        <v>12.65</v>
      </c>
      <c r="AL1430">
        <v>-19.640260249999951</v>
      </c>
      <c r="AM1430">
        <v>-43.880090474326408</v>
      </c>
      <c r="AN1430">
        <v>-19.640260249999951</v>
      </c>
      <c r="AO1430">
        <v>-43.880090474326408</v>
      </c>
      <c r="AP1430">
        <v>-19.640333999999999</v>
      </c>
      <c r="AQ1430">
        <v>-43.880004999999997</v>
      </c>
      <c r="AR1430">
        <v>12.153556195359609</v>
      </c>
      <c r="AS1430" t="s">
        <v>65</v>
      </c>
      <c r="AT1430">
        <v>1</v>
      </c>
      <c r="AU1430" t="s">
        <v>295</v>
      </c>
      <c r="AV1430" t="s">
        <v>296</v>
      </c>
      <c r="AW1430" t="s">
        <v>60</v>
      </c>
      <c r="AX1430" t="s">
        <v>68</v>
      </c>
      <c r="AY1430" t="s">
        <v>69</v>
      </c>
      <c r="AZ1430" t="b">
        <v>1</v>
      </c>
    </row>
    <row r="1431" spans="1:52" x14ac:dyDescent="0.3">
      <c r="A1431" t="s">
        <v>52</v>
      </c>
      <c r="B1431" t="s">
        <v>53</v>
      </c>
      <c r="C1431" t="s">
        <v>54</v>
      </c>
      <c r="D1431" t="s">
        <v>55</v>
      </c>
      <c r="E1431" t="s">
        <v>837</v>
      </c>
      <c r="F1431" t="s">
        <v>512</v>
      </c>
      <c r="G1431" t="s">
        <v>405</v>
      </c>
      <c r="H1431" t="s">
        <v>406</v>
      </c>
      <c r="I1431" t="s">
        <v>406</v>
      </c>
      <c r="J1431" t="s">
        <v>60</v>
      </c>
      <c r="K1431" t="s">
        <v>286</v>
      </c>
      <c r="L1431" t="s">
        <v>62</v>
      </c>
      <c r="M1431" t="s">
        <v>286</v>
      </c>
      <c r="N1431" t="s">
        <v>407</v>
      </c>
      <c r="O1431" t="s">
        <v>408</v>
      </c>
      <c r="P1431">
        <v>-19.646345</v>
      </c>
      <c r="Q1431">
        <v>-43.882294999999999</v>
      </c>
      <c r="R1431" s="2" t="str">
        <f>HYPERLINK("https://www.google.com/maps?q=-19.6463450,-43.8822950","Abrir no Google Maps")</f>
        <v>Abrir no Google Maps</v>
      </c>
      <c r="S1431">
        <v>3</v>
      </c>
      <c r="T1431">
        <v>450.3180538635894</v>
      </c>
      <c r="U1431">
        <v>4</v>
      </c>
      <c r="V1431">
        <v>0.29754066721808659</v>
      </c>
      <c r="W1431">
        <v>1</v>
      </c>
      <c r="X1431">
        <v>0.29754066721808659</v>
      </c>
      <c r="Y1431">
        <v>10</v>
      </c>
      <c r="Z1431">
        <v>349.23341775902583</v>
      </c>
      <c r="AA1431">
        <v>2</v>
      </c>
      <c r="AB1431">
        <v>3</v>
      </c>
      <c r="AC1431">
        <v>7</v>
      </c>
      <c r="AD1431">
        <v>24.62</v>
      </c>
      <c r="AE1431">
        <v>253</v>
      </c>
      <c r="AF1431">
        <v>14</v>
      </c>
      <c r="AG1431">
        <v>61</v>
      </c>
      <c r="AH1431">
        <v>32</v>
      </c>
      <c r="AI1431">
        <v>5.53</v>
      </c>
      <c r="AJ1431">
        <v>24.11</v>
      </c>
      <c r="AK1431">
        <v>12.65</v>
      </c>
      <c r="AL1431">
        <v>-19.646391649999941</v>
      </c>
      <c r="AM1431">
        <v>-43.882007396993302</v>
      </c>
      <c r="AN1431">
        <v>-19.646391649999941</v>
      </c>
      <c r="AO1431">
        <v>-43.882007396993302</v>
      </c>
      <c r="AP1431">
        <v>-19.646345</v>
      </c>
      <c r="AQ1431">
        <v>-43.882294999999999</v>
      </c>
      <c r="AR1431">
        <v>30.596105513395301</v>
      </c>
      <c r="AS1431" t="s">
        <v>65</v>
      </c>
      <c r="AT1431">
        <v>1</v>
      </c>
      <c r="AU1431" t="s">
        <v>409</v>
      </c>
      <c r="AV1431" t="s">
        <v>410</v>
      </c>
      <c r="AW1431" t="s">
        <v>60</v>
      </c>
      <c r="AX1431" t="s">
        <v>68</v>
      </c>
      <c r="AY1431" t="s">
        <v>69</v>
      </c>
      <c r="AZ1431" t="b">
        <v>1</v>
      </c>
    </row>
    <row r="1432" spans="1:52" x14ac:dyDescent="0.3">
      <c r="A1432" t="s">
        <v>52</v>
      </c>
      <c r="B1432" t="s">
        <v>53</v>
      </c>
      <c r="C1432" t="s">
        <v>54</v>
      </c>
      <c r="D1432" t="s">
        <v>55</v>
      </c>
      <c r="E1432" t="s">
        <v>837</v>
      </c>
      <c r="F1432" t="s">
        <v>512</v>
      </c>
      <c r="G1432" t="s">
        <v>388</v>
      </c>
      <c r="H1432" t="s">
        <v>389</v>
      </c>
      <c r="I1432" t="s">
        <v>389</v>
      </c>
      <c r="J1432" t="s">
        <v>60</v>
      </c>
      <c r="K1432" t="s">
        <v>185</v>
      </c>
      <c r="L1432" t="s">
        <v>62</v>
      </c>
      <c r="M1432" t="s">
        <v>185</v>
      </c>
      <c r="N1432" t="s">
        <v>390</v>
      </c>
      <c r="O1432" t="s">
        <v>391</v>
      </c>
      <c r="P1432">
        <v>-19.628802</v>
      </c>
      <c r="Q1432">
        <v>-43.891649000000001</v>
      </c>
      <c r="R1432" s="2" t="str">
        <f>HYPERLINK("https://www.google.com/maps?q=-19.6288020,-43.8916490","Abrir no Google Maps")</f>
        <v>Abrir no Google Maps</v>
      </c>
      <c r="S1432">
        <v>3</v>
      </c>
      <c r="T1432">
        <v>0</v>
      </c>
      <c r="U1432">
        <v>3</v>
      </c>
      <c r="V1432">
        <v>0.34614346227249448</v>
      </c>
      <c r="W1432">
        <v>0.85</v>
      </c>
      <c r="X1432">
        <v>0.29422194293162029</v>
      </c>
      <c r="Y1432">
        <v>18</v>
      </c>
      <c r="Z1432">
        <v>117.5064585283839</v>
      </c>
      <c r="AA1432">
        <v>2</v>
      </c>
      <c r="AB1432">
        <v>3</v>
      </c>
      <c r="AC1432">
        <v>7</v>
      </c>
      <c r="AD1432">
        <v>24.62</v>
      </c>
      <c r="AE1432">
        <v>253</v>
      </c>
      <c r="AF1432">
        <v>14</v>
      </c>
      <c r="AG1432">
        <v>61</v>
      </c>
      <c r="AH1432">
        <v>32</v>
      </c>
      <c r="AI1432">
        <v>5.53</v>
      </c>
      <c r="AJ1432">
        <v>24.11</v>
      </c>
      <c r="AK1432">
        <v>12.65</v>
      </c>
      <c r="AL1432">
        <v>-19.628865499999961</v>
      </c>
      <c r="AM1432">
        <v>-43.891662391334172</v>
      </c>
      <c r="AN1432">
        <v>-19.628865499999961</v>
      </c>
      <c r="AO1432">
        <v>-43.891662391334172</v>
      </c>
      <c r="AP1432">
        <v>-19.628802</v>
      </c>
      <c r="AQ1432">
        <v>-43.891649000000001</v>
      </c>
      <c r="AR1432">
        <v>7.2069201904448459</v>
      </c>
      <c r="AS1432" t="s">
        <v>65</v>
      </c>
      <c r="AT1432">
        <v>1</v>
      </c>
      <c r="AU1432" t="s">
        <v>392</v>
      </c>
      <c r="AV1432" t="s">
        <v>393</v>
      </c>
      <c r="AW1432" t="s">
        <v>60</v>
      </c>
      <c r="AX1432" t="s">
        <v>68</v>
      </c>
      <c r="AY1432" t="s">
        <v>69</v>
      </c>
      <c r="AZ1432" t="b">
        <v>1</v>
      </c>
    </row>
    <row r="1433" spans="1:52" x14ac:dyDescent="0.3">
      <c r="A1433" t="s">
        <v>52</v>
      </c>
      <c r="B1433" t="s">
        <v>53</v>
      </c>
      <c r="C1433" t="s">
        <v>54</v>
      </c>
      <c r="D1433" t="s">
        <v>55</v>
      </c>
      <c r="E1433" t="s">
        <v>837</v>
      </c>
      <c r="F1433" t="s">
        <v>512</v>
      </c>
      <c r="G1433" t="s">
        <v>530</v>
      </c>
      <c r="H1433" t="s">
        <v>531</v>
      </c>
      <c r="I1433" t="s">
        <v>531</v>
      </c>
      <c r="J1433" t="s">
        <v>60</v>
      </c>
      <c r="K1433" t="s">
        <v>185</v>
      </c>
      <c r="L1433" t="s">
        <v>62</v>
      </c>
      <c r="M1433" t="s">
        <v>185</v>
      </c>
      <c r="N1433" t="s">
        <v>532</v>
      </c>
      <c r="O1433" t="s">
        <v>533</v>
      </c>
      <c r="P1433">
        <v>-19.625264000000001</v>
      </c>
      <c r="Q1433">
        <v>-43.889451000000001</v>
      </c>
      <c r="R1433" s="2" t="str">
        <f>HYPERLINK("https://www.google.com/maps?q=-19.6252640,-43.8894510","Abrir no Google Maps")</f>
        <v>Abrir no Google Maps</v>
      </c>
      <c r="S1433">
        <v>3</v>
      </c>
      <c r="T1433">
        <v>466.11340370665903</v>
      </c>
      <c r="U1433">
        <v>3</v>
      </c>
      <c r="V1433">
        <v>0.3295149295149295</v>
      </c>
      <c r="W1433">
        <v>0.85</v>
      </c>
      <c r="X1433">
        <v>0.28008769008769008</v>
      </c>
      <c r="Y1433">
        <v>18</v>
      </c>
      <c r="Z1433">
        <v>320.77337440837812</v>
      </c>
      <c r="AA1433">
        <v>2</v>
      </c>
      <c r="AB1433">
        <v>3</v>
      </c>
      <c r="AC1433">
        <v>7</v>
      </c>
      <c r="AD1433">
        <v>24.62</v>
      </c>
      <c r="AE1433">
        <v>253</v>
      </c>
      <c r="AF1433">
        <v>14</v>
      </c>
      <c r="AG1433">
        <v>61</v>
      </c>
      <c r="AH1433">
        <v>32</v>
      </c>
      <c r="AI1433">
        <v>5.53</v>
      </c>
      <c r="AJ1433">
        <v>24.11</v>
      </c>
      <c r="AK1433">
        <v>12.65</v>
      </c>
      <c r="AL1433">
        <v>-19.62516189999997</v>
      </c>
      <c r="AM1433">
        <v>-43.88954614566876</v>
      </c>
      <c r="AN1433">
        <v>-19.62516189999997</v>
      </c>
      <c r="AO1433">
        <v>-43.88954614566876</v>
      </c>
      <c r="AP1433">
        <v>-19.625264000000001</v>
      </c>
      <c r="AQ1433">
        <v>-43.889451000000001</v>
      </c>
      <c r="AR1433">
        <v>15.12310549834147</v>
      </c>
      <c r="AS1433" t="s">
        <v>65</v>
      </c>
      <c r="AT1433">
        <v>1</v>
      </c>
      <c r="AU1433" t="s">
        <v>534</v>
      </c>
      <c r="AV1433" t="s">
        <v>535</v>
      </c>
      <c r="AW1433" t="s">
        <v>60</v>
      </c>
      <c r="AX1433" t="s">
        <v>68</v>
      </c>
      <c r="AY1433" t="s">
        <v>69</v>
      </c>
      <c r="AZ1433" t="b">
        <v>1</v>
      </c>
    </row>
    <row r="1434" spans="1:52" x14ac:dyDescent="0.3">
      <c r="A1434" t="s">
        <v>52</v>
      </c>
      <c r="B1434" t="s">
        <v>53</v>
      </c>
      <c r="C1434" t="s">
        <v>54</v>
      </c>
      <c r="D1434" t="s">
        <v>55</v>
      </c>
      <c r="E1434" t="s">
        <v>837</v>
      </c>
      <c r="F1434" t="s">
        <v>512</v>
      </c>
      <c r="G1434" t="s">
        <v>394</v>
      </c>
      <c r="H1434" t="s">
        <v>395</v>
      </c>
      <c r="I1434" t="s">
        <v>395</v>
      </c>
      <c r="J1434" t="s">
        <v>60</v>
      </c>
      <c r="K1434" t="s">
        <v>286</v>
      </c>
      <c r="L1434" t="s">
        <v>62</v>
      </c>
      <c r="M1434" t="s">
        <v>286</v>
      </c>
      <c r="N1434" t="s">
        <v>396</v>
      </c>
      <c r="O1434" t="s">
        <v>88</v>
      </c>
      <c r="P1434">
        <v>-19.636932999999999</v>
      </c>
      <c r="Q1434">
        <v>-43.882691999999999</v>
      </c>
      <c r="R1434" s="2" t="str">
        <f>HYPERLINK("https://www.google.com/maps?q=-19.6369330,-43.8826920","Abrir no Google Maps")</f>
        <v>Abrir no Google Maps</v>
      </c>
      <c r="S1434">
        <v>3</v>
      </c>
      <c r="T1434">
        <v>523.52675813688109</v>
      </c>
      <c r="U1434">
        <v>3</v>
      </c>
      <c r="V1434">
        <v>0.29299679893144182</v>
      </c>
      <c r="W1434">
        <v>1</v>
      </c>
      <c r="X1434">
        <v>0.29299679893144182</v>
      </c>
      <c r="Y1434">
        <v>10</v>
      </c>
      <c r="Z1434">
        <v>372.58135532659509</v>
      </c>
      <c r="AA1434">
        <v>2</v>
      </c>
      <c r="AB1434">
        <v>3</v>
      </c>
      <c r="AC1434">
        <v>7</v>
      </c>
      <c r="AD1434">
        <v>24.62</v>
      </c>
      <c r="AE1434">
        <v>253</v>
      </c>
      <c r="AF1434">
        <v>14</v>
      </c>
      <c r="AG1434">
        <v>61</v>
      </c>
      <c r="AH1434">
        <v>32</v>
      </c>
      <c r="AI1434">
        <v>5.53</v>
      </c>
      <c r="AJ1434">
        <v>24.11</v>
      </c>
      <c r="AK1434">
        <v>12.65</v>
      </c>
      <c r="AL1434">
        <v>-19.637159949999951</v>
      </c>
      <c r="AM1434">
        <v>-43.882643289441461</v>
      </c>
      <c r="AN1434">
        <v>-19.637159949999951</v>
      </c>
      <c r="AO1434">
        <v>-43.882643289441461</v>
      </c>
      <c r="AP1434">
        <v>-19.636932999999999</v>
      </c>
      <c r="AQ1434">
        <v>-43.882691999999999</v>
      </c>
      <c r="AR1434">
        <v>25.775099947452478</v>
      </c>
      <c r="AS1434" t="s">
        <v>65</v>
      </c>
      <c r="AT1434">
        <v>1</v>
      </c>
      <c r="AU1434" t="s">
        <v>397</v>
      </c>
      <c r="AV1434" t="s">
        <v>398</v>
      </c>
      <c r="AW1434" t="s">
        <v>60</v>
      </c>
      <c r="AX1434" t="s">
        <v>68</v>
      </c>
      <c r="AY1434" t="s">
        <v>69</v>
      </c>
      <c r="AZ1434" t="b">
        <v>1</v>
      </c>
    </row>
    <row r="1435" spans="1:52" x14ac:dyDescent="0.3">
      <c r="A1435" t="s">
        <v>52</v>
      </c>
      <c r="B1435" t="s">
        <v>53</v>
      </c>
      <c r="C1435" t="s">
        <v>54</v>
      </c>
      <c r="D1435" t="s">
        <v>55</v>
      </c>
      <c r="E1435" t="s">
        <v>837</v>
      </c>
      <c r="F1435" t="s">
        <v>512</v>
      </c>
      <c r="G1435" t="s">
        <v>399</v>
      </c>
      <c r="H1435" t="s">
        <v>400</v>
      </c>
      <c r="I1435" t="s">
        <v>400</v>
      </c>
      <c r="J1435" t="s">
        <v>60</v>
      </c>
      <c r="K1435" t="s">
        <v>286</v>
      </c>
      <c r="L1435" t="s">
        <v>62</v>
      </c>
      <c r="M1435" t="s">
        <v>286</v>
      </c>
      <c r="N1435" t="s">
        <v>401</v>
      </c>
      <c r="O1435" t="s">
        <v>402</v>
      </c>
      <c r="P1435">
        <v>-19.639906</v>
      </c>
      <c r="Q1435">
        <v>-43.886059000000003</v>
      </c>
      <c r="R1435" s="2" t="str">
        <f>HYPERLINK("https://www.google.com/maps?q=-19.6399060,-43.8860590","Abrir no Google Maps")</f>
        <v>Abrir no Google Maps</v>
      </c>
      <c r="S1435">
        <v>3</v>
      </c>
      <c r="T1435">
        <v>256.0748811302048</v>
      </c>
      <c r="U1435">
        <v>3</v>
      </c>
      <c r="V1435">
        <v>0.28921218877740618</v>
      </c>
      <c r="W1435">
        <v>1</v>
      </c>
      <c r="X1435">
        <v>0.28921218877740618</v>
      </c>
      <c r="Y1435">
        <v>10</v>
      </c>
      <c r="Z1435">
        <v>205.06236700857289</v>
      </c>
      <c r="AA1435">
        <v>2</v>
      </c>
      <c r="AB1435">
        <v>3</v>
      </c>
      <c r="AC1435">
        <v>7</v>
      </c>
      <c r="AD1435">
        <v>24.62</v>
      </c>
      <c r="AE1435">
        <v>253</v>
      </c>
      <c r="AF1435">
        <v>14</v>
      </c>
      <c r="AG1435">
        <v>61</v>
      </c>
      <c r="AH1435">
        <v>32</v>
      </c>
      <c r="AI1435">
        <v>5.53</v>
      </c>
      <c r="AJ1435">
        <v>24.11</v>
      </c>
      <c r="AK1435">
        <v>12.65</v>
      </c>
      <c r="AL1435">
        <v>-19.639789499999949</v>
      </c>
      <c r="AM1435">
        <v>-43.885737855031408</v>
      </c>
      <c r="AN1435">
        <v>-19.639789499999949</v>
      </c>
      <c r="AO1435">
        <v>-43.885737855031408</v>
      </c>
      <c r="AP1435">
        <v>-19.639906</v>
      </c>
      <c r="AQ1435">
        <v>-43.886059000000003</v>
      </c>
      <c r="AR1435">
        <v>36.081349702130403</v>
      </c>
      <c r="AS1435" t="s">
        <v>65</v>
      </c>
      <c r="AT1435">
        <v>1</v>
      </c>
      <c r="AU1435" t="s">
        <v>403</v>
      </c>
      <c r="AV1435" t="s">
        <v>404</v>
      </c>
      <c r="AW1435" t="s">
        <v>60</v>
      </c>
      <c r="AX1435" t="s">
        <v>68</v>
      </c>
      <c r="AY1435" t="s">
        <v>69</v>
      </c>
      <c r="AZ1435" t="b">
        <v>1</v>
      </c>
    </row>
    <row r="1436" spans="1:52" x14ac:dyDescent="0.3">
      <c r="A1436" t="s">
        <v>52</v>
      </c>
      <c r="B1436" t="s">
        <v>53</v>
      </c>
      <c r="C1436" t="s">
        <v>54</v>
      </c>
      <c r="D1436" t="s">
        <v>55</v>
      </c>
      <c r="E1436" t="s">
        <v>837</v>
      </c>
      <c r="F1436" t="s">
        <v>512</v>
      </c>
      <c r="G1436" t="s">
        <v>525</v>
      </c>
      <c r="H1436" t="s">
        <v>526</v>
      </c>
      <c r="I1436" t="s">
        <v>526</v>
      </c>
      <c r="J1436" t="s">
        <v>60</v>
      </c>
      <c r="K1436" t="s">
        <v>286</v>
      </c>
      <c r="L1436" t="s">
        <v>62</v>
      </c>
      <c r="M1436" t="s">
        <v>286</v>
      </c>
      <c r="N1436" t="s">
        <v>527</v>
      </c>
      <c r="O1436" t="s">
        <v>113</v>
      </c>
      <c r="P1436">
        <v>-19.629049999999999</v>
      </c>
      <c r="Q1436">
        <v>-43.887543000000001</v>
      </c>
      <c r="R1436" s="2" t="str">
        <f>HYPERLINK("https://www.google.com/maps?q=-19.6290500,-43.8875430","Abrir no Google Maps")</f>
        <v>Abrir no Google Maps</v>
      </c>
      <c r="S1436">
        <v>3</v>
      </c>
      <c r="T1436">
        <v>420.9244758141914</v>
      </c>
      <c r="U1436">
        <v>2</v>
      </c>
      <c r="V1436">
        <v>0.2948616600790514</v>
      </c>
      <c r="W1436">
        <v>0.85</v>
      </c>
      <c r="X1436">
        <v>0.25063241106719369</v>
      </c>
      <c r="Y1436">
        <v>18</v>
      </c>
      <c r="Z1436">
        <v>298.16529694300579</v>
      </c>
      <c r="AA1436">
        <v>2</v>
      </c>
      <c r="AB1436">
        <v>3</v>
      </c>
      <c r="AC1436">
        <v>7</v>
      </c>
      <c r="AD1436">
        <v>24.62</v>
      </c>
      <c r="AE1436">
        <v>253</v>
      </c>
      <c r="AF1436">
        <v>14</v>
      </c>
      <c r="AG1436">
        <v>61</v>
      </c>
      <c r="AH1436">
        <v>32</v>
      </c>
      <c r="AI1436">
        <v>5.53</v>
      </c>
      <c r="AJ1436">
        <v>24.11</v>
      </c>
      <c r="AK1436">
        <v>12.65</v>
      </c>
      <c r="AL1436">
        <v>-19.62914789999996</v>
      </c>
      <c r="AM1436">
        <v>-43.887659532387332</v>
      </c>
      <c r="AN1436">
        <v>-19.62914789999996</v>
      </c>
      <c r="AO1436">
        <v>-43.887659532387332</v>
      </c>
      <c r="AP1436">
        <v>-19.629049999999999</v>
      </c>
      <c r="AQ1436">
        <v>-43.887543000000001</v>
      </c>
      <c r="AR1436">
        <v>16.372645779361299</v>
      </c>
      <c r="AS1436" t="s">
        <v>65</v>
      </c>
      <c r="AT1436">
        <v>1</v>
      </c>
      <c r="AU1436" t="s">
        <v>528</v>
      </c>
      <c r="AV1436" t="s">
        <v>529</v>
      </c>
      <c r="AW1436" t="s">
        <v>60</v>
      </c>
      <c r="AX1436" t="s">
        <v>68</v>
      </c>
      <c r="AY1436" t="s">
        <v>69</v>
      </c>
      <c r="AZ1436" t="b">
        <v>1</v>
      </c>
    </row>
    <row r="1437" spans="1:52" x14ac:dyDescent="0.3">
      <c r="A1437" t="s">
        <v>52</v>
      </c>
      <c r="B1437" t="s">
        <v>53</v>
      </c>
      <c r="C1437" t="s">
        <v>54</v>
      </c>
      <c r="D1437" t="s">
        <v>55</v>
      </c>
      <c r="E1437" t="s">
        <v>837</v>
      </c>
      <c r="F1437" t="s">
        <v>512</v>
      </c>
      <c r="G1437" t="s">
        <v>536</v>
      </c>
      <c r="H1437" t="s">
        <v>537</v>
      </c>
      <c r="I1437" t="s">
        <v>537</v>
      </c>
      <c r="J1437" t="s">
        <v>60</v>
      </c>
      <c r="K1437" t="s">
        <v>185</v>
      </c>
      <c r="L1437" t="s">
        <v>62</v>
      </c>
      <c r="M1437" t="s">
        <v>185</v>
      </c>
      <c r="N1437" t="s">
        <v>538</v>
      </c>
      <c r="O1437" t="s">
        <v>408</v>
      </c>
      <c r="P1437">
        <v>-19.630147999999998</v>
      </c>
      <c r="Q1437">
        <v>-43.893844000000001</v>
      </c>
      <c r="R1437" s="2" t="str">
        <f>HYPERLINK("https://www.google.com/maps?q=-19.6301480,-43.8938440","Abrir no Google Maps")</f>
        <v>Abrir no Google Maps</v>
      </c>
      <c r="S1437">
        <v>3</v>
      </c>
      <c r="T1437">
        <v>262.94285160220159</v>
      </c>
      <c r="U1437">
        <v>2</v>
      </c>
      <c r="V1437">
        <v>0.2968111289459604</v>
      </c>
      <c r="W1437">
        <v>0.85</v>
      </c>
      <c r="X1437">
        <v>0.25228945960406629</v>
      </c>
      <c r="Y1437">
        <v>18</v>
      </c>
      <c r="Z1437">
        <v>351.25774094845309</v>
      </c>
      <c r="AA1437">
        <v>2</v>
      </c>
      <c r="AB1437">
        <v>3</v>
      </c>
      <c r="AC1437">
        <v>7</v>
      </c>
      <c r="AD1437">
        <v>24.62</v>
      </c>
      <c r="AE1437">
        <v>253</v>
      </c>
      <c r="AF1437">
        <v>14</v>
      </c>
      <c r="AG1437">
        <v>61</v>
      </c>
      <c r="AH1437">
        <v>32</v>
      </c>
      <c r="AI1437">
        <v>5.53</v>
      </c>
      <c r="AJ1437">
        <v>24.11</v>
      </c>
      <c r="AK1437">
        <v>12.65</v>
      </c>
      <c r="AL1437">
        <v>-19.630177599999939</v>
      </c>
      <c r="AM1437">
        <v>-43.893752755034278</v>
      </c>
      <c r="AN1437">
        <v>-19.630177599999939</v>
      </c>
      <c r="AO1437">
        <v>-43.893752755034278</v>
      </c>
      <c r="AP1437">
        <v>-19.630147999999998</v>
      </c>
      <c r="AQ1437">
        <v>-43.893844000000001</v>
      </c>
      <c r="AR1437">
        <v>10.1185927114604</v>
      </c>
      <c r="AS1437" t="s">
        <v>65</v>
      </c>
      <c r="AT1437">
        <v>1</v>
      </c>
      <c r="AU1437" t="s">
        <v>539</v>
      </c>
      <c r="AV1437" t="s">
        <v>540</v>
      </c>
      <c r="AW1437" t="s">
        <v>60</v>
      </c>
      <c r="AX1437" t="s">
        <v>68</v>
      </c>
      <c r="AY1437" t="s">
        <v>69</v>
      </c>
      <c r="AZ1437" t="b">
        <v>1</v>
      </c>
    </row>
    <row r="1438" spans="1:52" x14ac:dyDescent="0.3">
      <c r="A1438" t="s">
        <v>52</v>
      </c>
      <c r="B1438" t="s">
        <v>53</v>
      </c>
      <c r="C1438" t="s">
        <v>54</v>
      </c>
      <c r="D1438" t="s">
        <v>55</v>
      </c>
      <c r="E1438" t="s">
        <v>837</v>
      </c>
      <c r="F1438" t="s">
        <v>512</v>
      </c>
      <c r="G1438" t="s">
        <v>541</v>
      </c>
      <c r="H1438" t="s">
        <v>542</v>
      </c>
      <c r="I1438" t="s">
        <v>542</v>
      </c>
      <c r="J1438" t="s">
        <v>60</v>
      </c>
      <c r="K1438" t="s">
        <v>445</v>
      </c>
      <c r="L1438" t="s">
        <v>62</v>
      </c>
      <c r="M1438" t="s">
        <v>445</v>
      </c>
      <c r="N1438" t="s">
        <v>543</v>
      </c>
      <c r="O1438" t="s">
        <v>328</v>
      </c>
      <c r="P1438">
        <v>-19.642263</v>
      </c>
      <c r="Q1438">
        <v>-43.881428999999997</v>
      </c>
      <c r="R1438" s="2" t="str">
        <f>HYPERLINK("https://www.google.com/maps?q=-19.6422630,-43.8814290","Abrir no Google Maps")</f>
        <v>Abrir no Google Maps</v>
      </c>
      <c r="S1438">
        <v>3</v>
      </c>
      <c r="T1438">
        <v>0</v>
      </c>
      <c r="U1438">
        <v>2</v>
      </c>
      <c r="V1438">
        <v>0.27279693486590029</v>
      </c>
      <c r="W1438">
        <v>0.85</v>
      </c>
      <c r="X1438">
        <v>0.2318773946360152</v>
      </c>
      <c r="Y1438">
        <v>10</v>
      </c>
      <c r="Z1438">
        <v>162.4764384685345</v>
      </c>
      <c r="AA1438">
        <v>2</v>
      </c>
      <c r="AB1438">
        <v>3</v>
      </c>
      <c r="AC1438">
        <v>7</v>
      </c>
      <c r="AD1438">
        <v>24.62</v>
      </c>
      <c r="AE1438">
        <v>253</v>
      </c>
      <c r="AF1438">
        <v>14</v>
      </c>
      <c r="AG1438">
        <v>61</v>
      </c>
      <c r="AH1438">
        <v>32</v>
      </c>
      <c r="AI1438">
        <v>5.53</v>
      </c>
      <c r="AJ1438">
        <v>24.11</v>
      </c>
      <c r="AK1438">
        <v>12.65</v>
      </c>
      <c r="AL1438">
        <v>-19.642346249999949</v>
      </c>
      <c r="AM1438">
        <v>-43.881546938715289</v>
      </c>
      <c r="AN1438">
        <v>-19.642346249999939</v>
      </c>
      <c r="AO1438">
        <v>-43.881546938715289</v>
      </c>
      <c r="AP1438">
        <v>-19.642263</v>
      </c>
      <c r="AQ1438">
        <v>-43.881428999999997</v>
      </c>
      <c r="AR1438">
        <v>15.45239906956777</v>
      </c>
      <c r="AS1438" t="s">
        <v>65</v>
      </c>
      <c r="AT1438">
        <v>1</v>
      </c>
      <c r="AU1438" t="s">
        <v>544</v>
      </c>
      <c r="AV1438" t="s">
        <v>545</v>
      </c>
      <c r="AW1438" t="s">
        <v>60</v>
      </c>
      <c r="AX1438" t="s">
        <v>68</v>
      </c>
      <c r="AY1438" t="s">
        <v>69</v>
      </c>
      <c r="AZ1438" t="b">
        <v>1</v>
      </c>
    </row>
    <row r="1439" spans="1:52" x14ac:dyDescent="0.3">
      <c r="A1439" t="s">
        <v>52</v>
      </c>
      <c r="B1439" t="s">
        <v>53</v>
      </c>
      <c r="C1439" t="s">
        <v>54</v>
      </c>
      <c r="D1439" t="s">
        <v>55</v>
      </c>
      <c r="E1439" t="s">
        <v>837</v>
      </c>
      <c r="F1439" t="s">
        <v>512</v>
      </c>
      <c r="G1439" t="s">
        <v>546</v>
      </c>
      <c r="H1439" t="s">
        <v>547</v>
      </c>
      <c r="I1439" t="s">
        <v>547</v>
      </c>
      <c r="J1439" t="s">
        <v>60</v>
      </c>
      <c r="K1439" t="s">
        <v>445</v>
      </c>
      <c r="L1439" t="s">
        <v>62</v>
      </c>
      <c r="M1439" t="s">
        <v>445</v>
      </c>
      <c r="N1439" t="s">
        <v>548</v>
      </c>
      <c r="O1439" t="s">
        <v>549</v>
      </c>
      <c r="P1439">
        <v>-19.642752999999999</v>
      </c>
      <c r="Q1439">
        <v>-43.879080999999999</v>
      </c>
      <c r="R1439" s="2" t="str">
        <f>HYPERLINK("https://www.google.com/maps?q=-19.6427530,-43.8790810","Abrir no Google Maps")</f>
        <v>Abrir no Google Maps</v>
      </c>
      <c r="S1439">
        <v>3</v>
      </c>
      <c r="T1439">
        <v>256.19518367376457</v>
      </c>
      <c r="U1439">
        <v>2</v>
      </c>
      <c r="V1439">
        <v>0.28922494060232451</v>
      </c>
      <c r="W1439">
        <v>0.85</v>
      </c>
      <c r="X1439">
        <v>0.24584119951197581</v>
      </c>
      <c r="Y1439">
        <v>10</v>
      </c>
      <c r="Z1439">
        <v>192.73978446408199</v>
      </c>
      <c r="AA1439">
        <v>2</v>
      </c>
      <c r="AB1439">
        <v>3</v>
      </c>
      <c r="AC1439">
        <v>7</v>
      </c>
      <c r="AD1439">
        <v>24.62</v>
      </c>
      <c r="AE1439">
        <v>253</v>
      </c>
      <c r="AF1439">
        <v>14</v>
      </c>
      <c r="AG1439">
        <v>61</v>
      </c>
      <c r="AH1439">
        <v>32</v>
      </c>
      <c r="AI1439">
        <v>5.53</v>
      </c>
      <c r="AJ1439">
        <v>24.11</v>
      </c>
      <c r="AK1439">
        <v>12.65</v>
      </c>
      <c r="AL1439">
        <v>-19.642703749999949</v>
      </c>
      <c r="AM1439">
        <v>-43.879132974738582</v>
      </c>
      <c r="AN1439">
        <v>-19.642703749999949</v>
      </c>
      <c r="AO1439">
        <v>-43.879132974738582</v>
      </c>
      <c r="AP1439">
        <v>-19.642752999999999</v>
      </c>
      <c r="AQ1439">
        <v>-43.879080999999999</v>
      </c>
      <c r="AR1439">
        <v>7.7298757823687696</v>
      </c>
      <c r="AS1439" t="s">
        <v>65</v>
      </c>
      <c r="AT1439">
        <v>1</v>
      </c>
      <c r="AU1439" t="s">
        <v>550</v>
      </c>
      <c r="AV1439" t="s">
        <v>551</v>
      </c>
      <c r="AW1439" t="s">
        <v>60</v>
      </c>
      <c r="AX1439" t="s">
        <v>68</v>
      </c>
      <c r="AY1439" t="s">
        <v>69</v>
      </c>
      <c r="AZ1439" t="b">
        <v>1</v>
      </c>
    </row>
    <row r="1440" spans="1:52" x14ac:dyDescent="0.3">
      <c r="A1440" t="s">
        <v>52</v>
      </c>
      <c r="B1440" t="s">
        <v>53</v>
      </c>
      <c r="C1440" t="s">
        <v>54</v>
      </c>
      <c r="D1440" t="s">
        <v>55</v>
      </c>
      <c r="E1440" t="s">
        <v>837</v>
      </c>
      <c r="F1440" t="s">
        <v>512</v>
      </c>
      <c r="G1440" t="s">
        <v>552</v>
      </c>
      <c r="H1440" t="s">
        <v>553</v>
      </c>
      <c r="I1440" t="s">
        <v>553</v>
      </c>
      <c r="J1440" t="s">
        <v>60</v>
      </c>
      <c r="K1440" t="s">
        <v>445</v>
      </c>
      <c r="L1440" t="s">
        <v>62</v>
      </c>
      <c r="M1440" t="s">
        <v>445</v>
      </c>
      <c r="N1440" t="s">
        <v>554</v>
      </c>
      <c r="O1440" t="s">
        <v>207</v>
      </c>
      <c r="P1440">
        <v>-19.641549999999999</v>
      </c>
      <c r="Q1440">
        <v>-43.873263999999999</v>
      </c>
      <c r="R1440" s="2" t="str">
        <f>HYPERLINK("https://www.google.com/maps?q=-19.6415500,-43.8732640","Abrir no Google Maps")</f>
        <v>Abrir no Google Maps</v>
      </c>
      <c r="S1440">
        <v>3</v>
      </c>
      <c r="T1440">
        <v>879.45465995735231</v>
      </c>
      <c r="U1440">
        <v>2</v>
      </c>
      <c r="V1440">
        <v>0.28696674071927619</v>
      </c>
      <c r="W1440">
        <v>0.85</v>
      </c>
      <c r="X1440">
        <v>0.24392172961138481</v>
      </c>
      <c r="Y1440">
        <v>10</v>
      </c>
      <c r="Z1440">
        <v>830.70905214077095</v>
      </c>
      <c r="AA1440">
        <v>2</v>
      </c>
      <c r="AB1440">
        <v>3</v>
      </c>
      <c r="AC1440">
        <v>7</v>
      </c>
      <c r="AD1440">
        <v>24.62</v>
      </c>
      <c r="AE1440">
        <v>253</v>
      </c>
      <c r="AF1440">
        <v>14</v>
      </c>
      <c r="AG1440">
        <v>61</v>
      </c>
      <c r="AH1440">
        <v>32</v>
      </c>
      <c r="AI1440">
        <v>5.53</v>
      </c>
      <c r="AJ1440">
        <v>24.11</v>
      </c>
      <c r="AK1440">
        <v>12.65</v>
      </c>
      <c r="AL1440">
        <v>-19.641459949999959</v>
      </c>
      <c r="AM1440">
        <v>-43.873212145688711</v>
      </c>
      <c r="AN1440">
        <v>-19.641459949999959</v>
      </c>
      <c r="AO1440">
        <v>-43.873212145688711</v>
      </c>
      <c r="AP1440">
        <v>-19.641549999999999</v>
      </c>
      <c r="AQ1440">
        <v>-43.873263999999999</v>
      </c>
      <c r="AR1440">
        <v>11.40368340137019</v>
      </c>
      <c r="AS1440" t="s">
        <v>65</v>
      </c>
      <c r="AT1440">
        <v>1</v>
      </c>
      <c r="AU1440" t="s">
        <v>555</v>
      </c>
      <c r="AV1440" t="s">
        <v>556</v>
      </c>
      <c r="AW1440" t="s">
        <v>60</v>
      </c>
      <c r="AX1440" t="s">
        <v>68</v>
      </c>
      <c r="AY1440" t="s">
        <v>69</v>
      </c>
      <c r="AZ1440" t="b">
        <v>1</v>
      </c>
    </row>
    <row r="1441" spans="1:52" x14ac:dyDescent="0.3">
      <c r="A1441" t="s">
        <v>52</v>
      </c>
      <c r="B1441" t="s">
        <v>53</v>
      </c>
      <c r="C1441" t="s">
        <v>54</v>
      </c>
      <c r="D1441" t="s">
        <v>55</v>
      </c>
      <c r="E1441" t="s">
        <v>837</v>
      </c>
      <c r="F1441" t="s">
        <v>512</v>
      </c>
      <c r="G1441" t="s">
        <v>557</v>
      </c>
      <c r="H1441" t="s">
        <v>558</v>
      </c>
      <c r="I1441" t="s">
        <v>558</v>
      </c>
      <c r="J1441" t="s">
        <v>60</v>
      </c>
      <c r="K1441" t="s">
        <v>445</v>
      </c>
      <c r="L1441" t="s">
        <v>62</v>
      </c>
      <c r="M1441" t="s">
        <v>445</v>
      </c>
      <c r="N1441" t="s">
        <v>559</v>
      </c>
      <c r="O1441" t="s">
        <v>560</v>
      </c>
      <c r="P1441">
        <v>-19.641839000000001</v>
      </c>
      <c r="Q1441">
        <v>-43.876227</v>
      </c>
      <c r="R1441" s="2" t="str">
        <f>HYPERLINK("https://www.google.com/maps?q=-19.6418390,-43.8762270","Abrir no Google Maps")</f>
        <v>Abrir no Google Maps</v>
      </c>
      <c r="S1441">
        <v>3</v>
      </c>
      <c r="T1441">
        <v>564.50471877254449</v>
      </c>
      <c r="U1441">
        <v>2</v>
      </c>
      <c r="V1441">
        <v>0.2921639940486031</v>
      </c>
      <c r="W1441">
        <v>0.85</v>
      </c>
      <c r="X1441">
        <v>0.2483393949413126</v>
      </c>
      <c r="Y1441">
        <v>10</v>
      </c>
      <c r="Z1441">
        <v>490.40238336341412</v>
      </c>
      <c r="AA1441">
        <v>2</v>
      </c>
      <c r="AB1441">
        <v>3</v>
      </c>
      <c r="AC1441">
        <v>7</v>
      </c>
      <c r="AD1441">
        <v>24.62</v>
      </c>
      <c r="AE1441">
        <v>253</v>
      </c>
      <c r="AF1441">
        <v>14</v>
      </c>
      <c r="AG1441">
        <v>61</v>
      </c>
      <c r="AH1441">
        <v>32</v>
      </c>
      <c r="AI1441">
        <v>5.53</v>
      </c>
      <c r="AJ1441">
        <v>24.11</v>
      </c>
      <c r="AK1441">
        <v>12.65</v>
      </c>
      <c r="AL1441">
        <v>-19.641880699999941</v>
      </c>
      <c r="AM1441">
        <v>-43.876185869580858</v>
      </c>
      <c r="AN1441">
        <v>-19.641880699999941</v>
      </c>
      <c r="AO1441">
        <v>-43.876185869580858</v>
      </c>
      <c r="AP1441">
        <v>-19.641839000000001</v>
      </c>
      <c r="AQ1441">
        <v>-43.876227</v>
      </c>
      <c r="AR1441">
        <v>6.3359121862683301</v>
      </c>
      <c r="AS1441" t="s">
        <v>65</v>
      </c>
      <c r="AT1441">
        <v>1</v>
      </c>
      <c r="AU1441" t="s">
        <v>561</v>
      </c>
      <c r="AV1441" t="s">
        <v>562</v>
      </c>
      <c r="AW1441" t="s">
        <v>60</v>
      </c>
      <c r="AX1441" t="s">
        <v>68</v>
      </c>
      <c r="AY1441" t="s">
        <v>69</v>
      </c>
      <c r="AZ1441" t="b">
        <v>1</v>
      </c>
    </row>
    <row r="1442" spans="1:52" x14ac:dyDescent="0.3">
      <c r="A1442" t="s">
        <v>52</v>
      </c>
      <c r="B1442" t="s">
        <v>53</v>
      </c>
      <c r="C1442" t="s">
        <v>54</v>
      </c>
      <c r="D1442" t="s">
        <v>55</v>
      </c>
      <c r="E1442" t="s">
        <v>837</v>
      </c>
      <c r="F1442" t="s">
        <v>512</v>
      </c>
      <c r="G1442" t="s">
        <v>563</v>
      </c>
      <c r="H1442" t="s">
        <v>564</v>
      </c>
      <c r="I1442" t="s">
        <v>564</v>
      </c>
      <c r="J1442" t="s">
        <v>60</v>
      </c>
      <c r="K1442" t="s">
        <v>445</v>
      </c>
      <c r="L1442" t="s">
        <v>62</v>
      </c>
      <c r="M1442" t="s">
        <v>445</v>
      </c>
      <c r="N1442" t="s">
        <v>565</v>
      </c>
      <c r="O1442" t="s">
        <v>566</v>
      </c>
      <c r="P1442">
        <v>-19.645859000000002</v>
      </c>
      <c r="Q1442">
        <v>-43.878008000000001</v>
      </c>
      <c r="R1442" s="2" t="str">
        <f>HYPERLINK("https://www.google.com/maps?q=-19.6458590,-43.8780080","Abrir no Google Maps")</f>
        <v>Abrir no Google Maps</v>
      </c>
      <c r="S1442">
        <v>3</v>
      </c>
      <c r="T1442">
        <v>535.60651658514928</v>
      </c>
      <c r="U1442">
        <v>2</v>
      </c>
      <c r="V1442">
        <v>0.27258605183549989</v>
      </c>
      <c r="W1442">
        <v>0.85</v>
      </c>
      <c r="X1442">
        <v>0.23169814406017489</v>
      </c>
      <c r="Y1442">
        <v>10</v>
      </c>
      <c r="Z1442">
        <v>356.77070476702067</v>
      </c>
      <c r="AA1442">
        <v>2</v>
      </c>
      <c r="AB1442">
        <v>3</v>
      </c>
      <c r="AC1442">
        <v>7</v>
      </c>
      <c r="AD1442">
        <v>24.62</v>
      </c>
      <c r="AE1442">
        <v>253</v>
      </c>
      <c r="AF1442">
        <v>14</v>
      </c>
      <c r="AG1442">
        <v>61</v>
      </c>
      <c r="AH1442">
        <v>32</v>
      </c>
      <c r="AI1442">
        <v>5.53</v>
      </c>
      <c r="AJ1442">
        <v>24.11</v>
      </c>
      <c r="AK1442">
        <v>12.65</v>
      </c>
      <c r="AL1442">
        <v>-19.645894599999959</v>
      </c>
      <c r="AM1442">
        <v>-43.878073476665591</v>
      </c>
      <c r="AN1442">
        <v>-19.645894599999959</v>
      </c>
      <c r="AO1442">
        <v>-43.878073476665591</v>
      </c>
      <c r="AP1442">
        <v>-19.645859000000002</v>
      </c>
      <c r="AQ1442">
        <v>-43.878008000000001</v>
      </c>
      <c r="AR1442">
        <v>7.9263849189726594</v>
      </c>
      <c r="AS1442" t="s">
        <v>65</v>
      </c>
      <c r="AT1442">
        <v>1</v>
      </c>
      <c r="AU1442" t="s">
        <v>567</v>
      </c>
      <c r="AV1442" t="s">
        <v>568</v>
      </c>
      <c r="AW1442" t="s">
        <v>60</v>
      </c>
      <c r="AX1442" t="s">
        <v>68</v>
      </c>
      <c r="AY1442" t="s">
        <v>69</v>
      </c>
      <c r="AZ1442" t="b">
        <v>1</v>
      </c>
    </row>
    <row r="1443" spans="1:52" x14ac:dyDescent="0.3">
      <c r="A1443" t="s">
        <v>52</v>
      </c>
      <c r="B1443" t="s">
        <v>53</v>
      </c>
      <c r="C1443" t="s">
        <v>54</v>
      </c>
      <c r="D1443" t="s">
        <v>55</v>
      </c>
      <c r="E1443" t="s">
        <v>837</v>
      </c>
      <c r="F1443" t="s">
        <v>512</v>
      </c>
      <c r="G1443" t="s">
        <v>569</v>
      </c>
      <c r="H1443" t="s">
        <v>570</v>
      </c>
      <c r="I1443" t="s">
        <v>570</v>
      </c>
      <c r="J1443" t="s">
        <v>60</v>
      </c>
      <c r="K1443" t="s">
        <v>445</v>
      </c>
      <c r="L1443" t="s">
        <v>62</v>
      </c>
      <c r="M1443" t="s">
        <v>445</v>
      </c>
      <c r="N1443" t="s">
        <v>571</v>
      </c>
      <c r="O1443" t="s">
        <v>572</v>
      </c>
      <c r="P1443">
        <v>-19.646602999999999</v>
      </c>
      <c r="Q1443">
        <v>-43.879826000000001</v>
      </c>
      <c r="R1443" s="2" t="str">
        <f>HYPERLINK("https://www.google.com/maps?q=-19.6466030,-43.8798260","Abrir no Google Maps")</f>
        <v>Abrir no Google Maps</v>
      </c>
      <c r="S1443">
        <v>3</v>
      </c>
      <c r="T1443">
        <v>497.89126003830972</v>
      </c>
      <c r="U1443">
        <v>2</v>
      </c>
      <c r="V1443">
        <v>0.28606051482763811</v>
      </c>
      <c r="W1443">
        <v>0.85</v>
      </c>
      <c r="X1443">
        <v>0.24315143760349239</v>
      </c>
      <c r="Y1443">
        <v>10</v>
      </c>
      <c r="Z1443">
        <v>228.69190976735251</v>
      </c>
      <c r="AA1443">
        <v>2</v>
      </c>
      <c r="AB1443">
        <v>3</v>
      </c>
      <c r="AC1443">
        <v>7</v>
      </c>
      <c r="AD1443">
        <v>24.62</v>
      </c>
      <c r="AE1443">
        <v>253</v>
      </c>
      <c r="AF1443">
        <v>14</v>
      </c>
      <c r="AG1443">
        <v>61</v>
      </c>
      <c r="AH1443">
        <v>32</v>
      </c>
      <c r="AI1443">
        <v>5.53</v>
      </c>
      <c r="AJ1443">
        <v>24.11</v>
      </c>
      <c r="AK1443">
        <v>12.65</v>
      </c>
      <c r="AL1443">
        <v>-19.646577499999982</v>
      </c>
      <c r="AM1443">
        <v>-43.879934131171261</v>
      </c>
      <c r="AN1443">
        <v>-19.646577499999971</v>
      </c>
      <c r="AO1443">
        <v>-43.879934131171261</v>
      </c>
      <c r="AP1443">
        <v>-19.646602999999999</v>
      </c>
      <c r="AQ1443">
        <v>-43.879826000000001</v>
      </c>
      <c r="AR1443">
        <v>11.68641198848764</v>
      </c>
      <c r="AS1443" t="s">
        <v>65</v>
      </c>
      <c r="AT1443">
        <v>1</v>
      </c>
      <c r="AU1443" t="s">
        <v>573</v>
      </c>
      <c r="AV1443" t="s">
        <v>574</v>
      </c>
      <c r="AW1443" t="s">
        <v>60</v>
      </c>
      <c r="AX1443" t="s">
        <v>68</v>
      </c>
      <c r="AY1443" t="s">
        <v>69</v>
      </c>
      <c r="AZ1443" t="b">
        <v>1</v>
      </c>
    </row>
    <row r="1444" spans="1:52" x14ac:dyDescent="0.3">
      <c r="A1444" t="s">
        <v>52</v>
      </c>
      <c r="B1444" t="s">
        <v>53</v>
      </c>
      <c r="C1444" t="s">
        <v>54</v>
      </c>
      <c r="D1444" t="s">
        <v>55</v>
      </c>
      <c r="E1444" t="s">
        <v>837</v>
      </c>
      <c r="F1444" t="s">
        <v>512</v>
      </c>
      <c r="G1444" t="s">
        <v>586</v>
      </c>
      <c r="H1444" t="s">
        <v>587</v>
      </c>
      <c r="I1444" t="s">
        <v>587</v>
      </c>
      <c r="J1444" t="s">
        <v>60</v>
      </c>
      <c r="K1444" t="s">
        <v>286</v>
      </c>
      <c r="L1444" t="s">
        <v>62</v>
      </c>
      <c r="M1444" t="s">
        <v>286</v>
      </c>
      <c r="N1444" t="s">
        <v>588</v>
      </c>
      <c r="O1444" t="s">
        <v>589</v>
      </c>
      <c r="P1444">
        <v>-19.638362999999998</v>
      </c>
      <c r="Q1444">
        <v>-43.887081000000002</v>
      </c>
      <c r="R1444" s="2" t="str">
        <f>HYPERLINK("https://www.google.com/maps?q=-19.6383630,-43.8870810","Abrir no Google Maps")</f>
        <v>Abrir no Google Maps</v>
      </c>
      <c r="S1444">
        <v>3</v>
      </c>
      <c r="T1444">
        <v>521.16909902210193</v>
      </c>
      <c r="U1444">
        <v>2</v>
      </c>
      <c r="V1444">
        <v>0.28233204134366918</v>
      </c>
      <c r="W1444">
        <v>0.85</v>
      </c>
      <c r="X1444">
        <v>0.2399822351421188</v>
      </c>
      <c r="Y1444">
        <v>10</v>
      </c>
      <c r="Z1444">
        <v>416.66355243950221</v>
      </c>
      <c r="AA1444">
        <v>2</v>
      </c>
      <c r="AB1444">
        <v>3</v>
      </c>
      <c r="AC1444">
        <v>7</v>
      </c>
      <c r="AD1444">
        <v>24.62</v>
      </c>
      <c r="AE1444">
        <v>253</v>
      </c>
      <c r="AF1444">
        <v>14</v>
      </c>
      <c r="AG1444">
        <v>61</v>
      </c>
      <c r="AH1444">
        <v>32</v>
      </c>
      <c r="AI1444">
        <v>5.53</v>
      </c>
      <c r="AJ1444">
        <v>24.11</v>
      </c>
      <c r="AK1444">
        <v>12.65</v>
      </c>
      <c r="AL1444">
        <v>-19.638074649999961</v>
      </c>
      <c r="AM1444">
        <v>-43.887517684870552</v>
      </c>
      <c r="AN1444">
        <v>-19.638074649999961</v>
      </c>
      <c r="AO1444">
        <v>-43.887517684870552</v>
      </c>
      <c r="AP1444">
        <v>-19.638362999999998</v>
      </c>
      <c r="AQ1444">
        <v>-43.887081000000002</v>
      </c>
      <c r="AR1444">
        <v>55.915550702564907</v>
      </c>
      <c r="AS1444" t="s">
        <v>65</v>
      </c>
      <c r="AT1444">
        <v>1</v>
      </c>
      <c r="AU1444" t="s">
        <v>590</v>
      </c>
      <c r="AV1444" t="s">
        <v>591</v>
      </c>
      <c r="AW1444" t="s">
        <v>60</v>
      </c>
      <c r="AX1444" t="s">
        <v>68</v>
      </c>
      <c r="AY1444" t="s">
        <v>69</v>
      </c>
      <c r="AZ1444" t="b">
        <v>1</v>
      </c>
    </row>
    <row r="1445" spans="1:52" x14ac:dyDescent="0.3">
      <c r="A1445" t="s">
        <v>52</v>
      </c>
      <c r="B1445" t="s">
        <v>53</v>
      </c>
      <c r="C1445" t="s">
        <v>54</v>
      </c>
      <c r="D1445" t="s">
        <v>55</v>
      </c>
      <c r="E1445" t="s">
        <v>837</v>
      </c>
      <c r="F1445" t="s">
        <v>512</v>
      </c>
      <c r="G1445" t="s">
        <v>411</v>
      </c>
      <c r="H1445" t="s">
        <v>412</v>
      </c>
      <c r="I1445" t="s">
        <v>412</v>
      </c>
      <c r="J1445" t="s">
        <v>60</v>
      </c>
      <c r="K1445" t="s">
        <v>179</v>
      </c>
      <c r="L1445" t="s">
        <v>62</v>
      </c>
      <c r="M1445" t="s">
        <v>179</v>
      </c>
      <c r="N1445" t="s">
        <v>413</v>
      </c>
      <c r="O1445" t="s">
        <v>414</v>
      </c>
      <c r="P1445">
        <v>-19.650079000000002</v>
      </c>
      <c r="Q1445">
        <v>-43.884253999999999</v>
      </c>
      <c r="R1445" s="2" t="str">
        <f>HYPERLINK("https://www.google.com/maps?q=-19.6500790,-43.8842540","Abrir no Google Maps")</f>
        <v>Abrir no Google Maps</v>
      </c>
      <c r="S1445">
        <v>3</v>
      </c>
      <c r="T1445">
        <v>797.21430129715498</v>
      </c>
      <c r="U1445">
        <v>2</v>
      </c>
      <c r="V1445">
        <v>0.23528874269005839</v>
      </c>
      <c r="W1445">
        <v>1</v>
      </c>
      <c r="X1445">
        <v>0.23528874269005839</v>
      </c>
      <c r="Y1445">
        <v>10</v>
      </c>
      <c r="Z1445">
        <v>774.04145012702554</v>
      </c>
      <c r="AA1445">
        <v>2</v>
      </c>
      <c r="AB1445">
        <v>3</v>
      </c>
      <c r="AC1445">
        <v>7</v>
      </c>
      <c r="AD1445">
        <v>24.62</v>
      </c>
      <c r="AE1445">
        <v>253</v>
      </c>
      <c r="AF1445">
        <v>14</v>
      </c>
      <c r="AG1445">
        <v>61</v>
      </c>
      <c r="AH1445">
        <v>32</v>
      </c>
      <c r="AI1445">
        <v>5.53</v>
      </c>
      <c r="AJ1445">
        <v>24.11</v>
      </c>
      <c r="AK1445">
        <v>12.65</v>
      </c>
      <c r="AL1445">
        <v>-19.649199399999961</v>
      </c>
      <c r="AM1445">
        <v>-43.883888390043637</v>
      </c>
      <c r="AN1445">
        <v>-19.649199399999961</v>
      </c>
      <c r="AO1445">
        <v>-43.883888390043637</v>
      </c>
      <c r="AP1445">
        <v>-19.650079000000002</v>
      </c>
      <c r="AQ1445">
        <v>-43.884253999999999</v>
      </c>
      <c r="AR1445">
        <v>105.1518915696123</v>
      </c>
      <c r="AS1445" t="s">
        <v>65</v>
      </c>
      <c r="AT1445">
        <v>1</v>
      </c>
      <c r="AU1445" t="s">
        <v>415</v>
      </c>
      <c r="AV1445" t="s">
        <v>416</v>
      </c>
      <c r="AW1445" t="s">
        <v>60</v>
      </c>
      <c r="AX1445" t="s">
        <v>68</v>
      </c>
      <c r="AY1445" t="s">
        <v>69</v>
      </c>
      <c r="AZ1445" t="b">
        <v>1</v>
      </c>
    </row>
    <row r="1446" spans="1:52" x14ac:dyDescent="0.3">
      <c r="A1446" t="s">
        <v>52</v>
      </c>
      <c r="B1446" t="s">
        <v>53</v>
      </c>
      <c r="C1446" t="s">
        <v>54</v>
      </c>
      <c r="D1446" t="s">
        <v>55</v>
      </c>
      <c r="E1446" t="s">
        <v>837</v>
      </c>
      <c r="F1446" t="s">
        <v>512</v>
      </c>
      <c r="G1446" t="s">
        <v>575</v>
      </c>
      <c r="H1446" t="s">
        <v>576</v>
      </c>
      <c r="I1446" t="s">
        <v>576</v>
      </c>
      <c r="J1446" t="s">
        <v>60</v>
      </c>
      <c r="K1446" t="s">
        <v>445</v>
      </c>
      <c r="L1446" t="s">
        <v>62</v>
      </c>
      <c r="M1446" t="s">
        <v>445</v>
      </c>
      <c r="N1446" t="s">
        <v>577</v>
      </c>
      <c r="O1446" t="s">
        <v>214</v>
      </c>
      <c r="P1446">
        <v>-19.639865</v>
      </c>
      <c r="Q1446">
        <v>-43.877858000000003</v>
      </c>
      <c r="R1446" s="2" t="str">
        <f>HYPERLINK("https://www.google.com/maps?q=-19.6398650,-43.8778580","Abrir no Google Maps")</f>
        <v>Abrir no Google Maps</v>
      </c>
      <c r="S1446">
        <v>3</v>
      </c>
      <c r="T1446">
        <v>497.47318171010488</v>
      </c>
      <c r="U1446">
        <v>2</v>
      </c>
      <c r="V1446">
        <v>0.29220924652055669</v>
      </c>
      <c r="W1446">
        <v>0.85</v>
      </c>
      <c r="X1446">
        <v>0.24837785954247321</v>
      </c>
      <c r="Y1446">
        <v>10</v>
      </c>
      <c r="Z1446">
        <v>547.08184956634818</v>
      </c>
      <c r="AA1446">
        <v>2</v>
      </c>
      <c r="AB1446">
        <v>3</v>
      </c>
      <c r="AC1446">
        <v>7</v>
      </c>
      <c r="AD1446">
        <v>24.62</v>
      </c>
      <c r="AE1446">
        <v>253</v>
      </c>
      <c r="AF1446">
        <v>14</v>
      </c>
      <c r="AG1446">
        <v>61</v>
      </c>
      <c r="AH1446">
        <v>32</v>
      </c>
      <c r="AI1446">
        <v>5.53</v>
      </c>
      <c r="AJ1446">
        <v>24.11</v>
      </c>
      <c r="AK1446">
        <v>12.65</v>
      </c>
      <c r="AL1446">
        <v>-19.639907499999961</v>
      </c>
      <c r="AM1446">
        <v>-43.877561677180587</v>
      </c>
      <c r="AN1446">
        <v>-19.639907499999961</v>
      </c>
      <c r="AO1446">
        <v>-43.877561677180587</v>
      </c>
      <c r="AP1446">
        <v>-19.639865</v>
      </c>
      <c r="AQ1446">
        <v>-43.877858000000003</v>
      </c>
      <c r="AR1446">
        <v>31.4257813556037</v>
      </c>
      <c r="AS1446" t="s">
        <v>65</v>
      </c>
      <c r="AT1446">
        <v>1</v>
      </c>
      <c r="AU1446" t="s">
        <v>578</v>
      </c>
      <c r="AV1446" t="s">
        <v>579</v>
      </c>
      <c r="AW1446" t="s">
        <v>60</v>
      </c>
      <c r="AX1446" t="s">
        <v>68</v>
      </c>
      <c r="AY1446" t="s">
        <v>69</v>
      </c>
      <c r="AZ1446" t="b">
        <v>1</v>
      </c>
    </row>
    <row r="1447" spans="1:52" x14ac:dyDescent="0.3">
      <c r="A1447" t="s">
        <v>52</v>
      </c>
      <c r="B1447" t="s">
        <v>53</v>
      </c>
      <c r="C1447" t="s">
        <v>54</v>
      </c>
      <c r="D1447" t="s">
        <v>55</v>
      </c>
      <c r="E1447" t="s">
        <v>837</v>
      </c>
      <c r="F1447" t="s">
        <v>512</v>
      </c>
      <c r="G1447" t="s">
        <v>580</v>
      </c>
      <c r="H1447" t="s">
        <v>581</v>
      </c>
      <c r="I1447" t="s">
        <v>581</v>
      </c>
      <c r="J1447" t="s">
        <v>60</v>
      </c>
      <c r="K1447" t="s">
        <v>179</v>
      </c>
      <c r="L1447" t="s">
        <v>62</v>
      </c>
      <c r="M1447" t="s">
        <v>179</v>
      </c>
      <c r="N1447" t="s">
        <v>582</v>
      </c>
      <c r="O1447" t="s">
        <v>583</v>
      </c>
      <c r="P1447">
        <v>-19.651917999999998</v>
      </c>
      <c r="Q1447">
        <v>-43.888081</v>
      </c>
      <c r="R1447" s="2" t="str">
        <f>HYPERLINK("https://www.google.com/maps?q=-19.6519180,-43.8880810","Abrir no Google Maps")</f>
        <v>Abrir no Google Maps</v>
      </c>
      <c r="S1447">
        <v>3</v>
      </c>
      <c r="T1447">
        <v>1192.758363020145</v>
      </c>
      <c r="U1447">
        <v>1</v>
      </c>
      <c r="V1447">
        <v>0.25060972418485372</v>
      </c>
      <c r="W1447">
        <v>0.85</v>
      </c>
      <c r="X1447">
        <v>0.21301826555712569</v>
      </c>
      <c r="Y1447">
        <v>10</v>
      </c>
      <c r="Z1447">
        <v>1164.020417046748</v>
      </c>
      <c r="AA1447">
        <v>2</v>
      </c>
      <c r="AB1447">
        <v>3</v>
      </c>
      <c r="AC1447">
        <v>7</v>
      </c>
      <c r="AD1447">
        <v>24.62</v>
      </c>
      <c r="AE1447">
        <v>253</v>
      </c>
      <c r="AF1447">
        <v>14</v>
      </c>
      <c r="AG1447">
        <v>61</v>
      </c>
      <c r="AH1447">
        <v>32</v>
      </c>
      <c r="AI1447">
        <v>5.53</v>
      </c>
      <c r="AJ1447">
        <v>24.11</v>
      </c>
      <c r="AK1447">
        <v>12.65</v>
      </c>
      <c r="AL1447">
        <v>-19.65182809999996</v>
      </c>
      <c r="AM1447">
        <v>-43.887955347266519</v>
      </c>
      <c r="AN1447">
        <v>-19.65182809999996</v>
      </c>
      <c r="AO1447">
        <v>-43.887955347266519</v>
      </c>
      <c r="AP1447">
        <v>-19.651917999999998</v>
      </c>
      <c r="AQ1447">
        <v>-43.888081</v>
      </c>
      <c r="AR1447">
        <v>16.543262936495491</v>
      </c>
      <c r="AS1447" t="s">
        <v>65</v>
      </c>
      <c r="AT1447">
        <v>1</v>
      </c>
      <c r="AU1447" t="s">
        <v>584</v>
      </c>
      <c r="AV1447" t="s">
        <v>585</v>
      </c>
      <c r="AW1447" t="s">
        <v>60</v>
      </c>
      <c r="AX1447" t="s">
        <v>68</v>
      </c>
      <c r="AY1447" t="s">
        <v>69</v>
      </c>
      <c r="AZ1447" t="b">
        <v>1</v>
      </c>
    </row>
    <row r="1448" spans="1:52" x14ac:dyDescent="0.3">
      <c r="A1448" t="s">
        <v>52</v>
      </c>
      <c r="B1448" t="s">
        <v>53</v>
      </c>
      <c r="C1448" t="s">
        <v>54</v>
      </c>
      <c r="D1448" t="s">
        <v>55</v>
      </c>
      <c r="E1448" t="s">
        <v>837</v>
      </c>
      <c r="F1448" t="s">
        <v>512</v>
      </c>
      <c r="G1448" t="s">
        <v>602</v>
      </c>
      <c r="H1448" t="s">
        <v>603</v>
      </c>
      <c r="I1448" t="s">
        <v>603</v>
      </c>
      <c r="J1448" t="s">
        <v>60</v>
      </c>
      <c r="K1448" t="s">
        <v>185</v>
      </c>
      <c r="L1448" t="s">
        <v>62</v>
      </c>
      <c r="M1448" t="s">
        <v>185</v>
      </c>
      <c r="N1448" t="s">
        <v>604</v>
      </c>
      <c r="O1448" t="s">
        <v>341</v>
      </c>
      <c r="P1448">
        <v>-19.624801999999999</v>
      </c>
      <c r="Q1448">
        <v>-43.891128999999999</v>
      </c>
      <c r="R1448" s="2" t="str">
        <f>HYPERLINK("https://www.google.com/maps?q=-19.6248020,-43.8911290","Abrir no Google Maps")</f>
        <v>Abrir no Google Maps</v>
      </c>
      <c r="S1448">
        <v>1</v>
      </c>
      <c r="T1448">
        <v>340.53720321500958</v>
      </c>
      <c r="U1448">
        <v>3</v>
      </c>
      <c r="V1448">
        <v>0.32997076023391808</v>
      </c>
      <c r="W1448">
        <v>0.85</v>
      </c>
      <c r="X1448">
        <v>0.28047514619883029</v>
      </c>
      <c r="Y1448">
        <v>18</v>
      </c>
      <c r="Z1448">
        <v>362.68114540183888</v>
      </c>
      <c r="AA1448">
        <v>2</v>
      </c>
      <c r="AB1448">
        <v>3</v>
      </c>
      <c r="AC1448">
        <v>7</v>
      </c>
      <c r="AD1448">
        <v>24.62</v>
      </c>
      <c r="AE1448">
        <v>253</v>
      </c>
      <c r="AF1448">
        <v>14</v>
      </c>
      <c r="AG1448">
        <v>61</v>
      </c>
      <c r="AH1448">
        <v>32</v>
      </c>
      <c r="AI1448">
        <v>5.53</v>
      </c>
      <c r="AJ1448">
        <v>24.11</v>
      </c>
      <c r="AK1448">
        <v>12.65</v>
      </c>
      <c r="AL1448">
        <v>-19.625033299999959</v>
      </c>
      <c r="AM1448">
        <v>-43.891084256403538</v>
      </c>
      <c r="AN1448">
        <v>-19.625033299999959</v>
      </c>
      <c r="AO1448">
        <v>-43.891084256403538</v>
      </c>
      <c r="AP1448">
        <v>-19.624801999999999</v>
      </c>
      <c r="AQ1448">
        <v>-43.891128999999999</v>
      </c>
      <c r="AR1448">
        <v>26.172240371022362</v>
      </c>
      <c r="AS1448" t="s">
        <v>65</v>
      </c>
      <c r="AT1448">
        <v>1</v>
      </c>
      <c r="AU1448" t="s">
        <v>605</v>
      </c>
      <c r="AV1448" t="s">
        <v>606</v>
      </c>
      <c r="AW1448" t="s">
        <v>60</v>
      </c>
      <c r="AX1448" t="s">
        <v>68</v>
      </c>
      <c r="AY1448" t="s">
        <v>69</v>
      </c>
      <c r="AZ1448" t="b">
        <v>1</v>
      </c>
    </row>
    <row r="1449" spans="1:52" x14ac:dyDescent="0.3">
      <c r="A1449" t="s">
        <v>52</v>
      </c>
      <c r="B1449" t="s">
        <v>53</v>
      </c>
      <c r="C1449" t="s">
        <v>54</v>
      </c>
      <c r="D1449" t="s">
        <v>55</v>
      </c>
      <c r="E1449" t="s">
        <v>837</v>
      </c>
      <c r="F1449" t="s">
        <v>512</v>
      </c>
      <c r="G1449" t="s">
        <v>592</v>
      </c>
      <c r="H1449" t="s">
        <v>593</v>
      </c>
      <c r="I1449" t="s">
        <v>593</v>
      </c>
      <c r="J1449" t="s">
        <v>60</v>
      </c>
      <c r="K1449" t="s">
        <v>445</v>
      </c>
      <c r="L1449" t="s">
        <v>62</v>
      </c>
      <c r="M1449" t="s">
        <v>445</v>
      </c>
      <c r="N1449" t="s">
        <v>594</v>
      </c>
      <c r="O1449" t="s">
        <v>477</v>
      </c>
      <c r="P1449">
        <v>-19.640709000000001</v>
      </c>
      <c r="Q1449">
        <v>-43.868687999999999</v>
      </c>
      <c r="R1449" s="2" t="str">
        <f>HYPERLINK("https://www.google.com/maps?q=-19.6407090,-43.8686880","Abrir no Google Maps")</f>
        <v>Abrir no Google Maps</v>
      </c>
      <c r="S1449">
        <v>1</v>
      </c>
      <c r="T1449">
        <v>1174.9679995958841</v>
      </c>
      <c r="U1449">
        <v>3</v>
      </c>
      <c r="V1449">
        <v>0.27017337945803471</v>
      </c>
      <c r="W1449">
        <v>1</v>
      </c>
      <c r="X1449">
        <v>0.27017337945803471</v>
      </c>
      <c r="Y1449">
        <v>10</v>
      </c>
      <c r="Z1449">
        <v>1230.8029594060461</v>
      </c>
      <c r="AA1449">
        <v>2</v>
      </c>
      <c r="AB1449">
        <v>3</v>
      </c>
      <c r="AC1449">
        <v>7</v>
      </c>
      <c r="AD1449">
        <v>24.62</v>
      </c>
      <c r="AE1449">
        <v>253</v>
      </c>
      <c r="AF1449">
        <v>14</v>
      </c>
      <c r="AG1449">
        <v>61</v>
      </c>
      <c r="AH1449">
        <v>32</v>
      </c>
      <c r="AI1449">
        <v>5.53</v>
      </c>
      <c r="AJ1449">
        <v>24.11</v>
      </c>
      <c r="AK1449">
        <v>12.65</v>
      </c>
      <c r="AL1449">
        <v>-19.641057949999979</v>
      </c>
      <c r="AM1449">
        <v>-43.868800137485707</v>
      </c>
      <c r="AN1449">
        <v>-19.641057949999979</v>
      </c>
      <c r="AO1449">
        <v>-43.868800137485707</v>
      </c>
      <c r="AP1449">
        <v>-19.640709000000001</v>
      </c>
      <c r="AQ1449">
        <v>-43.868687999999999</v>
      </c>
      <c r="AR1449">
        <v>40.585293798071682</v>
      </c>
      <c r="AS1449" t="s">
        <v>65</v>
      </c>
      <c r="AT1449">
        <v>1</v>
      </c>
      <c r="AU1449" t="s">
        <v>595</v>
      </c>
      <c r="AV1449" t="s">
        <v>596</v>
      </c>
      <c r="AW1449" t="s">
        <v>60</v>
      </c>
      <c r="AX1449" t="s">
        <v>68</v>
      </c>
      <c r="AY1449" t="s">
        <v>69</v>
      </c>
      <c r="AZ1449" t="b">
        <v>1</v>
      </c>
    </row>
    <row r="1450" spans="1:52" x14ac:dyDescent="0.3">
      <c r="A1450" t="s">
        <v>52</v>
      </c>
      <c r="B1450" t="s">
        <v>53</v>
      </c>
      <c r="C1450" t="s">
        <v>54</v>
      </c>
      <c r="D1450" t="s">
        <v>55</v>
      </c>
      <c r="E1450" t="s">
        <v>837</v>
      </c>
      <c r="F1450" t="s">
        <v>512</v>
      </c>
      <c r="G1450" t="s">
        <v>597</v>
      </c>
      <c r="H1450" t="s">
        <v>598</v>
      </c>
      <c r="I1450" t="s">
        <v>598</v>
      </c>
      <c r="J1450" t="s">
        <v>60</v>
      </c>
      <c r="K1450" t="s">
        <v>445</v>
      </c>
      <c r="L1450" t="s">
        <v>62</v>
      </c>
      <c r="M1450" t="s">
        <v>445</v>
      </c>
      <c r="N1450" t="s">
        <v>599</v>
      </c>
      <c r="O1450" t="s">
        <v>391</v>
      </c>
      <c r="P1450">
        <v>-19.637060999999999</v>
      </c>
      <c r="Q1450">
        <v>-43.871026000000001</v>
      </c>
      <c r="R1450" s="2" t="str">
        <f>HYPERLINK("https://www.google.com/maps?q=-19.6370610,-43.8710260","Abrir no Google Maps")</f>
        <v>Abrir no Google Maps</v>
      </c>
      <c r="S1450">
        <v>1</v>
      </c>
      <c r="T1450">
        <v>737.61884389282102</v>
      </c>
      <c r="U1450">
        <v>3</v>
      </c>
      <c r="V1450">
        <v>0.27676126044706101</v>
      </c>
      <c r="W1450">
        <v>1</v>
      </c>
      <c r="X1450">
        <v>0.27676126044706101</v>
      </c>
      <c r="Y1450">
        <v>10</v>
      </c>
      <c r="Z1450">
        <v>1331.4501394006061</v>
      </c>
      <c r="AA1450">
        <v>2</v>
      </c>
      <c r="AB1450">
        <v>3</v>
      </c>
      <c r="AC1450">
        <v>7</v>
      </c>
      <c r="AD1450">
        <v>24.62</v>
      </c>
      <c r="AE1450">
        <v>253</v>
      </c>
      <c r="AF1450">
        <v>14</v>
      </c>
      <c r="AG1450">
        <v>61</v>
      </c>
      <c r="AH1450">
        <v>32</v>
      </c>
      <c r="AI1450">
        <v>5.53</v>
      </c>
      <c r="AJ1450">
        <v>24.11</v>
      </c>
      <c r="AK1450">
        <v>12.65</v>
      </c>
      <c r="AL1450">
        <v>-19.637111899999951</v>
      </c>
      <c r="AM1450">
        <v>-43.870888931681193</v>
      </c>
      <c r="AN1450">
        <v>-19.637111899999951</v>
      </c>
      <c r="AO1450">
        <v>-43.870888931681193</v>
      </c>
      <c r="AP1450">
        <v>-19.637060999999999</v>
      </c>
      <c r="AQ1450">
        <v>-43.871026000000001</v>
      </c>
      <c r="AR1450">
        <v>15.44770924391884</v>
      </c>
      <c r="AS1450" t="s">
        <v>65</v>
      </c>
      <c r="AT1450">
        <v>1</v>
      </c>
      <c r="AU1450" t="s">
        <v>600</v>
      </c>
      <c r="AV1450" t="s">
        <v>601</v>
      </c>
      <c r="AW1450" t="s">
        <v>60</v>
      </c>
      <c r="AX1450" t="s">
        <v>68</v>
      </c>
      <c r="AY1450" t="s">
        <v>69</v>
      </c>
      <c r="AZ1450" t="b">
        <v>1</v>
      </c>
    </row>
    <row r="1451" spans="1:52" x14ac:dyDescent="0.3">
      <c r="A1451" t="s">
        <v>52</v>
      </c>
      <c r="B1451" t="s">
        <v>53</v>
      </c>
      <c r="C1451" t="s">
        <v>54</v>
      </c>
      <c r="D1451" t="s">
        <v>55</v>
      </c>
      <c r="E1451" t="s">
        <v>837</v>
      </c>
      <c r="F1451" t="s">
        <v>512</v>
      </c>
      <c r="G1451" t="s">
        <v>123</v>
      </c>
      <c r="H1451" t="s">
        <v>607</v>
      </c>
      <c r="I1451" t="s">
        <v>607</v>
      </c>
      <c r="J1451" t="s">
        <v>60</v>
      </c>
      <c r="K1451" t="s">
        <v>333</v>
      </c>
      <c r="L1451" t="s">
        <v>62</v>
      </c>
      <c r="M1451" t="s">
        <v>333</v>
      </c>
      <c r="N1451" t="s">
        <v>125</v>
      </c>
      <c r="O1451" t="s">
        <v>608</v>
      </c>
      <c r="P1451">
        <v>-19.636002999999999</v>
      </c>
      <c r="Q1451">
        <v>-43.908445</v>
      </c>
      <c r="R1451" s="2" t="str">
        <f>HYPERLINK("https://www.google.com/maps?q=-19.6360030,-43.9084450","Abrir no Google Maps")</f>
        <v>Abrir no Google Maps</v>
      </c>
      <c r="S1451">
        <v>1</v>
      </c>
      <c r="T1451">
        <v>612.64850802557942</v>
      </c>
      <c r="U1451">
        <v>3</v>
      </c>
      <c r="V1451">
        <v>0.3034277198211624</v>
      </c>
      <c r="W1451">
        <v>0.85</v>
      </c>
      <c r="X1451">
        <v>0.25791356184798803</v>
      </c>
      <c r="Y1451">
        <v>10</v>
      </c>
      <c r="Z1451">
        <v>606.91793961222209</v>
      </c>
      <c r="AA1451">
        <v>2</v>
      </c>
      <c r="AB1451">
        <v>3</v>
      </c>
      <c r="AC1451">
        <v>7</v>
      </c>
      <c r="AD1451">
        <v>24.62</v>
      </c>
      <c r="AE1451">
        <v>253</v>
      </c>
      <c r="AF1451">
        <v>14</v>
      </c>
      <c r="AG1451">
        <v>61</v>
      </c>
      <c r="AH1451">
        <v>32</v>
      </c>
      <c r="AI1451">
        <v>5.53</v>
      </c>
      <c r="AJ1451">
        <v>24.11</v>
      </c>
      <c r="AK1451">
        <v>12.65</v>
      </c>
      <c r="AL1451">
        <v>-19.63618049999997</v>
      </c>
      <c r="AM1451">
        <v>-43.908471095478113</v>
      </c>
      <c r="AN1451">
        <v>-19.63618049999997</v>
      </c>
      <c r="AO1451">
        <v>-43.908471095478113</v>
      </c>
      <c r="AP1451">
        <v>-19.636002999999999</v>
      </c>
      <c r="AQ1451">
        <v>-43.908445</v>
      </c>
      <c r="AR1451">
        <v>19.947824476218141</v>
      </c>
      <c r="AS1451" t="s">
        <v>65</v>
      </c>
      <c r="AT1451">
        <v>1</v>
      </c>
      <c r="AU1451" t="s">
        <v>609</v>
      </c>
      <c r="AV1451" t="s">
        <v>610</v>
      </c>
      <c r="AW1451" t="s">
        <v>60</v>
      </c>
      <c r="AX1451" t="s">
        <v>68</v>
      </c>
      <c r="AY1451" t="s">
        <v>69</v>
      </c>
      <c r="AZ1451" t="b">
        <v>1</v>
      </c>
    </row>
    <row r="1452" spans="1:52" x14ac:dyDescent="0.3">
      <c r="A1452" t="s">
        <v>52</v>
      </c>
      <c r="B1452" t="s">
        <v>53</v>
      </c>
      <c r="C1452" t="s">
        <v>54</v>
      </c>
      <c r="D1452" t="s">
        <v>55</v>
      </c>
      <c r="E1452" t="s">
        <v>837</v>
      </c>
      <c r="F1452" t="s">
        <v>512</v>
      </c>
      <c r="G1452" t="s">
        <v>611</v>
      </c>
      <c r="H1452" t="s">
        <v>612</v>
      </c>
      <c r="I1452" t="s">
        <v>612</v>
      </c>
      <c r="J1452" t="s">
        <v>60</v>
      </c>
      <c r="K1452" t="s">
        <v>445</v>
      </c>
      <c r="L1452" t="s">
        <v>62</v>
      </c>
      <c r="M1452" t="s">
        <v>445</v>
      </c>
      <c r="N1452" t="s">
        <v>613</v>
      </c>
      <c r="O1452" t="s">
        <v>94</v>
      </c>
      <c r="P1452">
        <v>-19.639271999999998</v>
      </c>
      <c r="Q1452">
        <v>-43.875624000000002</v>
      </c>
      <c r="R1452" s="2" t="str">
        <f>HYPERLINK("https://www.google.com/maps?q=-19.6392720,-43.8756240","Abrir no Google Maps")</f>
        <v>Abrir no Google Maps</v>
      </c>
      <c r="S1452">
        <v>1</v>
      </c>
      <c r="T1452">
        <v>618.4798639458262</v>
      </c>
      <c r="U1452">
        <v>2</v>
      </c>
      <c r="V1452">
        <v>0.28333333333333333</v>
      </c>
      <c r="W1452">
        <v>0.85</v>
      </c>
      <c r="X1452">
        <v>0.24083333333333329</v>
      </c>
      <c r="Y1452">
        <v>10</v>
      </c>
      <c r="Z1452">
        <v>724.62991660382431</v>
      </c>
      <c r="AA1452">
        <v>2</v>
      </c>
      <c r="AB1452">
        <v>3</v>
      </c>
      <c r="AC1452">
        <v>7</v>
      </c>
      <c r="AD1452">
        <v>24.62</v>
      </c>
      <c r="AE1452">
        <v>253</v>
      </c>
      <c r="AF1452">
        <v>14</v>
      </c>
      <c r="AG1452">
        <v>61</v>
      </c>
      <c r="AH1452">
        <v>32</v>
      </c>
      <c r="AI1452">
        <v>5.53</v>
      </c>
      <c r="AJ1452">
        <v>24.11</v>
      </c>
      <c r="AK1452">
        <v>12.65</v>
      </c>
      <c r="AL1452">
        <v>-19.639239899999978</v>
      </c>
      <c r="AM1452">
        <v>-43.875497463228079</v>
      </c>
      <c r="AN1452">
        <v>-19.639239899999978</v>
      </c>
      <c r="AO1452">
        <v>-43.875497463228079</v>
      </c>
      <c r="AP1452">
        <v>-19.639271999999998</v>
      </c>
      <c r="AQ1452">
        <v>-43.875624000000002</v>
      </c>
      <c r="AR1452">
        <v>13.73946951590594</v>
      </c>
      <c r="AS1452" t="s">
        <v>65</v>
      </c>
      <c r="AT1452">
        <v>1</v>
      </c>
      <c r="AU1452" t="s">
        <v>614</v>
      </c>
      <c r="AV1452" t="s">
        <v>615</v>
      </c>
      <c r="AW1452" t="s">
        <v>60</v>
      </c>
      <c r="AX1452" t="s">
        <v>68</v>
      </c>
      <c r="AY1452" t="s">
        <v>69</v>
      </c>
      <c r="AZ1452" t="b">
        <v>1</v>
      </c>
    </row>
    <row r="1453" spans="1:52" x14ac:dyDescent="0.3">
      <c r="A1453" t="s">
        <v>52</v>
      </c>
      <c r="B1453" t="s">
        <v>53</v>
      </c>
      <c r="C1453" t="s">
        <v>54</v>
      </c>
      <c r="D1453" t="s">
        <v>55</v>
      </c>
      <c r="E1453" t="s">
        <v>844</v>
      </c>
      <c r="F1453" t="s">
        <v>57</v>
      </c>
      <c r="G1453" t="s">
        <v>84</v>
      </c>
      <c r="H1453" t="s">
        <v>85</v>
      </c>
      <c r="I1453" t="s">
        <v>85</v>
      </c>
      <c r="J1453" t="s">
        <v>60</v>
      </c>
      <c r="K1453" t="s">
        <v>86</v>
      </c>
      <c r="L1453" t="s">
        <v>62</v>
      </c>
      <c r="M1453" t="s">
        <v>86</v>
      </c>
      <c r="N1453" t="s">
        <v>87</v>
      </c>
      <c r="O1453" t="s">
        <v>88</v>
      </c>
      <c r="P1453">
        <v>-19.629436999999999</v>
      </c>
      <c r="Q1453">
        <v>-43.910398999999998</v>
      </c>
      <c r="R1453" s="2" t="str">
        <f>HYPERLINK("https://www.google.com/maps?q=-19.6294370,-43.9103990","Abrir no Google Maps")</f>
        <v>Abrir no Google Maps</v>
      </c>
      <c r="S1453">
        <v>4</v>
      </c>
      <c r="T1453">
        <v>888.82060643108082</v>
      </c>
      <c r="U1453">
        <v>4</v>
      </c>
      <c r="V1453">
        <v>0.1275811209439528</v>
      </c>
      <c r="W1453">
        <v>1</v>
      </c>
      <c r="X1453">
        <v>0.1275811209439528</v>
      </c>
      <c r="Y1453">
        <v>10</v>
      </c>
      <c r="Z1453">
        <v>867.42797341651737</v>
      </c>
      <c r="AA1453">
        <v>2</v>
      </c>
      <c r="AB1453">
        <v>3</v>
      </c>
      <c r="AC1453">
        <v>7</v>
      </c>
      <c r="AD1453">
        <v>25.73</v>
      </c>
      <c r="AE1453">
        <v>253</v>
      </c>
      <c r="AF1453">
        <v>19</v>
      </c>
      <c r="AG1453">
        <v>55</v>
      </c>
      <c r="AH1453">
        <v>32</v>
      </c>
      <c r="AI1453">
        <v>7.51</v>
      </c>
      <c r="AJ1453">
        <v>21.74</v>
      </c>
      <c r="AK1453">
        <v>12.65</v>
      </c>
      <c r="AL1453">
        <v>-19.62934694999996</v>
      </c>
      <c r="AM1453">
        <v>-43.910344699357317</v>
      </c>
      <c r="AN1453">
        <v>-19.62934694999996</v>
      </c>
      <c r="AO1453">
        <v>-43.910344699357331</v>
      </c>
      <c r="AP1453">
        <v>-19.629436999999999</v>
      </c>
      <c r="AQ1453">
        <v>-43.910398999999998</v>
      </c>
      <c r="AR1453">
        <v>11.52837377953678</v>
      </c>
      <c r="AS1453" t="s">
        <v>65</v>
      </c>
      <c r="AT1453">
        <v>1</v>
      </c>
      <c r="AU1453" t="s">
        <v>89</v>
      </c>
      <c r="AV1453" t="s">
        <v>90</v>
      </c>
      <c r="AW1453" t="s">
        <v>60</v>
      </c>
      <c r="AX1453" t="s">
        <v>68</v>
      </c>
      <c r="AY1453" t="s">
        <v>69</v>
      </c>
      <c r="AZ1453" t="b">
        <v>1</v>
      </c>
    </row>
    <row r="1454" spans="1:52" x14ac:dyDescent="0.3">
      <c r="A1454" t="s">
        <v>52</v>
      </c>
      <c r="B1454" t="s">
        <v>53</v>
      </c>
      <c r="C1454" t="s">
        <v>54</v>
      </c>
      <c r="D1454" t="s">
        <v>55</v>
      </c>
      <c r="E1454" t="s">
        <v>844</v>
      </c>
      <c r="F1454" t="s">
        <v>57</v>
      </c>
      <c r="G1454" t="s">
        <v>91</v>
      </c>
      <c r="H1454" t="s">
        <v>92</v>
      </c>
      <c r="I1454" t="s">
        <v>92</v>
      </c>
      <c r="J1454" t="s">
        <v>60</v>
      </c>
      <c r="K1454" t="s">
        <v>86</v>
      </c>
      <c r="L1454" t="s">
        <v>62</v>
      </c>
      <c r="M1454" t="s">
        <v>86</v>
      </c>
      <c r="N1454" t="s">
        <v>93</v>
      </c>
      <c r="O1454" t="s">
        <v>94</v>
      </c>
      <c r="P1454">
        <v>-19.630676999999999</v>
      </c>
      <c r="Q1454">
        <v>-43.907255999999997</v>
      </c>
      <c r="R1454" s="2" t="str">
        <f>HYPERLINK("https://www.google.com/maps?q=-19.6306770,-43.9072560","Abrir no Google Maps")</f>
        <v>Abrir no Google Maps</v>
      </c>
      <c r="S1454">
        <v>4</v>
      </c>
      <c r="T1454">
        <v>545.39374622597825</v>
      </c>
      <c r="U1454">
        <v>4</v>
      </c>
      <c r="V1454">
        <v>0.13434343434343429</v>
      </c>
      <c r="W1454">
        <v>1</v>
      </c>
      <c r="X1454">
        <v>0.13434343434343429</v>
      </c>
      <c r="Y1454">
        <v>10</v>
      </c>
      <c r="Z1454">
        <v>559.94033759457182</v>
      </c>
      <c r="AA1454">
        <v>2</v>
      </c>
      <c r="AB1454">
        <v>3</v>
      </c>
      <c r="AC1454">
        <v>7</v>
      </c>
      <c r="AD1454">
        <v>25.73</v>
      </c>
      <c r="AE1454">
        <v>253</v>
      </c>
      <c r="AF1454">
        <v>19</v>
      </c>
      <c r="AG1454">
        <v>55</v>
      </c>
      <c r="AH1454">
        <v>32</v>
      </c>
      <c r="AI1454">
        <v>7.51</v>
      </c>
      <c r="AJ1454">
        <v>21.74</v>
      </c>
      <c r="AK1454">
        <v>12.65</v>
      </c>
      <c r="AL1454">
        <v>-19.630448649999941</v>
      </c>
      <c r="AM1454">
        <v>-43.907268502495313</v>
      </c>
      <c r="AN1454">
        <v>-19.630448649999941</v>
      </c>
      <c r="AO1454">
        <v>-43.907268502495313</v>
      </c>
      <c r="AP1454">
        <v>-19.630676999999999</v>
      </c>
      <c r="AQ1454">
        <v>-43.907255999999997</v>
      </c>
      <c r="AR1454">
        <v>25.453700276562468</v>
      </c>
      <c r="AS1454" t="s">
        <v>65</v>
      </c>
      <c r="AT1454">
        <v>1</v>
      </c>
      <c r="AU1454" t="s">
        <v>95</v>
      </c>
      <c r="AV1454" t="s">
        <v>96</v>
      </c>
      <c r="AW1454" t="s">
        <v>60</v>
      </c>
      <c r="AX1454" t="s">
        <v>68</v>
      </c>
      <c r="AY1454" t="s">
        <v>69</v>
      </c>
      <c r="AZ1454" t="b">
        <v>1</v>
      </c>
    </row>
    <row r="1455" spans="1:52" x14ac:dyDescent="0.3">
      <c r="A1455" t="s">
        <v>52</v>
      </c>
      <c r="B1455" t="s">
        <v>53</v>
      </c>
      <c r="C1455" t="s">
        <v>54</v>
      </c>
      <c r="D1455" t="s">
        <v>55</v>
      </c>
      <c r="E1455" t="s">
        <v>844</v>
      </c>
      <c r="F1455" t="s">
        <v>57</v>
      </c>
      <c r="G1455" t="s">
        <v>104</v>
      </c>
      <c r="H1455" t="s">
        <v>105</v>
      </c>
      <c r="I1455" t="s">
        <v>105</v>
      </c>
      <c r="J1455" t="s">
        <v>60</v>
      </c>
      <c r="K1455" t="s">
        <v>99</v>
      </c>
      <c r="L1455" t="s">
        <v>62</v>
      </c>
      <c r="M1455" t="s">
        <v>99</v>
      </c>
      <c r="N1455" t="s">
        <v>106</v>
      </c>
      <c r="O1455" t="s">
        <v>107</v>
      </c>
      <c r="P1455">
        <v>-19.627993</v>
      </c>
      <c r="Q1455">
        <v>-43.904820000000001</v>
      </c>
      <c r="R1455" s="2" t="str">
        <f>HYPERLINK("https://www.google.com/maps?q=-19.6279930,-43.9048200","Abrir no Google Maps")</f>
        <v>Abrir no Google Maps</v>
      </c>
      <c r="S1455">
        <v>4</v>
      </c>
      <c r="T1455">
        <v>573.16526621674666</v>
      </c>
      <c r="U1455">
        <v>4</v>
      </c>
      <c r="V1455">
        <v>0.15126050420168061</v>
      </c>
      <c r="W1455">
        <v>1</v>
      </c>
      <c r="X1455">
        <v>0.15126050420168061</v>
      </c>
      <c r="Y1455">
        <v>7</v>
      </c>
      <c r="Z1455">
        <v>659.04372306144853</v>
      </c>
      <c r="AA1455">
        <v>2</v>
      </c>
      <c r="AB1455">
        <v>3</v>
      </c>
      <c r="AC1455">
        <v>7</v>
      </c>
      <c r="AD1455">
        <v>25.73</v>
      </c>
      <c r="AE1455">
        <v>253</v>
      </c>
      <c r="AF1455">
        <v>19</v>
      </c>
      <c r="AG1455">
        <v>55</v>
      </c>
      <c r="AH1455">
        <v>32</v>
      </c>
      <c r="AI1455">
        <v>7.51</v>
      </c>
      <c r="AJ1455">
        <v>21.74</v>
      </c>
      <c r="AK1455">
        <v>12.65</v>
      </c>
      <c r="AL1455">
        <v>-19.627956249999951</v>
      </c>
      <c r="AM1455">
        <v>-43.904807634206207</v>
      </c>
      <c r="AN1455">
        <v>-19.627956249999951</v>
      </c>
      <c r="AO1455">
        <v>-43.904807634206207</v>
      </c>
      <c r="AP1455">
        <v>-19.627993</v>
      </c>
      <c r="AQ1455">
        <v>-43.904820000000001</v>
      </c>
      <c r="AR1455">
        <v>4.291557430205998</v>
      </c>
      <c r="AS1455" t="s">
        <v>65</v>
      </c>
      <c r="AT1455">
        <v>1</v>
      </c>
      <c r="AU1455" t="s">
        <v>108</v>
      </c>
      <c r="AV1455" t="s">
        <v>103</v>
      </c>
      <c r="AW1455" t="s">
        <v>60</v>
      </c>
      <c r="AX1455" t="s">
        <v>68</v>
      </c>
      <c r="AY1455" t="s">
        <v>69</v>
      </c>
      <c r="AZ1455" t="b">
        <v>1</v>
      </c>
    </row>
    <row r="1456" spans="1:52" x14ac:dyDescent="0.3">
      <c r="A1456" t="s">
        <v>52</v>
      </c>
      <c r="B1456" t="s">
        <v>53</v>
      </c>
      <c r="C1456" t="s">
        <v>54</v>
      </c>
      <c r="D1456" t="s">
        <v>55</v>
      </c>
      <c r="E1456" t="s">
        <v>844</v>
      </c>
      <c r="F1456" t="s">
        <v>57</v>
      </c>
      <c r="G1456" t="s">
        <v>197</v>
      </c>
      <c r="H1456" t="s">
        <v>198</v>
      </c>
      <c r="I1456" t="s">
        <v>198</v>
      </c>
      <c r="J1456" t="s">
        <v>60</v>
      </c>
      <c r="K1456" t="s">
        <v>199</v>
      </c>
      <c r="L1456" t="s">
        <v>62</v>
      </c>
      <c r="M1456" t="s">
        <v>199</v>
      </c>
      <c r="N1456" t="s">
        <v>200</v>
      </c>
      <c r="O1456" t="s">
        <v>201</v>
      </c>
      <c r="P1456">
        <v>-19.639250000000001</v>
      </c>
      <c r="Q1456">
        <v>-43.916449999999998</v>
      </c>
      <c r="R1456" s="2" t="str">
        <f>HYPERLINK("https://www.google.com/maps?q=-19.6392500,-43.9164500","Abrir no Google Maps")</f>
        <v>Abrir no Google Maps</v>
      </c>
      <c r="S1456">
        <v>4</v>
      </c>
      <c r="T1456">
        <v>249.46350881074861</v>
      </c>
      <c r="U1456">
        <v>4</v>
      </c>
      <c r="V1456">
        <v>0.1241661613098847</v>
      </c>
      <c r="W1456">
        <v>1</v>
      </c>
      <c r="X1456">
        <v>0.1241661613098847</v>
      </c>
      <c r="Y1456">
        <v>3</v>
      </c>
      <c r="Z1456">
        <v>267.54148787490578</v>
      </c>
      <c r="AA1456">
        <v>2</v>
      </c>
      <c r="AB1456">
        <v>3</v>
      </c>
      <c r="AC1456">
        <v>7</v>
      </c>
      <c r="AD1456">
        <v>25.73</v>
      </c>
      <c r="AE1456">
        <v>253</v>
      </c>
      <c r="AF1456">
        <v>19</v>
      </c>
      <c r="AG1456">
        <v>55</v>
      </c>
      <c r="AH1456">
        <v>32</v>
      </c>
      <c r="AI1456">
        <v>7.51</v>
      </c>
      <c r="AJ1456">
        <v>21.74</v>
      </c>
      <c r="AK1456">
        <v>12.65</v>
      </c>
      <c r="AL1456">
        <v>-19.639331149999951</v>
      </c>
      <c r="AM1456">
        <v>-43.916434187886892</v>
      </c>
      <c r="AN1456">
        <v>-19.639331149999951</v>
      </c>
      <c r="AO1456">
        <v>-43.916434187886892</v>
      </c>
      <c r="AP1456">
        <v>-19.639250000000001</v>
      </c>
      <c r="AQ1456">
        <v>-43.916449999999998</v>
      </c>
      <c r="AR1456">
        <v>9.1844750188843953</v>
      </c>
      <c r="AS1456" t="s">
        <v>65</v>
      </c>
      <c r="AT1456">
        <v>1</v>
      </c>
      <c r="AU1456" t="s">
        <v>202</v>
      </c>
      <c r="AV1456" t="s">
        <v>203</v>
      </c>
      <c r="AW1456" t="s">
        <v>60</v>
      </c>
      <c r="AX1456" t="s">
        <v>68</v>
      </c>
      <c r="AY1456" t="s">
        <v>69</v>
      </c>
      <c r="AZ1456" t="b">
        <v>1</v>
      </c>
    </row>
    <row r="1457" spans="1:52" x14ac:dyDescent="0.3">
      <c r="A1457" t="s">
        <v>52</v>
      </c>
      <c r="B1457" t="s">
        <v>53</v>
      </c>
      <c r="C1457" t="s">
        <v>54</v>
      </c>
      <c r="D1457" t="s">
        <v>55</v>
      </c>
      <c r="E1457" t="s">
        <v>844</v>
      </c>
      <c r="F1457" t="s">
        <v>57</v>
      </c>
      <c r="G1457" t="s">
        <v>204</v>
      </c>
      <c r="H1457" t="s">
        <v>205</v>
      </c>
      <c r="I1457" t="s">
        <v>205</v>
      </c>
      <c r="J1457" t="s">
        <v>60</v>
      </c>
      <c r="K1457" t="s">
        <v>171</v>
      </c>
      <c r="L1457" t="s">
        <v>62</v>
      </c>
      <c r="M1457" t="s">
        <v>171</v>
      </c>
      <c r="N1457" t="s">
        <v>206</v>
      </c>
      <c r="O1457" t="s">
        <v>207</v>
      </c>
      <c r="P1457">
        <v>-19.674109000000001</v>
      </c>
      <c r="Q1457">
        <v>-43.890711000000003</v>
      </c>
      <c r="R1457" s="2" t="str">
        <f>HYPERLINK("https://www.google.com/maps?q=-19.6741090,-43.8907110","Abrir no Google Maps")</f>
        <v>Abrir no Google Maps</v>
      </c>
      <c r="S1457">
        <v>4</v>
      </c>
      <c r="T1457">
        <v>396.53059443764772</v>
      </c>
      <c r="U1457">
        <v>4</v>
      </c>
      <c r="V1457">
        <v>0.12230999439527079</v>
      </c>
      <c r="W1457">
        <v>1</v>
      </c>
      <c r="X1457">
        <v>0.12230999439527079</v>
      </c>
      <c r="Y1457">
        <v>3</v>
      </c>
      <c r="Z1457">
        <v>499.22520255557538</v>
      </c>
      <c r="AA1457">
        <v>2</v>
      </c>
      <c r="AB1457">
        <v>3</v>
      </c>
      <c r="AC1457">
        <v>7</v>
      </c>
      <c r="AD1457">
        <v>25.73</v>
      </c>
      <c r="AE1457">
        <v>253</v>
      </c>
      <c r="AF1457">
        <v>19</v>
      </c>
      <c r="AG1457">
        <v>55</v>
      </c>
      <c r="AH1457">
        <v>32</v>
      </c>
      <c r="AI1457">
        <v>7.51</v>
      </c>
      <c r="AJ1457">
        <v>21.74</v>
      </c>
      <c r="AK1457">
        <v>12.65</v>
      </c>
      <c r="AL1457">
        <v>-19.67362479999997</v>
      </c>
      <c r="AM1457">
        <v>-43.89068378253377</v>
      </c>
      <c r="AN1457">
        <v>-19.67362479999997</v>
      </c>
      <c r="AO1457">
        <v>-43.89068378253377</v>
      </c>
      <c r="AP1457">
        <v>-19.674109000000001</v>
      </c>
      <c r="AQ1457">
        <v>-43.890711000000003</v>
      </c>
      <c r="AR1457">
        <v>53.976595260276227</v>
      </c>
      <c r="AS1457" t="s">
        <v>65</v>
      </c>
      <c r="AT1457">
        <v>1</v>
      </c>
      <c r="AU1457" t="s">
        <v>208</v>
      </c>
      <c r="AV1457" t="s">
        <v>209</v>
      </c>
      <c r="AW1457" t="s">
        <v>60</v>
      </c>
      <c r="AX1457" t="s">
        <v>68</v>
      </c>
      <c r="AY1457" t="s">
        <v>69</v>
      </c>
      <c r="AZ1457" t="b">
        <v>1</v>
      </c>
    </row>
    <row r="1458" spans="1:52" x14ac:dyDescent="0.3">
      <c r="A1458" t="s">
        <v>52</v>
      </c>
      <c r="B1458" t="s">
        <v>53</v>
      </c>
      <c r="C1458" t="s">
        <v>54</v>
      </c>
      <c r="D1458" t="s">
        <v>55</v>
      </c>
      <c r="E1458" t="s">
        <v>844</v>
      </c>
      <c r="F1458" t="s">
        <v>57</v>
      </c>
      <c r="G1458" t="s">
        <v>123</v>
      </c>
      <c r="H1458" t="s">
        <v>124</v>
      </c>
      <c r="I1458" t="s">
        <v>124</v>
      </c>
      <c r="J1458" t="s">
        <v>60</v>
      </c>
      <c r="K1458" t="s">
        <v>72</v>
      </c>
      <c r="L1458" t="s">
        <v>62</v>
      </c>
      <c r="M1458" t="s">
        <v>72</v>
      </c>
      <c r="N1458" t="s">
        <v>125</v>
      </c>
      <c r="O1458" t="s">
        <v>126</v>
      </c>
      <c r="P1458">
        <v>-19.634015000000002</v>
      </c>
      <c r="Q1458">
        <v>-43.918776000000001</v>
      </c>
      <c r="R1458" s="2" t="str">
        <f>HYPERLINK("https://www.google.com/maps?q=-19.6340150,-43.9187760","Abrir no Google Maps")</f>
        <v>Abrir no Google Maps</v>
      </c>
      <c r="S1458">
        <v>4</v>
      </c>
      <c r="T1458">
        <v>525.62818365919122</v>
      </c>
      <c r="U1458">
        <v>4</v>
      </c>
      <c r="V1458">
        <v>0.13402672078471159</v>
      </c>
      <c r="W1458">
        <v>1</v>
      </c>
      <c r="X1458">
        <v>0.13402672078471159</v>
      </c>
      <c r="Y1458">
        <v>3</v>
      </c>
      <c r="Z1458">
        <v>474.91441433808131</v>
      </c>
      <c r="AA1458">
        <v>2</v>
      </c>
      <c r="AB1458">
        <v>3</v>
      </c>
      <c r="AC1458">
        <v>7</v>
      </c>
      <c r="AD1458">
        <v>25.73</v>
      </c>
      <c r="AE1458">
        <v>253</v>
      </c>
      <c r="AF1458">
        <v>19</v>
      </c>
      <c r="AG1458">
        <v>55</v>
      </c>
      <c r="AH1458">
        <v>32</v>
      </c>
      <c r="AI1458">
        <v>7.51</v>
      </c>
      <c r="AJ1458">
        <v>21.74</v>
      </c>
      <c r="AK1458">
        <v>12.65</v>
      </c>
      <c r="AL1458">
        <v>-19.63405809999994</v>
      </c>
      <c r="AM1458">
        <v>-43.919666391328043</v>
      </c>
      <c r="AN1458">
        <v>-19.63405809999994</v>
      </c>
      <c r="AO1458">
        <v>-43.919666391328029</v>
      </c>
      <c r="AP1458">
        <v>-19.634015000000002</v>
      </c>
      <c r="AQ1458">
        <v>-43.918776000000001</v>
      </c>
      <c r="AR1458">
        <v>93.478621134470259</v>
      </c>
      <c r="AS1458" t="s">
        <v>65</v>
      </c>
      <c r="AT1458">
        <v>1</v>
      </c>
      <c r="AU1458" t="s">
        <v>127</v>
      </c>
      <c r="AV1458" t="s">
        <v>128</v>
      </c>
      <c r="AW1458" t="s">
        <v>60</v>
      </c>
      <c r="AX1458" t="s">
        <v>68</v>
      </c>
      <c r="AY1458" t="s">
        <v>69</v>
      </c>
      <c r="AZ1458" t="b">
        <v>1</v>
      </c>
    </row>
    <row r="1459" spans="1:52" x14ac:dyDescent="0.3">
      <c r="A1459" t="s">
        <v>52</v>
      </c>
      <c r="B1459" t="s">
        <v>53</v>
      </c>
      <c r="C1459" t="s">
        <v>54</v>
      </c>
      <c r="D1459" t="s">
        <v>55</v>
      </c>
      <c r="E1459" t="s">
        <v>844</v>
      </c>
      <c r="F1459" t="s">
        <v>57</v>
      </c>
      <c r="G1459" t="s">
        <v>129</v>
      </c>
      <c r="H1459" t="s">
        <v>130</v>
      </c>
      <c r="I1459" t="s">
        <v>130</v>
      </c>
      <c r="J1459" t="s">
        <v>60</v>
      </c>
      <c r="K1459" t="s">
        <v>131</v>
      </c>
      <c r="L1459" t="s">
        <v>62</v>
      </c>
      <c r="M1459" t="s">
        <v>131</v>
      </c>
      <c r="N1459" t="s">
        <v>132</v>
      </c>
      <c r="O1459" t="s">
        <v>133</v>
      </c>
      <c r="P1459">
        <v>-19.632088</v>
      </c>
      <c r="Q1459">
        <v>-43.916114999999998</v>
      </c>
      <c r="R1459" s="2" t="str">
        <f>HYPERLINK("https://www.google.com/maps?q=-19.6320880,-43.9161150","Abrir no Google Maps")</f>
        <v>Abrir no Google Maps</v>
      </c>
      <c r="S1459">
        <v>4</v>
      </c>
      <c r="T1459">
        <v>566.5346232632869</v>
      </c>
      <c r="U1459">
        <v>4</v>
      </c>
      <c r="V1459">
        <v>0.14181830168776369</v>
      </c>
      <c r="W1459">
        <v>1</v>
      </c>
      <c r="X1459">
        <v>0.14181830168776369</v>
      </c>
      <c r="Y1459">
        <v>3</v>
      </c>
      <c r="Z1459">
        <v>488.06597434012792</v>
      </c>
      <c r="AA1459">
        <v>2</v>
      </c>
      <c r="AB1459">
        <v>3</v>
      </c>
      <c r="AC1459">
        <v>7</v>
      </c>
      <c r="AD1459">
        <v>25.73</v>
      </c>
      <c r="AE1459">
        <v>253</v>
      </c>
      <c r="AF1459">
        <v>19</v>
      </c>
      <c r="AG1459">
        <v>55</v>
      </c>
      <c r="AH1459">
        <v>32</v>
      </c>
      <c r="AI1459">
        <v>7.51</v>
      </c>
      <c r="AJ1459">
        <v>21.74</v>
      </c>
      <c r="AK1459">
        <v>12.65</v>
      </c>
      <c r="AL1459">
        <v>-19.632034449999939</v>
      </c>
      <c r="AM1459">
        <v>-43.916174776913351</v>
      </c>
      <c r="AN1459">
        <v>-19.632034449999939</v>
      </c>
      <c r="AO1459">
        <v>-43.916174776913351</v>
      </c>
      <c r="AP1459">
        <v>-19.632088</v>
      </c>
      <c r="AQ1459">
        <v>-43.916114999999998</v>
      </c>
      <c r="AR1459">
        <v>8.6497324882263911</v>
      </c>
      <c r="AS1459" t="s">
        <v>65</v>
      </c>
      <c r="AT1459">
        <v>1</v>
      </c>
      <c r="AU1459" t="s">
        <v>134</v>
      </c>
      <c r="AV1459" t="s">
        <v>135</v>
      </c>
      <c r="AW1459" t="s">
        <v>60</v>
      </c>
      <c r="AX1459" t="s">
        <v>68</v>
      </c>
      <c r="AY1459" t="s">
        <v>69</v>
      </c>
      <c r="AZ1459" t="b">
        <v>1</v>
      </c>
    </row>
    <row r="1460" spans="1:52" x14ac:dyDescent="0.3">
      <c r="A1460" t="s">
        <v>52</v>
      </c>
      <c r="B1460" t="s">
        <v>53</v>
      </c>
      <c r="C1460" t="s">
        <v>54</v>
      </c>
      <c r="D1460" t="s">
        <v>55</v>
      </c>
      <c r="E1460" t="s">
        <v>844</v>
      </c>
      <c r="F1460" t="s">
        <v>57</v>
      </c>
      <c r="G1460" t="s">
        <v>129</v>
      </c>
      <c r="H1460" t="s">
        <v>136</v>
      </c>
      <c r="I1460" t="s">
        <v>136</v>
      </c>
      <c r="J1460" t="s">
        <v>60</v>
      </c>
      <c r="K1460" t="s">
        <v>131</v>
      </c>
      <c r="L1460" t="s">
        <v>62</v>
      </c>
      <c r="M1460" t="s">
        <v>131</v>
      </c>
      <c r="N1460" t="s">
        <v>132</v>
      </c>
      <c r="O1460" t="s">
        <v>133</v>
      </c>
      <c r="P1460">
        <v>-19.632290999999999</v>
      </c>
      <c r="Q1460">
        <v>-43.916542999999997</v>
      </c>
      <c r="R1460" s="2" t="str">
        <f>HYPERLINK("https://www.google.com/maps?q=-19.6322910,-43.9165430","Abrir no Google Maps")</f>
        <v>Abrir no Google Maps</v>
      </c>
      <c r="S1460">
        <v>4</v>
      </c>
      <c r="T1460">
        <v>556.95255545673058</v>
      </c>
      <c r="U1460">
        <v>4</v>
      </c>
      <c r="V1460">
        <v>0.14129072681704261</v>
      </c>
      <c r="W1460">
        <v>1</v>
      </c>
      <c r="X1460">
        <v>0.14129072681704261</v>
      </c>
      <c r="Y1460">
        <v>3</v>
      </c>
      <c r="Z1460">
        <v>479.66756878400719</v>
      </c>
      <c r="AA1460">
        <v>2</v>
      </c>
      <c r="AB1460">
        <v>3</v>
      </c>
      <c r="AC1460">
        <v>7</v>
      </c>
      <c r="AD1460">
        <v>25.73</v>
      </c>
      <c r="AE1460">
        <v>253</v>
      </c>
      <c r="AF1460">
        <v>19</v>
      </c>
      <c r="AG1460">
        <v>55</v>
      </c>
      <c r="AH1460">
        <v>32</v>
      </c>
      <c r="AI1460">
        <v>7.51</v>
      </c>
      <c r="AJ1460">
        <v>21.74</v>
      </c>
      <c r="AK1460">
        <v>12.65</v>
      </c>
      <c r="AL1460">
        <v>-19.63215424999996</v>
      </c>
      <c r="AM1460">
        <v>-43.916542189528307</v>
      </c>
      <c r="AN1460">
        <v>-19.63215424999996</v>
      </c>
      <c r="AO1460">
        <v>-43.916542189528307</v>
      </c>
      <c r="AP1460">
        <v>-19.632290999999999</v>
      </c>
      <c r="AQ1460">
        <v>-43.916542999999997</v>
      </c>
      <c r="AR1460">
        <v>15.22324717984722</v>
      </c>
      <c r="AS1460" t="s">
        <v>65</v>
      </c>
      <c r="AT1460">
        <v>1</v>
      </c>
      <c r="AU1460" t="s">
        <v>137</v>
      </c>
      <c r="AV1460" t="s">
        <v>138</v>
      </c>
      <c r="AW1460" t="s">
        <v>60</v>
      </c>
      <c r="AX1460" t="s">
        <v>68</v>
      </c>
      <c r="AY1460" t="s">
        <v>69</v>
      </c>
      <c r="AZ1460" t="b">
        <v>1</v>
      </c>
    </row>
    <row r="1461" spans="1:52" x14ac:dyDescent="0.3">
      <c r="A1461" t="s">
        <v>52</v>
      </c>
      <c r="B1461" t="s">
        <v>53</v>
      </c>
      <c r="C1461" t="s">
        <v>54</v>
      </c>
      <c r="D1461" t="s">
        <v>55</v>
      </c>
      <c r="E1461" t="s">
        <v>844</v>
      </c>
      <c r="F1461" t="s">
        <v>57</v>
      </c>
      <c r="G1461" t="s">
        <v>145</v>
      </c>
      <c r="H1461" t="s">
        <v>146</v>
      </c>
      <c r="I1461" t="s">
        <v>146</v>
      </c>
      <c r="J1461" t="s">
        <v>60</v>
      </c>
      <c r="K1461" t="s">
        <v>147</v>
      </c>
      <c r="L1461" t="s">
        <v>62</v>
      </c>
      <c r="M1461" t="s">
        <v>147</v>
      </c>
      <c r="N1461" t="s">
        <v>148</v>
      </c>
      <c r="O1461" t="s">
        <v>81</v>
      </c>
      <c r="P1461">
        <v>-19.629356999999999</v>
      </c>
      <c r="Q1461">
        <v>-43.916857</v>
      </c>
      <c r="R1461" s="2" t="str">
        <f>HYPERLINK("https://www.google.com/maps?q=-19.6293570,-43.9168570","Abrir no Google Maps")</f>
        <v>Abrir no Google Maps</v>
      </c>
      <c r="S1461">
        <v>4</v>
      </c>
      <c r="T1461">
        <v>834.49898564045827</v>
      </c>
      <c r="U1461">
        <v>4</v>
      </c>
      <c r="V1461">
        <v>0.1262429606933628</v>
      </c>
      <c r="W1461">
        <v>1</v>
      </c>
      <c r="X1461">
        <v>0.1262429606933628</v>
      </c>
      <c r="Y1461">
        <v>3</v>
      </c>
      <c r="Z1461">
        <v>774.2841152512085</v>
      </c>
      <c r="AA1461">
        <v>2</v>
      </c>
      <c r="AB1461">
        <v>3</v>
      </c>
      <c r="AC1461">
        <v>7</v>
      </c>
      <c r="AD1461">
        <v>25.73</v>
      </c>
      <c r="AE1461">
        <v>253</v>
      </c>
      <c r="AF1461">
        <v>19</v>
      </c>
      <c r="AG1461">
        <v>55</v>
      </c>
      <c r="AH1461">
        <v>32</v>
      </c>
      <c r="AI1461">
        <v>7.51</v>
      </c>
      <c r="AJ1461">
        <v>21.74</v>
      </c>
      <c r="AK1461">
        <v>12.65</v>
      </c>
      <c r="AL1461">
        <v>-19.62962324999998</v>
      </c>
      <c r="AM1461">
        <v>-43.916419823634037</v>
      </c>
      <c r="AN1461">
        <v>-19.62962324999998</v>
      </c>
      <c r="AO1461">
        <v>-43.916419823634051</v>
      </c>
      <c r="AP1461">
        <v>-19.629356999999999</v>
      </c>
      <c r="AQ1461">
        <v>-43.916857</v>
      </c>
      <c r="AR1461">
        <v>54.585757388798442</v>
      </c>
      <c r="AS1461" t="s">
        <v>65</v>
      </c>
      <c r="AT1461">
        <v>1</v>
      </c>
      <c r="AU1461" t="s">
        <v>149</v>
      </c>
      <c r="AV1461" t="s">
        <v>150</v>
      </c>
      <c r="AW1461" t="s">
        <v>60</v>
      </c>
      <c r="AX1461" t="s">
        <v>68</v>
      </c>
      <c r="AY1461" t="s">
        <v>69</v>
      </c>
      <c r="AZ1461" t="b">
        <v>1</v>
      </c>
    </row>
    <row r="1462" spans="1:52" x14ac:dyDescent="0.3">
      <c r="A1462" t="s">
        <v>52</v>
      </c>
      <c r="B1462" t="s">
        <v>53</v>
      </c>
      <c r="C1462" t="s">
        <v>54</v>
      </c>
      <c r="D1462" t="s">
        <v>55</v>
      </c>
      <c r="E1462" t="s">
        <v>844</v>
      </c>
      <c r="F1462" t="s">
        <v>57</v>
      </c>
      <c r="G1462" t="s">
        <v>217</v>
      </c>
      <c r="H1462" t="s">
        <v>218</v>
      </c>
      <c r="I1462" t="s">
        <v>218</v>
      </c>
      <c r="J1462" t="s">
        <v>60</v>
      </c>
      <c r="K1462" t="s">
        <v>219</v>
      </c>
      <c r="L1462" t="s">
        <v>62</v>
      </c>
      <c r="M1462" t="s">
        <v>219</v>
      </c>
      <c r="N1462" t="s">
        <v>220</v>
      </c>
      <c r="O1462" t="s">
        <v>221</v>
      </c>
      <c r="P1462">
        <v>-19.668924000000001</v>
      </c>
      <c r="Q1462">
        <v>-43.888824</v>
      </c>
      <c r="R1462" s="2" t="str">
        <f>HYPERLINK("https://www.google.com/maps?q=-19.6689240,-43.8888240","Abrir no Google Maps")</f>
        <v>Abrir no Google Maps</v>
      </c>
      <c r="S1462">
        <v>4</v>
      </c>
      <c r="T1462">
        <v>911.82770913869297</v>
      </c>
      <c r="U1462">
        <v>4</v>
      </c>
      <c r="V1462">
        <v>0.1258137663667617</v>
      </c>
      <c r="W1462">
        <v>1</v>
      </c>
      <c r="X1462">
        <v>0.1258137663667617</v>
      </c>
      <c r="Y1462">
        <v>3</v>
      </c>
      <c r="Z1462">
        <v>306.43809582423751</v>
      </c>
      <c r="AA1462">
        <v>2</v>
      </c>
      <c r="AB1462">
        <v>3</v>
      </c>
      <c r="AC1462">
        <v>7</v>
      </c>
      <c r="AD1462">
        <v>25.73</v>
      </c>
      <c r="AE1462">
        <v>253</v>
      </c>
      <c r="AF1462">
        <v>19</v>
      </c>
      <c r="AG1462">
        <v>55</v>
      </c>
      <c r="AH1462">
        <v>32</v>
      </c>
      <c r="AI1462">
        <v>7.51</v>
      </c>
      <c r="AJ1462">
        <v>21.74</v>
      </c>
      <c r="AK1462">
        <v>12.65</v>
      </c>
      <c r="AL1462">
        <v>-19.669015399999981</v>
      </c>
      <c r="AM1462">
        <v>-43.88883436988452</v>
      </c>
      <c r="AN1462">
        <v>-19.669015399999971</v>
      </c>
      <c r="AO1462">
        <v>-43.88883436988452</v>
      </c>
      <c r="AP1462">
        <v>-19.668924000000001</v>
      </c>
      <c r="AQ1462">
        <v>-43.888824</v>
      </c>
      <c r="AR1462">
        <v>10.23254983885769</v>
      </c>
      <c r="AS1462" t="s">
        <v>65</v>
      </c>
      <c r="AT1462">
        <v>1</v>
      </c>
      <c r="AU1462" t="s">
        <v>222</v>
      </c>
      <c r="AV1462" t="s">
        <v>223</v>
      </c>
      <c r="AW1462" t="s">
        <v>60</v>
      </c>
      <c r="AX1462" t="s">
        <v>68</v>
      </c>
      <c r="AY1462" t="s">
        <v>69</v>
      </c>
      <c r="AZ1462" t="b">
        <v>1</v>
      </c>
    </row>
    <row r="1463" spans="1:52" x14ac:dyDescent="0.3">
      <c r="A1463" t="s">
        <v>52</v>
      </c>
      <c r="B1463" t="s">
        <v>53</v>
      </c>
      <c r="C1463" t="s">
        <v>54</v>
      </c>
      <c r="D1463" t="s">
        <v>55</v>
      </c>
      <c r="E1463" t="s">
        <v>844</v>
      </c>
      <c r="F1463" t="s">
        <v>57</v>
      </c>
      <c r="G1463" t="s">
        <v>197</v>
      </c>
      <c r="H1463" t="s">
        <v>224</v>
      </c>
      <c r="I1463" t="s">
        <v>224</v>
      </c>
      <c r="J1463" t="s">
        <v>60</v>
      </c>
      <c r="K1463" t="s">
        <v>199</v>
      </c>
      <c r="L1463" t="s">
        <v>62</v>
      </c>
      <c r="M1463" t="s">
        <v>199</v>
      </c>
      <c r="N1463" t="s">
        <v>200</v>
      </c>
      <c r="O1463" t="s">
        <v>225</v>
      </c>
      <c r="P1463">
        <v>-19.637217</v>
      </c>
      <c r="Q1463">
        <v>-43.916117</v>
      </c>
      <c r="R1463" s="2" t="str">
        <f>HYPERLINK("https://www.google.com/maps?q=-19.6372170,-43.9161170","Abrir no Google Maps")</f>
        <v>Abrir no Google Maps</v>
      </c>
      <c r="S1463">
        <v>4</v>
      </c>
      <c r="T1463">
        <v>0</v>
      </c>
      <c r="U1463">
        <v>4</v>
      </c>
      <c r="V1463">
        <v>0.13979585562319369</v>
      </c>
      <c r="W1463">
        <v>1</v>
      </c>
      <c r="X1463">
        <v>0.13979585562319369</v>
      </c>
      <c r="Y1463">
        <v>3</v>
      </c>
      <c r="Z1463">
        <v>94.289538231800577</v>
      </c>
      <c r="AA1463">
        <v>2</v>
      </c>
      <c r="AB1463">
        <v>3</v>
      </c>
      <c r="AC1463">
        <v>7</v>
      </c>
      <c r="AD1463">
        <v>25.73</v>
      </c>
      <c r="AE1463">
        <v>253</v>
      </c>
      <c r="AF1463">
        <v>19</v>
      </c>
      <c r="AG1463">
        <v>55</v>
      </c>
      <c r="AH1463">
        <v>32</v>
      </c>
      <c r="AI1463">
        <v>7.51</v>
      </c>
      <c r="AJ1463">
        <v>21.74</v>
      </c>
      <c r="AK1463">
        <v>12.65</v>
      </c>
      <c r="AL1463">
        <v>-19.63714454999996</v>
      </c>
      <c r="AM1463">
        <v>-43.915856532303224</v>
      </c>
      <c r="AN1463">
        <v>-19.63714454999996</v>
      </c>
      <c r="AO1463">
        <v>-43.915856532303224</v>
      </c>
      <c r="AP1463">
        <v>-19.637217</v>
      </c>
      <c r="AQ1463">
        <v>-43.916117</v>
      </c>
      <c r="AR1463">
        <v>28.47493692061667</v>
      </c>
      <c r="AS1463" t="s">
        <v>65</v>
      </c>
      <c r="AT1463">
        <v>1</v>
      </c>
      <c r="AU1463" t="s">
        <v>226</v>
      </c>
      <c r="AV1463" t="s">
        <v>227</v>
      </c>
      <c r="AW1463" t="s">
        <v>60</v>
      </c>
      <c r="AX1463" t="s">
        <v>68</v>
      </c>
      <c r="AY1463" t="s">
        <v>69</v>
      </c>
      <c r="AZ1463" t="b">
        <v>1</v>
      </c>
    </row>
    <row r="1464" spans="1:52" x14ac:dyDescent="0.3">
      <c r="A1464" t="s">
        <v>52</v>
      </c>
      <c r="B1464" t="s">
        <v>53</v>
      </c>
      <c r="C1464" t="s">
        <v>54</v>
      </c>
      <c r="D1464" t="s">
        <v>55</v>
      </c>
      <c r="E1464" t="s">
        <v>844</v>
      </c>
      <c r="F1464" t="s">
        <v>57</v>
      </c>
      <c r="G1464" t="s">
        <v>228</v>
      </c>
      <c r="H1464" t="s">
        <v>229</v>
      </c>
      <c r="I1464" t="s">
        <v>229</v>
      </c>
      <c r="J1464" t="s">
        <v>60</v>
      </c>
      <c r="K1464" t="s">
        <v>199</v>
      </c>
      <c r="L1464" t="s">
        <v>62</v>
      </c>
      <c r="M1464" t="s">
        <v>199</v>
      </c>
      <c r="N1464" t="s">
        <v>230</v>
      </c>
      <c r="O1464" t="s">
        <v>88</v>
      </c>
      <c r="P1464">
        <v>-19.637703999999999</v>
      </c>
      <c r="Q1464">
        <v>-43.913817999999999</v>
      </c>
      <c r="R1464" s="2" t="str">
        <f>HYPERLINK("https://www.google.com/maps?q=-19.6377040,-43.9138180","Abrir no Google Maps")</f>
        <v>Abrir no Google Maps</v>
      </c>
      <c r="S1464">
        <v>4</v>
      </c>
      <c r="T1464">
        <v>216.67225021659709</v>
      </c>
      <c r="U1464">
        <v>4</v>
      </c>
      <c r="V1464">
        <v>0.1316990851763033</v>
      </c>
      <c r="W1464">
        <v>1</v>
      </c>
      <c r="X1464">
        <v>0.1316990851763033</v>
      </c>
      <c r="Y1464">
        <v>3</v>
      </c>
      <c r="Z1464">
        <v>250.25912407368671</v>
      </c>
      <c r="AA1464">
        <v>2</v>
      </c>
      <c r="AB1464">
        <v>3</v>
      </c>
      <c r="AC1464">
        <v>7</v>
      </c>
      <c r="AD1464">
        <v>25.73</v>
      </c>
      <c r="AE1464">
        <v>253</v>
      </c>
      <c r="AF1464">
        <v>19</v>
      </c>
      <c r="AG1464">
        <v>55</v>
      </c>
      <c r="AH1464">
        <v>32</v>
      </c>
      <c r="AI1464">
        <v>7.51</v>
      </c>
      <c r="AJ1464">
        <v>21.74</v>
      </c>
      <c r="AK1464">
        <v>12.65</v>
      </c>
      <c r="AL1464">
        <v>-19.637548049999939</v>
      </c>
      <c r="AM1464">
        <v>-43.91383458447649</v>
      </c>
      <c r="AN1464">
        <v>-19.637548049999939</v>
      </c>
      <c r="AO1464">
        <v>-43.91383458447649</v>
      </c>
      <c r="AP1464">
        <v>-19.637703999999999</v>
      </c>
      <c r="AQ1464">
        <v>-43.913817999999999</v>
      </c>
      <c r="AR1464">
        <v>17.44721566371809</v>
      </c>
      <c r="AS1464" t="s">
        <v>65</v>
      </c>
      <c r="AT1464">
        <v>1</v>
      </c>
      <c r="AU1464" t="s">
        <v>231</v>
      </c>
      <c r="AV1464" t="s">
        <v>232</v>
      </c>
      <c r="AW1464" t="s">
        <v>60</v>
      </c>
      <c r="AX1464" t="s">
        <v>68</v>
      </c>
      <c r="AY1464" t="s">
        <v>69</v>
      </c>
      <c r="AZ1464" t="b">
        <v>1</v>
      </c>
    </row>
    <row r="1465" spans="1:52" x14ac:dyDescent="0.3">
      <c r="A1465" t="s">
        <v>52</v>
      </c>
      <c r="B1465" t="s">
        <v>53</v>
      </c>
      <c r="C1465" t="s">
        <v>54</v>
      </c>
      <c r="D1465" t="s">
        <v>55</v>
      </c>
      <c r="E1465" t="s">
        <v>844</v>
      </c>
      <c r="F1465" t="s">
        <v>57</v>
      </c>
      <c r="G1465" t="s">
        <v>151</v>
      </c>
      <c r="H1465" t="s">
        <v>152</v>
      </c>
      <c r="I1465" t="s">
        <v>152</v>
      </c>
      <c r="J1465" t="s">
        <v>60</v>
      </c>
      <c r="K1465" t="s">
        <v>72</v>
      </c>
      <c r="L1465" t="s">
        <v>62</v>
      </c>
      <c r="M1465" t="s">
        <v>72</v>
      </c>
      <c r="N1465" t="s">
        <v>153</v>
      </c>
      <c r="O1465" t="s">
        <v>81</v>
      </c>
      <c r="P1465">
        <v>-19.635065999999998</v>
      </c>
      <c r="Q1465">
        <v>-43.916640000000001</v>
      </c>
      <c r="R1465" s="2" t="str">
        <f>HYPERLINK("https://www.google.com/maps?q=-19.6350660,-43.9166400","Abrir no Google Maps")</f>
        <v>Abrir no Google Maps</v>
      </c>
      <c r="S1465">
        <v>4</v>
      </c>
      <c r="T1465">
        <v>245.09875796292749</v>
      </c>
      <c r="U1465">
        <v>4</v>
      </c>
      <c r="V1465">
        <v>0.13027537827461599</v>
      </c>
      <c r="W1465">
        <v>1</v>
      </c>
      <c r="X1465">
        <v>0.13027537827461599</v>
      </c>
      <c r="Y1465">
        <v>3</v>
      </c>
      <c r="Z1465">
        <v>207.74356419317499</v>
      </c>
      <c r="AA1465">
        <v>2</v>
      </c>
      <c r="AB1465">
        <v>3</v>
      </c>
      <c r="AC1465">
        <v>7</v>
      </c>
      <c r="AD1465">
        <v>25.73</v>
      </c>
      <c r="AE1465">
        <v>253</v>
      </c>
      <c r="AF1465">
        <v>19</v>
      </c>
      <c r="AG1465">
        <v>55</v>
      </c>
      <c r="AH1465">
        <v>32</v>
      </c>
      <c r="AI1465">
        <v>7.51</v>
      </c>
      <c r="AJ1465">
        <v>21.74</v>
      </c>
      <c r="AK1465">
        <v>12.65</v>
      </c>
      <c r="AL1465">
        <v>-19.63505579999995</v>
      </c>
      <c r="AM1465">
        <v>-43.916633303072622</v>
      </c>
      <c r="AN1465">
        <v>-19.63505579999995</v>
      </c>
      <c r="AO1465">
        <v>-43.916633303072622</v>
      </c>
      <c r="AP1465">
        <v>-19.635065999999998</v>
      </c>
      <c r="AQ1465">
        <v>-43.916640000000001</v>
      </c>
      <c r="AR1465">
        <v>1.335026849412978</v>
      </c>
      <c r="AS1465" t="s">
        <v>65</v>
      </c>
      <c r="AT1465">
        <v>1</v>
      </c>
      <c r="AU1465" t="s">
        <v>154</v>
      </c>
      <c r="AV1465" t="s">
        <v>155</v>
      </c>
      <c r="AW1465" t="s">
        <v>60</v>
      </c>
      <c r="AX1465" t="s">
        <v>68</v>
      </c>
      <c r="AY1465" t="s">
        <v>69</v>
      </c>
      <c r="AZ1465" t="b">
        <v>1</v>
      </c>
    </row>
    <row r="1466" spans="1:52" x14ac:dyDescent="0.3">
      <c r="A1466" t="s">
        <v>52</v>
      </c>
      <c r="B1466" t="s">
        <v>53</v>
      </c>
      <c r="C1466" t="s">
        <v>54</v>
      </c>
      <c r="D1466" t="s">
        <v>55</v>
      </c>
      <c r="E1466" t="s">
        <v>844</v>
      </c>
      <c r="F1466" t="s">
        <v>57</v>
      </c>
      <c r="G1466" t="s">
        <v>246</v>
      </c>
      <c r="H1466" t="s">
        <v>247</v>
      </c>
      <c r="I1466" t="s">
        <v>247</v>
      </c>
      <c r="J1466" t="s">
        <v>60</v>
      </c>
      <c r="K1466" t="s">
        <v>164</v>
      </c>
      <c r="L1466" t="s">
        <v>62</v>
      </c>
      <c r="M1466" t="s">
        <v>164</v>
      </c>
      <c r="N1466" t="s">
        <v>248</v>
      </c>
      <c r="O1466" t="s">
        <v>249</v>
      </c>
      <c r="P1466">
        <v>-19.6448</v>
      </c>
      <c r="Q1466">
        <v>-43.901600999999999</v>
      </c>
      <c r="R1466" s="2" t="str">
        <f>HYPERLINK("https://www.google.com/maps?q=-19.6448000,-43.9016010","Abrir no Google Maps")</f>
        <v>Abrir no Google Maps</v>
      </c>
      <c r="S1466">
        <v>4</v>
      </c>
      <c r="T1466">
        <v>317.869447308274</v>
      </c>
      <c r="U1466">
        <v>4</v>
      </c>
      <c r="V1466">
        <v>0.12821219977078699</v>
      </c>
      <c r="W1466">
        <v>1</v>
      </c>
      <c r="X1466">
        <v>0.12821219977078699</v>
      </c>
      <c r="Y1466">
        <v>1</v>
      </c>
      <c r="Z1466">
        <v>349.42631749673592</v>
      </c>
      <c r="AA1466">
        <v>2</v>
      </c>
      <c r="AB1466">
        <v>3</v>
      </c>
      <c r="AC1466">
        <v>7</v>
      </c>
      <c r="AD1466">
        <v>25.73</v>
      </c>
      <c r="AE1466">
        <v>253</v>
      </c>
      <c r="AF1466">
        <v>19</v>
      </c>
      <c r="AG1466">
        <v>55</v>
      </c>
      <c r="AH1466">
        <v>32</v>
      </c>
      <c r="AI1466">
        <v>7.51</v>
      </c>
      <c r="AJ1466">
        <v>21.74</v>
      </c>
      <c r="AK1466">
        <v>12.65</v>
      </c>
      <c r="AL1466">
        <v>-19.644877249999951</v>
      </c>
      <c r="AM1466">
        <v>-43.901796079893373</v>
      </c>
      <c r="AN1466">
        <v>-19.644877249999951</v>
      </c>
      <c r="AO1466">
        <v>-43.901796079893373</v>
      </c>
      <c r="AP1466">
        <v>-19.6448</v>
      </c>
      <c r="AQ1466">
        <v>-43.901600999999999</v>
      </c>
      <c r="AR1466">
        <v>22.186635956426102</v>
      </c>
      <c r="AS1466" t="s">
        <v>65</v>
      </c>
      <c r="AT1466">
        <v>1</v>
      </c>
      <c r="AU1466" t="s">
        <v>250</v>
      </c>
      <c r="AV1466" t="s">
        <v>251</v>
      </c>
      <c r="AW1466" t="s">
        <v>60</v>
      </c>
      <c r="AX1466" t="s">
        <v>68</v>
      </c>
      <c r="AY1466" t="s">
        <v>69</v>
      </c>
      <c r="AZ1466" t="b">
        <v>1</v>
      </c>
    </row>
    <row r="1467" spans="1:52" x14ac:dyDescent="0.3">
      <c r="A1467" t="s">
        <v>52</v>
      </c>
      <c r="B1467" t="s">
        <v>53</v>
      </c>
      <c r="C1467" t="s">
        <v>54</v>
      </c>
      <c r="D1467" t="s">
        <v>55</v>
      </c>
      <c r="E1467" t="s">
        <v>844</v>
      </c>
      <c r="F1467" t="s">
        <v>57</v>
      </c>
      <c r="G1467" t="s">
        <v>252</v>
      </c>
      <c r="H1467" t="s">
        <v>253</v>
      </c>
      <c r="I1467" t="s">
        <v>253</v>
      </c>
      <c r="J1467" t="s">
        <v>60</v>
      </c>
      <c r="K1467" t="s">
        <v>164</v>
      </c>
      <c r="L1467" t="s">
        <v>62</v>
      </c>
      <c r="M1467" t="s">
        <v>164</v>
      </c>
      <c r="N1467" t="s">
        <v>254</v>
      </c>
      <c r="O1467" t="s">
        <v>255</v>
      </c>
      <c r="P1467">
        <v>-19.652244</v>
      </c>
      <c r="Q1467">
        <v>-43.906869</v>
      </c>
      <c r="R1467" s="2" t="str">
        <f>HYPERLINK("https://www.google.com/maps?q=-19.6522440,-43.9068690","Abrir no Google Maps")</f>
        <v>Abrir no Google Maps</v>
      </c>
      <c r="S1467">
        <v>4</v>
      </c>
      <c r="T1467">
        <v>659.98887289357856</v>
      </c>
      <c r="U1467">
        <v>4</v>
      </c>
      <c r="V1467">
        <v>0.14424742582352859</v>
      </c>
      <c r="W1467">
        <v>1</v>
      </c>
      <c r="X1467">
        <v>0.14424742582352859</v>
      </c>
      <c r="Y1467">
        <v>1</v>
      </c>
      <c r="Z1467">
        <v>607.69009953455907</v>
      </c>
      <c r="AA1467">
        <v>2</v>
      </c>
      <c r="AB1467">
        <v>3</v>
      </c>
      <c r="AC1467">
        <v>7</v>
      </c>
      <c r="AD1467">
        <v>25.73</v>
      </c>
      <c r="AE1467">
        <v>253</v>
      </c>
      <c r="AF1467">
        <v>19</v>
      </c>
      <c r="AG1467">
        <v>55</v>
      </c>
      <c r="AH1467">
        <v>32</v>
      </c>
      <c r="AI1467">
        <v>7.51</v>
      </c>
      <c r="AJ1467">
        <v>21.74</v>
      </c>
      <c r="AK1467">
        <v>12.65</v>
      </c>
      <c r="AL1467">
        <v>-19.65225609999996</v>
      </c>
      <c r="AM1467">
        <v>-43.906862663911163</v>
      </c>
      <c r="AN1467">
        <v>-19.65225609999996</v>
      </c>
      <c r="AO1467">
        <v>-43.906862663911149</v>
      </c>
      <c r="AP1467">
        <v>-19.652244</v>
      </c>
      <c r="AQ1467">
        <v>-43.906869</v>
      </c>
      <c r="AR1467">
        <v>1.501852076897872</v>
      </c>
      <c r="AS1467" t="s">
        <v>65</v>
      </c>
      <c r="AT1467">
        <v>1</v>
      </c>
      <c r="AU1467" t="s">
        <v>256</v>
      </c>
      <c r="AV1467" t="s">
        <v>257</v>
      </c>
      <c r="AW1467" t="s">
        <v>60</v>
      </c>
      <c r="AX1467" t="s">
        <v>68</v>
      </c>
      <c r="AY1467" t="s">
        <v>69</v>
      </c>
      <c r="AZ1467" t="b">
        <v>1</v>
      </c>
    </row>
    <row r="1468" spans="1:52" x14ac:dyDescent="0.3">
      <c r="A1468" t="s">
        <v>52</v>
      </c>
      <c r="B1468" t="s">
        <v>53</v>
      </c>
      <c r="C1468" t="s">
        <v>54</v>
      </c>
      <c r="D1468" t="s">
        <v>55</v>
      </c>
      <c r="E1468" t="s">
        <v>844</v>
      </c>
      <c r="F1468" t="s">
        <v>57</v>
      </c>
      <c r="G1468" t="s">
        <v>622</v>
      </c>
      <c r="H1468" t="s">
        <v>623</v>
      </c>
      <c r="I1468" t="s">
        <v>623</v>
      </c>
      <c r="J1468" t="s">
        <v>60</v>
      </c>
      <c r="K1468" t="s">
        <v>219</v>
      </c>
      <c r="L1468" t="s">
        <v>62</v>
      </c>
      <c r="M1468" t="s">
        <v>219</v>
      </c>
      <c r="N1468" t="s">
        <v>624</v>
      </c>
      <c r="O1468" t="s">
        <v>113</v>
      </c>
      <c r="P1468">
        <v>-19.670276999999999</v>
      </c>
      <c r="Q1468">
        <v>-43.893808</v>
      </c>
      <c r="R1468" s="2" t="str">
        <f>HYPERLINK("https://www.google.com/maps?q=-19.6702770,-43.8938080","Abrir no Google Maps")</f>
        <v>Abrir no Google Maps</v>
      </c>
      <c r="S1468">
        <v>4</v>
      </c>
      <c r="T1468">
        <v>846.9753608437735</v>
      </c>
      <c r="U1468">
        <v>4</v>
      </c>
      <c r="V1468">
        <v>0.12248976329140759</v>
      </c>
      <c r="W1468">
        <v>1</v>
      </c>
      <c r="X1468">
        <v>0.12248976329140759</v>
      </c>
      <c r="Y1468">
        <v>1</v>
      </c>
      <c r="Z1468">
        <v>600.43160852236622</v>
      </c>
      <c r="AA1468">
        <v>2</v>
      </c>
      <c r="AB1468">
        <v>3</v>
      </c>
      <c r="AC1468">
        <v>7</v>
      </c>
      <c r="AD1468">
        <v>25.73</v>
      </c>
      <c r="AE1468">
        <v>253</v>
      </c>
      <c r="AF1468">
        <v>19</v>
      </c>
      <c r="AG1468">
        <v>55</v>
      </c>
      <c r="AH1468">
        <v>32</v>
      </c>
      <c r="AI1468">
        <v>7.51</v>
      </c>
      <c r="AJ1468">
        <v>21.74</v>
      </c>
      <c r="AK1468">
        <v>12.65</v>
      </c>
      <c r="AL1468">
        <v>-19.670319349999971</v>
      </c>
      <c r="AM1468">
        <v>-43.893716431206371</v>
      </c>
      <c r="AN1468">
        <v>-19.670319349999971</v>
      </c>
      <c r="AO1468">
        <v>-43.893716431206371</v>
      </c>
      <c r="AP1468">
        <v>-19.670276999999999</v>
      </c>
      <c r="AQ1468">
        <v>-43.893808</v>
      </c>
      <c r="AR1468">
        <v>10.693863517034069</v>
      </c>
      <c r="AS1468" t="s">
        <v>65</v>
      </c>
      <c r="AT1468">
        <v>1</v>
      </c>
      <c r="AU1468" t="s">
        <v>625</v>
      </c>
      <c r="AV1468" t="s">
        <v>626</v>
      </c>
      <c r="AW1468" t="s">
        <v>60</v>
      </c>
      <c r="AX1468" t="s">
        <v>68</v>
      </c>
      <c r="AY1468" t="s">
        <v>69</v>
      </c>
      <c r="AZ1468" t="b">
        <v>1</v>
      </c>
    </row>
    <row r="1469" spans="1:52" x14ac:dyDescent="0.3">
      <c r="A1469" t="s">
        <v>52</v>
      </c>
      <c r="B1469" t="s">
        <v>53</v>
      </c>
      <c r="C1469" t="s">
        <v>54</v>
      </c>
      <c r="D1469" t="s">
        <v>55</v>
      </c>
      <c r="E1469" t="s">
        <v>844</v>
      </c>
      <c r="F1469" t="s">
        <v>57</v>
      </c>
      <c r="G1469" t="s">
        <v>268</v>
      </c>
      <c r="H1469" t="s">
        <v>269</v>
      </c>
      <c r="I1469" t="s">
        <v>269</v>
      </c>
      <c r="J1469" t="s">
        <v>60</v>
      </c>
      <c r="K1469" t="s">
        <v>164</v>
      </c>
      <c r="L1469" t="s">
        <v>62</v>
      </c>
      <c r="M1469" t="s">
        <v>164</v>
      </c>
      <c r="N1469" t="s">
        <v>270</v>
      </c>
      <c r="O1469" t="s">
        <v>113</v>
      </c>
      <c r="P1469">
        <v>-19.648771</v>
      </c>
      <c r="Q1469">
        <v>-43.903640000000003</v>
      </c>
      <c r="R1469" s="2" t="str">
        <f>HYPERLINK("https://www.google.com/maps?q=-19.6487710,-43.9036400","Abrir no Google Maps")</f>
        <v>Abrir no Google Maps</v>
      </c>
      <c r="S1469">
        <v>4</v>
      </c>
      <c r="T1469">
        <v>206.63717887005251</v>
      </c>
      <c r="U1469">
        <v>4</v>
      </c>
      <c r="V1469">
        <v>0.13760322642596501</v>
      </c>
      <c r="W1469">
        <v>1</v>
      </c>
      <c r="X1469">
        <v>0.13760322642596501</v>
      </c>
      <c r="Y1469">
        <v>1</v>
      </c>
      <c r="Z1469">
        <v>200.80459056276209</v>
      </c>
      <c r="AA1469">
        <v>2</v>
      </c>
      <c r="AB1469">
        <v>3</v>
      </c>
      <c r="AC1469">
        <v>7</v>
      </c>
      <c r="AD1469">
        <v>25.73</v>
      </c>
      <c r="AE1469">
        <v>253</v>
      </c>
      <c r="AF1469">
        <v>19</v>
      </c>
      <c r="AG1469">
        <v>55</v>
      </c>
      <c r="AH1469">
        <v>32</v>
      </c>
      <c r="AI1469">
        <v>7.51</v>
      </c>
      <c r="AJ1469">
        <v>21.74</v>
      </c>
      <c r="AK1469">
        <v>12.65</v>
      </c>
      <c r="AL1469">
        <v>-19.648938299999969</v>
      </c>
      <c r="AM1469">
        <v>-43.903687287450857</v>
      </c>
      <c r="AN1469">
        <v>-19.648938299999969</v>
      </c>
      <c r="AO1469">
        <v>-43.903687287450857</v>
      </c>
      <c r="AP1469">
        <v>-19.648771</v>
      </c>
      <c r="AQ1469">
        <v>-43.903640000000003</v>
      </c>
      <c r="AR1469">
        <v>19.272369946853829</v>
      </c>
      <c r="AS1469" t="s">
        <v>65</v>
      </c>
      <c r="AT1469">
        <v>1</v>
      </c>
      <c r="AU1469" t="s">
        <v>271</v>
      </c>
      <c r="AV1469" t="s">
        <v>272</v>
      </c>
      <c r="AW1469" t="s">
        <v>60</v>
      </c>
      <c r="AX1469" t="s">
        <v>68</v>
      </c>
      <c r="AY1469" t="s">
        <v>69</v>
      </c>
      <c r="AZ1469" t="b">
        <v>1</v>
      </c>
    </row>
    <row r="1470" spans="1:52" x14ac:dyDescent="0.3">
      <c r="A1470" t="s">
        <v>52</v>
      </c>
      <c r="B1470" t="s">
        <v>53</v>
      </c>
      <c r="C1470" t="s">
        <v>54</v>
      </c>
      <c r="D1470" t="s">
        <v>55</v>
      </c>
      <c r="E1470" t="s">
        <v>844</v>
      </c>
      <c r="F1470" t="s">
        <v>57</v>
      </c>
      <c r="G1470" t="s">
        <v>162</v>
      </c>
      <c r="H1470" t="s">
        <v>163</v>
      </c>
      <c r="I1470" t="s">
        <v>163</v>
      </c>
      <c r="J1470" t="s">
        <v>60</v>
      </c>
      <c r="K1470" t="s">
        <v>164</v>
      </c>
      <c r="L1470" t="s">
        <v>62</v>
      </c>
      <c r="M1470" t="s">
        <v>164</v>
      </c>
      <c r="N1470" t="s">
        <v>165</v>
      </c>
      <c r="O1470" t="s">
        <v>166</v>
      </c>
      <c r="P1470">
        <v>-19.650033000000001</v>
      </c>
      <c r="Q1470">
        <v>-43.904634000000001</v>
      </c>
      <c r="R1470" s="2" t="str">
        <f>HYPERLINK("https://www.google.com/maps?q=-19.6500330,-43.9046340","Abrir no Google Maps")</f>
        <v>Abrir no Google Maps</v>
      </c>
      <c r="S1470">
        <v>4</v>
      </c>
      <c r="T1470">
        <v>343.61469317865811</v>
      </c>
      <c r="U1470">
        <v>4</v>
      </c>
      <c r="V1470">
        <v>0.13470012183838551</v>
      </c>
      <c r="W1470">
        <v>1</v>
      </c>
      <c r="X1470">
        <v>0.13470012183838551</v>
      </c>
      <c r="Y1470">
        <v>1</v>
      </c>
      <c r="Z1470">
        <v>351.81960241626399</v>
      </c>
      <c r="AA1470">
        <v>2</v>
      </c>
      <c r="AB1470">
        <v>3</v>
      </c>
      <c r="AC1470">
        <v>7</v>
      </c>
      <c r="AD1470">
        <v>25.73</v>
      </c>
      <c r="AE1470">
        <v>253</v>
      </c>
      <c r="AF1470">
        <v>19</v>
      </c>
      <c r="AG1470">
        <v>55</v>
      </c>
      <c r="AH1470">
        <v>32</v>
      </c>
      <c r="AI1470">
        <v>7.51</v>
      </c>
      <c r="AJ1470">
        <v>21.74</v>
      </c>
      <c r="AK1470">
        <v>12.65</v>
      </c>
      <c r="AL1470">
        <v>-19.650065899999959</v>
      </c>
      <c r="AM1470">
        <v>-43.904619920569793</v>
      </c>
      <c r="AN1470">
        <v>-19.650065899999959</v>
      </c>
      <c r="AO1470">
        <v>-43.904619920569793</v>
      </c>
      <c r="AP1470">
        <v>-19.650033000000001</v>
      </c>
      <c r="AQ1470">
        <v>-43.904634000000001</v>
      </c>
      <c r="AR1470">
        <v>3.9486827164921792</v>
      </c>
      <c r="AS1470" t="s">
        <v>65</v>
      </c>
      <c r="AT1470">
        <v>1</v>
      </c>
      <c r="AU1470" t="s">
        <v>167</v>
      </c>
      <c r="AV1470" t="s">
        <v>168</v>
      </c>
      <c r="AW1470" t="s">
        <v>60</v>
      </c>
      <c r="AX1470" t="s">
        <v>68</v>
      </c>
      <c r="AY1470" t="s">
        <v>69</v>
      </c>
      <c r="AZ1470" t="b">
        <v>1</v>
      </c>
    </row>
    <row r="1471" spans="1:52" x14ac:dyDescent="0.3">
      <c r="A1471" t="s">
        <v>52</v>
      </c>
      <c r="B1471" t="s">
        <v>53</v>
      </c>
      <c r="C1471" t="s">
        <v>54</v>
      </c>
      <c r="D1471" t="s">
        <v>55</v>
      </c>
      <c r="E1471" t="s">
        <v>844</v>
      </c>
      <c r="F1471" t="s">
        <v>57</v>
      </c>
      <c r="G1471" t="s">
        <v>273</v>
      </c>
      <c r="H1471" t="s">
        <v>274</v>
      </c>
      <c r="I1471" t="s">
        <v>274</v>
      </c>
      <c r="J1471" t="s">
        <v>60</v>
      </c>
      <c r="K1471" t="s">
        <v>171</v>
      </c>
      <c r="L1471" t="s">
        <v>62</v>
      </c>
      <c r="M1471" t="s">
        <v>171</v>
      </c>
      <c r="N1471" t="s">
        <v>275</v>
      </c>
      <c r="O1471" t="s">
        <v>276</v>
      </c>
      <c r="P1471">
        <v>-19.679956000000001</v>
      </c>
      <c r="Q1471">
        <v>-43.888520999999997</v>
      </c>
      <c r="R1471" s="2" t="str">
        <f>HYPERLINK("https://www.google.com/maps?q=-19.6799560,-43.8885210","Abrir no Google Maps")</f>
        <v>Abrir no Google Maps</v>
      </c>
      <c r="S1471">
        <v>4</v>
      </c>
      <c r="T1471">
        <v>346.2974251077423</v>
      </c>
      <c r="U1471">
        <v>4</v>
      </c>
      <c r="V1471">
        <v>0.1238696890870804</v>
      </c>
      <c r="W1471">
        <v>1</v>
      </c>
      <c r="X1471">
        <v>0.1238696890870804</v>
      </c>
      <c r="Y1471">
        <v>0</v>
      </c>
      <c r="Z1471">
        <v>223.68420981797229</v>
      </c>
      <c r="AA1471">
        <v>2</v>
      </c>
      <c r="AB1471">
        <v>3</v>
      </c>
      <c r="AC1471">
        <v>7</v>
      </c>
      <c r="AD1471">
        <v>25.73</v>
      </c>
      <c r="AE1471">
        <v>253</v>
      </c>
      <c r="AF1471">
        <v>19</v>
      </c>
      <c r="AG1471">
        <v>55</v>
      </c>
      <c r="AH1471">
        <v>32</v>
      </c>
      <c r="AI1471">
        <v>7.51</v>
      </c>
      <c r="AJ1471">
        <v>21.74</v>
      </c>
      <c r="AK1471">
        <v>12.65</v>
      </c>
      <c r="AL1471">
        <v>-19.67989189999998</v>
      </c>
      <c r="AM1471">
        <v>-43.888485157753777</v>
      </c>
      <c r="AN1471">
        <v>-19.67989189999998</v>
      </c>
      <c r="AO1471">
        <v>-43.888485157753777</v>
      </c>
      <c r="AP1471">
        <v>-19.679956000000001</v>
      </c>
      <c r="AQ1471">
        <v>-43.888520999999997</v>
      </c>
      <c r="AR1471">
        <v>8.0641961934087583</v>
      </c>
      <c r="AS1471" t="s">
        <v>65</v>
      </c>
      <c r="AT1471">
        <v>1</v>
      </c>
      <c r="AU1471" t="s">
        <v>277</v>
      </c>
      <c r="AV1471" t="s">
        <v>278</v>
      </c>
      <c r="AW1471" t="s">
        <v>60</v>
      </c>
      <c r="AX1471" t="s">
        <v>68</v>
      </c>
      <c r="AY1471" t="s">
        <v>69</v>
      </c>
      <c r="AZ1471" t="b">
        <v>1</v>
      </c>
    </row>
    <row r="1472" spans="1:52" x14ac:dyDescent="0.3">
      <c r="A1472" t="s">
        <v>52</v>
      </c>
      <c r="B1472" t="s">
        <v>53</v>
      </c>
      <c r="C1472" t="s">
        <v>54</v>
      </c>
      <c r="D1472" t="s">
        <v>55</v>
      </c>
      <c r="E1472" t="s">
        <v>844</v>
      </c>
      <c r="F1472" t="s">
        <v>176</v>
      </c>
      <c r="G1472" t="s">
        <v>58</v>
      </c>
      <c r="H1472" t="s">
        <v>59</v>
      </c>
      <c r="I1472" t="s">
        <v>59</v>
      </c>
      <c r="J1472" t="s">
        <v>60</v>
      </c>
      <c r="K1472" t="s">
        <v>61</v>
      </c>
      <c r="L1472" t="s">
        <v>62</v>
      </c>
      <c r="M1472" t="s">
        <v>61</v>
      </c>
      <c r="N1472" t="s">
        <v>63</v>
      </c>
      <c r="O1472" t="s">
        <v>64</v>
      </c>
      <c r="P1472">
        <v>-19.631502000000001</v>
      </c>
      <c r="Q1472">
        <v>-43.910241999999997</v>
      </c>
      <c r="R1472" s="2" t="str">
        <f>HYPERLINK("https://www.google.com/maps?q=-19.6315020,-43.9102420","Abrir no Google Maps")</f>
        <v>Abrir no Google Maps</v>
      </c>
      <c r="S1472">
        <v>4</v>
      </c>
      <c r="T1472">
        <v>789.20099406682743</v>
      </c>
      <c r="U1472">
        <v>3</v>
      </c>
      <c r="V1472">
        <v>0.1199896099662833</v>
      </c>
      <c r="W1472">
        <v>1</v>
      </c>
      <c r="X1472">
        <v>0.1199896099662833</v>
      </c>
      <c r="Y1472">
        <v>10</v>
      </c>
      <c r="Z1472">
        <v>691.44930074509864</v>
      </c>
      <c r="AA1472">
        <v>2</v>
      </c>
      <c r="AB1472">
        <v>3</v>
      </c>
      <c r="AC1472">
        <v>7</v>
      </c>
      <c r="AD1472">
        <v>25.73</v>
      </c>
      <c r="AE1472">
        <v>253</v>
      </c>
      <c r="AF1472">
        <v>19</v>
      </c>
      <c r="AG1472">
        <v>55</v>
      </c>
      <c r="AH1472">
        <v>32</v>
      </c>
      <c r="AI1472">
        <v>7.51</v>
      </c>
      <c r="AJ1472">
        <v>21.74</v>
      </c>
      <c r="AK1472">
        <v>12.65</v>
      </c>
      <c r="AL1472">
        <v>-19.631719749999949</v>
      </c>
      <c r="AM1472">
        <v>-43.910102324517517</v>
      </c>
      <c r="AN1472">
        <v>-19.631719749999949</v>
      </c>
      <c r="AO1472">
        <v>-43.910102324517517</v>
      </c>
      <c r="AP1472">
        <v>-19.631502000000001</v>
      </c>
      <c r="AQ1472">
        <v>-43.910241999999997</v>
      </c>
      <c r="AR1472">
        <v>28.320416429206599</v>
      </c>
      <c r="AS1472" t="s">
        <v>65</v>
      </c>
      <c r="AT1472">
        <v>1</v>
      </c>
      <c r="AU1472" t="s">
        <v>66</v>
      </c>
      <c r="AV1472" t="s">
        <v>67</v>
      </c>
      <c r="AW1472" t="s">
        <v>60</v>
      </c>
      <c r="AX1472" t="s">
        <v>68</v>
      </c>
      <c r="AY1472" t="s">
        <v>69</v>
      </c>
      <c r="AZ1472" t="b">
        <v>1</v>
      </c>
    </row>
    <row r="1473" spans="1:52" x14ac:dyDescent="0.3">
      <c r="A1473" t="s">
        <v>52</v>
      </c>
      <c r="B1473" t="s">
        <v>53</v>
      </c>
      <c r="C1473" t="s">
        <v>54</v>
      </c>
      <c r="D1473" t="s">
        <v>55</v>
      </c>
      <c r="E1473" t="s">
        <v>844</v>
      </c>
      <c r="F1473" t="s">
        <v>176</v>
      </c>
      <c r="G1473" t="s">
        <v>70</v>
      </c>
      <c r="H1473" t="s">
        <v>71</v>
      </c>
      <c r="I1473" t="s">
        <v>71</v>
      </c>
      <c r="J1473" t="s">
        <v>60</v>
      </c>
      <c r="K1473" t="s">
        <v>72</v>
      </c>
      <c r="L1473" t="s">
        <v>62</v>
      </c>
      <c r="M1473" t="s">
        <v>72</v>
      </c>
      <c r="N1473" t="s">
        <v>73</v>
      </c>
      <c r="O1473" t="s">
        <v>74</v>
      </c>
      <c r="P1473">
        <v>-19.632581999999999</v>
      </c>
      <c r="Q1473">
        <v>-43.902416000000002</v>
      </c>
      <c r="R1473" s="2" t="str">
        <f>HYPERLINK("https://www.google.com/maps?q=-19.6325820,-43.9024160","Abrir no Google Maps")</f>
        <v>Abrir no Google Maps</v>
      </c>
      <c r="S1473">
        <v>4</v>
      </c>
      <c r="T1473">
        <v>0</v>
      </c>
      <c r="U1473">
        <v>3</v>
      </c>
      <c r="V1473">
        <v>0.11059468888429839</v>
      </c>
      <c r="W1473">
        <v>1</v>
      </c>
      <c r="X1473">
        <v>0.11059468888429839</v>
      </c>
      <c r="Y1473">
        <v>10</v>
      </c>
      <c r="Z1473">
        <v>146.6968158874696</v>
      </c>
      <c r="AA1473">
        <v>2</v>
      </c>
      <c r="AB1473">
        <v>3</v>
      </c>
      <c r="AC1473">
        <v>7</v>
      </c>
      <c r="AD1473">
        <v>25.73</v>
      </c>
      <c r="AE1473">
        <v>253</v>
      </c>
      <c r="AF1473">
        <v>19</v>
      </c>
      <c r="AG1473">
        <v>55</v>
      </c>
      <c r="AH1473">
        <v>32</v>
      </c>
      <c r="AI1473">
        <v>7.51</v>
      </c>
      <c r="AJ1473">
        <v>21.74</v>
      </c>
      <c r="AK1473">
        <v>12.65</v>
      </c>
      <c r="AL1473">
        <v>-19.63271449999996</v>
      </c>
      <c r="AM1473">
        <v>-43.902649897389402</v>
      </c>
      <c r="AN1473">
        <v>-19.63271449999996</v>
      </c>
      <c r="AO1473">
        <v>-43.902649897389402</v>
      </c>
      <c r="AP1473">
        <v>-19.632581999999999</v>
      </c>
      <c r="AQ1473">
        <v>-43.902416000000002</v>
      </c>
      <c r="AR1473">
        <v>28.617753432996459</v>
      </c>
      <c r="AS1473" t="s">
        <v>65</v>
      </c>
      <c r="AT1473">
        <v>1</v>
      </c>
      <c r="AU1473" t="s">
        <v>75</v>
      </c>
      <c r="AV1473" t="s">
        <v>76</v>
      </c>
      <c r="AW1473" t="s">
        <v>60</v>
      </c>
      <c r="AX1473" t="s">
        <v>68</v>
      </c>
      <c r="AY1473" t="s">
        <v>69</v>
      </c>
      <c r="AZ1473" t="b">
        <v>1</v>
      </c>
    </row>
    <row r="1474" spans="1:52" x14ac:dyDescent="0.3">
      <c r="A1474" t="s">
        <v>52</v>
      </c>
      <c r="B1474" t="s">
        <v>53</v>
      </c>
      <c r="C1474" t="s">
        <v>54</v>
      </c>
      <c r="D1474" t="s">
        <v>55</v>
      </c>
      <c r="E1474" t="s">
        <v>844</v>
      </c>
      <c r="F1474" t="s">
        <v>176</v>
      </c>
      <c r="G1474" t="s">
        <v>77</v>
      </c>
      <c r="H1474" t="s">
        <v>78</v>
      </c>
      <c r="I1474" t="s">
        <v>78</v>
      </c>
      <c r="J1474" t="s">
        <v>60</v>
      </c>
      <c r="K1474" t="s">
        <v>79</v>
      </c>
      <c r="L1474" t="s">
        <v>62</v>
      </c>
      <c r="M1474" t="s">
        <v>79</v>
      </c>
      <c r="N1474" t="s">
        <v>80</v>
      </c>
      <c r="O1474" t="s">
        <v>81</v>
      </c>
      <c r="P1474">
        <v>-19.632463999999999</v>
      </c>
      <c r="Q1474">
        <v>-43.904927999999998</v>
      </c>
      <c r="R1474" s="2" t="str">
        <f>HYPERLINK("https://www.google.com/maps?q=-19.6324640,-43.9049280","Abrir no Google Maps")</f>
        <v>Abrir no Google Maps</v>
      </c>
      <c r="S1474">
        <v>4</v>
      </c>
      <c r="T1474">
        <v>244.1735197453369</v>
      </c>
      <c r="U1474">
        <v>3</v>
      </c>
      <c r="V1474">
        <v>0.121108615634163</v>
      </c>
      <c r="W1474">
        <v>1</v>
      </c>
      <c r="X1474">
        <v>0.121108615634163</v>
      </c>
      <c r="Y1474">
        <v>10</v>
      </c>
      <c r="Z1474">
        <v>287.26068152447448</v>
      </c>
      <c r="AA1474">
        <v>2</v>
      </c>
      <c r="AB1474">
        <v>3</v>
      </c>
      <c r="AC1474">
        <v>7</v>
      </c>
      <c r="AD1474">
        <v>25.73</v>
      </c>
      <c r="AE1474">
        <v>253</v>
      </c>
      <c r="AF1474">
        <v>19</v>
      </c>
      <c r="AG1474">
        <v>55</v>
      </c>
      <c r="AH1474">
        <v>32</v>
      </c>
      <c r="AI1474">
        <v>7.51</v>
      </c>
      <c r="AJ1474">
        <v>21.74</v>
      </c>
      <c r="AK1474">
        <v>12.65</v>
      </c>
      <c r="AL1474">
        <v>-19.63247099999996</v>
      </c>
      <c r="AM1474">
        <v>-43.904964174285787</v>
      </c>
      <c r="AN1474">
        <v>-19.63247099999996</v>
      </c>
      <c r="AO1474">
        <v>-43.904964174285787</v>
      </c>
      <c r="AP1474">
        <v>-19.632463999999999</v>
      </c>
      <c r="AQ1474">
        <v>-43.904927999999998</v>
      </c>
      <c r="AR1474">
        <v>3.8720457500200469</v>
      </c>
      <c r="AS1474" t="s">
        <v>65</v>
      </c>
      <c r="AT1474">
        <v>1</v>
      </c>
      <c r="AU1474" t="s">
        <v>82</v>
      </c>
      <c r="AV1474" t="s">
        <v>83</v>
      </c>
      <c r="AW1474" t="s">
        <v>60</v>
      </c>
      <c r="AX1474" t="s">
        <v>68</v>
      </c>
      <c r="AY1474" t="s">
        <v>69</v>
      </c>
      <c r="AZ1474" t="b">
        <v>1</v>
      </c>
    </row>
    <row r="1475" spans="1:52" x14ac:dyDescent="0.3">
      <c r="A1475" t="s">
        <v>52</v>
      </c>
      <c r="B1475" t="s">
        <v>53</v>
      </c>
      <c r="C1475" t="s">
        <v>54</v>
      </c>
      <c r="D1475" t="s">
        <v>55</v>
      </c>
      <c r="E1475" t="s">
        <v>844</v>
      </c>
      <c r="F1475" t="s">
        <v>176</v>
      </c>
      <c r="G1475" t="s">
        <v>97</v>
      </c>
      <c r="H1475" t="s">
        <v>98</v>
      </c>
      <c r="I1475" t="s">
        <v>98</v>
      </c>
      <c r="J1475" t="s">
        <v>60</v>
      </c>
      <c r="K1475" t="s">
        <v>99</v>
      </c>
      <c r="L1475" t="s">
        <v>62</v>
      </c>
      <c r="M1475" t="s">
        <v>99</v>
      </c>
      <c r="N1475" t="s">
        <v>100</v>
      </c>
      <c r="O1475" t="s">
        <v>101</v>
      </c>
      <c r="P1475">
        <v>-19.629822000000001</v>
      </c>
      <c r="Q1475">
        <v>-43.905341</v>
      </c>
      <c r="R1475" s="2" t="str">
        <f>HYPERLINK("https://www.google.com/maps?q=-19.6298220,-43.9053410","Abrir no Google Maps")</f>
        <v>Abrir no Google Maps</v>
      </c>
      <c r="S1475">
        <v>4</v>
      </c>
      <c r="T1475">
        <v>441.30597341744129</v>
      </c>
      <c r="U1475">
        <v>3</v>
      </c>
      <c r="V1475">
        <v>0.1151415695111198</v>
      </c>
      <c r="W1475">
        <v>1</v>
      </c>
      <c r="X1475">
        <v>0.1151415695111198</v>
      </c>
      <c r="Y1475">
        <v>10</v>
      </c>
      <c r="Z1475">
        <v>513.56493751010987</v>
      </c>
      <c r="AA1475">
        <v>2</v>
      </c>
      <c r="AB1475">
        <v>3</v>
      </c>
      <c r="AC1475">
        <v>7</v>
      </c>
      <c r="AD1475">
        <v>25.73</v>
      </c>
      <c r="AE1475">
        <v>253</v>
      </c>
      <c r="AF1475">
        <v>19</v>
      </c>
      <c r="AG1475">
        <v>55</v>
      </c>
      <c r="AH1475">
        <v>32</v>
      </c>
      <c r="AI1475">
        <v>7.51</v>
      </c>
      <c r="AJ1475">
        <v>21.74</v>
      </c>
      <c r="AK1475">
        <v>12.65</v>
      </c>
      <c r="AL1475">
        <v>-19.629671599999941</v>
      </c>
      <c r="AM1475">
        <v>-43.905369597920988</v>
      </c>
      <c r="AN1475">
        <v>-19.629671599999931</v>
      </c>
      <c r="AO1475">
        <v>-43.905369597920988</v>
      </c>
      <c r="AP1475">
        <v>-19.629822000000001</v>
      </c>
      <c r="AQ1475">
        <v>-43.905341</v>
      </c>
      <c r="AR1475">
        <v>17.008917699186132</v>
      </c>
      <c r="AS1475" t="s">
        <v>65</v>
      </c>
      <c r="AT1475">
        <v>1</v>
      </c>
      <c r="AU1475" t="s">
        <v>102</v>
      </c>
      <c r="AV1475" t="s">
        <v>103</v>
      </c>
      <c r="AW1475" t="s">
        <v>60</v>
      </c>
      <c r="AX1475" t="s">
        <v>68</v>
      </c>
      <c r="AY1475" t="s">
        <v>69</v>
      </c>
      <c r="AZ1475" t="b">
        <v>1</v>
      </c>
    </row>
    <row r="1476" spans="1:52" x14ac:dyDescent="0.3">
      <c r="A1476" t="s">
        <v>52</v>
      </c>
      <c r="B1476" t="s">
        <v>53</v>
      </c>
      <c r="C1476" t="s">
        <v>54</v>
      </c>
      <c r="D1476" t="s">
        <v>55</v>
      </c>
      <c r="E1476" t="s">
        <v>844</v>
      </c>
      <c r="F1476" t="s">
        <v>176</v>
      </c>
      <c r="G1476" t="s">
        <v>805</v>
      </c>
      <c r="H1476" t="s">
        <v>806</v>
      </c>
      <c r="I1476" t="s">
        <v>806</v>
      </c>
      <c r="J1476" t="s">
        <v>60</v>
      </c>
      <c r="K1476" t="s">
        <v>185</v>
      </c>
      <c r="L1476" t="s">
        <v>62</v>
      </c>
      <c r="M1476" t="s">
        <v>185</v>
      </c>
      <c r="N1476" t="s">
        <v>807</v>
      </c>
      <c r="O1476" t="s">
        <v>808</v>
      </c>
      <c r="P1476">
        <v>-19.627182000000001</v>
      </c>
      <c r="Q1476">
        <v>-43.902304999999998</v>
      </c>
      <c r="R1476" s="2" t="str">
        <f>HYPERLINK("https://www.google.com/maps?q=-19.6271820,-43.9023050","Abrir no Google Maps")</f>
        <v>Abrir no Google Maps</v>
      </c>
      <c r="S1476">
        <v>4</v>
      </c>
      <c r="T1476">
        <v>616.79254108479665</v>
      </c>
      <c r="U1476">
        <v>3</v>
      </c>
      <c r="V1476">
        <v>0.1426377822045152</v>
      </c>
      <c r="W1476">
        <v>0.85</v>
      </c>
      <c r="X1476">
        <v>0.1212421148738379</v>
      </c>
      <c r="Y1476">
        <v>7</v>
      </c>
      <c r="Z1476">
        <v>380.94095493365262</v>
      </c>
      <c r="AA1476">
        <v>2</v>
      </c>
      <c r="AB1476">
        <v>3</v>
      </c>
      <c r="AC1476">
        <v>7</v>
      </c>
      <c r="AD1476">
        <v>25.73</v>
      </c>
      <c r="AE1476">
        <v>253</v>
      </c>
      <c r="AF1476">
        <v>19</v>
      </c>
      <c r="AG1476">
        <v>55</v>
      </c>
      <c r="AH1476">
        <v>32</v>
      </c>
      <c r="AI1476">
        <v>7.51</v>
      </c>
      <c r="AJ1476">
        <v>21.74</v>
      </c>
      <c r="AK1476">
        <v>12.65</v>
      </c>
      <c r="AL1476">
        <v>-19.62716294999996</v>
      </c>
      <c r="AM1476">
        <v>-43.902133386240209</v>
      </c>
      <c r="AN1476">
        <v>-19.62716294999996</v>
      </c>
      <c r="AO1476">
        <v>-43.902133386240209</v>
      </c>
      <c r="AP1476">
        <v>-19.627182000000001</v>
      </c>
      <c r="AQ1476">
        <v>-43.902304999999998</v>
      </c>
      <c r="AR1476">
        <v>18.118597424375309</v>
      </c>
      <c r="AS1476" t="s">
        <v>65</v>
      </c>
      <c r="AT1476">
        <v>1</v>
      </c>
      <c r="AU1476" t="s">
        <v>809</v>
      </c>
      <c r="AV1476" t="s">
        <v>810</v>
      </c>
      <c r="AW1476" t="s">
        <v>60</v>
      </c>
      <c r="AX1476" t="s">
        <v>68</v>
      </c>
      <c r="AY1476" t="s">
        <v>69</v>
      </c>
      <c r="AZ1476" t="b">
        <v>1</v>
      </c>
    </row>
    <row r="1477" spans="1:52" x14ac:dyDescent="0.3">
      <c r="A1477" t="s">
        <v>52</v>
      </c>
      <c r="B1477" t="s">
        <v>53</v>
      </c>
      <c r="C1477" t="s">
        <v>54</v>
      </c>
      <c r="D1477" t="s">
        <v>55</v>
      </c>
      <c r="E1477" t="s">
        <v>844</v>
      </c>
      <c r="F1477" t="s">
        <v>176</v>
      </c>
      <c r="G1477" t="s">
        <v>177</v>
      </c>
      <c r="H1477" t="s">
        <v>178</v>
      </c>
      <c r="I1477" t="s">
        <v>178</v>
      </c>
      <c r="J1477" t="s">
        <v>60</v>
      </c>
      <c r="K1477" t="s">
        <v>179</v>
      </c>
      <c r="L1477" t="s">
        <v>62</v>
      </c>
      <c r="M1477" t="s">
        <v>179</v>
      </c>
      <c r="N1477" t="s">
        <v>180</v>
      </c>
      <c r="O1477" t="s">
        <v>120</v>
      </c>
      <c r="P1477">
        <v>-19.651526</v>
      </c>
      <c r="Q1477">
        <v>-43.891382999999998</v>
      </c>
      <c r="R1477" s="2" t="str">
        <f>HYPERLINK("https://www.google.com/maps?q=-19.6515260,-43.8913830","Abrir no Google Maps")</f>
        <v>Abrir no Google Maps</v>
      </c>
      <c r="S1477">
        <v>4</v>
      </c>
      <c r="T1477">
        <v>925.67779296789433</v>
      </c>
      <c r="U1477">
        <v>3</v>
      </c>
      <c r="V1477">
        <v>0.1124090785493355</v>
      </c>
      <c r="W1477">
        <v>1</v>
      </c>
      <c r="X1477">
        <v>0.1124090785493355</v>
      </c>
      <c r="Y1477">
        <v>7</v>
      </c>
      <c r="Z1477">
        <v>1193.102297436121</v>
      </c>
      <c r="AA1477">
        <v>2</v>
      </c>
      <c r="AB1477">
        <v>3</v>
      </c>
      <c r="AC1477">
        <v>7</v>
      </c>
      <c r="AD1477">
        <v>25.73</v>
      </c>
      <c r="AE1477">
        <v>253</v>
      </c>
      <c r="AF1477">
        <v>19</v>
      </c>
      <c r="AG1477">
        <v>55</v>
      </c>
      <c r="AH1477">
        <v>32</v>
      </c>
      <c r="AI1477">
        <v>7.51</v>
      </c>
      <c r="AJ1477">
        <v>21.74</v>
      </c>
      <c r="AK1477">
        <v>12.65</v>
      </c>
      <c r="AL1477">
        <v>-19.651590199999958</v>
      </c>
      <c r="AM1477">
        <v>-43.891399191449963</v>
      </c>
      <c r="AN1477">
        <v>-19.651590199999958</v>
      </c>
      <c r="AO1477">
        <v>-43.891399191449963</v>
      </c>
      <c r="AP1477">
        <v>-19.651526</v>
      </c>
      <c r="AQ1477">
        <v>-43.891382999999998</v>
      </c>
      <c r="AR1477">
        <v>7.3455622550785931</v>
      </c>
      <c r="AS1477" t="s">
        <v>65</v>
      </c>
      <c r="AT1477">
        <v>1</v>
      </c>
      <c r="AU1477" t="s">
        <v>181</v>
      </c>
      <c r="AV1477" t="s">
        <v>182</v>
      </c>
      <c r="AW1477" t="s">
        <v>60</v>
      </c>
      <c r="AX1477" t="s">
        <v>68</v>
      </c>
      <c r="AY1477" t="s">
        <v>69</v>
      </c>
      <c r="AZ1477" t="b">
        <v>1</v>
      </c>
    </row>
    <row r="1478" spans="1:52" x14ac:dyDescent="0.3">
      <c r="A1478" t="s">
        <v>52</v>
      </c>
      <c r="B1478" t="s">
        <v>53</v>
      </c>
      <c r="C1478" t="s">
        <v>54</v>
      </c>
      <c r="D1478" t="s">
        <v>55</v>
      </c>
      <c r="E1478" t="s">
        <v>844</v>
      </c>
      <c r="F1478" t="s">
        <v>176</v>
      </c>
      <c r="G1478" t="s">
        <v>617</v>
      </c>
      <c r="H1478" t="s">
        <v>618</v>
      </c>
      <c r="I1478" t="s">
        <v>618</v>
      </c>
      <c r="J1478" t="s">
        <v>60</v>
      </c>
      <c r="K1478" t="s">
        <v>164</v>
      </c>
      <c r="L1478" t="s">
        <v>62</v>
      </c>
      <c r="M1478" t="s">
        <v>164</v>
      </c>
      <c r="N1478" t="s">
        <v>619</v>
      </c>
      <c r="O1478" t="s">
        <v>533</v>
      </c>
      <c r="P1478">
        <v>-19.647825000000001</v>
      </c>
      <c r="Q1478">
        <v>-43.908369</v>
      </c>
      <c r="R1478" s="2" t="str">
        <f>HYPERLINK("https://www.google.com/maps?q=-19.6478250,-43.9083690","Abrir no Google Maps")</f>
        <v>Abrir no Google Maps</v>
      </c>
      <c r="S1478">
        <v>4</v>
      </c>
      <c r="T1478">
        <v>492.67524679338959</v>
      </c>
      <c r="U1478">
        <v>3</v>
      </c>
      <c r="V1478">
        <v>0.1117876731430696</v>
      </c>
      <c r="W1478">
        <v>1</v>
      </c>
      <c r="X1478">
        <v>0.1117876731430696</v>
      </c>
      <c r="Y1478">
        <v>4</v>
      </c>
      <c r="Z1478">
        <v>410.3082448803296</v>
      </c>
      <c r="AA1478">
        <v>2</v>
      </c>
      <c r="AB1478">
        <v>3</v>
      </c>
      <c r="AC1478">
        <v>7</v>
      </c>
      <c r="AD1478">
        <v>25.73</v>
      </c>
      <c r="AE1478">
        <v>253</v>
      </c>
      <c r="AF1478">
        <v>19</v>
      </c>
      <c r="AG1478">
        <v>55</v>
      </c>
      <c r="AH1478">
        <v>32</v>
      </c>
      <c r="AI1478">
        <v>7.51</v>
      </c>
      <c r="AJ1478">
        <v>21.74</v>
      </c>
      <c r="AK1478">
        <v>12.65</v>
      </c>
      <c r="AL1478">
        <v>-19.647879399999969</v>
      </c>
      <c r="AM1478">
        <v>-43.908372097349897</v>
      </c>
      <c r="AN1478">
        <v>-19.647879399999969</v>
      </c>
      <c r="AO1478">
        <v>-43.908372097349897</v>
      </c>
      <c r="AP1478">
        <v>-19.647825000000001</v>
      </c>
      <c r="AQ1478">
        <v>-43.908369</v>
      </c>
      <c r="AR1478">
        <v>6.06450779015137</v>
      </c>
      <c r="AS1478" t="s">
        <v>65</v>
      </c>
      <c r="AT1478">
        <v>1</v>
      </c>
      <c r="AU1478" t="s">
        <v>620</v>
      </c>
      <c r="AV1478" t="s">
        <v>621</v>
      </c>
      <c r="AW1478" t="s">
        <v>60</v>
      </c>
      <c r="AX1478" t="s">
        <v>68</v>
      </c>
      <c r="AY1478" t="s">
        <v>69</v>
      </c>
      <c r="AZ1478" t="b">
        <v>1</v>
      </c>
    </row>
    <row r="1479" spans="1:52" x14ac:dyDescent="0.3">
      <c r="A1479" t="s">
        <v>52</v>
      </c>
      <c r="B1479" t="s">
        <v>53</v>
      </c>
      <c r="C1479" t="s">
        <v>54</v>
      </c>
      <c r="D1479" t="s">
        <v>55</v>
      </c>
      <c r="E1479" t="s">
        <v>844</v>
      </c>
      <c r="F1479" t="s">
        <v>176</v>
      </c>
      <c r="G1479" t="s">
        <v>632</v>
      </c>
      <c r="H1479" t="s">
        <v>633</v>
      </c>
      <c r="I1479" t="s">
        <v>633</v>
      </c>
      <c r="J1479" t="s">
        <v>60</v>
      </c>
      <c r="K1479" t="s">
        <v>164</v>
      </c>
      <c r="L1479" t="s">
        <v>62</v>
      </c>
      <c r="M1479" t="s">
        <v>164</v>
      </c>
      <c r="N1479" t="s">
        <v>287</v>
      </c>
      <c r="O1479" t="s">
        <v>634</v>
      </c>
      <c r="P1479">
        <v>-19.647012</v>
      </c>
      <c r="Q1479">
        <v>-43.903843000000002</v>
      </c>
      <c r="R1479" s="2" t="str">
        <f>HYPERLINK("https://www.google.com/maps?q=-19.6470120,-43.9038430","Abrir no Google Maps")</f>
        <v>Abrir no Google Maps</v>
      </c>
      <c r="S1479">
        <v>4</v>
      </c>
      <c r="T1479">
        <v>0</v>
      </c>
      <c r="U1479">
        <v>3</v>
      </c>
      <c r="V1479">
        <v>0.14047619047619039</v>
      </c>
      <c r="W1479">
        <v>0.85</v>
      </c>
      <c r="X1479">
        <v>0.11940476190476181</v>
      </c>
      <c r="Y1479">
        <v>1</v>
      </c>
      <c r="Z1479">
        <v>126.45608798330009</v>
      </c>
      <c r="AA1479">
        <v>2</v>
      </c>
      <c r="AB1479">
        <v>3</v>
      </c>
      <c r="AC1479">
        <v>7</v>
      </c>
      <c r="AD1479">
        <v>25.73</v>
      </c>
      <c r="AE1479">
        <v>253</v>
      </c>
      <c r="AF1479">
        <v>19</v>
      </c>
      <c r="AG1479">
        <v>55</v>
      </c>
      <c r="AH1479">
        <v>32</v>
      </c>
      <c r="AI1479">
        <v>7.51</v>
      </c>
      <c r="AJ1479">
        <v>21.74</v>
      </c>
      <c r="AK1479">
        <v>12.65</v>
      </c>
      <c r="AL1479">
        <v>-19.647072199999968</v>
      </c>
      <c r="AM1479">
        <v>-43.903751273681941</v>
      </c>
      <c r="AN1479">
        <v>-19.647072199999968</v>
      </c>
      <c r="AO1479">
        <v>-43.903751273681941</v>
      </c>
      <c r="AP1479">
        <v>-19.647012</v>
      </c>
      <c r="AQ1479">
        <v>-43.903843000000002</v>
      </c>
      <c r="AR1479">
        <v>11.72121231224985</v>
      </c>
      <c r="AS1479" t="s">
        <v>65</v>
      </c>
      <c r="AT1479">
        <v>1</v>
      </c>
      <c r="AU1479" t="s">
        <v>635</v>
      </c>
      <c r="AV1479" t="s">
        <v>636</v>
      </c>
      <c r="AW1479" t="s">
        <v>60</v>
      </c>
      <c r="AX1479" t="s">
        <v>68</v>
      </c>
      <c r="AY1479" t="s">
        <v>69</v>
      </c>
      <c r="AZ1479" t="b">
        <v>1</v>
      </c>
    </row>
    <row r="1480" spans="1:52" x14ac:dyDescent="0.3">
      <c r="A1480" t="s">
        <v>52</v>
      </c>
      <c r="B1480" t="s">
        <v>53</v>
      </c>
      <c r="C1480" t="s">
        <v>54</v>
      </c>
      <c r="D1480" t="s">
        <v>55</v>
      </c>
      <c r="E1480" t="s">
        <v>844</v>
      </c>
      <c r="F1480" t="s">
        <v>176</v>
      </c>
      <c r="G1480" t="s">
        <v>637</v>
      </c>
      <c r="H1480" t="s">
        <v>638</v>
      </c>
      <c r="I1480" t="s">
        <v>638</v>
      </c>
      <c r="J1480" t="s">
        <v>60</v>
      </c>
      <c r="K1480" t="s">
        <v>164</v>
      </c>
      <c r="L1480" t="s">
        <v>62</v>
      </c>
      <c r="M1480" t="s">
        <v>164</v>
      </c>
      <c r="N1480" t="s">
        <v>515</v>
      </c>
      <c r="O1480" t="s">
        <v>639</v>
      </c>
      <c r="P1480">
        <v>-19.649045000000001</v>
      </c>
      <c r="Q1480">
        <v>-43.906213000000001</v>
      </c>
      <c r="R1480" s="2" t="str">
        <f>HYPERLINK("https://www.google.com/maps?q=-19.6490450,-43.9062130","Abrir no Google Maps")</f>
        <v>Abrir no Google Maps</v>
      </c>
      <c r="S1480">
        <v>4</v>
      </c>
      <c r="T1480">
        <v>354.5775313741824</v>
      </c>
      <c r="U1480">
        <v>3</v>
      </c>
      <c r="V1480">
        <v>0.13928571428571429</v>
      </c>
      <c r="W1480">
        <v>0.85</v>
      </c>
      <c r="X1480">
        <v>0.11839285714285711</v>
      </c>
      <c r="Y1480">
        <v>1</v>
      </c>
      <c r="Z1480">
        <v>313.4728845052731</v>
      </c>
      <c r="AA1480">
        <v>2</v>
      </c>
      <c r="AB1480">
        <v>3</v>
      </c>
      <c r="AC1480">
        <v>7</v>
      </c>
      <c r="AD1480">
        <v>25.73</v>
      </c>
      <c r="AE1480">
        <v>253</v>
      </c>
      <c r="AF1480">
        <v>19</v>
      </c>
      <c r="AG1480">
        <v>55</v>
      </c>
      <c r="AH1480">
        <v>32</v>
      </c>
      <c r="AI1480">
        <v>7.51</v>
      </c>
      <c r="AJ1480">
        <v>21.74</v>
      </c>
      <c r="AK1480">
        <v>12.65</v>
      </c>
      <c r="AL1480">
        <v>-19.64957229999996</v>
      </c>
      <c r="AM1480">
        <v>-43.905865971426437</v>
      </c>
      <c r="AN1480">
        <v>-19.64957229999996</v>
      </c>
      <c r="AO1480">
        <v>-43.905865971426437</v>
      </c>
      <c r="AP1480">
        <v>-19.649045000000001</v>
      </c>
      <c r="AQ1480">
        <v>-43.906213000000001</v>
      </c>
      <c r="AR1480">
        <v>69.059379686882949</v>
      </c>
      <c r="AS1480" t="s">
        <v>65</v>
      </c>
      <c r="AT1480">
        <v>1</v>
      </c>
      <c r="AU1480" t="s">
        <v>640</v>
      </c>
      <c r="AV1480" t="s">
        <v>641</v>
      </c>
      <c r="AW1480" t="s">
        <v>60</v>
      </c>
      <c r="AX1480" t="s">
        <v>68</v>
      </c>
      <c r="AY1480" t="s">
        <v>69</v>
      </c>
      <c r="AZ1480" t="b">
        <v>1</v>
      </c>
    </row>
    <row r="1481" spans="1:52" x14ac:dyDescent="0.3">
      <c r="A1481" t="s">
        <v>52</v>
      </c>
      <c r="B1481" t="s">
        <v>53</v>
      </c>
      <c r="C1481" t="s">
        <v>54</v>
      </c>
      <c r="D1481" t="s">
        <v>55</v>
      </c>
      <c r="E1481" t="s">
        <v>844</v>
      </c>
      <c r="F1481" t="s">
        <v>176</v>
      </c>
      <c r="G1481" t="s">
        <v>642</v>
      </c>
      <c r="H1481" t="s">
        <v>643</v>
      </c>
      <c r="I1481" t="s">
        <v>643</v>
      </c>
      <c r="J1481" t="s">
        <v>60</v>
      </c>
      <c r="K1481" t="s">
        <v>164</v>
      </c>
      <c r="L1481" t="s">
        <v>62</v>
      </c>
      <c r="M1481" t="s">
        <v>164</v>
      </c>
      <c r="N1481" t="s">
        <v>644</v>
      </c>
      <c r="O1481" t="s">
        <v>81</v>
      </c>
      <c r="P1481">
        <v>-19.644956000000001</v>
      </c>
      <c r="Q1481">
        <v>-43.901023000000002</v>
      </c>
      <c r="R1481" s="2" t="str">
        <f>HYPERLINK("https://www.google.com/maps?q=-19.6449560,-43.9010230","Abrir no Google Maps")</f>
        <v>Abrir no Google Maps</v>
      </c>
      <c r="S1481">
        <v>4</v>
      </c>
      <c r="T1481">
        <v>378.64754976511352</v>
      </c>
      <c r="U1481">
        <v>3</v>
      </c>
      <c r="V1481">
        <v>0.139874213836478</v>
      </c>
      <c r="W1481">
        <v>0.85</v>
      </c>
      <c r="X1481">
        <v>0.1188930817610063</v>
      </c>
      <c r="Y1481">
        <v>1</v>
      </c>
      <c r="Z1481">
        <v>510.11108946713603</v>
      </c>
      <c r="AA1481">
        <v>2</v>
      </c>
      <c r="AB1481">
        <v>3</v>
      </c>
      <c r="AC1481">
        <v>7</v>
      </c>
      <c r="AD1481">
        <v>25.73</v>
      </c>
      <c r="AE1481">
        <v>253</v>
      </c>
      <c r="AF1481">
        <v>19</v>
      </c>
      <c r="AG1481">
        <v>55</v>
      </c>
      <c r="AH1481">
        <v>32</v>
      </c>
      <c r="AI1481">
        <v>7.51</v>
      </c>
      <c r="AJ1481">
        <v>21.74</v>
      </c>
      <c r="AK1481">
        <v>12.65</v>
      </c>
      <c r="AL1481">
        <v>-19.644933249999951</v>
      </c>
      <c r="AM1481">
        <v>-43.900932838618871</v>
      </c>
      <c r="AN1481">
        <v>-19.644933249999951</v>
      </c>
      <c r="AO1481">
        <v>-43.900932838618871</v>
      </c>
      <c r="AP1481">
        <v>-19.644956000000001</v>
      </c>
      <c r="AQ1481">
        <v>-43.901023000000002</v>
      </c>
      <c r="AR1481">
        <v>9.7859445473101285</v>
      </c>
      <c r="AS1481" t="s">
        <v>65</v>
      </c>
      <c r="AT1481">
        <v>1</v>
      </c>
      <c r="AU1481" t="s">
        <v>645</v>
      </c>
      <c r="AV1481" t="s">
        <v>646</v>
      </c>
      <c r="AW1481" t="s">
        <v>60</v>
      </c>
      <c r="AX1481" t="s">
        <v>68</v>
      </c>
      <c r="AY1481" t="s">
        <v>69</v>
      </c>
      <c r="AZ1481" t="b">
        <v>1</v>
      </c>
    </row>
    <row r="1482" spans="1:52" x14ac:dyDescent="0.3">
      <c r="A1482" t="s">
        <v>52</v>
      </c>
      <c r="B1482" t="s">
        <v>53</v>
      </c>
      <c r="C1482" t="s">
        <v>54</v>
      </c>
      <c r="D1482" t="s">
        <v>55</v>
      </c>
      <c r="E1482" t="s">
        <v>844</v>
      </c>
      <c r="F1482" t="s">
        <v>176</v>
      </c>
      <c r="G1482" t="s">
        <v>217</v>
      </c>
      <c r="H1482" t="s">
        <v>264</v>
      </c>
      <c r="I1482" t="s">
        <v>264</v>
      </c>
      <c r="J1482" t="s">
        <v>60</v>
      </c>
      <c r="K1482" t="s">
        <v>219</v>
      </c>
      <c r="L1482" t="s">
        <v>62</v>
      </c>
      <c r="M1482" t="s">
        <v>219</v>
      </c>
      <c r="N1482" t="s">
        <v>220</v>
      </c>
      <c r="O1482" t="s">
        <v>265</v>
      </c>
      <c r="P1482">
        <v>-19.668958</v>
      </c>
      <c r="Q1482">
        <v>-43.890619999999998</v>
      </c>
      <c r="R1482" s="2" t="str">
        <f>HYPERLINK("https://www.google.com/maps?q=-19.6689580,-43.8906200","Abrir no Google Maps")</f>
        <v>Abrir no Google Maps</v>
      </c>
      <c r="S1482">
        <v>4</v>
      </c>
      <c r="T1482">
        <v>893.53138484322108</v>
      </c>
      <c r="U1482">
        <v>3</v>
      </c>
      <c r="V1482">
        <v>0.1117060658945475</v>
      </c>
      <c r="W1482">
        <v>1</v>
      </c>
      <c r="X1482">
        <v>0.1117060658945475</v>
      </c>
      <c r="Y1482">
        <v>1</v>
      </c>
      <c r="Z1482">
        <v>336.68220024294959</v>
      </c>
      <c r="AA1482">
        <v>2</v>
      </c>
      <c r="AB1482">
        <v>3</v>
      </c>
      <c r="AC1482">
        <v>7</v>
      </c>
      <c r="AD1482">
        <v>25.73</v>
      </c>
      <c r="AE1482">
        <v>253</v>
      </c>
      <c r="AF1482">
        <v>19</v>
      </c>
      <c r="AG1482">
        <v>55</v>
      </c>
      <c r="AH1482">
        <v>32</v>
      </c>
      <c r="AI1482">
        <v>7.51</v>
      </c>
      <c r="AJ1482">
        <v>21.74</v>
      </c>
      <c r="AK1482">
        <v>12.65</v>
      </c>
      <c r="AL1482">
        <v>-19.669114549999961</v>
      </c>
      <c r="AM1482">
        <v>-43.890740893526242</v>
      </c>
      <c r="AN1482">
        <v>-19.669114549999961</v>
      </c>
      <c r="AO1482">
        <v>-43.890740893526242</v>
      </c>
      <c r="AP1482">
        <v>-19.668958</v>
      </c>
      <c r="AQ1482">
        <v>-43.890619999999998</v>
      </c>
      <c r="AR1482">
        <v>21.54764375256557</v>
      </c>
      <c r="AS1482" t="s">
        <v>65</v>
      </c>
      <c r="AT1482">
        <v>1</v>
      </c>
      <c r="AU1482" t="s">
        <v>266</v>
      </c>
      <c r="AV1482" t="s">
        <v>267</v>
      </c>
      <c r="AW1482" t="s">
        <v>60</v>
      </c>
      <c r="AX1482" t="s">
        <v>68</v>
      </c>
      <c r="AY1482" t="s">
        <v>69</v>
      </c>
      <c r="AZ1482" t="b">
        <v>1</v>
      </c>
    </row>
    <row r="1483" spans="1:52" x14ac:dyDescent="0.3">
      <c r="A1483" t="s">
        <v>52</v>
      </c>
      <c r="B1483" t="s">
        <v>53</v>
      </c>
      <c r="C1483" t="s">
        <v>54</v>
      </c>
      <c r="D1483" t="s">
        <v>55</v>
      </c>
      <c r="E1483" t="s">
        <v>844</v>
      </c>
      <c r="F1483" t="s">
        <v>176</v>
      </c>
      <c r="G1483" t="s">
        <v>169</v>
      </c>
      <c r="H1483" t="s">
        <v>170</v>
      </c>
      <c r="I1483" t="s">
        <v>170</v>
      </c>
      <c r="J1483" t="s">
        <v>60</v>
      </c>
      <c r="K1483" t="s">
        <v>171</v>
      </c>
      <c r="L1483" t="s">
        <v>62</v>
      </c>
      <c r="M1483" t="s">
        <v>171</v>
      </c>
      <c r="N1483" t="s">
        <v>172</v>
      </c>
      <c r="O1483" t="s">
        <v>173</v>
      </c>
      <c r="P1483">
        <v>-19.676233</v>
      </c>
      <c r="Q1483">
        <v>-43.88861</v>
      </c>
      <c r="R1483" s="2" t="str">
        <f>HYPERLINK("https://www.google.com/maps?q=-19.6762330,-43.8886100","Abrir no Google Maps")</f>
        <v>Abrir no Google Maps</v>
      </c>
      <c r="S1483">
        <v>4</v>
      </c>
      <c r="T1483">
        <v>209.5772620412292</v>
      </c>
      <c r="U1483">
        <v>3</v>
      </c>
      <c r="V1483">
        <v>0.11452146841141141</v>
      </c>
      <c r="W1483">
        <v>1</v>
      </c>
      <c r="X1483">
        <v>0.11452146841141141</v>
      </c>
      <c r="Y1483">
        <v>0</v>
      </c>
      <c r="Z1483">
        <v>194.26571923644971</v>
      </c>
      <c r="AA1483">
        <v>2</v>
      </c>
      <c r="AB1483">
        <v>3</v>
      </c>
      <c r="AC1483">
        <v>7</v>
      </c>
      <c r="AD1483">
        <v>25.73</v>
      </c>
      <c r="AE1483">
        <v>253</v>
      </c>
      <c r="AF1483">
        <v>19</v>
      </c>
      <c r="AG1483">
        <v>55</v>
      </c>
      <c r="AH1483">
        <v>32</v>
      </c>
      <c r="AI1483">
        <v>7.51</v>
      </c>
      <c r="AJ1483">
        <v>21.74</v>
      </c>
      <c r="AK1483">
        <v>12.65</v>
      </c>
      <c r="AL1483">
        <v>-19.676097449999961</v>
      </c>
      <c r="AM1483">
        <v>-43.888455613153738</v>
      </c>
      <c r="AN1483">
        <v>-19.676097449999961</v>
      </c>
      <c r="AO1483">
        <v>-43.888455613153738</v>
      </c>
      <c r="AP1483">
        <v>-19.676233</v>
      </c>
      <c r="AQ1483">
        <v>-43.88861</v>
      </c>
      <c r="AR1483">
        <v>22.126352434234079</v>
      </c>
      <c r="AS1483" t="s">
        <v>65</v>
      </c>
      <c r="AT1483">
        <v>1</v>
      </c>
      <c r="AU1483" t="s">
        <v>174</v>
      </c>
      <c r="AV1483" t="s">
        <v>175</v>
      </c>
      <c r="AW1483" t="s">
        <v>60</v>
      </c>
      <c r="AX1483" t="s">
        <v>68</v>
      </c>
      <c r="AY1483" t="s">
        <v>69</v>
      </c>
      <c r="AZ1483" t="b">
        <v>1</v>
      </c>
    </row>
    <row r="1484" spans="1:52" x14ac:dyDescent="0.3">
      <c r="A1484" t="s">
        <v>52</v>
      </c>
      <c r="B1484" t="s">
        <v>53</v>
      </c>
      <c r="C1484" t="s">
        <v>54</v>
      </c>
      <c r="D1484" t="s">
        <v>55</v>
      </c>
      <c r="E1484" t="s">
        <v>844</v>
      </c>
      <c r="F1484" t="s">
        <v>176</v>
      </c>
      <c r="G1484" t="s">
        <v>399</v>
      </c>
      <c r="H1484" t="s">
        <v>400</v>
      </c>
      <c r="I1484" t="s">
        <v>400</v>
      </c>
      <c r="J1484" t="s">
        <v>60</v>
      </c>
      <c r="K1484" t="s">
        <v>286</v>
      </c>
      <c r="L1484" t="s">
        <v>62</v>
      </c>
      <c r="M1484" t="s">
        <v>286</v>
      </c>
      <c r="N1484" t="s">
        <v>401</v>
      </c>
      <c r="O1484" t="s">
        <v>402</v>
      </c>
      <c r="P1484">
        <v>-19.639906</v>
      </c>
      <c r="Q1484">
        <v>-43.886059000000003</v>
      </c>
      <c r="R1484" s="2" t="str">
        <f>HYPERLINK("https://www.google.com/maps?q=-19.6399060,-43.8860590","Abrir no Google Maps")</f>
        <v>Abrir no Google Maps</v>
      </c>
      <c r="S1484">
        <v>3</v>
      </c>
      <c r="T1484">
        <v>256.0748811302048</v>
      </c>
      <c r="U1484">
        <v>4</v>
      </c>
      <c r="V1484">
        <v>0.1216926793013749</v>
      </c>
      <c r="W1484">
        <v>1</v>
      </c>
      <c r="X1484">
        <v>0.1216926793013749</v>
      </c>
      <c r="Y1484">
        <v>10</v>
      </c>
      <c r="Z1484">
        <v>205.06236700857289</v>
      </c>
      <c r="AA1484">
        <v>2</v>
      </c>
      <c r="AB1484">
        <v>3</v>
      </c>
      <c r="AC1484">
        <v>7</v>
      </c>
      <c r="AD1484">
        <v>25.73</v>
      </c>
      <c r="AE1484">
        <v>253</v>
      </c>
      <c r="AF1484">
        <v>19</v>
      </c>
      <c r="AG1484">
        <v>55</v>
      </c>
      <c r="AH1484">
        <v>32</v>
      </c>
      <c r="AI1484">
        <v>7.51</v>
      </c>
      <c r="AJ1484">
        <v>21.74</v>
      </c>
      <c r="AK1484">
        <v>12.65</v>
      </c>
      <c r="AL1484">
        <v>-19.639789499999949</v>
      </c>
      <c r="AM1484">
        <v>-43.885737855031408</v>
      </c>
      <c r="AN1484">
        <v>-19.639789499999949</v>
      </c>
      <c r="AO1484">
        <v>-43.885737855031408</v>
      </c>
      <c r="AP1484">
        <v>-19.639906</v>
      </c>
      <c r="AQ1484">
        <v>-43.886059000000003</v>
      </c>
      <c r="AR1484">
        <v>36.081349702130403</v>
      </c>
      <c r="AS1484" t="s">
        <v>65</v>
      </c>
      <c r="AT1484">
        <v>1</v>
      </c>
      <c r="AU1484" t="s">
        <v>403</v>
      </c>
      <c r="AV1484" t="s">
        <v>404</v>
      </c>
      <c r="AW1484" t="s">
        <v>60</v>
      </c>
      <c r="AX1484" t="s">
        <v>68</v>
      </c>
      <c r="AY1484" t="s">
        <v>69</v>
      </c>
      <c r="AZ1484" t="b">
        <v>1</v>
      </c>
    </row>
    <row r="1485" spans="1:52" x14ac:dyDescent="0.3">
      <c r="A1485" t="s">
        <v>52</v>
      </c>
      <c r="B1485" t="s">
        <v>53</v>
      </c>
      <c r="C1485" t="s">
        <v>54</v>
      </c>
      <c r="D1485" t="s">
        <v>55</v>
      </c>
      <c r="E1485" t="s">
        <v>844</v>
      </c>
      <c r="F1485" t="s">
        <v>176</v>
      </c>
      <c r="G1485" t="s">
        <v>284</v>
      </c>
      <c r="H1485" t="s">
        <v>285</v>
      </c>
      <c r="I1485" t="s">
        <v>285</v>
      </c>
      <c r="J1485" t="s">
        <v>60</v>
      </c>
      <c r="K1485" t="s">
        <v>286</v>
      </c>
      <c r="L1485" t="s">
        <v>62</v>
      </c>
      <c r="M1485" t="s">
        <v>286</v>
      </c>
      <c r="N1485" t="s">
        <v>287</v>
      </c>
      <c r="O1485" t="s">
        <v>288</v>
      </c>
      <c r="P1485">
        <v>-19.639790000000001</v>
      </c>
      <c r="Q1485">
        <v>-43.882798999999999</v>
      </c>
      <c r="R1485" s="2" t="str">
        <f>HYPERLINK("https://www.google.com/maps?q=-19.6397900,-43.8827990","Abrir no Google Maps")</f>
        <v>Abrir no Google Maps</v>
      </c>
      <c r="S1485">
        <v>3</v>
      </c>
      <c r="T1485">
        <v>242.7052058134478</v>
      </c>
      <c r="U1485">
        <v>4</v>
      </c>
      <c r="V1485">
        <v>0.13515363958756119</v>
      </c>
      <c r="W1485">
        <v>1</v>
      </c>
      <c r="X1485">
        <v>0.13515363958756119</v>
      </c>
      <c r="Y1485">
        <v>10</v>
      </c>
      <c r="Z1485">
        <v>187.2088809462339</v>
      </c>
      <c r="AA1485">
        <v>2</v>
      </c>
      <c r="AB1485">
        <v>3</v>
      </c>
      <c r="AC1485">
        <v>7</v>
      </c>
      <c r="AD1485">
        <v>25.73</v>
      </c>
      <c r="AE1485">
        <v>253</v>
      </c>
      <c r="AF1485">
        <v>19</v>
      </c>
      <c r="AG1485">
        <v>55</v>
      </c>
      <c r="AH1485">
        <v>32</v>
      </c>
      <c r="AI1485">
        <v>7.51</v>
      </c>
      <c r="AJ1485">
        <v>21.74</v>
      </c>
      <c r="AK1485">
        <v>12.65</v>
      </c>
      <c r="AL1485">
        <v>-19.639855599999951</v>
      </c>
      <c r="AM1485">
        <v>-43.882909745178452</v>
      </c>
      <c r="AN1485">
        <v>-19.639855599999951</v>
      </c>
      <c r="AO1485">
        <v>-43.882909745178452</v>
      </c>
      <c r="AP1485">
        <v>-19.639790000000001</v>
      </c>
      <c r="AQ1485">
        <v>-43.882798999999999</v>
      </c>
      <c r="AR1485">
        <v>13.716486068571211</v>
      </c>
      <c r="AS1485" t="s">
        <v>65</v>
      </c>
      <c r="AT1485">
        <v>1</v>
      </c>
      <c r="AU1485" t="s">
        <v>289</v>
      </c>
      <c r="AV1485" t="s">
        <v>290</v>
      </c>
      <c r="AW1485" t="s">
        <v>60</v>
      </c>
      <c r="AX1485" t="s">
        <v>68</v>
      </c>
      <c r="AY1485" t="s">
        <v>69</v>
      </c>
      <c r="AZ1485" t="b">
        <v>1</v>
      </c>
    </row>
    <row r="1486" spans="1:52" x14ac:dyDescent="0.3">
      <c r="A1486" t="s">
        <v>52</v>
      </c>
      <c r="B1486" t="s">
        <v>53</v>
      </c>
      <c r="C1486" t="s">
        <v>54</v>
      </c>
      <c r="D1486" t="s">
        <v>55</v>
      </c>
      <c r="E1486" t="s">
        <v>844</v>
      </c>
      <c r="F1486" t="s">
        <v>176</v>
      </c>
      <c r="G1486" t="s">
        <v>417</v>
      </c>
      <c r="H1486" t="s">
        <v>418</v>
      </c>
      <c r="I1486" t="s">
        <v>418</v>
      </c>
      <c r="J1486" t="s">
        <v>60</v>
      </c>
      <c r="K1486" t="s">
        <v>179</v>
      </c>
      <c r="L1486" t="s">
        <v>62</v>
      </c>
      <c r="M1486" t="s">
        <v>179</v>
      </c>
      <c r="N1486" t="s">
        <v>419</v>
      </c>
      <c r="O1486" t="s">
        <v>420</v>
      </c>
      <c r="P1486">
        <v>-19.646516999999999</v>
      </c>
      <c r="Q1486">
        <v>-43.889716</v>
      </c>
      <c r="R1486" s="2" t="str">
        <f>HYPERLINK("https://www.google.com/maps?q=-19.6465170,-43.8897160","Abrir no Google Maps")</f>
        <v>Abrir no Google Maps</v>
      </c>
      <c r="S1486">
        <v>3</v>
      </c>
      <c r="T1486">
        <v>796.8355517653099</v>
      </c>
      <c r="U1486">
        <v>4</v>
      </c>
      <c r="V1486">
        <v>0.13106170584109481</v>
      </c>
      <c r="W1486">
        <v>1</v>
      </c>
      <c r="X1486">
        <v>0.13106170584109481</v>
      </c>
      <c r="Y1486">
        <v>7</v>
      </c>
      <c r="Z1486">
        <v>749.72812632947034</v>
      </c>
      <c r="AA1486">
        <v>2</v>
      </c>
      <c r="AB1486">
        <v>3</v>
      </c>
      <c r="AC1486">
        <v>7</v>
      </c>
      <c r="AD1486">
        <v>25.73</v>
      </c>
      <c r="AE1486">
        <v>253</v>
      </c>
      <c r="AF1486">
        <v>19</v>
      </c>
      <c r="AG1486">
        <v>55</v>
      </c>
      <c r="AH1486">
        <v>32</v>
      </c>
      <c r="AI1486">
        <v>7.51</v>
      </c>
      <c r="AJ1486">
        <v>21.74</v>
      </c>
      <c r="AK1486">
        <v>12.65</v>
      </c>
      <c r="AL1486">
        <v>-19.646452649999961</v>
      </c>
      <c r="AM1486">
        <v>-43.88991036523079</v>
      </c>
      <c r="AN1486">
        <v>-19.646452649999961</v>
      </c>
      <c r="AO1486">
        <v>-43.88991036523079</v>
      </c>
      <c r="AP1486">
        <v>-19.646516999999999</v>
      </c>
      <c r="AQ1486">
        <v>-43.889716</v>
      </c>
      <c r="AR1486">
        <v>21.599617922669939</v>
      </c>
      <c r="AS1486" t="s">
        <v>65</v>
      </c>
      <c r="AT1486">
        <v>1</v>
      </c>
      <c r="AU1486" t="s">
        <v>421</v>
      </c>
      <c r="AV1486" t="s">
        <v>422</v>
      </c>
      <c r="AW1486" t="s">
        <v>60</v>
      </c>
      <c r="AX1486" t="s">
        <v>68</v>
      </c>
      <c r="AY1486" t="s">
        <v>69</v>
      </c>
      <c r="AZ1486" t="b">
        <v>1</v>
      </c>
    </row>
    <row r="1487" spans="1:52" x14ac:dyDescent="0.3">
      <c r="A1487" t="s">
        <v>52</v>
      </c>
      <c r="B1487" t="s">
        <v>53</v>
      </c>
      <c r="C1487" t="s">
        <v>54</v>
      </c>
      <c r="D1487" t="s">
        <v>55</v>
      </c>
      <c r="E1487" t="s">
        <v>844</v>
      </c>
      <c r="F1487" t="s">
        <v>176</v>
      </c>
      <c r="G1487" t="s">
        <v>228</v>
      </c>
      <c r="H1487" t="s">
        <v>423</v>
      </c>
      <c r="I1487" t="s">
        <v>423</v>
      </c>
      <c r="J1487" t="s">
        <v>60</v>
      </c>
      <c r="K1487" t="s">
        <v>286</v>
      </c>
      <c r="L1487" t="s">
        <v>62</v>
      </c>
      <c r="M1487" t="s">
        <v>286</v>
      </c>
      <c r="N1487" t="s">
        <v>230</v>
      </c>
      <c r="O1487" t="s">
        <v>424</v>
      </c>
      <c r="P1487">
        <v>-19.641656999999999</v>
      </c>
      <c r="Q1487">
        <v>-43.884228999999998</v>
      </c>
      <c r="R1487" s="2" t="str">
        <f>HYPERLINK("https://www.google.com/maps?q=-19.6416570,-43.8842290","Abrir no Google Maps")</f>
        <v>Abrir no Google Maps</v>
      </c>
      <c r="S1487">
        <v>3</v>
      </c>
      <c r="T1487">
        <v>0</v>
      </c>
      <c r="U1487">
        <v>4</v>
      </c>
      <c r="V1487">
        <v>0.1221443406022845</v>
      </c>
      <c r="W1487">
        <v>1</v>
      </c>
      <c r="X1487">
        <v>0.1221443406022845</v>
      </c>
      <c r="Y1487">
        <v>7</v>
      </c>
      <c r="Z1487">
        <v>67.727401070752876</v>
      </c>
      <c r="AA1487">
        <v>2</v>
      </c>
      <c r="AB1487">
        <v>3</v>
      </c>
      <c r="AC1487">
        <v>7</v>
      </c>
      <c r="AD1487">
        <v>25.73</v>
      </c>
      <c r="AE1487">
        <v>253</v>
      </c>
      <c r="AF1487">
        <v>19</v>
      </c>
      <c r="AG1487">
        <v>55</v>
      </c>
      <c r="AH1487">
        <v>32</v>
      </c>
      <c r="AI1487">
        <v>7.51</v>
      </c>
      <c r="AJ1487">
        <v>21.74</v>
      </c>
      <c r="AK1487">
        <v>12.65</v>
      </c>
      <c r="AL1487">
        <v>-19.641634199999942</v>
      </c>
      <c r="AM1487">
        <v>-43.884263743972831</v>
      </c>
      <c r="AN1487">
        <v>-19.641634199999942</v>
      </c>
      <c r="AO1487">
        <v>-43.884263743972831</v>
      </c>
      <c r="AP1487">
        <v>-19.641656999999999</v>
      </c>
      <c r="AQ1487">
        <v>-43.884228999999998</v>
      </c>
      <c r="AR1487">
        <v>4.4396888961435659</v>
      </c>
      <c r="AS1487" t="s">
        <v>65</v>
      </c>
      <c r="AT1487">
        <v>1</v>
      </c>
      <c r="AU1487" t="s">
        <v>425</v>
      </c>
      <c r="AV1487" t="s">
        <v>426</v>
      </c>
      <c r="AW1487" t="s">
        <v>60</v>
      </c>
      <c r="AX1487" t="s">
        <v>68</v>
      </c>
      <c r="AY1487" t="s">
        <v>69</v>
      </c>
      <c r="AZ1487" t="b">
        <v>1</v>
      </c>
    </row>
    <row r="1488" spans="1:52" x14ac:dyDescent="0.3">
      <c r="A1488" t="s">
        <v>52</v>
      </c>
      <c r="B1488" t="s">
        <v>53</v>
      </c>
      <c r="C1488" t="s">
        <v>54</v>
      </c>
      <c r="D1488" t="s">
        <v>55</v>
      </c>
      <c r="E1488" t="s">
        <v>844</v>
      </c>
      <c r="F1488" t="s">
        <v>176</v>
      </c>
      <c r="G1488" t="s">
        <v>309</v>
      </c>
      <c r="H1488" t="s">
        <v>316</v>
      </c>
      <c r="I1488" t="s">
        <v>316</v>
      </c>
      <c r="J1488" t="s">
        <v>60</v>
      </c>
      <c r="K1488" t="s">
        <v>311</v>
      </c>
      <c r="L1488" t="s">
        <v>62</v>
      </c>
      <c r="M1488" t="s">
        <v>311</v>
      </c>
      <c r="N1488" t="s">
        <v>317</v>
      </c>
      <c r="O1488" t="s">
        <v>313</v>
      </c>
      <c r="P1488">
        <v>-19.580131999999999</v>
      </c>
      <c r="Q1488">
        <v>-43.918303000000002</v>
      </c>
      <c r="R1488" s="2" t="str">
        <f>HYPERLINK("https://www.google.com/maps?q=-19.5801320,-43.9183030","Abrir no Google Maps")</f>
        <v>Abrir no Google Maps</v>
      </c>
      <c r="S1488">
        <v>3</v>
      </c>
      <c r="T1488">
        <v>665.05989403461285</v>
      </c>
      <c r="U1488">
        <v>4</v>
      </c>
      <c r="V1488">
        <v>0.14008550064051001</v>
      </c>
      <c r="W1488">
        <v>1</v>
      </c>
      <c r="X1488">
        <v>0.14008550064051001</v>
      </c>
      <c r="Y1488">
        <v>5</v>
      </c>
      <c r="Z1488">
        <v>743.64474333505098</v>
      </c>
      <c r="AA1488">
        <v>2</v>
      </c>
      <c r="AB1488">
        <v>3</v>
      </c>
      <c r="AC1488">
        <v>7</v>
      </c>
      <c r="AD1488">
        <v>25.73</v>
      </c>
      <c r="AE1488">
        <v>253</v>
      </c>
      <c r="AF1488">
        <v>19</v>
      </c>
      <c r="AG1488">
        <v>55</v>
      </c>
      <c r="AH1488">
        <v>32</v>
      </c>
      <c r="AI1488">
        <v>7.51</v>
      </c>
      <c r="AJ1488">
        <v>21.74</v>
      </c>
      <c r="AK1488">
        <v>12.65</v>
      </c>
      <c r="AL1488">
        <v>-19.58010349999995</v>
      </c>
      <c r="AM1488">
        <v>-43.918363319288602</v>
      </c>
      <c r="AN1488">
        <v>-19.58010349999995</v>
      </c>
      <c r="AO1488">
        <v>-43.918363319288602</v>
      </c>
      <c r="AP1488">
        <v>-19.580131999999999</v>
      </c>
      <c r="AQ1488">
        <v>-43.918303000000002</v>
      </c>
      <c r="AR1488">
        <v>7.0773977790944862</v>
      </c>
      <c r="AS1488" t="s">
        <v>65</v>
      </c>
      <c r="AT1488">
        <v>1</v>
      </c>
      <c r="AU1488" t="s">
        <v>318</v>
      </c>
      <c r="AV1488" t="s">
        <v>319</v>
      </c>
      <c r="AW1488" t="s">
        <v>60</v>
      </c>
      <c r="AX1488" t="s">
        <v>68</v>
      </c>
      <c r="AY1488" t="s">
        <v>69</v>
      </c>
      <c r="AZ1488" t="b">
        <v>1</v>
      </c>
    </row>
    <row r="1489" spans="1:52" x14ac:dyDescent="0.3">
      <c r="A1489" t="s">
        <v>52</v>
      </c>
      <c r="B1489" t="s">
        <v>53</v>
      </c>
      <c r="C1489" t="s">
        <v>54</v>
      </c>
      <c r="D1489" t="s">
        <v>55</v>
      </c>
      <c r="E1489" t="s">
        <v>844</v>
      </c>
      <c r="F1489" t="s">
        <v>176</v>
      </c>
      <c r="G1489" t="s">
        <v>309</v>
      </c>
      <c r="H1489" t="s">
        <v>320</v>
      </c>
      <c r="I1489" t="s">
        <v>320</v>
      </c>
      <c r="J1489" t="s">
        <v>60</v>
      </c>
      <c r="K1489" t="s">
        <v>311</v>
      </c>
      <c r="L1489" t="s">
        <v>62</v>
      </c>
      <c r="M1489" t="s">
        <v>311</v>
      </c>
      <c r="N1489" t="s">
        <v>321</v>
      </c>
      <c r="O1489" t="s">
        <v>313</v>
      </c>
      <c r="P1489">
        <v>-19.578469999999999</v>
      </c>
      <c r="Q1489">
        <v>-43.918922000000002</v>
      </c>
      <c r="R1489" s="2" t="str">
        <f>HYPERLINK("https://www.google.com/maps?q=-19.5784700,-43.9189220","Abrir no Google Maps")</f>
        <v>Abrir no Google Maps</v>
      </c>
      <c r="S1489">
        <v>3</v>
      </c>
      <c r="T1489">
        <v>474.92456146278471</v>
      </c>
      <c r="U1489">
        <v>4</v>
      </c>
      <c r="V1489">
        <v>0.1656250346287246</v>
      </c>
      <c r="W1489">
        <v>0.85</v>
      </c>
      <c r="X1489">
        <v>0.1407812794344159</v>
      </c>
      <c r="Y1489">
        <v>5</v>
      </c>
      <c r="Z1489">
        <v>562.61594151292854</v>
      </c>
      <c r="AA1489">
        <v>2</v>
      </c>
      <c r="AB1489">
        <v>3</v>
      </c>
      <c r="AC1489">
        <v>7</v>
      </c>
      <c r="AD1489">
        <v>25.73</v>
      </c>
      <c r="AE1489">
        <v>253</v>
      </c>
      <c r="AF1489">
        <v>19</v>
      </c>
      <c r="AG1489">
        <v>55</v>
      </c>
      <c r="AH1489">
        <v>32</v>
      </c>
      <c r="AI1489">
        <v>7.51</v>
      </c>
      <c r="AJ1489">
        <v>21.74</v>
      </c>
      <c r="AK1489">
        <v>12.65</v>
      </c>
      <c r="AL1489">
        <v>-19.578483899999959</v>
      </c>
      <c r="AM1489">
        <v>-43.918967993509547</v>
      </c>
      <c r="AN1489">
        <v>-19.578483899999959</v>
      </c>
      <c r="AO1489">
        <v>-43.918967993509547</v>
      </c>
      <c r="AP1489">
        <v>-19.578469999999999</v>
      </c>
      <c r="AQ1489">
        <v>-43.918922000000002</v>
      </c>
      <c r="AR1489">
        <v>5.0660669465561501</v>
      </c>
      <c r="AS1489" t="s">
        <v>65</v>
      </c>
      <c r="AT1489">
        <v>1</v>
      </c>
      <c r="AU1489" t="s">
        <v>322</v>
      </c>
      <c r="AV1489" t="s">
        <v>323</v>
      </c>
      <c r="AW1489" t="s">
        <v>60</v>
      </c>
      <c r="AX1489" t="s">
        <v>68</v>
      </c>
      <c r="AY1489" t="s">
        <v>69</v>
      </c>
      <c r="AZ1489" t="b">
        <v>1</v>
      </c>
    </row>
    <row r="1490" spans="1:52" x14ac:dyDescent="0.3">
      <c r="A1490" t="s">
        <v>52</v>
      </c>
      <c r="B1490" t="s">
        <v>53</v>
      </c>
      <c r="C1490" t="s">
        <v>54</v>
      </c>
      <c r="D1490" t="s">
        <v>55</v>
      </c>
      <c r="E1490" t="s">
        <v>844</v>
      </c>
      <c r="F1490" t="s">
        <v>176</v>
      </c>
      <c r="G1490" t="s">
        <v>443</v>
      </c>
      <c r="H1490" t="s">
        <v>444</v>
      </c>
      <c r="I1490" t="s">
        <v>444</v>
      </c>
      <c r="J1490" t="s">
        <v>60</v>
      </c>
      <c r="K1490" t="s">
        <v>445</v>
      </c>
      <c r="L1490" t="s">
        <v>62</v>
      </c>
      <c r="M1490" t="s">
        <v>445</v>
      </c>
      <c r="N1490" t="s">
        <v>446</v>
      </c>
      <c r="O1490" t="s">
        <v>447</v>
      </c>
      <c r="P1490">
        <v>-19.650062999999999</v>
      </c>
      <c r="Q1490">
        <v>-43.878337000000002</v>
      </c>
      <c r="R1490" s="2" t="str">
        <f>HYPERLINK("https://www.google.com/maps?q=-19.6500630,-43.8783370","Abrir no Google Maps")</f>
        <v>Abrir no Google Maps</v>
      </c>
      <c r="S1490">
        <v>3</v>
      </c>
      <c r="T1490">
        <v>839.11860749856135</v>
      </c>
      <c r="U1490">
        <v>4</v>
      </c>
      <c r="V1490">
        <v>0.12528290521061911</v>
      </c>
      <c r="W1490">
        <v>1</v>
      </c>
      <c r="X1490">
        <v>0.12528290521061911</v>
      </c>
      <c r="Y1490">
        <v>3</v>
      </c>
      <c r="Z1490">
        <v>698.86168887476526</v>
      </c>
      <c r="AA1490">
        <v>2</v>
      </c>
      <c r="AB1490">
        <v>3</v>
      </c>
      <c r="AC1490">
        <v>7</v>
      </c>
      <c r="AD1490">
        <v>25.73</v>
      </c>
      <c r="AE1490">
        <v>253</v>
      </c>
      <c r="AF1490">
        <v>19</v>
      </c>
      <c r="AG1490">
        <v>55</v>
      </c>
      <c r="AH1490">
        <v>32</v>
      </c>
      <c r="AI1490">
        <v>7.51</v>
      </c>
      <c r="AJ1490">
        <v>21.74</v>
      </c>
      <c r="AK1490">
        <v>12.65</v>
      </c>
      <c r="AL1490">
        <v>-19.650555399999941</v>
      </c>
      <c r="AM1490">
        <v>-43.878603008553611</v>
      </c>
      <c r="AN1490">
        <v>-19.650555399999941</v>
      </c>
      <c r="AO1490">
        <v>-43.878603008553611</v>
      </c>
      <c r="AP1490">
        <v>-19.650062999999999</v>
      </c>
      <c r="AQ1490">
        <v>-43.878337000000002</v>
      </c>
      <c r="AR1490">
        <v>61.500273251918507</v>
      </c>
      <c r="AS1490" t="s">
        <v>65</v>
      </c>
      <c r="AT1490">
        <v>1</v>
      </c>
      <c r="AU1490" t="s">
        <v>448</v>
      </c>
      <c r="AV1490" t="s">
        <v>449</v>
      </c>
      <c r="AW1490" t="s">
        <v>60</v>
      </c>
      <c r="AX1490" t="s">
        <v>68</v>
      </c>
      <c r="AY1490" t="s">
        <v>69</v>
      </c>
      <c r="AZ1490" t="b">
        <v>1</v>
      </c>
    </row>
    <row r="1491" spans="1:52" x14ac:dyDescent="0.3">
      <c r="A1491" t="s">
        <v>52</v>
      </c>
      <c r="B1491" t="s">
        <v>53</v>
      </c>
      <c r="C1491" t="s">
        <v>54</v>
      </c>
      <c r="D1491" t="s">
        <v>55</v>
      </c>
      <c r="E1491" t="s">
        <v>844</v>
      </c>
      <c r="F1491" t="s">
        <v>176</v>
      </c>
      <c r="G1491" t="s">
        <v>457</v>
      </c>
      <c r="H1491" t="s">
        <v>458</v>
      </c>
      <c r="I1491" t="s">
        <v>458</v>
      </c>
      <c r="J1491" t="s">
        <v>60</v>
      </c>
      <c r="K1491" t="s">
        <v>286</v>
      </c>
      <c r="L1491" t="s">
        <v>62</v>
      </c>
      <c r="M1491" t="s">
        <v>286</v>
      </c>
      <c r="N1491" t="s">
        <v>459</v>
      </c>
      <c r="O1491" t="s">
        <v>408</v>
      </c>
      <c r="P1491">
        <v>-19.648675000000001</v>
      </c>
      <c r="Q1491">
        <v>-43.876176999999998</v>
      </c>
      <c r="R1491" s="2" t="str">
        <f>HYPERLINK("https://www.google.com/maps?q=-19.6486750,-43.8761770","Abrir no Google Maps")</f>
        <v>Abrir no Google Maps</v>
      </c>
      <c r="S1491">
        <v>3</v>
      </c>
      <c r="T1491">
        <v>696.15049931004592</v>
      </c>
      <c r="U1491">
        <v>4</v>
      </c>
      <c r="V1491">
        <v>0.1364085981894958</v>
      </c>
      <c r="W1491">
        <v>1</v>
      </c>
      <c r="X1491">
        <v>0.1364085981894958</v>
      </c>
      <c r="Y1491">
        <v>3</v>
      </c>
      <c r="Z1491">
        <v>617.40976221624703</v>
      </c>
      <c r="AA1491">
        <v>2</v>
      </c>
      <c r="AB1491">
        <v>3</v>
      </c>
      <c r="AC1491">
        <v>7</v>
      </c>
      <c r="AD1491">
        <v>25.73</v>
      </c>
      <c r="AE1491">
        <v>253</v>
      </c>
      <c r="AF1491">
        <v>19</v>
      </c>
      <c r="AG1491">
        <v>55</v>
      </c>
      <c r="AH1491">
        <v>32</v>
      </c>
      <c r="AI1491">
        <v>7.51</v>
      </c>
      <c r="AJ1491">
        <v>21.74</v>
      </c>
      <c r="AK1491">
        <v>12.65</v>
      </c>
      <c r="AL1491">
        <v>-19.648626649999951</v>
      </c>
      <c r="AM1491">
        <v>-43.876233357879343</v>
      </c>
      <c r="AN1491">
        <v>-19.648626649999951</v>
      </c>
      <c r="AO1491">
        <v>-43.876233357879343</v>
      </c>
      <c r="AP1491">
        <v>-19.648675000000001</v>
      </c>
      <c r="AQ1491">
        <v>-43.876176999999998</v>
      </c>
      <c r="AR1491">
        <v>7.9924470956447653</v>
      </c>
      <c r="AS1491" t="s">
        <v>65</v>
      </c>
      <c r="AT1491">
        <v>1</v>
      </c>
      <c r="AU1491" t="s">
        <v>460</v>
      </c>
      <c r="AV1491" t="s">
        <v>461</v>
      </c>
      <c r="AW1491" t="s">
        <v>60</v>
      </c>
      <c r="AX1491" t="s">
        <v>68</v>
      </c>
      <c r="AY1491" t="s">
        <v>69</v>
      </c>
      <c r="AZ1491" t="b">
        <v>1</v>
      </c>
    </row>
    <row r="1492" spans="1:52" x14ac:dyDescent="0.3">
      <c r="A1492" t="s">
        <v>52</v>
      </c>
      <c r="B1492" t="s">
        <v>53</v>
      </c>
      <c r="C1492" t="s">
        <v>54</v>
      </c>
      <c r="D1492" t="s">
        <v>55</v>
      </c>
      <c r="E1492" t="s">
        <v>844</v>
      </c>
      <c r="F1492" t="s">
        <v>176</v>
      </c>
      <c r="G1492" t="s">
        <v>350</v>
      </c>
      <c r="H1492" t="s">
        <v>351</v>
      </c>
      <c r="I1492" t="s">
        <v>351</v>
      </c>
      <c r="J1492" t="s">
        <v>60</v>
      </c>
      <c r="K1492" t="s">
        <v>352</v>
      </c>
      <c r="L1492" t="s">
        <v>62</v>
      </c>
      <c r="M1492" t="s">
        <v>352</v>
      </c>
      <c r="N1492" t="s">
        <v>353</v>
      </c>
      <c r="O1492" t="s">
        <v>354</v>
      </c>
      <c r="P1492">
        <v>-19.595734</v>
      </c>
      <c r="Q1492">
        <v>-43.900387000000002</v>
      </c>
      <c r="R1492" s="2" t="str">
        <f>HYPERLINK("https://www.google.com/maps?q=-19.5957340,-43.9003870","Abrir no Google Maps")</f>
        <v>Abrir no Google Maps</v>
      </c>
      <c r="S1492">
        <v>3</v>
      </c>
      <c r="T1492">
        <v>600.67809066127609</v>
      </c>
      <c r="U1492">
        <v>4</v>
      </c>
      <c r="V1492">
        <v>0.13236271851772219</v>
      </c>
      <c r="W1492">
        <v>1</v>
      </c>
      <c r="X1492">
        <v>0.13236271851772219</v>
      </c>
      <c r="Y1492">
        <v>2</v>
      </c>
      <c r="Z1492">
        <v>676.06682548988681</v>
      </c>
      <c r="AA1492">
        <v>2</v>
      </c>
      <c r="AB1492">
        <v>3</v>
      </c>
      <c r="AC1492">
        <v>7</v>
      </c>
      <c r="AD1492">
        <v>25.73</v>
      </c>
      <c r="AE1492">
        <v>253</v>
      </c>
      <c r="AF1492">
        <v>19</v>
      </c>
      <c r="AG1492">
        <v>55</v>
      </c>
      <c r="AH1492">
        <v>32</v>
      </c>
      <c r="AI1492">
        <v>7.51</v>
      </c>
      <c r="AJ1492">
        <v>21.74</v>
      </c>
      <c r="AK1492">
        <v>12.65</v>
      </c>
      <c r="AL1492">
        <v>-19.595574149999951</v>
      </c>
      <c r="AM1492">
        <v>-43.900265035317688</v>
      </c>
      <c r="AN1492">
        <v>-19.595574149999951</v>
      </c>
      <c r="AO1492">
        <v>-43.900265035317688</v>
      </c>
      <c r="AP1492">
        <v>-19.595734</v>
      </c>
      <c r="AQ1492">
        <v>-43.900387000000002</v>
      </c>
      <c r="AR1492">
        <v>21.91456243504582</v>
      </c>
      <c r="AS1492" t="s">
        <v>65</v>
      </c>
      <c r="AT1492">
        <v>1</v>
      </c>
      <c r="AU1492" t="s">
        <v>355</v>
      </c>
      <c r="AV1492" t="s">
        <v>356</v>
      </c>
      <c r="AW1492" t="s">
        <v>60</v>
      </c>
      <c r="AX1492" t="s">
        <v>68</v>
      </c>
      <c r="AY1492" t="s">
        <v>69</v>
      </c>
      <c r="AZ1492" t="b">
        <v>1</v>
      </c>
    </row>
    <row r="1493" spans="1:52" x14ac:dyDescent="0.3">
      <c r="A1493" t="s">
        <v>52</v>
      </c>
      <c r="B1493" t="s">
        <v>53</v>
      </c>
      <c r="C1493" t="s">
        <v>54</v>
      </c>
      <c r="D1493" t="s">
        <v>55</v>
      </c>
      <c r="E1493" t="s">
        <v>844</v>
      </c>
      <c r="F1493" t="s">
        <v>176</v>
      </c>
      <c r="G1493" t="s">
        <v>350</v>
      </c>
      <c r="H1493" t="s">
        <v>363</v>
      </c>
      <c r="I1493" t="s">
        <v>363</v>
      </c>
      <c r="J1493" t="s">
        <v>60</v>
      </c>
      <c r="K1493" t="s">
        <v>364</v>
      </c>
      <c r="L1493" t="s">
        <v>62</v>
      </c>
      <c r="M1493" t="s">
        <v>364</v>
      </c>
      <c r="N1493" t="s">
        <v>353</v>
      </c>
      <c r="O1493" t="s">
        <v>365</v>
      </c>
      <c r="P1493">
        <v>-19.594657000000002</v>
      </c>
      <c r="Q1493">
        <v>-43.901567</v>
      </c>
      <c r="R1493" s="2" t="str">
        <f>HYPERLINK("https://www.google.com/maps?q=-19.5946570,-43.9015670","Abrir no Google Maps")</f>
        <v>Abrir no Google Maps</v>
      </c>
      <c r="S1493">
        <v>3</v>
      </c>
      <c r="T1493">
        <v>592.43040989358553</v>
      </c>
      <c r="U1493">
        <v>4</v>
      </c>
      <c r="V1493">
        <v>0.1412013319672131</v>
      </c>
      <c r="W1493">
        <v>1</v>
      </c>
      <c r="X1493">
        <v>0.1412013319672131</v>
      </c>
      <c r="Y1493">
        <v>2</v>
      </c>
      <c r="Z1493">
        <v>597.4493869225131</v>
      </c>
      <c r="AA1493">
        <v>2</v>
      </c>
      <c r="AB1493">
        <v>3</v>
      </c>
      <c r="AC1493">
        <v>7</v>
      </c>
      <c r="AD1493">
        <v>25.73</v>
      </c>
      <c r="AE1493">
        <v>253</v>
      </c>
      <c r="AF1493">
        <v>19</v>
      </c>
      <c r="AG1493">
        <v>55</v>
      </c>
      <c r="AH1493">
        <v>32</v>
      </c>
      <c r="AI1493">
        <v>7.51</v>
      </c>
      <c r="AJ1493">
        <v>21.74</v>
      </c>
      <c r="AK1493">
        <v>12.65</v>
      </c>
      <c r="AL1493">
        <v>-19.59470494999994</v>
      </c>
      <c r="AM1493">
        <v>-43.901629434678291</v>
      </c>
      <c r="AN1493">
        <v>-19.59470494999994</v>
      </c>
      <c r="AO1493">
        <v>-43.901629434678291</v>
      </c>
      <c r="AP1493">
        <v>-19.594657000000002</v>
      </c>
      <c r="AQ1493">
        <v>-43.901567</v>
      </c>
      <c r="AR1493">
        <v>8.4477696105165858</v>
      </c>
      <c r="AS1493" t="s">
        <v>65</v>
      </c>
      <c r="AT1493">
        <v>1</v>
      </c>
      <c r="AU1493" t="s">
        <v>366</v>
      </c>
      <c r="AV1493" t="s">
        <v>367</v>
      </c>
      <c r="AW1493" t="s">
        <v>60</v>
      </c>
      <c r="AX1493" t="s">
        <v>68</v>
      </c>
      <c r="AY1493" t="s">
        <v>69</v>
      </c>
      <c r="AZ1493" t="b">
        <v>1</v>
      </c>
    </row>
    <row r="1494" spans="1:52" x14ac:dyDescent="0.3">
      <c r="A1494" t="s">
        <v>52</v>
      </c>
      <c r="B1494" t="s">
        <v>53</v>
      </c>
      <c r="C1494" t="s">
        <v>54</v>
      </c>
      <c r="D1494" t="s">
        <v>55</v>
      </c>
      <c r="E1494" t="s">
        <v>844</v>
      </c>
      <c r="F1494" t="s">
        <v>176</v>
      </c>
      <c r="G1494" t="s">
        <v>350</v>
      </c>
      <c r="H1494" t="s">
        <v>368</v>
      </c>
      <c r="I1494" t="s">
        <v>368</v>
      </c>
      <c r="J1494" t="s">
        <v>60</v>
      </c>
      <c r="K1494" t="s">
        <v>364</v>
      </c>
      <c r="L1494" t="s">
        <v>62</v>
      </c>
      <c r="M1494" t="s">
        <v>364</v>
      </c>
      <c r="N1494" t="s">
        <v>353</v>
      </c>
      <c r="O1494" t="s">
        <v>365</v>
      </c>
      <c r="P1494">
        <v>-19.593221</v>
      </c>
      <c r="Q1494">
        <v>-43.901839000000002</v>
      </c>
      <c r="R1494" s="2" t="str">
        <f>HYPERLINK("https://www.google.com/maps?q=-19.5932210,-43.9018390","Abrir no Google Maps")</f>
        <v>Abrir no Google Maps</v>
      </c>
      <c r="S1494">
        <v>3</v>
      </c>
      <c r="T1494">
        <v>741.77482535005606</v>
      </c>
      <c r="U1494">
        <v>4</v>
      </c>
      <c r="V1494">
        <v>0.14958798511430091</v>
      </c>
      <c r="W1494">
        <v>0.85</v>
      </c>
      <c r="X1494">
        <v>0.12714978734715579</v>
      </c>
      <c r="Y1494">
        <v>2</v>
      </c>
      <c r="Z1494">
        <v>790.59331647558088</v>
      </c>
      <c r="AA1494">
        <v>2</v>
      </c>
      <c r="AB1494">
        <v>3</v>
      </c>
      <c r="AC1494">
        <v>7</v>
      </c>
      <c r="AD1494">
        <v>25.73</v>
      </c>
      <c r="AE1494">
        <v>253</v>
      </c>
      <c r="AF1494">
        <v>19</v>
      </c>
      <c r="AG1494">
        <v>55</v>
      </c>
      <c r="AH1494">
        <v>32</v>
      </c>
      <c r="AI1494">
        <v>7.51</v>
      </c>
      <c r="AJ1494">
        <v>21.74</v>
      </c>
      <c r="AK1494">
        <v>12.65</v>
      </c>
      <c r="AL1494">
        <v>-19.593187449999959</v>
      </c>
      <c r="AM1494">
        <v>-43.901700308057322</v>
      </c>
      <c r="AN1494">
        <v>-19.593187449999959</v>
      </c>
      <c r="AO1494">
        <v>-43.901700308057322</v>
      </c>
      <c r="AP1494">
        <v>-19.593221</v>
      </c>
      <c r="AQ1494">
        <v>-43.901839000000002</v>
      </c>
      <c r="AR1494">
        <v>15.017055708279431</v>
      </c>
      <c r="AS1494" t="s">
        <v>65</v>
      </c>
      <c r="AT1494">
        <v>1</v>
      </c>
      <c r="AU1494" t="s">
        <v>369</v>
      </c>
      <c r="AV1494" t="s">
        <v>370</v>
      </c>
      <c r="AW1494" t="s">
        <v>60</v>
      </c>
      <c r="AX1494" t="s">
        <v>68</v>
      </c>
      <c r="AY1494" t="s">
        <v>69</v>
      </c>
      <c r="AZ1494" t="b">
        <v>1</v>
      </c>
    </row>
    <row r="1495" spans="1:52" x14ac:dyDescent="0.3">
      <c r="A1495" t="s">
        <v>52</v>
      </c>
      <c r="B1495" t="s">
        <v>53</v>
      </c>
      <c r="C1495" t="s">
        <v>54</v>
      </c>
      <c r="D1495" t="s">
        <v>55</v>
      </c>
      <c r="E1495" t="s">
        <v>844</v>
      </c>
      <c r="F1495" t="s">
        <v>176</v>
      </c>
      <c r="G1495" t="s">
        <v>371</v>
      </c>
      <c r="H1495" t="s">
        <v>372</v>
      </c>
      <c r="I1495" t="s">
        <v>372</v>
      </c>
      <c r="J1495" t="s">
        <v>60</v>
      </c>
      <c r="K1495" t="s">
        <v>352</v>
      </c>
      <c r="L1495" t="s">
        <v>62</v>
      </c>
      <c r="M1495" t="s">
        <v>352</v>
      </c>
      <c r="N1495" t="s">
        <v>353</v>
      </c>
      <c r="O1495" t="s">
        <v>373</v>
      </c>
      <c r="P1495">
        <v>-19.596541999999999</v>
      </c>
      <c r="Q1495">
        <v>-43.900803000000003</v>
      </c>
      <c r="R1495" s="2" t="str">
        <f>HYPERLINK("https://www.google.com/maps?q=-19.5965420,-43.9008030","Abrir no Google Maps")</f>
        <v>Abrir no Google Maps</v>
      </c>
      <c r="S1495">
        <v>3</v>
      </c>
      <c r="T1495">
        <v>401.18305899095373</v>
      </c>
      <c r="U1495">
        <v>4</v>
      </c>
      <c r="V1495">
        <v>0.1295993607206421</v>
      </c>
      <c r="W1495">
        <v>1</v>
      </c>
      <c r="X1495">
        <v>0.1295993607206421</v>
      </c>
      <c r="Y1495">
        <v>2</v>
      </c>
      <c r="Z1495">
        <v>484.51228510119228</v>
      </c>
      <c r="AA1495">
        <v>2</v>
      </c>
      <c r="AB1495">
        <v>3</v>
      </c>
      <c r="AC1495">
        <v>7</v>
      </c>
      <c r="AD1495">
        <v>25.73</v>
      </c>
      <c r="AE1495">
        <v>253</v>
      </c>
      <c r="AF1495">
        <v>19</v>
      </c>
      <c r="AG1495">
        <v>55</v>
      </c>
      <c r="AH1495">
        <v>32</v>
      </c>
      <c r="AI1495">
        <v>7.51</v>
      </c>
      <c r="AJ1495">
        <v>21.74</v>
      </c>
      <c r="AK1495">
        <v>12.65</v>
      </c>
      <c r="AL1495">
        <v>-19.596464449999932</v>
      </c>
      <c r="AM1495">
        <v>-43.902090320142641</v>
      </c>
      <c r="AN1495">
        <v>-19.596464449999932</v>
      </c>
      <c r="AO1495">
        <v>-43.902090320142641</v>
      </c>
      <c r="AP1495">
        <v>-19.596541999999999</v>
      </c>
      <c r="AQ1495">
        <v>-43.900803000000003</v>
      </c>
      <c r="AR1495">
        <v>135.27975170069479</v>
      </c>
      <c r="AS1495" t="s">
        <v>65</v>
      </c>
      <c r="AT1495">
        <v>1</v>
      </c>
      <c r="AU1495" t="s">
        <v>374</v>
      </c>
      <c r="AV1495" t="s">
        <v>375</v>
      </c>
      <c r="AW1495" t="s">
        <v>60</v>
      </c>
      <c r="AX1495" t="s">
        <v>68</v>
      </c>
      <c r="AY1495" t="s">
        <v>69</v>
      </c>
      <c r="AZ1495" t="b">
        <v>1</v>
      </c>
    </row>
    <row r="1496" spans="1:52" x14ac:dyDescent="0.3">
      <c r="A1496" t="s">
        <v>52</v>
      </c>
      <c r="B1496" t="s">
        <v>53</v>
      </c>
      <c r="C1496" t="s">
        <v>54</v>
      </c>
      <c r="D1496" t="s">
        <v>55</v>
      </c>
      <c r="E1496" t="s">
        <v>844</v>
      </c>
      <c r="F1496" t="s">
        <v>176</v>
      </c>
      <c r="G1496" t="s">
        <v>376</v>
      </c>
      <c r="H1496" t="s">
        <v>377</v>
      </c>
      <c r="I1496" t="s">
        <v>377</v>
      </c>
      <c r="J1496" t="s">
        <v>60</v>
      </c>
      <c r="K1496" t="s">
        <v>352</v>
      </c>
      <c r="L1496" t="s">
        <v>62</v>
      </c>
      <c r="M1496" t="s">
        <v>352</v>
      </c>
      <c r="N1496" t="s">
        <v>378</v>
      </c>
      <c r="O1496" t="s">
        <v>379</v>
      </c>
      <c r="P1496">
        <v>-19.596966999999999</v>
      </c>
      <c r="Q1496">
        <v>-43.90155</v>
      </c>
      <c r="R1496" s="2" t="str">
        <f>HYPERLINK("https://www.google.com/maps?q=-19.5969670,-43.9015500","Abrir no Google Maps")</f>
        <v>Abrir no Google Maps</v>
      </c>
      <c r="S1496">
        <v>3</v>
      </c>
      <c r="T1496">
        <v>366.5160120865408</v>
      </c>
      <c r="U1496">
        <v>4</v>
      </c>
      <c r="V1496">
        <v>0.13304993786012881</v>
      </c>
      <c r="W1496">
        <v>1</v>
      </c>
      <c r="X1496">
        <v>0.13304993786012881</v>
      </c>
      <c r="Y1496">
        <v>2</v>
      </c>
      <c r="Z1496">
        <v>437.88042928493138</v>
      </c>
      <c r="AA1496">
        <v>2</v>
      </c>
      <c r="AB1496">
        <v>3</v>
      </c>
      <c r="AC1496">
        <v>7</v>
      </c>
      <c r="AD1496">
        <v>25.73</v>
      </c>
      <c r="AE1496">
        <v>253</v>
      </c>
      <c r="AF1496">
        <v>19</v>
      </c>
      <c r="AG1496">
        <v>55</v>
      </c>
      <c r="AH1496">
        <v>32</v>
      </c>
      <c r="AI1496">
        <v>7.51</v>
      </c>
      <c r="AJ1496">
        <v>21.74</v>
      </c>
      <c r="AK1496">
        <v>12.65</v>
      </c>
      <c r="AL1496">
        <v>-19.597188549999942</v>
      </c>
      <c r="AM1496">
        <v>-43.901724335633787</v>
      </c>
      <c r="AN1496">
        <v>-19.597188549999942</v>
      </c>
      <c r="AO1496">
        <v>-43.901724335633787</v>
      </c>
      <c r="AP1496">
        <v>-19.596966999999999</v>
      </c>
      <c r="AQ1496">
        <v>-43.90155</v>
      </c>
      <c r="AR1496">
        <v>30.700556875456439</v>
      </c>
      <c r="AS1496" t="s">
        <v>65</v>
      </c>
      <c r="AT1496">
        <v>1</v>
      </c>
      <c r="AU1496" t="s">
        <v>380</v>
      </c>
      <c r="AV1496" t="s">
        <v>381</v>
      </c>
      <c r="AW1496" t="s">
        <v>60</v>
      </c>
      <c r="AX1496" t="s">
        <v>68</v>
      </c>
      <c r="AY1496" t="s">
        <v>69</v>
      </c>
      <c r="AZ1496" t="b">
        <v>1</v>
      </c>
    </row>
    <row r="1497" spans="1:52" x14ac:dyDescent="0.3">
      <c r="A1497" t="s">
        <v>52</v>
      </c>
      <c r="B1497" t="s">
        <v>53</v>
      </c>
      <c r="C1497" t="s">
        <v>54</v>
      </c>
      <c r="D1497" t="s">
        <v>55</v>
      </c>
      <c r="E1497" t="s">
        <v>844</v>
      </c>
      <c r="F1497" t="s">
        <v>176</v>
      </c>
      <c r="G1497" t="s">
        <v>681</v>
      </c>
      <c r="H1497" t="s">
        <v>682</v>
      </c>
      <c r="I1497" t="s">
        <v>682</v>
      </c>
      <c r="J1497" t="s">
        <v>60</v>
      </c>
      <c r="K1497" t="s">
        <v>683</v>
      </c>
      <c r="L1497" t="s">
        <v>62</v>
      </c>
      <c r="M1497" t="s">
        <v>683</v>
      </c>
      <c r="N1497" t="s">
        <v>684</v>
      </c>
      <c r="O1497" t="s">
        <v>589</v>
      </c>
      <c r="P1497">
        <v>-19.569573999999999</v>
      </c>
      <c r="Q1497">
        <v>-43.948939000000003</v>
      </c>
      <c r="R1497" s="2" t="str">
        <f>HYPERLINK("https://www.google.com/maps?q=-19.5695740,-43.9489390","Abrir no Google Maps")</f>
        <v>Abrir no Google Maps</v>
      </c>
      <c r="S1497">
        <v>3</v>
      </c>
      <c r="T1497">
        <v>710.01170441209865</v>
      </c>
      <c r="U1497">
        <v>4</v>
      </c>
      <c r="V1497">
        <v>0.1275532377227292</v>
      </c>
      <c r="W1497">
        <v>1</v>
      </c>
      <c r="X1497">
        <v>0.1275532377227292</v>
      </c>
      <c r="Y1497">
        <v>1</v>
      </c>
      <c r="Z1497">
        <v>528.51196257580398</v>
      </c>
      <c r="AA1497">
        <v>2</v>
      </c>
      <c r="AB1497">
        <v>3</v>
      </c>
      <c r="AC1497">
        <v>7</v>
      </c>
      <c r="AD1497">
        <v>25.73</v>
      </c>
      <c r="AE1497">
        <v>253</v>
      </c>
      <c r="AF1497">
        <v>19</v>
      </c>
      <c r="AG1497">
        <v>55</v>
      </c>
      <c r="AH1497">
        <v>32</v>
      </c>
      <c r="AI1497">
        <v>7.51</v>
      </c>
      <c r="AJ1497">
        <v>21.74</v>
      </c>
      <c r="AK1497">
        <v>12.65</v>
      </c>
      <c r="AL1497">
        <v>-19.570777549999971</v>
      </c>
      <c r="AM1497">
        <v>-43.949205504203732</v>
      </c>
      <c r="AN1497">
        <v>-19.570777549999981</v>
      </c>
      <c r="AO1497">
        <v>-43.949205504203732</v>
      </c>
      <c r="AP1497">
        <v>-19.569573999999999</v>
      </c>
      <c r="AQ1497">
        <v>-43.948939000000003</v>
      </c>
      <c r="AR1497">
        <v>136.86420500821191</v>
      </c>
      <c r="AS1497" t="s">
        <v>65</v>
      </c>
      <c r="AT1497">
        <v>1</v>
      </c>
      <c r="AU1497" t="s">
        <v>685</v>
      </c>
      <c r="AV1497" t="s">
        <v>686</v>
      </c>
      <c r="AW1497" t="s">
        <v>60</v>
      </c>
      <c r="AX1497" t="s">
        <v>68</v>
      </c>
      <c r="AY1497" t="s">
        <v>69</v>
      </c>
      <c r="AZ1497" t="b">
        <v>1</v>
      </c>
    </row>
    <row r="1498" spans="1:52" x14ac:dyDescent="0.3">
      <c r="A1498" t="s">
        <v>52</v>
      </c>
      <c r="B1498" t="s">
        <v>53</v>
      </c>
      <c r="C1498" t="s">
        <v>54</v>
      </c>
      <c r="D1498" t="s">
        <v>55</v>
      </c>
      <c r="E1498" t="s">
        <v>844</v>
      </c>
      <c r="F1498" t="s">
        <v>176</v>
      </c>
      <c r="G1498" t="s">
        <v>382</v>
      </c>
      <c r="H1498" t="s">
        <v>383</v>
      </c>
      <c r="I1498" t="s">
        <v>383</v>
      </c>
      <c r="J1498" t="s">
        <v>60</v>
      </c>
      <c r="K1498" t="s">
        <v>185</v>
      </c>
      <c r="L1498" t="s">
        <v>62</v>
      </c>
      <c r="M1498" t="s">
        <v>185</v>
      </c>
      <c r="N1498" t="s">
        <v>384</v>
      </c>
      <c r="O1498" t="s">
        <v>385</v>
      </c>
      <c r="P1498">
        <v>-19.623774000000001</v>
      </c>
      <c r="Q1498">
        <v>-43.886352000000002</v>
      </c>
      <c r="R1498" s="2" t="str">
        <f>HYPERLINK("https://www.google.com/maps?q=-19.6237740,-43.8863520","Abrir no Google Maps")</f>
        <v>Abrir no Google Maps</v>
      </c>
      <c r="S1498">
        <v>3</v>
      </c>
      <c r="T1498">
        <v>818.17252856383368</v>
      </c>
      <c r="U1498">
        <v>4</v>
      </c>
      <c r="V1498">
        <v>0.12668968557155449</v>
      </c>
      <c r="W1498">
        <v>1</v>
      </c>
      <c r="X1498">
        <v>0.12668968557155449</v>
      </c>
      <c r="Y1498">
        <v>0</v>
      </c>
      <c r="Z1498">
        <v>327.32213182525902</v>
      </c>
      <c r="AA1498">
        <v>2</v>
      </c>
      <c r="AB1498">
        <v>3</v>
      </c>
      <c r="AC1498">
        <v>7</v>
      </c>
      <c r="AD1498">
        <v>25.73</v>
      </c>
      <c r="AE1498">
        <v>253</v>
      </c>
      <c r="AF1498">
        <v>19</v>
      </c>
      <c r="AG1498">
        <v>55</v>
      </c>
      <c r="AH1498">
        <v>32</v>
      </c>
      <c r="AI1498">
        <v>7.51</v>
      </c>
      <c r="AJ1498">
        <v>21.74</v>
      </c>
      <c r="AK1498">
        <v>12.65</v>
      </c>
      <c r="AL1498">
        <v>-19.623056299999941</v>
      </c>
      <c r="AM1498">
        <v>-43.886837120297002</v>
      </c>
      <c r="AN1498">
        <v>-19.623056299999941</v>
      </c>
      <c r="AO1498">
        <v>-43.886837120297002</v>
      </c>
      <c r="AP1498">
        <v>-19.623774000000001</v>
      </c>
      <c r="AQ1498">
        <v>-43.886352000000002</v>
      </c>
      <c r="AR1498">
        <v>94.713149059175393</v>
      </c>
      <c r="AS1498" t="s">
        <v>65</v>
      </c>
      <c r="AT1498">
        <v>1</v>
      </c>
      <c r="AU1498" t="s">
        <v>386</v>
      </c>
      <c r="AV1498" t="s">
        <v>387</v>
      </c>
      <c r="AW1498" t="s">
        <v>60</v>
      </c>
      <c r="AX1498" t="s">
        <v>68</v>
      </c>
      <c r="AY1498" t="s">
        <v>69</v>
      </c>
      <c r="AZ1498" t="b">
        <v>1</v>
      </c>
    </row>
    <row r="1499" spans="1:52" x14ac:dyDescent="0.3">
      <c r="A1499" t="s">
        <v>52</v>
      </c>
      <c r="B1499" t="s">
        <v>53</v>
      </c>
      <c r="C1499" t="s">
        <v>54</v>
      </c>
      <c r="D1499" t="s">
        <v>55</v>
      </c>
      <c r="E1499" t="s">
        <v>844</v>
      </c>
      <c r="F1499" t="s">
        <v>176</v>
      </c>
      <c r="G1499" t="s">
        <v>388</v>
      </c>
      <c r="H1499" t="s">
        <v>389</v>
      </c>
      <c r="I1499" t="s">
        <v>389</v>
      </c>
      <c r="J1499" t="s">
        <v>60</v>
      </c>
      <c r="K1499" t="s">
        <v>185</v>
      </c>
      <c r="L1499" t="s">
        <v>62</v>
      </c>
      <c r="M1499" t="s">
        <v>185</v>
      </c>
      <c r="N1499" t="s">
        <v>390</v>
      </c>
      <c r="O1499" t="s">
        <v>391</v>
      </c>
      <c r="P1499">
        <v>-19.628802</v>
      </c>
      <c r="Q1499">
        <v>-43.891649000000001</v>
      </c>
      <c r="R1499" s="2" t="str">
        <f>HYPERLINK("https://www.google.com/maps?q=-19.6288020,-43.8916490","Abrir no Google Maps")</f>
        <v>Abrir no Google Maps</v>
      </c>
      <c r="S1499">
        <v>3</v>
      </c>
      <c r="T1499">
        <v>0</v>
      </c>
      <c r="U1499">
        <v>3</v>
      </c>
      <c r="V1499">
        <v>0.138085928408509</v>
      </c>
      <c r="W1499">
        <v>0.85</v>
      </c>
      <c r="X1499">
        <v>0.1173730391472326</v>
      </c>
      <c r="Y1499">
        <v>18</v>
      </c>
      <c r="Z1499">
        <v>117.5064585283839</v>
      </c>
      <c r="AA1499">
        <v>2</v>
      </c>
      <c r="AB1499">
        <v>3</v>
      </c>
      <c r="AC1499">
        <v>7</v>
      </c>
      <c r="AD1499">
        <v>25.73</v>
      </c>
      <c r="AE1499">
        <v>253</v>
      </c>
      <c r="AF1499">
        <v>19</v>
      </c>
      <c r="AG1499">
        <v>55</v>
      </c>
      <c r="AH1499">
        <v>32</v>
      </c>
      <c r="AI1499">
        <v>7.51</v>
      </c>
      <c r="AJ1499">
        <v>21.74</v>
      </c>
      <c r="AK1499">
        <v>12.65</v>
      </c>
      <c r="AL1499">
        <v>-19.628865499999961</v>
      </c>
      <c r="AM1499">
        <v>-43.891662391334172</v>
      </c>
      <c r="AN1499">
        <v>-19.628865499999961</v>
      </c>
      <c r="AO1499">
        <v>-43.891662391334172</v>
      </c>
      <c r="AP1499">
        <v>-19.628802</v>
      </c>
      <c r="AQ1499">
        <v>-43.891649000000001</v>
      </c>
      <c r="AR1499">
        <v>7.2069201904448459</v>
      </c>
      <c r="AS1499" t="s">
        <v>65</v>
      </c>
      <c r="AT1499">
        <v>1</v>
      </c>
      <c r="AU1499" t="s">
        <v>392</v>
      </c>
      <c r="AV1499" t="s">
        <v>393</v>
      </c>
      <c r="AW1499" t="s">
        <v>60</v>
      </c>
      <c r="AX1499" t="s">
        <v>68</v>
      </c>
      <c r="AY1499" t="s">
        <v>69</v>
      </c>
      <c r="AZ1499" t="b">
        <v>1</v>
      </c>
    </row>
    <row r="1500" spans="1:52" x14ac:dyDescent="0.3">
      <c r="A1500" t="s">
        <v>52</v>
      </c>
      <c r="B1500" t="s">
        <v>53</v>
      </c>
      <c r="C1500" t="s">
        <v>54</v>
      </c>
      <c r="D1500" t="s">
        <v>55</v>
      </c>
      <c r="E1500" t="s">
        <v>844</v>
      </c>
      <c r="F1500" t="s">
        <v>176</v>
      </c>
      <c r="G1500" t="s">
        <v>394</v>
      </c>
      <c r="H1500" t="s">
        <v>395</v>
      </c>
      <c r="I1500" t="s">
        <v>395</v>
      </c>
      <c r="J1500" t="s">
        <v>60</v>
      </c>
      <c r="K1500" t="s">
        <v>286</v>
      </c>
      <c r="L1500" t="s">
        <v>62</v>
      </c>
      <c r="M1500" t="s">
        <v>286</v>
      </c>
      <c r="N1500" t="s">
        <v>396</v>
      </c>
      <c r="O1500" t="s">
        <v>88</v>
      </c>
      <c r="P1500">
        <v>-19.636932999999999</v>
      </c>
      <c r="Q1500">
        <v>-43.882691999999999</v>
      </c>
      <c r="R1500" s="2" t="str">
        <f>HYPERLINK("https://www.google.com/maps?q=-19.6369330,-43.8826920","Abrir no Google Maps")</f>
        <v>Abrir no Google Maps</v>
      </c>
      <c r="S1500">
        <v>3</v>
      </c>
      <c r="T1500">
        <v>523.52675813688109</v>
      </c>
      <c r="U1500">
        <v>3</v>
      </c>
      <c r="V1500">
        <v>0.1214448564125003</v>
      </c>
      <c r="W1500">
        <v>1</v>
      </c>
      <c r="X1500">
        <v>0.1214448564125003</v>
      </c>
      <c r="Y1500">
        <v>10</v>
      </c>
      <c r="Z1500">
        <v>372.58135532659509</v>
      </c>
      <c r="AA1500">
        <v>2</v>
      </c>
      <c r="AB1500">
        <v>3</v>
      </c>
      <c r="AC1500">
        <v>7</v>
      </c>
      <c r="AD1500">
        <v>25.73</v>
      </c>
      <c r="AE1500">
        <v>253</v>
      </c>
      <c r="AF1500">
        <v>19</v>
      </c>
      <c r="AG1500">
        <v>55</v>
      </c>
      <c r="AH1500">
        <v>32</v>
      </c>
      <c r="AI1500">
        <v>7.51</v>
      </c>
      <c r="AJ1500">
        <v>21.74</v>
      </c>
      <c r="AK1500">
        <v>12.65</v>
      </c>
      <c r="AL1500">
        <v>-19.637159949999951</v>
      </c>
      <c r="AM1500">
        <v>-43.882643289441461</v>
      </c>
      <c r="AN1500">
        <v>-19.637159949999951</v>
      </c>
      <c r="AO1500">
        <v>-43.882643289441461</v>
      </c>
      <c r="AP1500">
        <v>-19.636932999999999</v>
      </c>
      <c r="AQ1500">
        <v>-43.882691999999999</v>
      </c>
      <c r="AR1500">
        <v>25.775099947452478</v>
      </c>
      <c r="AS1500" t="s">
        <v>65</v>
      </c>
      <c r="AT1500">
        <v>1</v>
      </c>
      <c r="AU1500" t="s">
        <v>397</v>
      </c>
      <c r="AV1500" t="s">
        <v>398</v>
      </c>
      <c r="AW1500" t="s">
        <v>60</v>
      </c>
      <c r="AX1500" t="s">
        <v>68</v>
      </c>
      <c r="AY1500" t="s">
        <v>69</v>
      </c>
      <c r="AZ1500" t="b">
        <v>1</v>
      </c>
    </row>
    <row r="1501" spans="1:52" x14ac:dyDescent="0.3">
      <c r="A1501" t="s">
        <v>52</v>
      </c>
      <c r="B1501" t="s">
        <v>53</v>
      </c>
      <c r="C1501" t="s">
        <v>54</v>
      </c>
      <c r="D1501" t="s">
        <v>55</v>
      </c>
      <c r="E1501" t="s">
        <v>844</v>
      </c>
      <c r="F1501" t="s">
        <v>176</v>
      </c>
      <c r="G1501" t="s">
        <v>291</v>
      </c>
      <c r="H1501" t="s">
        <v>292</v>
      </c>
      <c r="I1501" t="s">
        <v>292</v>
      </c>
      <c r="J1501" t="s">
        <v>60</v>
      </c>
      <c r="K1501" t="s">
        <v>286</v>
      </c>
      <c r="L1501" t="s">
        <v>62</v>
      </c>
      <c r="M1501" t="s">
        <v>286</v>
      </c>
      <c r="N1501" t="s">
        <v>293</v>
      </c>
      <c r="O1501" t="s">
        <v>294</v>
      </c>
      <c r="P1501">
        <v>-19.640333999999999</v>
      </c>
      <c r="Q1501">
        <v>-43.880004999999997</v>
      </c>
      <c r="R1501" s="2" t="str">
        <f>HYPERLINK("https://www.google.com/maps?q=-19.6403340,-43.8800050","Abrir no Google Maps")</f>
        <v>Abrir no Google Maps</v>
      </c>
      <c r="S1501">
        <v>3</v>
      </c>
      <c r="T1501">
        <v>276.80943817309782</v>
      </c>
      <c r="U1501">
        <v>3</v>
      </c>
      <c r="V1501">
        <v>0.12022292993630571</v>
      </c>
      <c r="W1501">
        <v>1</v>
      </c>
      <c r="X1501">
        <v>0.12022292993630571</v>
      </c>
      <c r="Y1501">
        <v>10</v>
      </c>
      <c r="Z1501">
        <v>361.98332038983392</v>
      </c>
      <c r="AA1501">
        <v>2</v>
      </c>
      <c r="AB1501">
        <v>3</v>
      </c>
      <c r="AC1501">
        <v>7</v>
      </c>
      <c r="AD1501">
        <v>25.73</v>
      </c>
      <c r="AE1501">
        <v>253</v>
      </c>
      <c r="AF1501">
        <v>19</v>
      </c>
      <c r="AG1501">
        <v>55</v>
      </c>
      <c r="AH1501">
        <v>32</v>
      </c>
      <c r="AI1501">
        <v>7.51</v>
      </c>
      <c r="AJ1501">
        <v>21.74</v>
      </c>
      <c r="AK1501">
        <v>12.65</v>
      </c>
      <c r="AL1501">
        <v>-19.640260249999951</v>
      </c>
      <c r="AM1501">
        <v>-43.880090474326408</v>
      </c>
      <c r="AN1501">
        <v>-19.640260249999951</v>
      </c>
      <c r="AO1501">
        <v>-43.880090474326408</v>
      </c>
      <c r="AP1501">
        <v>-19.640333999999999</v>
      </c>
      <c r="AQ1501">
        <v>-43.880004999999997</v>
      </c>
      <c r="AR1501">
        <v>12.153556195359609</v>
      </c>
      <c r="AS1501" t="s">
        <v>65</v>
      </c>
      <c r="AT1501">
        <v>1</v>
      </c>
      <c r="AU1501" t="s">
        <v>295</v>
      </c>
      <c r="AV1501" t="s">
        <v>296</v>
      </c>
      <c r="AW1501" t="s">
        <v>60</v>
      </c>
      <c r="AX1501" t="s">
        <v>68</v>
      </c>
      <c r="AY1501" t="s">
        <v>69</v>
      </c>
      <c r="AZ1501" t="b">
        <v>1</v>
      </c>
    </row>
    <row r="1502" spans="1:52" x14ac:dyDescent="0.3">
      <c r="A1502" t="s">
        <v>52</v>
      </c>
      <c r="B1502" t="s">
        <v>53</v>
      </c>
      <c r="C1502" t="s">
        <v>54</v>
      </c>
      <c r="D1502" t="s">
        <v>55</v>
      </c>
      <c r="E1502" t="s">
        <v>844</v>
      </c>
      <c r="F1502" t="s">
        <v>176</v>
      </c>
      <c r="G1502" t="s">
        <v>405</v>
      </c>
      <c r="H1502" t="s">
        <v>406</v>
      </c>
      <c r="I1502" t="s">
        <v>406</v>
      </c>
      <c r="J1502" t="s">
        <v>60</v>
      </c>
      <c r="K1502" t="s">
        <v>286</v>
      </c>
      <c r="L1502" t="s">
        <v>62</v>
      </c>
      <c r="M1502" t="s">
        <v>286</v>
      </c>
      <c r="N1502" t="s">
        <v>407</v>
      </c>
      <c r="O1502" t="s">
        <v>408</v>
      </c>
      <c r="P1502">
        <v>-19.646345</v>
      </c>
      <c r="Q1502">
        <v>-43.882294999999999</v>
      </c>
      <c r="R1502" s="2" t="str">
        <f>HYPERLINK("https://www.google.com/maps?q=-19.6463450,-43.8822950","Abrir no Google Maps")</f>
        <v>Abrir no Google Maps</v>
      </c>
      <c r="S1502">
        <v>3</v>
      </c>
      <c r="T1502">
        <v>450.3180538635894</v>
      </c>
      <c r="U1502">
        <v>3</v>
      </c>
      <c r="V1502">
        <v>0.1167631651502619</v>
      </c>
      <c r="W1502">
        <v>1</v>
      </c>
      <c r="X1502">
        <v>0.1167631651502619</v>
      </c>
      <c r="Y1502">
        <v>10</v>
      </c>
      <c r="Z1502">
        <v>349.23341775902583</v>
      </c>
      <c r="AA1502">
        <v>2</v>
      </c>
      <c r="AB1502">
        <v>3</v>
      </c>
      <c r="AC1502">
        <v>7</v>
      </c>
      <c r="AD1502">
        <v>25.73</v>
      </c>
      <c r="AE1502">
        <v>253</v>
      </c>
      <c r="AF1502">
        <v>19</v>
      </c>
      <c r="AG1502">
        <v>55</v>
      </c>
      <c r="AH1502">
        <v>32</v>
      </c>
      <c r="AI1502">
        <v>7.51</v>
      </c>
      <c r="AJ1502">
        <v>21.74</v>
      </c>
      <c r="AK1502">
        <v>12.65</v>
      </c>
      <c r="AL1502">
        <v>-19.646391649999941</v>
      </c>
      <c r="AM1502">
        <v>-43.882007396993302</v>
      </c>
      <c r="AN1502">
        <v>-19.646391649999941</v>
      </c>
      <c r="AO1502">
        <v>-43.882007396993302</v>
      </c>
      <c r="AP1502">
        <v>-19.646345</v>
      </c>
      <c r="AQ1502">
        <v>-43.882294999999999</v>
      </c>
      <c r="AR1502">
        <v>30.596105513395301</v>
      </c>
      <c r="AS1502" t="s">
        <v>65</v>
      </c>
      <c r="AT1502">
        <v>1</v>
      </c>
      <c r="AU1502" t="s">
        <v>409</v>
      </c>
      <c r="AV1502" t="s">
        <v>410</v>
      </c>
      <c r="AW1502" t="s">
        <v>60</v>
      </c>
      <c r="AX1502" t="s">
        <v>68</v>
      </c>
      <c r="AY1502" t="s">
        <v>69</v>
      </c>
      <c r="AZ1502" t="b">
        <v>1</v>
      </c>
    </row>
    <row r="1503" spans="1:52" x14ac:dyDescent="0.3">
      <c r="A1503" t="s">
        <v>52</v>
      </c>
      <c r="B1503" t="s">
        <v>53</v>
      </c>
      <c r="C1503" t="s">
        <v>54</v>
      </c>
      <c r="D1503" t="s">
        <v>55</v>
      </c>
      <c r="E1503" t="s">
        <v>844</v>
      </c>
      <c r="F1503" t="s">
        <v>176</v>
      </c>
      <c r="G1503" t="s">
        <v>670</v>
      </c>
      <c r="H1503" t="s">
        <v>671</v>
      </c>
      <c r="I1503" t="s">
        <v>671</v>
      </c>
      <c r="J1503" t="s">
        <v>60</v>
      </c>
      <c r="K1503" t="s">
        <v>672</v>
      </c>
      <c r="L1503" t="s">
        <v>62</v>
      </c>
      <c r="M1503" t="s">
        <v>672</v>
      </c>
      <c r="N1503" t="s">
        <v>673</v>
      </c>
      <c r="O1503" t="s">
        <v>424</v>
      </c>
      <c r="P1503">
        <v>-19.574909999999999</v>
      </c>
      <c r="Q1503">
        <v>-43.906655999999998</v>
      </c>
      <c r="R1503" s="2" t="str">
        <f>HYPERLINK("https://www.google.com/maps?q=-19.5749100,-43.9066560","Abrir no Google Maps")</f>
        <v>Abrir no Google Maps</v>
      </c>
      <c r="S1503">
        <v>3</v>
      </c>
      <c r="T1503">
        <v>1366.716412286687</v>
      </c>
      <c r="U1503">
        <v>3</v>
      </c>
      <c r="V1503">
        <v>0.1188314528120353</v>
      </c>
      <c r="W1503">
        <v>1</v>
      </c>
      <c r="X1503">
        <v>0.1188314528120353</v>
      </c>
      <c r="Y1503">
        <v>7</v>
      </c>
      <c r="Z1503">
        <v>1153.3004962806151</v>
      </c>
      <c r="AA1503">
        <v>2</v>
      </c>
      <c r="AB1503">
        <v>3</v>
      </c>
      <c r="AC1503">
        <v>7</v>
      </c>
      <c r="AD1503">
        <v>25.73</v>
      </c>
      <c r="AE1503">
        <v>253</v>
      </c>
      <c r="AF1503">
        <v>19</v>
      </c>
      <c r="AG1503">
        <v>55</v>
      </c>
      <c r="AH1503">
        <v>32</v>
      </c>
      <c r="AI1503">
        <v>7.51</v>
      </c>
      <c r="AJ1503">
        <v>21.74</v>
      </c>
      <c r="AK1503">
        <v>12.65</v>
      </c>
      <c r="AL1503">
        <v>-19.574026899999978</v>
      </c>
      <c r="AM1503">
        <v>-43.907476033591983</v>
      </c>
      <c r="AN1503">
        <v>-19.574026899999978</v>
      </c>
      <c r="AO1503">
        <v>-43.907476033591983</v>
      </c>
      <c r="AP1503">
        <v>-19.574909999999999</v>
      </c>
      <c r="AQ1503">
        <v>-43.906655999999998</v>
      </c>
      <c r="AR1503">
        <v>130.62174183264671</v>
      </c>
      <c r="AS1503" t="s">
        <v>65</v>
      </c>
      <c r="AT1503">
        <v>1</v>
      </c>
      <c r="AU1503" t="s">
        <v>674</v>
      </c>
      <c r="AV1503" t="s">
        <v>675</v>
      </c>
      <c r="AW1503" t="s">
        <v>60</v>
      </c>
      <c r="AX1503" t="s">
        <v>68</v>
      </c>
      <c r="AY1503" t="s">
        <v>69</v>
      </c>
      <c r="AZ1503" t="b">
        <v>1</v>
      </c>
    </row>
    <row r="1504" spans="1:52" x14ac:dyDescent="0.3">
      <c r="A1504" t="s">
        <v>52</v>
      </c>
      <c r="B1504" t="s">
        <v>53</v>
      </c>
      <c r="C1504" t="s">
        <v>54</v>
      </c>
      <c r="D1504" t="s">
        <v>55</v>
      </c>
      <c r="E1504" t="s">
        <v>844</v>
      </c>
      <c r="F1504" t="s">
        <v>176</v>
      </c>
      <c r="G1504" t="s">
        <v>696</v>
      </c>
      <c r="H1504" t="s">
        <v>697</v>
      </c>
      <c r="I1504" t="s">
        <v>697</v>
      </c>
      <c r="J1504" t="s">
        <v>60</v>
      </c>
      <c r="K1504" t="s">
        <v>192</v>
      </c>
      <c r="L1504" t="s">
        <v>62</v>
      </c>
      <c r="M1504" t="s">
        <v>192</v>
      </c>
      <c r="N1504" t="s">
        <v>698</v>
      </c>
      <c r="O1504" t="s">
        <v>201</v>
      </c>
      <c r="P1504">
        <v>-19.657964</v>
      </c>
      <c r="Q1504">
        <v>-43.913791000000003</v>
      </c>
      <c r="R1504" s="2" t="str">
        <f>HYPERLINK("https://www.google.com/maps?q=-19.6579640,-43.9137910","Abrir no Google Maps")</f>
        <v>Abrir no Google Maps</v>
      </c>
      <c r="S1504">
        <v>3</v>
      </c>
      <c r="T1504">
        <v>1058.2952342500039</v>
      </c>
      <c r="U1504">
        <v>3</v>
      </c>
      <c r="V1504">
        <v>0.1372093023255814</v>
      </c>
      <c r="W1504">
        <v>0.85</v>
      </c>
      <c r="X1504">
        <v>0.1166279069767442</v>
      </c>
      <c r="Y1504">
        <v>5</v>
      </c>
      <c r="Z1504">
        <v>569.88485997938767</v>
      </c>
      <c r="AA1504">
        <v>2</v>
      </c>
      <c r="AB1504">
        <v>3</v>
      </c>
      <c r="AC1504">
        <v>7</v>
      </c>
      <c r="AD1504">
        <v>25.73</v>
      </c>
      <c r="AE1504">
        <v>253</v>
      </c>
      <c r="AF1504">
        <v>19</v>
      </c>
      <c r="AG1504">
        <v>55</v>
      </c>
      <c r="AH1504">
        <v>32</v>
      </c>
      <c r="AI1504">
        <v>7.51</v>
      </c>
      <c r="AJ1504">
        <v>21.74</v>
      </c>
      <c r="AK1504">
        <v>12.65</v>
      </c>
      <c r="AL1504">
        <v>-19.656920099999951</v>
      </c>
      <c r="AM1504">
        <v>-43.913287088959777</v>
      </c>
      <c r="AN1504">
        <v>-19.656920099999951</v>
      </c>
      <c r="AO1504">
        <v>-43.913287088959777</v>
      </c>
      <c r="AP1504">
        <v>-19.657964</v>
      </c>
      <c r="AQ1504">
        <v>-43.913791000000003</v>
      </c>
      <c r="AR1504">
        <v>127.6506083298423</v>
      </c>
      <c r="AS1504" t="s">
        <v>65</v>
      </c>
      <c r="AT1504">
        <v>1</v>
      </c>
      <c r="AU1504" t="s">
        <v>699</v>
      </c>
      <c r="AV1504" t="s">
        <v>700</v>
      </c>
      <c r="AW1504" t="s">
        <v>60</v>
      </c>
      <c r="AX1504" t="s">
        <v>68</v>
      </c>
      <c r="AY1504" t="s">
        <v>69</v>
      </c>
      <c r="AZ1504" t="b">
        <v>1</v>
      </c>
    </row>
    <row r="1505" spans="1:52" x14ac:dyDescent="0.3">
      <c r="A1505" t="s">
        <v>52</v>
      </c>
      <c r="B1505" t="s">
        <v>53</v>
      </c>
      <c r="C1505" t="s">
        <v>54</v>
      </c>
      <c r="D1505" t="s">
        <v>55</v>
      </c>
      <c r="E1505" t="s">
        <v>844</v>
      </c>
      <c r="F1505" t="s">
        <v>176</v>
      </c>
      <c r="G1505" t="s">
        <v>297</v>
      </c>
      <c r="H1505" t="s">
        <v>298</v>
      </c>
      <c r="I1505" t="s">
        <v>298</v>
      </c>
      <c r="J1505" t="s">
        <v>60</v>
      </c>
      <c r="K1505" t="s">
        <v>299</v>
      </c>
      <c r="L1505" t="s">
        <v>62</v>
      </c>
      <c r="M1505" t="s">
        <v>299</v>
      </c>
      <c r="N1505" t="s">
        <v>300</v>
      </c>
      <c r="O1505" t="s">
        <v>301</v>
      </c>
      <c r="P1505">
        <v>-19.679597000000001</v>
      </c>
      <c r="Q1505">
        <v>-43.912095000000001</v>
      </c>
      <c r="R1505" s="2" t="str">
        <f>HYPERLINK("https://www.google.com/maps?q=-19.6795970,-43.9120950","Abrir no Google Maps")</f>
        <v>Abrir no Google Maps</v>
      </c>
      <c r="S1505">
        <v>3</v>
      </c>
      <c r="T1505">
        <v>1581.3368267219889</v>
      </c>
      <c r="U1505">
        <v>3</v>
      </c>
      <c r="V1505">
        <v>0.1213662753126437</v>
      </c>
      <c r="W1505">
        <v>1</v>
      </c>
      <c r="X1505">
        <v>0.1213662753126437</v>
      </c>
      <c r="Y1505">
        <v>5</v>
      </c>
      <c r="Z1505">
        <v>2051.2590436749392</v>
      </c>
      <c r="AA1505">
        <v>2</v>
      </c>
      <c r="AB1505">
        <v>3</v>
      </c>
      <c r="AC1505">
        <v>7</v>
      </c>
      <c r="AD1505">
        <v>25.73</v>
      </c>
      <c r="AE1505">
        <v>253</v>
      </c>
      <c r="AF1505">
        <v>19</v>
      </c>
      <c r="AG1505">
        <v>55</v>
      </c>
      <c r="AH1505">
        <v>32</v>
      </c>
      <c r="AI1505">
        <v>7.51</v>
      </c>
      <c r="AJ1505">
        <v>21.74</v>
      </c>
      <c r="AK1505">
        <v>12.65</v>
      </c>
      <c r="AL1505">
        <v>-19.679572799999931</v>
      </c>
      <c r="AM1505">
        <v>-43.912071775440793</v>
      </c>
      <c r="AN1505">
        <v>-19.679572799999931</v>
      </c>
      <c r="AO1505">
        <v>-43.912071775440793</v>
      </c>
      <c r="AP1505">
        <v>-19.679597000000001</v>
      </c>
      <c r="AQ1505">
        <v>-43.912095000000001</v>
      </c>
      <c r="AR1505">
        <v>3.6308936744190978</v>
      </c>
      <c r="AS1505" t="s">
        <v>65</v>
      </c>
      <c r="AT1505">
        <v>1</v>
      </c>
      <c r="AU1505" t="s">
        <v>302</v>
      </c>
      <c r="AV1505" t="s">
        <v>303</v>
      </c>
      <c r="AW1505" t="s">
        <v>60</v>
      </c>
      <c r="AX1505" t="s">
        <v>68</v>
      </c>
      <c r="AY1505" t="s">
        <v>69</v>
      </c>
      <c r="AZ1505" t="b">
        <v>1</v>
      </c>
    </row>
    <row r="1506" spans="1:52" x14ac:dyDescent="0.3">
      <c r="A1506" t="s">
        <v>52</v>
      </c>
      <c r="B1506" t="s">
        <v>53</v>
      </c>
      <c r="C1506" t="s">
        <v>54</v>
      </c>
      <c r="D1506" t="s">
        <v>55</v>
      </c>
      <c r="E1506" t="s">
        <v>844</v>
      </c>
      <c r="F1506" t="s">
        <v>176</v>
      </c>
      <c r="G1506" t="s">
        <v>304</v>
      </c>
      <c r="H1506" t="s">
        <v>305</v>
      </c>
      <c r="I1506" t="s">
        <v>305</v>
      </c>
      <c r="J1506" t="s">
        <v>60</v>
      </c>
      <c r="K1506" t="s">
        <v>299</v>
      </c>
      <c r="L1506" t="s">
        <v>62</v>
      </c>
      <c r="M1506" t="s">
        <v>299</v>
      </c>
      <c r="N1506" t="s">
        <v>306</v>
      </c>
      <c r="O1506" t="s">
        <v>307</v>
      </c>
      <c r="P1506">
        <v>-19.681051</v>
      </c>
      <c r="Q1506">
        <v>-43.914375</v>
      </c>
      <c r="R1506" s="2" t="str">
        <f>HYPERLINK("https://www.google.com/maps?q=-19.6810510,-43.9143750","Abrir no Google Maps")</f>
        <v>Abrir no Google Maps</v>
      </c>
      <c r="S1506">
        <v>3</v>
      </c>
      <c r="T1506">
        <v>1793.507056919605</v>
      </c>
      <c r="U1506">
        <v>3</v>
      </c>
      <c r="V1506">
        <v>0.1145670250147862</v>
      </c>
      <c r="W1506">
        <v>1</v>
      </c>
      <c r="X1506">
        <v>0.1145670250147862</v>
      </c>
      <c r="Y1506">
        <v>5</v>
      </c>
      <c r="Z1506">
        <v>2183.7125920783069</v>
      </c>
      <c r="AA1506">
        <v>2</v>
      </c>
      <c r="AB1506">
        <v>3</v>
      </c>
      <c r="AC1506">
        <v>7</v>
      </c>
      <c r="AD1506">
        <v>25.73</v>
      </c>
      <c r="AE1506">
        <v>253</v>
      </c>
      <c r="AF1506">
        <v>19</v>
      </c>
      <c r="AG1506">
        <v>55</v>
      </c>
      <c r="AH1506">
        <v>32</v>
      </c>
      <c r="AI1506">
        <v>7.51</v>
      </c>
      <c r="AJ1506">
        <v>21.74</v>
      </c>
      <c r="AK1506">
        <v>12.65</v>
      </c>
      <c r="AL1506">
        <v>-19.680967149999962</v>
      </c>
      <c r="AM1506">
        <v>-43.914383884426663</v>
      </c>
      <c r="AN1506">
        <v>-19.680967149999962</v>
      </c>
      <c r="AO1506">
        <v>-43.914383884426663</v>
      </c>
      <c r="AP1506">
        <v>-19.681051</v>
      </c>
      <c r="AQ1506">
        <v>-43.914375</v>
      </c>
      <c r="AR1506">
        <v>9.3805201894968722</v>
      </c>
      <c r="AS1506" t="s">
        <v>65</v>
      </c>
      <c r="AT1506">
        <v>1</v>
      </c>
      <c r="AU1506" t="s">
        <v>308</v>
      </c>
      <c r="AV1506" t="s">
        <v>303</v>
      </c>
      <c r="AW1506" t="s">
        <v>60</v>
      </c>
      <c r="AX1506" t="s">
        <v>68</v>
      </c>
      <c r="AY1506" t="s">
        <v>69</v>
      </c>
      <c r="AZ1506" t="b">
        <v>1</v>
      </c>
    </row>
    <row r="1507" spans="1:52" x14ac:dyDescent="0.3">
      <c r="A1507" t="s">
        <v>52</v>
      </c>
      <c r="B1507" t="s">
        <v>53</v>
      </c>
      <c r="C1507" t="s">
        <v>54</v>
      </c>
      <c r="D1507" t="s">
        <v>55</v>
      </c>
      <c r="E1507" t="s">
        <v>844</v>
      </c>
      <c r="F1507" t="s">
        <v>176</v>
      </c>
      <c r="G1507" t="s">
        <v>309</v>
      </c>
      <c r="H1507" t="s">
        <v>676</v>
      </c>
      <c r="I1507" t="s">
        <v>676</v>
      </c>
      <c r="J1507" t="s">
        <v>60</v>
      </c>
      <c r="K1507" t="s">
        <v>311</v>
      </c>
      <c r="L1507" t="s">
        <v>62</v>
      </c>
      <c r="M1507" t="s">
        <v>311</v>
      </c>
      <c r="N1507" t="s">
        <v>677</v>
      </c>
      <c r="O1507" t="s">
        <v>678</v>
      </c>
      <c r="P1507">
        <v>-19.567574</v>
      </c>
      <c r="Q1507">
        <v>-43.916691</v>
      </c>
      <c r="R1507" s="2" t="str">
        <f>HYPERLINK("https://www.google.com/maps?q=-19.5675740,-43.9166910","Abrir no Google Maps")</f>
        <v>Abrir no Google Maps</v>
      </c>
      <c r="S1507">
        <v>3</v>
      </c>
      <c r="T1507">
        <v>964.07840012317956</v>
      </c>
      <c r="U1507">
        <v>3</v>
      </c>
      <c r="V1507">
        <v>0.11082445063027579</v>
      </c>
      <c r="W1507">
        <v>1</v>
      </c>
      <c r="X1507">
        <v>0.11082445063027579</v>
      </c>
      <c r="Y1507">
        <v>5</v>
      </c>
      <c r="Z1507">
        <v>848.74171565955544</v>
      </c>
      <c r="AA1507">
        <v>2</v>
      </c>
      <c r="AB1507">
        <v>3</v>
      </c>
      <c r="AC1507">
        <v>7</v>
      </c>
      <c r="AD1507">
        <v>25.73</v>
      </c>
      <c r="AE1507">
        <v>253</v>
      </c>
      <c r="AF1507">
        <v>19</v>
      </c>
      <c r="AG1507">
        <v>55</v>
      </c>
      <c r="AH1507">
        <v>32</v>
      </c>
      <c r="AI1507">
        <v>7.51</v>
      </c>
      <c r="AJ1507">
        <v>21.74</v>
      </c>
      <c r="AK1507">
        <v>12.65</v>
      </c>
      <c r="AL1507">
        <v>-19.568204099999971</v>
      </c>
      <c r="AM1507">
        <v>-43.914085447159053</v>
      </c>
      <c r="AN1507">
        <v>-19.568204099999971</v>
      </c>
      <c r="AO1507">
        <v>-43.914085447159053</v>
      </c>
      <c r="AP1507">
        <v>-19.567574</v>
      </c>
      <c r="AQ1507">
        <v>-43.916691</v>
      </c>
      <c r="AR1507">
        <v>282.15548573552991</v>
      </c>
      <c r="AS1507" t="s">
        <v>65</v>
      </c>
      <c r="AT1507">
        <v>1</v>
      </c>
      <c r="AU1507" t="s">
        <v>679</v>
      </c>
      <c r="AV1507" t="s">
        <v>680</v>
      </c>
      <c r="AW1507" t="s">
        <v>60</v>
      </c>
      <c r="AX1507" t="s">
        <v>68</v>
      </c>
      <c r="AY1507" t="s">
        <v>69</v>
      </c>
      <c r="AZ1507" t="b">
        <v>1</v>
      </c>
    </row>
    <row r="1508" spans="1:52" x14ac:dyDescent="0.3">
      <c r="A1508" t="s">
        <v>52</v>
      </c>
      <c r="B1508" t="s">
        <v>53</v>
      </c>
      <c r="C1508" t="s">
        <v>54</v>
      </c>
      <c r="D1508" t="s">
        <v>55</v>
      </c>
      <c r="E1508" t="s">
        <v>844</v>
      </c>
      <c r="F1508" t="s">
        <v>176</v>
      </c>
      <c r="G1508" t="s">
        <v>309</v>
      </c>
      <c r="H1508" t="s">
        <v>310</v>
      </c>
      <c r="I1508" t="s">
        <v>310</v>
      </c>
      <c r="J1508" t="s">
        <v>60</v>
      </c>
      <c r="K1508" t="s">
        <v>311</v>
      </c>
      <c r="L1508" t="s">
        <v>62</v>
      </c>
      <c r="M1508" t="s">
        <v>311</v>
      </c>
      <c r="N1508" t="s">
        <v>312</v>
      </c>
      <c r="O1508" t="s">
        <v>313</v>
      </c>
      <c r="P1508">
        <v>-19.576996999999999</v>
      </c>
      <c r="Q1508">
        <v>-43.919024999999998</v>
      </c>
      <c r="R1508" s="2" t="str">
        <f>HYPERLINK("https://www.google.com/maps?q=-19.5769970,-43.9190250","Abrir no Google Maps")</f>
        <v>Abrir no Google Maps</v>
      </c>
      <c r="S1508">
        <v>3</v>
      </c>
      <c r="T1508">
        <v>316.64266747869789</v>
      </c>
      <c r="U1508">
        <v>3</v>
      </c>
      <c r="V1508">
        <v>0.14075341357665169</v>
      </c>
      <c r="W1508">
        <v>0.85</v>
      </c>
      <c r="X1508">
        <v>0.1196404015401539</v>
      </c>
      <c r="Y1508">
        <v>5</v>
      </c>
      <c r="Z1508">
        <v>411.74435151529269</v>
      </c>
      <c r="AA1508">
        <v>2</v>
      </c>
      <c r="AB1508">
        <v>3</v>
      </c>
      <c r="AC1508">
        <v>7</v>
      </c>
      <c r="AD1508">
        <v>25.73</v>
      </c>
      <c r="AE1508">
        <v>253</v>
      </c>
      <c r="AF1508">
        <v>19</v>
      </c>
      <c r="AG1508">
        <v>55</v>
      </c>
      <c r="AH1508">
        <v>32</v>
      </c>
      <c r="AI1508">
        <v>7.51</v>
      </c>
      <c r="AJ1508">
        <v>21.74</v>
      </c>
      <c r="AK1508">
        <v>12.65</v>
      </c>
      <c r="AL1508">
        <v>-19.576964999999941</v>
      </c>
      <c r="AM1508">
        <v>-43.919068241233632</v>
      </c>
      <c r="AN1508">
        <v>-19.576964999999941</v>
      </c>
      <c r="AO1508">
        <v>-43.919068241233632</v>
      </c>
      <c r="AP1508">
        <v>-19.576996999999999</v>
      </c>
      <c r="AQ1508">
        <v>-43.919024999999998</v>
      </c>
      <c r="AR1508">
        <v>5.7670575161946216</v>
      </c>
      <c r="AS1508" t="s">
        <v>65</v>
      </c>
      <c r="AT1508">
        <v>1</v>
      </c>
      <c r="AU1508" t="s">
        <v>314</v>
      </c>
      <c r="AV1508" t="s">
        <v>315</v>
      </c>
      <c r="AW1508" t="s">
        <v>60</v>
      </c>
      <c r="AX1508" t="s">
        <v>68</v>
      </c>
      <c r="AY1508" t="s">
        <v>69</v>
      </c>
      <c r="AZ1508" t="b">
        <v>1</v>
      </c>
    </row>
    <row r="1509" spans="1:52" x14ac:dyDescent="0.3">
      <c r="A1509" t="s">
        <v>52</v>
      </c>
      <c r="B1509" t="s">
        <v>53</v>
      </c>
      <c r="C1509" t="s">
        <v>54</v>
      </c>
      <c r="D1509" t="s">
        <v>55</v>
      </c>
      <c r="E1509" t="s">
        <v>844</v>
      </c>
      <c r="F1509" t="s">
        <v>176</v>
      </c>
      <c r="G1509" t="s">
        <v>427</v>
      </c>
      <c r="H1509" t="s">
        <v>428</v>
      </c>
      <c r="I1509" t="s">
        <v>428</v>
      </c>
      <c r="J1509" t="s">
        <v>60</v>
      </c>
      <c r="K1509" t="s">
        <v>311</v>
      </c>
      <c r="L1509" t="s">
        <v>62</v>
      </c>
      <c r="M1509" t="s">
        <v>311</v>
      </c>
      <c r="N1509" t="s">
        <v>429</v>
      </c>
      <c r="O1509" t="s">
        <v>430</v>
      </c>
      <c r="P1509">
        <v>-19.574636999999999</v>
      </c>
      <c r="Q1509">
        <v>-43.919919999999998</v>
      </c>
      <c r="R1509" s="2" t="str">
        <f>HYPERLINK("https://www.google.com/maps?q=-19.5746370,-43.9199200","Abrir no Google Maps")</f>
        <v>Abrir no Google Maps</v>
      </c>
      <c r="S1509">
        <v>3</v>
      </c>
      <c r="T1509">
        <v>0</v>
      </c>
      <c r="U1509">
        <v>3</v>
      </c>
      <c r="V1509">
        <v>0.1201885027699834</v>
      </c>
      <c r="W1509">
        <v>1</v>
      </c>
      <c r="X1509">
        <v>0.1201885027699834</v>
      </c>
      <c r="Y1509">
        <v>5</v>
      </c>
      <c r="Z1509">
        <v>161.2304444692663</v>
      </c>
      <c r="AA1509">
        <v>2</v>
      </c>
      <c r="AB1509">
        <v>3</v>
      </c>
      <c r="AC1509">
        <v>7</v>
      </c>
      <c r="AD1509">
        <v>25.73</v>
      </c>
      <c r="AE1509">
        <v>253</v>
      </c>
      <c r="AF1509">
        <v>19</v>
      </c>
      <c r="AG1509">
        <v>55</v>
      </c>
      <c r="AH1509">
        <v>32</v>
      </c>
      <c r="AI1509">
        <v>7.51</v>
      </c>
      <c r="AJ1509">
        <v>21.74</v>
      </c>
      <c r="AK1509">
        <v>12.65</v>
      </c>
      <c r="AL1509">
        <v>-19.57444484999996</v>
      </c>
      <c r="AM1509">
        <v>-43.920497272225433</v>
      </c>
      <c r="AN1509">
        <v>-19.57444484999996</v>
      </c>
      <c r="AO1509">
        <v>-43.920497272225433</v>
      </c>
      <c r="AP1509">
        <v>-19.574636999999999</v>
      </c>
      <c r="AQ1509">
        <v>-43.919919999999998</v>
      </c>
      <c r="AR1509">
        <v>64.215298992893679</v>
      </c>
      <c r="AS1509" t="s">
        <v>65</v>
      </c>
      <c r="AT1509">
        <v>1</v>
      </c>
      <c r="AU1509" t="s">
        <v>431</v>
      </c>
      <c r="AV1509" t="s">
        <v>432</v>
      </c>
      <c r="AW1509" t="s">
        <v>60</v>
      </c>
      <c r="AX1509" t="s">
        <v>68</v>
      </c>
      <c r="AY1509" t="s">
        <v>69</v>
      </c>
      <c r="AZ1509" t="b">
        <v>1</v>
      </c>
    </row>
    <row r="1510" spans="1:52" x14ac:dyDescent="0.3">
      <c r="A1510" t="s">
        <v>52</v>
      </c>
      <c r="B1510" t="s">
        <v>53</v>
      </c>
      <c r="C1510" t="s">
        <v>54</v>
      </c>
      <c r="D1510" t="s">
        <v>55</v>
      </c>
      <c r="E1510" t="s">
        <v>844</v>
      </c>
      <c r="F1510" t="s">
        <v>176</v>
      </c>
      <c r="G1510" t="s">
        <v>664</v>
      </c>
      <c r="H1510" t="s">
        <v>701</v>
      </c>
      <c r="I1510" t="s">
        <v>701</v>
      </c>
      <c r="J1510" t="s">
        <v>60</v>
      </c>
      <c r="K1510" t="s">
        <v>311</v>
      </c>
      <c r="L1510" t="s">
        <v>62</v>
      </c>
      <c r="M1510" t="s">
        <v>311</v>
      </c>
      <c r="N1510" t="s">
        <v>435</v>
      </c>
      <c r="O1510" t="s">
        <v>702</v>
      </c>
      <c r="P1510">
        <v>-19.565729000000001</v>
      </c>
      <c r="Q1510">
        <v>-43.920665999999997</v>
      </c>
      <c r="R1510" s="2" t="str">
        <f>HYPERLINK("https://www.google.com/maps?q=-19.5657290,-43.9206660","Abrir no Google Maps")</f>
        <v>Abrir no Google Maps</v>
      </c>
      <c r="S1510">
        <v>3</v>
      </c>
      <c r="T1510">
        <v>849.43063667308161</v>
      </c>
      <c r="U1510">
        <v>3</v>
      </c>
      <c r="V1510">
        <v>0.12937253300666929</v>
      </c>
      <c r="W1510">
        <v>0.85</v>
      </c>
      <c r="X1510">
        <v>0.1099666530556689</v>
      </c>
      <c r="Y1510">
        <v>5</v>
      </c>
      <c r="Z1510">
        <v>643.17339424023237</v>
      </c>
      <c r="AA1510">
        <v>2</v>
      </c>
      <c r="AB1510">
        <v>3</v>
      </c>
      <c r="AC1510">
        <v>7</v>
      </c>
      <c r="AD1510">
        <v>25.73</v>
      </c>
      <c r="AE1510">
        <v>253</v>
      </c>
      <c r="AF1510">
        <v>19</v>
      </c>
      <c r="AG1510">
        <v>55</v>
      </c>
      <c r="AH1510">
        <v>32</v>
      </c>
      <c r="AI1510">
        <v>7.51</v>
      </c>
      <c r="AJ1510">
        <v>21.74</v>
      </c>
      <c r="AK1510">
        <v>12.65</v>
      </c>
      <c r="AL1510">
        <v>-19.56682334999994</v>
      </c>
      <c r="AM1510">
        <v>-43.921453383422516</v>
      </c>
      <c r="AN1510">
        <v>-19.56682334999994</v>
      </c>
      <c r="AO1510">
        <v>-43.921453383422516</v>
      </c>
      <c r="AP1510">
        <v>-19.565729000000001</v>
      </c>
      <c r="AQ1510">
        <v>-43.920665999999997</v>
      </c>
      <c r="AR1510">
        <v>147.17990898184439</v>
      </c>
      <c r="AS1510" t="s">
        <v>65</v>
      </c>
      <c r="AT1510">
        <v>1</v>
      </c>
      <c r="AU1510" t="s">
        <v>703</v>
      </c>
      <c r="AV1510" t="s">
        <v>704</v>
      </c>
      <c r="AW1510" t="s">
        <v>60</v>
      </c>
      <c r="AX1510" t="s">
        <v>68</v>
      </c>
      <c r="AY1510" t="s">
        <v>69</v>
      </c>
      <c r="AZ1510" t="b">
        <v>1</v>
      </c>
    </row>
    <row r="1511" spans="1:52" x14ac:dyDescent="0.3">
      <c r="A1511" t="s">
        <v>52</v>
      </c>
      <c r="B1511" t="s">
        <v>53</v>
      </c>
      <c r="C1511" t="s">
        <v>54</v>
      </c>
      <c r="D1511" t="s">
        <v>55</v>
      </c>
      <c r="E1511" t="s">
        <v>844</v>
      </c>
      <c r="F1511" t="s">
        <v>176</v>
      </c>
      <c r="G1511" t="s">
        <v>438</v>
      </c>
      <c r="H1511" t="s">
        <v>439</v>
      </c>
      <c r="I1511" t="s">
        <v>439</v>
      </c>
      <c r="J1511" t="s">
        <v>60</v>
      </c>
      <c r="K1511" t="s">
        <v>199</v>
      </c>
      <c r="L1511" t="s">
        <v>62</v>
      </c>
      <c r="M1511" t="s">
        <v>199</v>
      </c>
      <c r="N1511" t="s">
        <v>440</v>
      </c>
      <c r="O1511" t="s">
        <v>120</v>
      </c>
      <c r="P1511">
        <v>-19.642907000000001</v>
      </c>
      <c r="Q1511">
        <v>-43.912584000000003</v>
      </c>
      <c r="R1511" s="2" t="str">
        <f>HYPERLINK("https://www.google.com/maps?q=-19.6429070,-43.9125840","Abrir no Google Maps")</f>
        <v>Abrir no Google Maps</v>
      </c>
      <c r="S1511">
        <v>3</v>
      </c>
      <c r="T1511">
        <v>0</v>
      </c>
      <c r="U1511">
        <v>3</v>
      </c>
      <c r="V1511">
        <v>0.11568215584814789</v>
      </c>
      <c r="W1511">
        <v>1</v>
      </c>
      <c r="X1511">
        <v>0.11568215584814789</v>
      </c>
      <c r="Y1511">
        <v>4</v>
      </c>
      <c r="Z1511">
        <v>617.66392653629225</v>
      </c>
      <c r="AA1511">
        <v>2</v>
      </c>
      <c r="AB1511">
        <v>3</v>
      </c>
      <c r="AC1511">
        <v>7</v>
      </c>
      <c r="AD1511">
        <v>25.73</v>
      </c>
      <c r="AE1511">
        <v>253</v>
      </c>
      <c r="AF1511">
        <v>19</v>
      </c>
      <c r="AG1511">
        <v>55</v>
      </c>
      <c r="AH1511">
        <v>32</v>
      </c>
      <c r="AI1511">
        <v>7.51</v>
      </c>
      <c r="AJ1511">
        <v>21.74</v>
      </c>
      <c r="AK1511">
        <v>12.65</v>
      </c>
      <c r="AL1511">
        <v>-19.64265969999996</v>
      </c>
      <c r="AM1511">
        <v>-43.912763285666202</v>
      </c>
      <c r="AN1511">
        <v>-19.64265969999996</v>
      </c>
      <c r="AO1511">
        <v>-43.912763285666202</v>
      </c>
      <c r="AP1511">
        <v>-19.642907000000001</v>
      </c>
      <c r="AQ1511">
        <v>-43.912584000000003</v>
      </c>
      <c r="AR1511">
        <v>33.334435483196202</v>
      </c>
      <c r="AS1511" t="s">
        <v>65</v>
      </c>
      <c r="AT1511">
        <v>1</v>
      </c>
      <c r="AU1511" t="s">
        <v>441</v>
      </c>
      <c r="AV1511" t="s">
        <v>442</v>
      </c>
      <c r="AW1511" t="s">
        <v>60</v>
      </c>
      <c r="AX1511" t="s">
        <v>68</v>
      </c>
      <c r="AY1511" t="s">
        <v>69</v>
      </c>
      <c r="AZ1511" t="b">
        <v>1</v>
      </c>
    </row>
    <row r="1512" spans="1:52" x14ac:dyDescent="0.3">
      <c r="A1512" t="s">
        <v>52</v>
      </c>
      <c r="B1512" t="s">
        <v>53</v>
      </c>
      <c r="C1512" t="s">
        <v>54</v>
      </c>
      <c r="D1512" t="s">
        <v>55</v>
      </c>
      <c r="E1512" t="s">
        <v>844</v>
      </c>
      <c r="F1512" t="s">
        <v>176</v>
      </c>
      <c r="G1512" t="s">
        <v>450</v>
      </c>
      <c r="H1512" t="s">
        <v>451</v>
      </c>
      <c r="I1512" t="s">
        <v>451</v>
      </c>
      <c r="J1512" t="s">
        <v>60</v>
      </c>
      <c r="K1512" t="s">
        <v>452</v>
      </c>
      <c r="L1512" t="s">
        <v>62</v>
      </c>
      <c r="M1512" t="s">
        <v>452</v>
      </c>
      <c r="N1512" t="s">
        <v>453</v>
      </c>
      <c r="O1512" t="s">
        <v>454</v>
      </c>
      <c r="P1512">
        <v>-19.649691000000001</v>
      </c>
      <c r="Q1512">
        <v>-43.873970999999997</v>
      </c>
      <c r="R1512" s="2" t="str">
        <f>HYPERLINK("https://www.google.com/maps?q=-19.6496910,-43.8739710","Abrir no Google Maps")</f>
        <v>Abrir no Google Maps</v>
      </c>
      <c r="S1512">
        <v>3</v>
      </c>
      <c r="T1512">
        <v>433.54329587849469</v>
      </c>
      <c r="U1512">
        <v>3</v>
      </c>
      <c r="V1512">
        <v>0.1190914671577654</v>
      </c>
      <c r="W1512">
        <v>1</v>
      </c>
      <c r="X1512">
        <v>0.1190914671577654</v>
      </c>
      <c r="Y1512">
        <v>3</v>
      </c>
      <c r="Z1512">
        <v>298.71042308886041</v>
      </c>
      <c r="AA1512">
        <v>2</v>
      </c>
      <c r="AB1512">
        <v>3</v>
      </c>
      <c r="AC1512">
        <v>7</v>
      </c>
      <c r="AD1512">
        <v>25.73</v>
      </c>
      <c r="AE1512">
        <v>253</v>
      </c>
      <c r="AF1512">
        <v>19</v>
      </c>
      <c r="AG1512">
        <v>55</v>
      </c>
      <c r="AH1512">
        <v>32</v>
      </c>
      <c r="AI1512">
        <v>7.51</v>
      </c>
      <c r="AJ1512">
        <v>21.74</v>
      </c>
      <c r="AK1512">
        <v>12.65</v>
      </c>
      <c r="AL1512">
        <v>-19.64973869999994</v>
      </c>
      <c r="AM1512">
        <v>-43.873980587601103</v>
      </c>
      <c r="AN1512">
        <v>-19.64973869999994</v>
      </c>
      <c r="AO1512">
        <v>-43.873980587601103</v>
      </c>
      <c r="AP1512">
        <v>-19.649691000000001</v>
      </c>
      <c r="AQ1512">
        <v>-43.873970999999997</v>
      </c>
      <c r="AR1512">
        <v>5.4042596125531333</v>
      </c>
      <c r="AS1512" t="s">
        <v>65</v>
      </c>
      <c r="AT1512">
        <v>1</v>
      </c>
      <c r="AU1512" t="s">
        <v>455</v>
      </c>
      <c r="AV1512" t="s">
        <v>456</v>
      </c>
      <c r="AW1512" t="s">
        <v>60</v>
      </c>
      <c r="AX1512" t="s">
        <v>68</v>
      </c>
      <c r="AY1512" t="s">
        <v>69</v>
      </c>
      <c r="AZ1512" t="b">
        <v>1</v>
      </c>
    </row>
    <row r="1513" spans="1:52" x14ac:dyDescent="0.3">
      <c r="A1513" t="s">
        <v>52</v>
      </c>
      <c r="B1513" t="s">
        <v>53</v>
      </c>
      <c r="C1513" t="s">
        <v>54</v>
      </c>
      <c r="D1513" t="s">
        <v>55</v>
      </c>
      <c r="E1513" t="s">
        <v>844</v>
      </c>
      <c r="F1513" t="s">
        <v>176</v>
      </c>
      <c r="G1513" t="s">
        <v>324</v>
      </c>
      <c r="H1513" t="s">
        <v>325</v>
      </c>
      <c r="I1513" t="s">
        <v>325</v>
      </c>
      <c r="J1513" t="s">
        <v>60</v>
      </c>
      <c r="K1513" t="s">
        <v>326</v>
      </c>
      <c r="L1513" t="s">
        <v>62</v>
      </c>
      <c r="M1513" t="s">
        <v>326</v>
      </c>
      <c r="N1513" t="s">
        <v>327</v>
      </c>
      <c r="O1513" t="s">
        <v>328</v>
      </c>
      <c r="P1513">
        <v>-19.654454000000001</v>
      </c>
      <c r="Q1513">
        <v>-43.874654</v>
      </c>
      <c r="R1513" s="2" t="str">
        <f>HYPERLINK("https://www.google.com/maps?q=-19.6544540,-43.8746540","Abrir no Google Maps")</f>
        <v>Abrir no Google Maps</v>
      </c>
      <c r="S1513">
        <v>3</v>
      </c>
      <c r="T1513">
        <v>461.71515786258828</v>
      </c>
      <c r="U1513">
        <v>3</v>
      </c>
      <c r="V1513">
        <v>0.11859057813780791</v>
      </c>
      <c r="W1513">
        <v>1</v>
      </c>
      <c r="X1513">
        <v>0.11859057813780791</v>
      </c>
      <c r="Y1513">
        <v>3</v>
      </c>
      <c r="Z1513">
        <v>321.42492762576637</v>
      </c>
      <c r="AA1513">
        <v>2</v>
      </c>
      <c r="AB1513">
        <v>3</v>
      </c>
      <c r="AC1513">
        <v>7</v>
      </c>
      <c r="AD1513">
        <v>25.73</v>
      </c>
      <c r="AE1513">
        <v>253</v>
      </c>
      <c r="AF1513">
        <v>19</v>
      </c>
      <c r="AG1513">
        <v>55</v>
      </c>
      <c r="AH1513">
        <v>32</v>
      </c>
      <c r="AI1513">
        <v>7.51</v>
      </c>
      <c r="AJ1513">
        <v>21.74</v>
      </c>
      <c r="AK1513">
        <v>12.65</v>
      </c>
      <c r="AL1513">
        <v>-19.654399599999941</v>
      </c>
      <c r="AM1513">
        <v>-43.87457008070222</v>
      </c>
      <c r="AN1513">
        <v>-19.654399599999941</v>
      </c>
      <c r="AO1513">
        <v>-43.87457008070222</v>
      </c>
      <c r="AP1513">
        <v>-19.654454000000001</v>
      </c>
      <c r="AQ1513">
        <v>-43.874654</v>
      </c>
      <c r="AR1513">
        <v>10.68040226290562</v>
      </c>
      <c r="AS1513" t="s">
        <v>65</v>
      </c>
      <c r="AT1513">
        <v>1</v>
      </c>
      <c r="AU1513" t="s">
        <v>329</v>
      </c>
      <c r="AV1513" t="s">
        <v>330</v>
      </c>
      <c r="AW1513" t="s">
        <v>60</v>
      </c>
      <c r="AX1513" t="s">
        <v>68</v>
      </c>
      <c r="AY1513" t="s">
        <v>69</v>
      </c>
      <c r="AZ1513" t="b">
        <v>1</v>
      </c>
    </row>
    <row r="1514" spans="1:52" x14ac:dyDescent="0.3">
      <c r="A1514" t="s">
        <v>52</v>
      </c>
      <c r="B1514" t="s">
        <v>53</v>
      </c>
      <c r="C1514" t="s">
        <v>54</v>
      </c>
      <c r="D1514" t="s">
        <v>55</v>
      </c>
      <c r="E1514" t="s">
        <v>844</v>
      </c>
      <c r="F1514" t="s">
        <v>176</v>
      </c>
      <c r="G1514" t="s">
        <v>462</v>
      </c>
      <c r="H1514" t="s">
        <v>463</v>
      </c>
      <c r="I1514" t="s">
        <v>463</v>
      </c>
      <c r="J1514" t="s">
        <v>60</v>
      </c>
      <c r="K1514" t="s">
        <v>464</v>
      </c>
      <c r="L1514" t="s">
        <v>62</v>
      </c>
      <c r="M1514" t="s">
        <v>464</v>
      </c>
      <c r="N1514" t="s">
        <v>465</v>
      </c>
      <c r="O1514" t="s">
        <v>414</v>
      </c>
      <c r="P1514">
        <v>-19.655408000000001</v>
      </c>
      <c r="Q1514">
        <v>-43.862772999999997</v>
      </c>
      <c r="R1514" s="2" t="str">
        <f>HYPERLINK("https://www.google.com/maps?q=-19.6554080,-43.8627730","Abrir no Google Maps")</f>
        <v>Abrir no Google Maps</v>
      </c>
      <c r="S1514">
        <v>3</v>
      </c>
      <c r="T1514">
        <v>877.50781603676592</v>
      </c>
      <c r="U1514">
        <v>3</v>
      </c>
      <c r="V1514">
        <v>0.113357058733166</v>
      </c>
      <c r="W1514">
        <v>1</v>
      </c>
      <c r="X1514">
        <v>0.113357058733166</v>
      </c>
      <c r="Y1514">
        <v>3</v>
      </c>
      <c r="Z1514">
        <v>1005.9680098732809</v>
      </c>
      <c r="AA1514">
        <v>2</v>
      </c>
      <c r="AB1514">
        <v>3</v>
      </c>
      <c r="AC1514">
        <v>7</v>
      </c>
      <c r="AD1514">
        <v>25.73</v>
      </c>
      <c r="AE1514">
        <v>253</v>
      </c>
      <c r="AF1514">
        <v>19</v>
      </c>
      <c r="AG1514">
        <v>55</v>
      </c>
      <c r="AH1514">
        <v>32</v>
      </c>
      <c r="AI1514">
        <v>7.51</v>
      </c>
      <c r="AJ1514">
        <v>21.74</v>
      </c>
      <c r="AK1514">
        <v>12.65</v>
      </c>
      <c r="AL1514">
        <v>-19.655455099999951</v>
      </c>
      <c r="AM1514">
        <v>-43.863149342001513</v>
      </c>
      <c r="AN1514">
        <v>-19.655455099999951</v>
      </c>
      <c r="AO1514">
        <v>-43.863149342001513</v>
      </c>
      <c r="AP1514">
        <v>-19.655408000000001</v>
      </c>
      <c r="AQ1514">
        <v>-43.862772999999997</v>
      </c>
      <c r="AR1514">
        <v>39.800175805630573</v>
      </c>
      <c r="AS1514" t="s">
        <v>65</v>
      </c>
      <c r="AT1514">
        <v>1</v>
      </c>
      <c r="AU1514" t="s">
        <v>466</v>
      </c>
      <c r="AV1514" t="s">
        <v>467</v>
      </c>
      <c r="AW1514" t="s">
        <v>60</v>
      </c>
      <c r="AX1514" t="s">
        <v>68</v>
      </c>
      <c r="AY1514" t="s">
        <v>69</v>
      </c>
      <c r="AZ1514" t="b">
        <v>1</v>
      </c>
    </row>
    <row r="1515" spans="1:52" x14ac:dyDescent="0.3">
      <c r="A1515" t="s">
        <v>52</v>
      </c>
      <c r="B1515" t="s">
        <v>53</v>
      </c>
      <c r="C1515" t="s">
        <v>54</v>
      </c>
      <c r="D1515" t="s">
        <v>55</v>
      </c>
      <c r="E1515" t="s">
        <v>844</v>
      </c>
      <c r="F1515" t="s">
        <v>176</v>
      </c>
      <c r="G1515" t="s">
        <v>468</v>
      </c>
      <c r="H1515" t="s">
        <v>469</v>
      </c>
      <c r="I1515" t="s">
        <v>469</v>
      </c>
      <c r="J1515" t="s">
        <v>60</v>
      </c>
      <c r="K1515" t="s">
        <v>326</v>
      </c>
      <c r="L1515" t="s">
        <v>62</v>
      </c>
      <c r="M1515" t="s">
        <v>326</v>
      </c>
      <c r="N1515" t="s">
        <v>470</v>
      </c>
      <c r="O1515" t="s">
        <v>471</v>
      </c>
      <c r="P1515">
        <v>-19.655975999999999</v>
      </c>
      <c r="Q1515">
        <v>-43.870057000000003</v>
      </c>
      <c r="R1515" s="2" t="str">
        <f>HYPERLINK("https://www.google.com/maps?q=-19.6559760,-43.8700570","Abrir no Google Maps")</f>
        <v>Abrir no Google Maps</v>
      </c>
      <c r="S1515">
        <v>3</v>
      </c>
      <c r="T1515">
        <v>409.25016374145417</v>
      </c>
      <c r="U1515">
        <v>3</v>
      </c>
      <c r="V1515">
        <v>0.120998002783998</v>
      </c>
      <c r="W1515">
        <v>1</v>
      </c>
      <c r="X1515">
        <v>0.120998002783998</v>
      </c>
      <c r="Y1515">
        <v>3</v>
      </c>
      <c r="Z1515">
        <v>484.59511175905197</v>
      </c>
      <c r="AA1515">
        <v>2</v>
      </c>
      <c r="AB1515">
        <v>3</v>
      </c>
      <c r="AC1515">
        <v>7</v>
      </c>
      <c r="AD1515">
        <v>25.73</v>
      </c>
      <c r="AE1515">
        <v>253</v>
      </c>
      <c r="AF1515">
        <v>19</v>
      </c>
      <c r="AG1515">
        <v>55</v>
      </c>
      <c r="AH1515">
        <v>32</v>
      </c>
      <c r="AI1515">
        <v>7.51</v>
      </c>
      <c r="AJ1515">
        <v>21.74</v>
      </c>
      <c r="AK1515">
        <v>12.65</v>
      </c>
      <c r="AL1515">
        <v>-19.655869499999969</v>
      </c>
      <c r="AM1515">
        <v>-43.870040006843681</v>
      </c>
      <c r="AN1515">
        <v>-19.655869499999969</v>
      </c>
      <c r="AO1515">
        <v>-43.870040006843681</v>
      </c>
      <c r="AP1515">
        <v>-19.655975999999999</v>
      </c>
      <c r="AQ1515">
        <v>-43.870057000000003</v>
      </c>
      <c r="AR1515">
        <v>11.98867552929476</v>
      </c>
      <c r="AS1515" t="s">
        <v>65</v>
      </c>
      <c r="AT1515">
        <v>1</v>
      </c>
      <c r="AU1515" t="s">
        <v>472</v>
      </c>
      <c r="AV1515" t="s">
        <v>473</v>
      </c>
      <c r="AW1515" t="s">
        <v>60</v>
      </c>
      <c r="AX1515" t="s">
        <v>68</v>
      </c>
      <c r="AY1515" t="s">
        <v>69</v>
      </c>
      <c r="AZ1515" t="b">
        <v>1</v>
      </c>
    </row>
    <row r="1516" spans="1:52" x14ac:dyDescent="0.3">
      <c r="A1516" t="s">
        <v>52</v>
      </c>
      <c r="B1516" t="s">
        <v>53</v>
      </c>
      <c r="C1516" t="s">
        <v>54</v>
      </c>
      <c r="D1516" t="s">
        <v>55</v>
      </c>
      <c r="E1516" t="s">
        <v>844</v>
      </c>
      <c r="F1516" t="s">
        <v>176</v>
      </c>
      <c r="G1516" t="s">
        <v>338</v>
      </c>
      <c r="H1516" t="s">
        <v>339</v>
      </c>
      <c r="I1516" t="s">
        <v>339</v>
      </c>
      <c r="J1516" t="s">
        <v>60</v>
      </c>
      <c r="K1516" t="s">
        <v>219</v>
      </c>
      <c r="L1516" t="s">
        <v>62</v>
      </c>
      <c r="M1516" t="s">
        <v>219</v>
      </c>
      <c r="N1516" t="s">
        <v>340</v>
      </c>
      <c r="O1516" t="s">
        <v>341</v>
      </c>
      <c r="P1516">
        <v>-19.666964</v>
      </c>
      <c r="Q1516">
        <v>-43.884436999999998</v>
      </c>
      <c r="R1516" s="2" t="str">
        <f>HYPERLINK("https://www.google.com/maps?q=-19.6669640,-43.8844370","Abrir no Google Maps")</f>
        <v>Abrir no Google Maps</v>
      </c>
      <c r="S1516">
        <v>3</v>
      </c>
      <c r="T1516">
        <v>957.0047152726122</v>
      </c>
      <c r="U1516">
        <v>3</v>
      </c>
      <c r="V1516">
        <v>0.11225337487019731</v>
      </c>
      <c r="W1516">
        <v>1</v>
      </c>
      <c r="X1516">
        <v>0.11225337487019731</v>
      </c>
      <c r="Y1516">
        <v>3</v>
      </c>
      <c r="Z1516">
        <v>558.02655966087093</v>
      </c>
      <c r="AA1516">
        <v>2</v>
      </c>
      <c r="AB1516">
        <v>3</v>
      </c>
      <c r="AC1516">
        <v>7</v>
      </c>
      <c r="AD1516">
        <v>25.73</v>
      </c>
      <c r="AE1516">
        <v>253</v>
      </c>
      <c r="AF1516">
        <v>19</v>
      </c>
      <c r="AG1516">
        <v>55</v>
      </c>
      <c r="AH1516">
        <v>32</v>
      </c>
      <c r="AI1516">
        <v>7.51</v>
      </c>
      <c r="AJ1516">
        <v>21.74</v>
      </c>
      <c r="AK1516">
        <v>12.65</v>
      </c>
      <c r="AL1516">
        <v>-19.66693374999997</v>
      </c>
      <c r="AM1516">
        <v>-43.884551162820181</v>
      </c>
      <c r="AN1516">
        <v>-19.66693374999997</v>
      </c>
      <c r="AO1516">
        <v>-43.884551162820181</v>
      </c>
      <c r="AP1516">
        <v>-19.666964</v>
      </c>
      <c r="AQ1516">
        <v>-43.884436999999998</v>
      </c>
      <c r="AR1516">
        <v>12.43199920714442</v>
      </c>
      <c r="AS1516" t="s">
        <v>65</v>
      </c>
      <c r="AT1516">
        <v>1</v>
      </c>
      <c r="AU1516" t="s">
        <v>342</v>
      </c>
      <c r="AV1516" t="s">
        <v>343</v>
      </c>
      <c r="AW1516" t="s">
        <v>60</v>
      </c>
      <c r="AX1516" t="s">
        <v>68</v>
      </c>
      <c r="AY1516" t="s">
        <v>69</v>
      </c>
      <c r="AZ1516" t="b">
        <v>1</v>
      </c>
    </row>
    <row r="1517" spans="1:52" x14ac:dyDescent="0.3">
      <c r="A1517" t="s">
        <v>52</v>
      </c>
      <c r="B1517" t="s">
        <v>53</v>
      </c>
      <c r="C1517" t="s">
        <v>54</v>
      </c>
      <c r="D1517" t="s">
        <v>55</v>
      </c>
      <c r="E1517" t="s">
        <v>844</v>
      </c>
      <c r="F1517" t="s">
        <v>176</v>
      </c>
      <c r="G1517" t="s">
        <v>344</v>
      </c>
      <c r="H1517" t="s">
        <v>345</v>
      </c>
      <c r="I1517" t="s">
        <v>345</v>
      </c>
      <c r="J1517" t="s">
        <v>60</v>
      </c>
      <c r="K1517" t="s">
        <v>326</v>
      </c>
      <c r="L1517" t="s">
        <v>62</v>
      </c>
      <c r="M1517" t="s">
        <v>326</v>
      </c>
      <c r="N1517" t="s">
        <v>346</v>
      </c>
      <c r="O1517" t="s">
        <v>347</v>
      </c>
      <c r="P1517">
        <v>-19.659784999999999</v>
      </c>
      <c r="Q1517">
        <v>-43.868257999999997</v>
      </c>
      <c r="R1517" s="2" t="str">
        <f>HYPERLINK("https://www.google.com/maps?q=-19.6597850,-43.8682580","Abrir no Google Maps")</f>
        <v>Abrir no Google Maps</v>
      </c>
      <c r="S1517">
        <v>3</v>
      </c>
      <c r="T1517">
        <v>887.40196140413514</v>
      </c>
      <c r="U1517">
        <v>3</v>
      </c>
      <c r="V1517">
        <v>0.1100624269078091</v>
      </c>
      <c r="W1517">
        <v>1</v>
      </c>
      <c r="X1517">
        <v>0.1100624269078091</v>
      </c>
      <c r="Y1517">
        <v>3</v>
      </c>
      <c r="Z1517">
        <v>951.67106090939239</v>
      </c>
      <c r="AA1517">
        <v>2</v>
      </c>
      <c r="AB1517">
        <v>3</v>
      </c>
      <c r="AC1517">
        <v>7</v>
      </c>
      <c r="AD1517">
        <v>25.73</v>
      </c>
      <c r="AE1517">
        <v>253</v>
      </c>
      <c r="AF1517">
        <v>19</v>
      </c>
      <c r="AG1517">
        <v>55</v>
      </c>
      <c r="AH1517">
        <v>32</v>
      </c>
      <c r="AI1517">
        <v>7.51</v>
      </c>
      <c r="AJ1517">
        <v>21.74</v>
      </c>
      <c r="AK1517">
        <v>12.65</v>
      </c>
      <c r="AL1517">
        <v>-19.659938849999971</v>
      </c>
      <c r="AM1517">
        <v>-43.868426732971933</v>
      </c>
      <c r="AN1517">
        <v>-19.659938849999971</v>
      </c>
      <c r="AO1517">
        <v>-43.868426732971933</v>
      </c>
      <c r="AP1517">
        <v>-19.659784999999999</v>
      </c>
      <c r="AQ1517">
        <v>-43.868257999999997</v>
      </c>
      <c r="AR1517">
        <v>24.621113441172451</v>
      </c>
      <c r="AS1517" t="s">
        <v>65</v>
      </c>
      <c r="AT1517">
        <v>1</v>
      </c>
      <c r="AU1517" t="s">
        <v>348</v>
      </c>
      <c r="AV1517" t="s">
        <v>349</v>
      </c>
      <c r="AW1517" t="s">
        <v>60</v>
      </c>
      <c r="AX1517" t="s">
        <v>68</v>
      </c>
      <c r="AY1517" t="s">
        <v>69</v>
      </c>
      <c r="AZ1517" t="b">
        <v>1</v>
      </c>
    </row>
    <row r="1518" spans="1:52" x14ac:dyDescent="0.3">
      <c r="A1518" t="s">
        <v>52</v>
      </c>
      <c r="B1518" t="s">
        <v>53</v>
      </c>
      <c r="C1518" t="s">
        <v>54</v>
      </c>
      <c r="D1518" t="s">
        <v>55</v>
      </c>
      <c r="E1518" t="s">
        <v>844</v>
      </c>
      <c r="F1518" t="s">
        <v>176</v>
      </c>
      <c r="G1518" t="s">
        <v>474</v>
      </c>
      <c r="H1518" t="s">
        <v>475</v>
      </c>
      <c r="I1518" t="s">
        <v>475</v>
      </c>
      <c r="J1518" t="s">
        <v>60</v>
      </c>
      <c r="K1518" t="s">
        <v>326</v>
      </c>
      <c r="L1518" t="s">
        <v>62</v>
      </c>
      <c r="M1518" t="s">
        <v>326</v>
      </c>
      <c r="N1518" t="s">
        <v>476</v>
      </c>
      <c r="O1518" t="s">
        <v>477</v>
      </c>
      <c r="P1518">
        <v>-19.658083000000001</v>
      </c>
      <c r="Q1518">
        <v>-43.866957999999997</v>
      </c>
      <c r="R1518" s="2" t="str">
        <f>HYPERLINK("https://www.google.com/maps?q=-19.6580830,-43.8669580","Abrir no Google Maps")</f>
        <v>Abrir no Google Maps</v>
      </c>
      <c r="S1518">
        <v>3</v>
      </c>
      <c r="T1518">
        <v>753.45055811539748</v>
      </c>
      <c r="U1518">
        <v>3</v>
      </c>
      <c r="V1518">
        <v>0.12110394189408361</v>
      </c>
      <c r="W1518">
        <v>1</v>
      </c>
      <c r="X1518">
        <v>0.12110394189408361</v>
      </c>
      <c r="Y1518">
        <v>3</v>
      </c>
      <c r="Z1518">
        <v>808.47816984050394</v>
      </c>
      <c r="AA1518">
        <v>2</v>
      </c>
      <c r="AB1518">
        <v>3</v>
      </c>
      <c r="AC1518">
        <v>7</v>
      </c>
      <c r="AD1518">
        <v>25.73</v>
      </c>
      <c r="AE1518">
        <v>253</v>
      </c>
      <c r="AF1518">
        <v>19</v>
      </c>
      <c r="AG1518">
        <v>55</v>
      </c>
      <c r="AH1518">
        <v>32</v>
      </c>
      <c r="AI1518">
        <v>7.51</v>
      </c>
      <c r="AJ1518">
        <v>21.74</v>
      </c>
      <c r="AK1518">
        <v>12.65</v>
      </c>
      <c r="AL1518">
        <v>-19.658034899999929</v>
      </c>
      <c r="AM1518">
        <v>-43.867024921196148</v>
      </c>
      <c r="AN1518">
        <v>-19.658034899999929</v>
      </c>
      <c r="AO1518">
        <v>-43.867024921196148</v>
      </c>
      <c r="AP1518">
        <v>-19.658083000000001</v>
      </c>
      <c r="AQ1518">
        <v>-43.866957999999997</v>
      </c>
      <c r="AR1518">
        <v>8.8253920204286462</v>
      </c>
      <c r="AS1518" t="s">
        <v>65</v>
      </c>
      <c r="AT1518">
        <v>1</v>
      </c>
      <c r="AU1518" t="s">
        <v>478</v>
      </c>
      <c r="AV1518" t="s">
        <v>349</v>
      </c>
      <c r="AW1518" t="s">
        <v>60</v>
      </c>
      <c r="AX1518" t="s">
        <v>68</v>
      </c>
      <c r="AY1518" t="s">
        <v>69</v>
      </c>
      <c r="AZ1518" t="b">
        <v>1</v>
      </c>
    </row>
    <row r="1519" spans="1:52" x14ac:dyDescent="0.3">
      <c r="A1519" t="s">
        <v>52</v>
      </c>
      <c r="B1519" t="s">
        <v>53</v>
      </c>
      <c r="C1519" t="s">
        <v>54</v>
      </c>
      <c r="D1519" t="s">
        <v>55</v>
      </c>
      <c r="E1519" t="s">
        <v>844</v>
      </c>
      <c r="F1519" t="s">
        <v>176</v>
      </c>
      <c r="G1519" t="s">
        <v>479</v>
      </c>
      <c r="H1519" t="s">
        <v>480</v>
      </c>
      <c r="I1519" t="s">
        <v>480</v>
      </c>
      <c r="J1519" t="s">
        <v>60</v>
      </c>
      <c r="K1519" t="s">
        <v>286</v>
      </c>
      <c r="L1519" t="s">
        <v>62</v>
      </c>
      <c r="M1519" t="s">
        <v>286</v>
      </c>
      <c r="N1519" t="s">
        <v>481</v>
      </c>
      <c r="O1519" t="s">
        <v>159</v>
      </c>
      <c r="P1519">
        <v>-19.635337</v>
      </c>
      <c r="Q1519">
        <v>-43.884400999999997</v>
      </c>
      <c r="R1519" s="2" t="str">
        <f>HYPERLINK("https://www.google.com/maps?q=-19.6353370,-43.8844010","Abrir no Google Maps")</f>
        <v>Abrir no Google Maps</v>
      </c>
      <c r="S1519">
        <v>3</v>
      </c>
      <c r="T1519">
        <v>697.1404216088763</v>
      </c>
      <c r="U1519">
        <v>3</v>
      </c>
      <c r="V1519">
        <v>0.1132561294212218</v>
      </c>
      <c r="W1519">
        <v>1</v>
      </c>
      <c r="X1519">
        <v>0.1132561294212218</v>
      </c>
      <c r="Y1519">
        <v>2</v>
      </c>
      <c r="Z1519">
        <v>178.9017814618079</v>
      </c>
      <c r="AA1519">
        <v>2</v>
      </c>
      <c r="AB1519">
        <v>3</v>
      </c>
      <c r="AC1519">
        <v>7</v>
      </c>
      <c r="AD1519">
        <v>25.73</v>
      </c>
      <c r="AE1519">
        <v>253</v>
      </c>
      <c r="AF1519">
        <v>19</v>
      </c>
      <c r="AG1519">
        <v>55</v>
      </c>
      <c r="AH1519">
        <v>32</v>
      </c>
      <c r="AI1519">
        <v>7.51</v>
      </c>
      <c r="AJ1519">
        <v>21.74</v>
      </c>
      <c r="AK1519">
        <v>12.65</v>
      </c>
      <c r="AL1519">
        <v>-19.635338699999949</v>
      </c>
      <c r="AM1519">
        <v>-43.884486286355838</v>
      </c>
      <c r="AN1519">
        <v>-19.635338699999949</v>
      </c>
      <c r="AO1519">
        <v>-43.884486286355838</v>
      </c>
      <c r="AP1519">
        <v>-19.635337</v>
      </c>
      <c r="AQ1519">
        <v>-43.884400999999997</v>
      </c>
      <c r="AR1519">
        <v>8.9440024153343494</v>
      </c>
      <c r="AS1519" t="s">
        <v>65</v>
      </c>
      <c r="AT1519">
        <v>1</v>
      </c>
      <c r="AU1519" t="s">
        <v>482</v>
      </c>
      <c r="AV1519" t="s">
        <v>483</v>
      </c>
      <c r="AW1519" t="s">
        <v>60</v>
      </c>
      <c r="AX1519" t="s">
        <v>68</v>
      </c>
      <c r="AY1519" t="s">
        <v>69</v>
      </c>
      <c r="AZ1519" t="b">
        <v>1</v>
      </c>
    </row>
    <row r="1520" spans="1:52" x14ac:dyDescent="0.3">
      <c r="A1520" t="s">
        <v>52</v>
      </c>
      <c r="B1520" t="s">
        <v>53</v>
      </c>
      <c r="C1520" t="s">
        <v>54</v>
      </c>
      <c r="D1520" t="s">
        <v>55</v>
      </c>
      <c r="E1520" t="s">
        <v>844</v>
      </c>
      <c r="F1520" t="s">
        <v>176</v>
      </c>
      <c r="G1520" t="s">
        <v>484</v>
      </c>
      <c r="H1520" t="s">
        <v>485</v>
      </c>
      <c r="I1520" t="s">
        <v>485</v>
      </c>
      <c r="J1520" t="s">
        <v>60</v>
      </c>
      <c r="K1520" t="s">
        <v>486</v>
      </c>
      <c r="L1520" t="s">
        <v>62</v>
      </c>
      <c r="M1520" t="s">
        <v>486</v>
      </c>
      <c r="N1520" t="s">
        <v>487</v>
      </c>
      <c r="O1520" t="s">
        <v>488</v>
      </c>
      <c r="P1520">
        <v>-19.599471999999999</v>
      </c>
      <c r="Q1520">
        <v>-43.904423999999999</v>
      </c>
      <c r="R1520" s="2" t="str">
        <f>HYPERLINK("https://www.google.com/maps?q=-19.5994720,-43.9044240","Abrir no Google Maps")</f>
        <v>Abrir no Google Maps</v>
      </c>
      <c r="S1520">
        <v>3</v>
      </c>
      <c r="T1520">
        <v>0</v>
      </c>
      <c r="U1520">
        <v>3</v>
      </c>
      <c r="V1520">
        <v>0.1214214998762478</v>
      </c>
      <c r="W1520">
        <v>1</v>
      </c>
      <c r="X1520">
        <v>0.1214214998762478</v>
      </c>
      <c r="Y1520">
        <v>2</v>
      </c>
      <c r="Z1520">
        <v>112.207711482489</v>
      </c>
      <c r="AA1520">
        <v>2</v>
      </c>
      <c r="AB1520">
        <v>3</v>
      </c>
      <c r="AC1520">
        <v>7</v>
      </c>
      <c r="AD1520">
        <v>25.73</v>
      </c>
      <c r="AE1520">
        <v>253</v>
      </c>
      <c r="AF1520">
        <v>19</v>
      </c>
      <c r="AG1520">
        <v>55</v>
      </c>
      <c r="AH1520">
        <v>32</v>
      </c>
      <c r="AI1520">
        <v>7.51</v>
      </c>
      <c r="AJ1520">
        <v>21.74</v>
      </c>
      <c r="AK1520">
        <v>12.65</v>
      </c>
      <c r="AL1520">
        <v>-19.599417149999969</v>
      </c>
      <c r="AM1520">
        <v>-43.904309145074677</v>
      </c>
      <c r="AN1520">
        <v>-19.599417149999969</v>
      </c>
      <c r="AO1520">
        <v>-43.904309145074677</v>
      </c>
      <c r="AP1520">
        <v>-19.599471999999999</v>
      </c>
      <c r="AQ1520">
        <v>-43.904423999999999</v>
      </c>
      <c r="AR1520">
        <v>13.50409975769734</v>
      </c>
      <c r="AS1520" t="s">
        <v>65</v>
      </c>
      <c r="AT1520">
        <v>1</v>
      </c>
      <c r="AU1520" t="s">
        <v>489</v>
      </c>
      <c r="AV1520" t="s">
        <v>490</v>
      </c>
      <c r="AW1520" t="s">
        <v>60</v>
      </c>
      <c r="AX1520" t="s">
        <v>68</v>
      </c>
      <c r="AY1520" t="s">
        <v>69</v>
      </c>
      <c r="AZ1520" t="b">
        <v>1</v>
      </c>
    </row>
    <row r="1521" spans="1:52" x14ac:dyDescent="0.3">
      <c r="A1521" t="s">
        <v>52</v>
      </c>
      <c r="B1521" t="s">
        <v>53</v>
      </c>
      <c r="C1521" t="s">
        <v>54</v>
      </c>
      <c r="D1521" t="s">
        <v>55</v>
      </c>
      <c r="E1521" t="s">
        <v>844</v>
      </c>
      <c r="F1521" t="s">
        <v>176</v>
      </c>
      <c r="G1521" t="s">
        <v>728</v>
      </c>
      <c r="H1521" t="s">
        <v>729</v>
      </c>
      <c r="I1521" t="s">
        <v>729</v>
      </c>
      <c r="J1521" t="s">
        <v>60</v>
      </c>
      <c r="K1521" t="s">
        <v>730</v>
      </c>
      <c r="L1521" t="s">
        <v>62</v>
      </c>
      <c r="M1521" t="s">
        <v>730</v>
      </c>
      <c r="N1521" t="s">
        <v>731</v>
      </c>
      <c r="O1521" t="s">
        <v>732</v>
      </c>
      <c r="P1521">
        <v>-19.598894999999999</v>
      </c>
      <c r="Q1521">
        <v>-43.907265000000002</v>
      </c>
      <c r="R1521" s="2" t="str">
        <f>HYPERLINK("https://www.google.com/maps?q=-19.5988950,-43.9072650","Abrir no Google Maps")</f>
        <v>Abrir no Google Maps</v>
      </c>
      <c r="S1521">
        <v>3</v>
      </c>
      <c r="T1521">
        <v>308.81161626838701</v>
      </c>
      <c r="U1521">
        <v>3</v>
      </c>
      <c r="V1521">
        <v>0.13234549138804449</v>
      </c>
      <c r="W1521">
        <v>0.85</v>
      </c>
      <c r="X1521">
        <v>0.1124936676798378</v>
      </c>
      <c r="Y1521">
        <v>2</v>
      </c>
      <c r="Z1521">
        <v>305.65808615712928</v>
      </c>
      <c r="AA1521">
        <v>2</v>
      </c>
      <c r="AB1521">
        <v>3</v>
      </c>
      <c r="AC1521">
        <v>7</v>
      </c>
      <c r="AD1521">
        <v>25.73</v>
      </c>
      <c r="AE1521">
        <v>253</v>
      </c>
      <c r="AF1521">
        <v>19</v>
      </c>
      <c r="AG1521">
        <v>55</v>
      </c>
      <c r="AH1521">
        <v>32</v>
      </c>
      <c r="AI1521">
        <v>7.51</v>
      </c>
      <c r="AJ1521">
        <v>21.74</v>
      </c>
      <c r="AK1521">
        <v>12.65</v>
      </c>
      <c r="AL1521">
        <v>-19.598929649999949</v>
      </c>
      <c r="AM1521">
        <v>-43.90720816146667</v>
      </c>
      <c r="AN1521">
        <v>-19.598929649999949</v>
      </c>
      <c r="AO1521">
        <v>-43.90720816146667</v>
      </c>
      <c r="AP1521">
        <v>-19.598894999999999</v>
      </c>
      <c r="AQ1521">
        <v>-43.907265000000002</v>
      </c>
      <c r="AR1521">
        <v>7.099864647387605</v>
      </c>
      <c r="AS1521" t="s">
        <v>65</v>
      </c>
      <c r="AT1521">
        <v>1</v>
      </c>
      <c r="AU1521" t="s">
        <v>733</v>
      </c>
      <c r="AV1521" t="s">
        <v>734</v>
      </c>
      <c r="AW1521" t="s">
        <v>60</v>
      </c>
      <c r="AX1521" t="s">
        <v>68</v>
      </c>
      <c r="AY1521" t="s">
        <v>69</v>
      </c>
      <c r="AZ1521" t="b">
        <v>1</v>
      </c>
    </row>
    <row r="1522" spans="1:52" x14ac:dyDescent="0.3">
      <c r="A1522" t="s">
        <v>52</v>
      </c>
      <c r="B1522" t="s">
        <v>53</v>
      </c>
      <c r="C1522" t="s">
        <v>54</v>
      </c>
      <c r="D1522" t="s">
        <v>55</v>
      </c>
      <c r="E1522" t="s">
        <v>844</v>
      </c>
      <c r="F1522" t="s">
        <v>176</v>
      </c>
      <c r="G1522" t="s">
        <v>438</v>
      </c>
      <c r="H1522" t="s">
        <v>491</v>
      </c>
      <c r="I1522" t="s">
        <v>491</v>
      </c>
      <c r="J1522" t="s">
        <v>60</v>
      </c>
      <c r="K1522" t="s">
        <v>492</v>
      </c>
      <c r="L1522" t="s">
        <v>62</v>
      </c>
      <c r="M1522" t="s">
        <v>492</v>
      </c>
      <c r="N1522" t="s">
        <v>493</v>
      </c>
      <c r="O1522" t="s">
        <v>81</v>
      </c>
      <c r="P1522">
        <v>-19.599810999999999</v>
      </c>
      <c r="Q1522">
        <v>-43.906267</v>
      </c>
      <c r="R1522" s="2" t="str">
        <f>HYPERLINK("https://www.google.com/maps?q=-19.5998110,-43.9062670","Abrir no Google Maps")</f>
        <v>Abrir no Google Maps</v>
      </c>
      <c r="S1522">
        <v>3</v>
      </c>
      <c r="T1522">
        <v>214.87460546260371</v>
      </c>
      <c r="U1522">
        <v>3</v>
      </c>
      <c r="V1522">
        <v>0.1185135736537605</v>
      </c>
      <c r="W1522">
        <v>1</v>
      </c>
      <c r="X1522">
        <v>0.1185135736537605</v>
      </c>
      <c r="Y1522">
        <v>2</v>
      </c>
      <c r="Z1522">
        <v>211.0648412523515</v>
      </c>
      <c r="AA1522">
        <v>2</v>
      </c>
      <c r="AB1522">
        <v>3</v>
      </c>
      <c r="AC1522">
        <v>7</v>
      </c>
      <c r="AD1522">
        <v>25.73</v>
      </c>
      <c r="AE1522">
        <v>253</v>
      </c>
      <c r="AF1522">
        <v>19</v>
      </c>
      <c r="AG1522">
        <v>55</v>
      </c>
      <c r="AH1522">
        <v>32</v>
      </c>
      <c r="AI1522">
        <v>7.51</v>
      </c>
      <c r="AJ1522">
        <v>21.74</v>
      </c>
      <c r="AK1522">
        <v>12.65</v>
      </c>
      <c r="AL1522">
        <v>-19.600032099999961</v>
      </c>
      <c r="AM1522">
        <v>-43.906252350845229</v>
      </c>
      <c r="AN1522">
        <v>-19.600032099999961</v>
      </c>
      <c r="AO1522">
        <v>-43.906252350845229</v>
      </c>
      <c r="AP1522">
        <v>-19.599810999999999</v>
      </c>
      <c r="AQ1522">
        <v>-43.906267</v>
      </c>
      <c r="AR1522">
        <v>24.660749384148179</v>
      </c>
      <c r="AS1522" t="s">
        <v>65</v>
      </c>
      <c r="AT1522">
        <v>1</v>
      </c>
      <c r="AU1522" t="s">
        <v>494</v>
      </c>
      <c r="AV1522" t="s">
        <v>495</v>
      </c>
      <c r="AW1522" t="s">
        <v>60</v>
      </c>
      <c r="AX1522" t="s">
        <v>68</v>
      </c>
      <c r="AY1522" t="s">
        <v>69</v>
      </c>
      <c r="AZ1522" t="b">
        <v>1</v>
      </c>
    </row>
    <row r="1523" spans="1:52" x14ac:dyDescent="0.3">
      <c r="A1523" t="s">
        <v>52</v>
      </c>
      <c r="B1523" t="s">
        <v>53</v>
      </c>
      <c r="C1523" t="s">
        <v>54</v>
      </c>
      <c r="D1523" t="s">
        <v>55</v>
      </c>
      <c r="E1523" t="s">
        <v>844</v>
      </c>
      <c r="F1523" t="s">
        <v>176</v>
      </c>
      <c r="G1523" t="s">
        <v>357</v>
      </c>
      <c r="H1523" t="s">
        <v>358</v>
      </c>
      <c r="I1523" t="s">
        <v>358</v>
      </c>
      <c r="J1523" t="s">
        <v>60</v>
      </c>
      <c r="K1523" t="s">
        <v>359</v>
      </c>
      <c r="L1523" t="s">
        <v>62</v>
      </c>
      <c r="M1523" t="s">
        <v>359</v>
      </c>
      <c r="N1523" t="s">
        <v>360</v>
      </c>
      <c r="O1523" t="s">
        <v>201</v>
      </c>
      <c r="P1523">
        <v>-19.601168000000001</v>
      </c>
      <c r="Q1523">
        <v>-43.896143000000002</v>
      </c>
      <c r="R1523" s="2" t="str">
        <f>HYPERLINK("https://www.google.com/maps?q=-19.6011680,-43.8961430","Abrir no Google Maps")</f>
        <v>Abrir no Google Maps</v>
      </c>
      <c r="S1523">
        <v>3</v>
      </c>
      <c r="T1523">
        <v>886.80074895427902</v>
      </c>
      <c r="U1523">
        <v>3</v>
      </c>
      <c r="V1523">
        <v>0.1137013628981004</v>
      </c>
      <c r="W1523">
        <v>1</v>
      </c>
      <c r="X1523">
        <v>0.1137013628981004</v>
      </c>
      <c r="Y1523">
        <v>2</v>
      </c>
      <c r="Z1523">
        <v>807.27931110193254</v>
      </c>
      <c r="AA1523">
        <v>2</v>
      </c>
      <c r="AB1523">
        <v>3</v>
      </c>
      <c r="AC1523">
        <v>7</v>
      </c>
      <c r="AD1523">
        <v>25.73</v>
      </c>
      <c r="AE1523">
        <v>253</v>
      </c>
      <c r="AF1523">
        <v>19</v>
      </c>
      <c r="AG1523">
        <v>55</v>
      </c>
      <c r="AH1523">
        <v>32</v>
      </c>
      <c r="AI1523">
        <v>7.51</v>
      </c>
      <c r="AJ1523">
        <v>21.74</v>
      </c>
      <c r="AK1523">
        <v>12.65</v>
      </c>
      <c r="AL1523">
        <v>-19.60112959999995</v>
      </c>
      <c r="AM1523">
        <v>-43.896049426747439</v>
      </c>
      <c r="AN1523">
        <v>-19.60112959999995</v>
      </c>
      <c r="AO1523">
        <v>-43.896049426747439</v>
      </c>
      <c r="AP1523">
        <v>-19.601168000000001</v>
      </c>
      <c r="AQ1523">
        <v>-43.896143000000002</v>
      </c>
      <c r="AR1523">
        <v>10.703588298793671</v>
      </c>
      <c r="AS1523" t="s">
        <v>65</v>
      </c>
      <c r="AT1523">
        <v>1</v>
      </c>
      <c r="AU1523" t="s">
        <v>361</v>
      </c>
      <c r="AV1523" t="s">
        <v>362</v>
      </c>
      <c r="AW1523" t="s">
        <v>60</v>
      </c>
      <c r="AX1523" t="s">
        <v>68</v>
      </c>
      <c r="AY1523" t="s">
        <v>69</v>
      </c>
      <c r="AZ1523" t="b">
        <v>1</v>
      </c>
    </row>
    <row r="1524" spans="1:52" x14ac:dyDescent="0.3">
      <c r="A1524" t="s">
        <v>52</v>
      </c>
      <c r="B1524" t="s">
        <v>53</v>
      </c>
      <c r="C1524" t="s">
        <v>54</v>
      </c>
      <c r="D1524" t="s">
        <v>55</v>
      </c>
      <c r="E1524" t="s">
        <v>844</v>
      </c>
      <c r="F1524" t="s">
        <v>176</v>
      </c>
      <c r="G1524" t="s">
        <v>838</v>
      </c>
      <c r="H1524" t="s">
        <v>839</v>
      </c>
      <c r="I1524" t="s">
        <v>839</v>
      </c>
      <c r="J1524" t="s">
        <v>60</v>
      </c>
      <c r="K1524" t="s">
        <v>286</v>
      </c>
      <c r="L1524" t="s">
        <v>62</v>
      </c>
      <c r="M1524" t="s">
        <v>286</v>
      </c>
      <c r="N1524" t="s">
        <v>840</v>
      </c>
      <c r="O1524" t="s">
        <v>841</v>
      </c>
      <c r="P1524">
        <v>-19.632566000000001</v>
      </c>
      <c r="Q1524">
        <v>-43.886761999999997</v>
      </c>
      <c r="R1524" s="2" t="str">
        <f>HYPERLINK("https://www.google.com/maps?q=-19.6325660,-43.8867620","Abrir no Google Maps")</f>
        <v>Abrir no Google Maps</v>
      </c>
      <c r="S1524">
        <v>3</v>
      </c>
      <c r="T1524">
        <v>617.08897174422054</v>
      </c>
      <c r="U1524">
        <v>3</v>
      </c>
      <c r="V1524">
        <v>0.1379379379379379</v>
      </c>
      <c r="W1524">
        <v>0.85</v>
      </c>
      <c r="X1524">
        <v>0.11724724724724719</v>
      </c>
      <c r="Y1524">
        <v>2</v>
      </c>
      <c r="Z1524">
        <v>207.97402585552319</v>
      </c>
      <c r="AA1524">
        <v>2</v>
      </c>
      <c r="AB1524">
        <v>3</v>
      </c>
      <c r="AC1524">
        <v>7</v>
      </c>
      <c r="AD1524">
        <v>25.73</v>
      </c>
      <c r="AE1524">
        <v>253</v>
      </c>
      <c r="AF1524">
        <v>19</v>
      </c>
      <c r="AG1524">
        <v>55</v>
      </c>
      <c r="AH1524">
        <v>32</v>
      </c>
      <c r="AI1524">
        <v>7.51</v>
      </c>
      <c r="AJ1524">
        <v>21.74</v>
      </c>
      <c r="AK1524">
        <v>12.65</v>
      </c>
      <c r="AL1524">
        <v>-19.632531149999949</v>
      </c>
      <c r="AM1524">
        <v>-43.887228227300241</v>
      </c>
      <c r="AN1524">
        <v>-19.632531149999949</v>
      </c>
      <c r="AO1524">
        <v>-43.887228227300241</v>
      </c>
      <c r="AP1524">
        <v>-19.632566000000001</v>
      </c>
      <c r="AQ1524">
        <v>-43.886761999999997</v>
      </c>
      <c r="AR1524">
        <v>49.036989382941393</v>
      </c>
      <c r="AS1524" t="s">
        <v>65</v>
      </c>
      <c r="AT1524">
        <v>1</v>
      </c>
      <c r="AU1524" t="s">
        <v>842</v>
      </c>
      <c r="AV1524" t="s">
        <v>843</v>
      </c>
      <c r="AW1524" t="s">
        <v>60</v>
      </c>
      <c r="AX1524" t="s">
        <v>68</v>
      </c>
      <c r="AY1524" t="s">
        <v>69</v>
      </c>
      <c r="AZ1524" t="b">
        <v>1</v>
      </c>
    </row>
    <row r="1525" spans="1:52" x14ac:dyDescent="0.3">
      <c r="A1525" t="s">
        <v>52</v>
      </c>
      <c r="B1525" t="s">
        <v>53</v>
      </c>
      <c r="C1525" t="s">
        <v>54</v>
      </c>
      <c r="D1525" t="s">
        <v>55</v>
      </c>
      <c r="E1525" t="s">
        <v>844</v>
      </c>
      <c r="F1525" t="s">
        <v>176</v>
      </c>
      <c r="G1525" t="s">
        <v>500</v>
      </c>
      <c r="H1525" t="s">
        <v>501</v>
      </c>
      <c r="I1525" t="s">
        <v>501</v>
      </c>
      <c r="J1525" t="s">
        <v>60</v>
      </c>
      <c r="K1525" t="s">
        <v>164</v>
      </c>
      <c r="L1525" t="s">
        <v>62</v>
      </c>
      <c r="M1525" t="s">
        <v>164</v>
      </c>
      <c r="N1525" t="s">
        <v>502</v>
      </c>
      <c r="O1525" t="s">
        <v>503</v>
      </c>
      <c r="P1525">
        <v>-19.665816</v>
      </c>
      <c r="Q1525">
        <v>-43.886322999999997</v>
      </c>
      <c r="R1525" s="2" t="str">
        <f>HYPERLINK("https://www.google.com/maps?q=-19.6658160,-43.8863230","Abrir no Google Maps")</f>
        <v>Abrir no Google Maps</v>
      </c>
      <c r="S1525">
        <v>3</v>
      </c>
      <c r="T1525">
        <v>1149.957610345353</v>
      </c>
      <c r="U1525">
        <v>3</v>
      </c>
      <c r="V1525">
        <v>0.1200916451873258</v>
      </c>
      <c r="W1525">
        <v>1</v>
      </c>
      <c r="X1525">
        <v>0.1200916451873258</v>
      </c>
      <c r="Y1525">
        <v>1</v>
      </c>
      <c r="Z1525">
        <v>381.605286477493</v>
      </c>
      <c r="AA1525">
        <v>2</v>
      </c>
      <c r="AB1525">
        <v>3</v>
      </c>
      <c r="AC1525">
        <v>7</v>
      </c>
      <c r="AD1525">
        <v>25.73</v>
      </c>
      <c r="AE1525">
        <v>253</v>
      </c>
      <c r="AF1525">
        <v>19</v>
      </c>
      <c r="AG1525">
        <v>55</v>
      </c>
      <c r="AH1525">
        <v>32</v>
      </c>
      <c r="AI1525">
        <v>7.51</v>
      </c>
      <c r="AJ1525">
        <v>21.74</v>
      </c>
      <c r="AK1525">
        <v>12.65</v>
      </c>
      <c r="AL1525">
        <v>-19.665844049999951</v>
      </c>
      <c r="AM1525">
        <v>-43.886344205728712</v>
      </c>
      <c r="AN1525">
        <v>-19.665844049999951</v>
      </c>
      <c r="AO1525">
        <v>-43.886344205728712</v>
      </c>
      <c r="AP1525">
        <v>-19.665816</v>
      </c>
      <c r="AQ1525">
        <v>-43.886322999999997</v>
      </c>
      <c r="AR1525">
        <v>3.8329604058735098</v>
      </c>
      <c r="AS1525" t="s">
        <v>65</v>
      </c>
      <c r="AT1525">
        <v>1</v>
      </c>
      <c r="AU1525" t="s">
        <v>504</v>
      </c>
      <c r="AV1525" t="s">
        <v>505</v>
      </c>
      <c r="AW1525" t="s">
        <v>60</v>
      </c>
      <c r="AX1525" t="s">
        <v>68</v>
      </c>
      <c r="AY1525" t="s">
        <v>69</v>
      </c>
      <c r="AZ1525" t="b">
        <v>1</v>
      </c>
    </row>
    <row r="1526" spans="1:52" x14ac:dyDescent="0.3">
      <c r="A1526" t="s">
        <v>52</v>
      </c>
      <c r="B1526" t="s">
        <v>53</v>
      </c>
      <c r="C1526" t="s">
        <v>54</v>
      </c>
      <c r="D1526" t="s">
        <v>55</v>
      </c>
      <c r="E1526" t="s">
        <v>844</v>
      </c>
      <c r="F1526" t="s">
        <v>176</v>
      </c>
      <c r="G1526" t="s">
        <v>506</v>
      </c>
      <c r="H1526" t="s">
        <v>507</v>
      </c>
      <c r="I1526" t="s">
        <v>507</v>
      </c>
      <c r="J1526" t="s">
        <v>60</v>
      </c>
      <c r="K1526" t="s">
        <v>219</v>
      </c>
      <c r="L1526" t="s">
        <v>62</v>
      </c>
      <c r="M1526" t="s">
        <v>219</v>
      </c>
      <c r="N1526" t="s">
        <v>508</v>
      </c>
      <c r="O1526" t="s">
        <v>509</v>
      </c>
      <c r="P1526">
        <v>-19.663573</v>
      </c>
      <c r="Q1526">
        <v>-43.884306000000002</v>
      </c>
      <c r="R1526" s="2" t="str">
        <f>HYPERLINK("https://www.google.com/maps?q=-19.6635730,-43.8843060","Abrir no Google Maps")</f>
        <v>Abrir no Google Maps</v>
      </c>
      <c r="S1526">
        <v>3</v>
      </c>
      <c r="T1526">
        <v>1293.040666597964</v>
      </c>
      <c r="U1526">
        <v>3</v>
      </c>
      <c r="V1526">
        <v>0.1173925379486452</v>
      </c>
      <c r="W1526">
        <v>1</v>
      </c>
      <c r="X1526">
        <v>0.1173925379486452</v>
      </c>
      <c r="Y1526">
        <v>1</v>
      </c>
      <c r="Z1526">
        <v>649.69199246551727</v>
      </c>
      <c r="AA1526">
        <v>2</v>
      </c>
      <c r="AB1526">
        <v>3</v>
      </c>
      <c r="AC1526">
        <v>7</v>
      </c>
      <c r="AD1526">
        <v>25.73</v>
      </c>
      <c r="AE1526">
        <v>253</v>
      </c>
      <c r="AF1526">
        <v>19</v>
      </c>
      <c r="AG1526">
        <v>55</v>
      </c>
      <c r="AH1526">
        <v>32</v>
      </c>
      <c r="AI1526">
        <v>7.51</v>
      </c>
      <c r="AJ1526">
        <v>21.74</v>
      </c>
      <c r="AK1526">
        <v>12.65</v>
      </c>
      <c r="AL1526">
        <v>-19.663616899999969</v>
      </c>
      <c r="AM1526">
        <v>-43.884279937960187</v>
      </c>
      <c r="AN1526">
        <v>-19.663616899999969</v>
      </c>
      <c r="AO1526">
        <v>-43.884279937960187</v>
      </c>
      <c r="AP1526">
        <v>-19.663573</v>
      </c>
      <c r="AQ1526">
        <v>-43.884306000000002</v>
      </c>
      <c r="AR1526">
        <v>5.5987767285658263</v>
      </c>
      <c r="AS1526" t="s">
        <v>65</v>
      </c>
      <c r="AT1526">
        <v>1</v>
      </c>
      <c r="AU1526" t="s">
        <v>510</v>
      </c>
      <c r="AV1526" t="s">
        <v>511</v>
      </c>
      <c r="AW1526" t="s">
        <v>60</v>
      </c>
      <c r="AX1526" t="s">
        <v>68</v>
      </c>
      <c r="AY1526" t="s">
        <v>69</v>
      </c>
      <c r="AZ1526" t="b">
        <v>1</v>
      </c>
    </row>
    <row r="1527" spans="1:52" x14ac:dyDescent="0.3">
      <c r="A1527" t="s">
        <v>52</v>
      </c>
      <c r="B1527" t="s">
        <v>53</v>
      </c>
      <c r="C1527" t="s">
        <v>54</v>
      </c>
      <c r="D1527" t="s">
        <v>55</v>
      </c>
      <c r="E1527" t="s">
        <v>844</v>
      </c>
      <c r="F1527" t="s">
        <v>512</v>
      </c>
      <c r="G1527" t="s">
        <v>84</v>
      </c>
      <c r="H1527" t="s">
        <v>85</v>
      </c>
      <c r="I1527" t="s">
        <v>85</v>
      </c>
      <c r="J1527" t="s">
        <v>60</v>
      </c>
      <c r="K1527" t="s">
        <v>86</v>
      </c>
      <c r="L1527" t="s">
        <v>62</v>
      </c>
      <c r="M1527" t="s">
        <v>86</v>
      </c>
      <c r="N1527" t="s">
        <v>87</v>
      </c>
      <c r="O1527" t="s">
        <v>88</v>
      </c>
      <c r="P1527">
        <v>-19.629436999999999</v>
      </c>
      <c r="Q1527">
        <v>-43.910398999999998</v>
      </c>
      <c r="R1527" s="2" t="str">
        <f>HYPERLINK("https://www.google.com/maps?q=-19.6294370,-43.9103990","Abrir no Google Maps")</f>
        <v>Abrir no Google Maps</v>
      </c>
      <c r="S1527">
        <v>4</v>
      </c>
      <c r="T1527">
        <v>888.82060643108082</v>
      </c>
      <c r="U1527">
        <v>4</v>
      </c>
      <c r="V1527">
        <v>0.1275811209439528</v>
      </c>
      <c r="W1527">
        <v>1</v>
      </c>
      <c r="X1527">
        <v>0.1275811209439528</v>
      </c>
      <c r="Y1527">
        <v>10</v>
      </c>
      <c r="Z1527">
        <v>867.42797341651737</v>
      </c>
      <c r="AA1527">
        <v>2</v>
      </c>
      <c r="AB1527">
        <v>3</v>
      </c>
      <c r="AC1527">
        <v>7</v>
      </c>
      <c r="AD1527">
        <v>25.73</v>
      </c>
      <c r="AE1527">
        <v>253</v>
      </c>
      <c r="AF1527">
        <v>19</v>
      </c>
      <c r="AG1527">
        <v>55</v>
      </c>
      <c r="AH1527">
        <v>32</v>
      </c>
      <c r="AI1527">
        <v>7.51</v>
      </c>
      <c r="AJ1527">
        <v>21.74</v>
      </c>
      <c r="AK1527">
        <v>12.65</v>
      </c>
      <c r="AL1527">
        <v>-19.62934694999996</v>
      </c>
      <c r="AM1527">
        <v>-43.910344699357317</v>
      </c>
      <c r="AN1527">
        <v>-19.62934694999996</v>
      </c>
      <c r="AO1527">
        <v>-43.910344699357331</v>
      </c>
      <c r="AP1527">
        <v>-19.629436999999999</v>
      </c>
      <c r="AQ1527">
        <v>-43.910398999999998</v>
      </c>
      <c r="AR1527">
        <v>11.52837377953678</v>
      </c>
      <c r="AS1527" t="s">
        <v>65</v>
      </c>
      <c r="AT1527">
        <v>1</v>
      </c>
      <c r="AU1527" t="s">
        <v>89</v>
      </c>
      <c r="AV1527" t="s">
        <v>90</v>
      </c>
      <c r="AW1527" t="s">
        <v>60</v>
      </c>
      <c r="AX1527" t="s">
        <v>68</v>
      </c>
      <c r="AY1527" t="s">
        <v>69</v>
      </c>
      <c r="AZ1527" t="b">
        <v>1</v>
      </c>
    </row>
    <row r="1528" spans="1:52" x14ac:dyDescent="0.3">
      <c r="A1528" t="s">
        <v>52</v>
      </c>
      <c r="B1528" t="s">
        <v>53</v>
      </c>
      <c r="C1528" t="s">
        <v>54</v>
      </c>
      <c r="D1528" t="s">
        <v>55</v>
      </c>
      <c r="E1528" t="s">
        <v>844</v>
      </c>
      <c r="F1528" t="s">
        <v>512</v>
      </c>
      <c r="G1528" t="s">
        <v>91</v>
      </c>
      <c r="H1528" t="s">
        <v>92</v>
      </c>
      <c r="I1528" t="s">
        <v>92</v>
      </c>
      <c r="J1528" t="s">
        <v>60</v>
      </c>
      <c r="K1528" t="s">
        <v>86</v>
      </c>
      <c r="L1528" t="s">
        <v>62</v>
      </c>
      <c r="M1528" t="s">
        <v>86</v>
      </c>
      <c r="N1528" t="s">
        <v>93</v>
      </c>
      <c r="O1528" t="s">
        <v>94</v>
      </c>
      <c r="P1528">
        <v>-19.630676999999999</v>
      </c>
      <c r="Q1528">
        <v>-43.907255999999997</v>
      </c>
      <c r="R1528" s="2" t="str">
        <f>HYPERLINK("https://www.google.com/maps?q=-19.6306770,-43.9072560","Abrir no Google Maps")</f>
        <v>Abrir no Google Maps</v>
      </c>
      <c r="S1528">
        <v>4</v>
      </c>
      <c r="T1528">
        <v>545.39374622597825</v>
      </c>
      <c r="U1528">
        <v>4</v>
      </c>
      <c r="V1528">
        <v>0.13434343434343429</v>
      </c>
      <c r="W1528">
        <v>1</v>
      </c>
      <c r="X1528">
        <v>0.13434343434343429</v>
      </c>
      <c r="Y1528">
        <v>10</v>
      </c>
      <c r="Z1528">
        <v>559.94033759457182</v>
      </c>
      <c r="AA1528">
        <v>2</v>
      </c>
      <c r="AB1528">
        <v>3</v>
      </c>
      <c r="AC1528">
        <v>7</v>
      </c>
      <c r="AD1528">
        <v>25.73</v>
      </c>
      <c r="AE1528">
        <v>253</v>
      </c>
      <c r="AF1528">
        <v>19</v>
      </c>
      <c r="AG1528">
        <v>55</v>
      </c>
      <c r="AH1528">
        <v>32</v>
      </c>
      <c r="AI1528">
        <v>7.51</v>
      </c>
      <c r="AJ1528">
        <v>21.74</v>
      </c>
      <c r="AK1528">
        <v>12.65</v>
      </c>
      <c r="AL1528">
        <v>-19.630448649999941</v>
      </c>
      <c r="AM1528">
        <v>-43.907268502495313</v>
      </c>
      <c r="AN1528">
        <v>-19.630448649999941</v>
      </c>
      <c r="AO1528">
        <v>-43.907268502495313</v>
      </c>
      <c r="AP1528">
        <v>-19.630676999999999</v>
      </c>
      <c r="AQ1528">
        <v>-43.907255999999997</v>
      </c>
      <c r="AR1528">
        <v>25.453700276562468</v>
      </c>
      <c r="AS1528" t="s">
        <v>65</v>
      </c>
      <c r="AT1528">
        <v>1</v>
      </c>
      <c r="AU1528" t="s">
        <v>95</v>
      </c>
      <c r="AV1528" t="s">
        <v>96</v>
      </c>
      <c r="AW1528" t="s">
        <v>60</v>
      </c>
      <c r="AX1528" t="s">
        <v>68</v>
      </c>
      <c r="AY1528" t="s">
        <v>69</v>
      </c>
      <c r="AZ1528" t="b">
        <v>1</v>
      </c>
    </row>
    <row r="1529" spans="1:52" x14ac:dyDescent="0.3">
      <c r="A1529" t="s">
        <v>52</v>
      </c>
      <c r="B1529" t="s">
        <v>53</v>
      </c>
      <c r="C1529" t="s">
        <v>54</v>
      </c>
      <c r="D1529" t="s">
        <v>55</v>
      </c>
      <c r="E1529" t="s">
        <v>844</v>
      </c>
      <c r="F1529" t="s">
        <v>512</v>
      </c>
      <c r="G1529" t="s">
        <v>58</v>
      </c>
      <c r="H1529" t="s">
        <v>59</v>
      </c>
      <c r="I1529" t="s">
        <v>59</v>
      </c>
      <c r="J1529" t="s">
        <v>60</v>
      </c>
      <c r="K1529" t="s">
        <v>61</v>
      </c>
      <c r="L1529" t="s">
        <v>62</v>
      </c>
      <c r="M1529" t="s">
        <v>61</v>
      </c>
      <c r="N1529" t="s">
        <v>63</v>
      </c>
      <c r="O1529" t="s">
        <v>64</v>
      </c>
      <c r="P1529">
        <v>-19.631502000000001</v>
      </c>
      <c r="Q1529">
        <v>-43.910241999999997</v>
      </c>
      <c r="R1529" s="2" t="str">
        <f>HYPERLINK("https://www.google.com/maps?q=-19.6315020,-43.9102420","Abrir no Google Maps")</f>
        <v>Abrir no Google Maps</v>
      </c>
      <c r="S1529">
        <v>4</v>
      </c>
      <c r="T1529">
        <v>789.20099406682743</v>
      </c>
      <c r="U1529">
        <v>3</v>
      </c>
      <c r="V1529">
        <v>0.1199896099662833</v>
      </c>
      <c r="W1529">
        <v>1</v>
      </c>
      <c r="X1529">
        <v>0.1199896099662833</v>
      </c>
      <c r="Y1529">
        <v>10</v>
      </c>
      <c r="Z1529">
        <v>691.44930074509864</v>
      </c>
      <c r="AA1529">
        <v>2</v>
      </c>
      <c r="AB1529">
        <v>3</v>
      </c>
      <c r="AC1529">
        <v>7</v>
      </c>
      <c r="AD1529">
        <v>25.73</v>
      </c>
      <c r="AE1529">
        <v>253</v>
      </c>
      <c r="AF1529">
        <v>19</v>
      </c>
      <c r="AG1529">
        <v>55</v>
      </c>
      <c r="AH1529">
        <v>32</v>
      </c>
      <c r="AI1529">
        <v>7.51</v>
      </c>
      <c r="AJ1529">
        <v>21.74</v>
      </c>
      <c r="AK1529">
        <v>12.65</v>
      </c>
      <c r="AL1529">
        <v>-19.631719749999949</v>
      </c>
      <c r="AM1529">
        <v>-43.910102324517517</v>
      </c>
      <c r="AN1529">
        <v>-19.631719749999949</v>
      </c>
      <c r="AO1529">
        <v>-43.910102324517517</v>
      </c>
      <c r="AP1529">
        <v>-19.631502000000001</v>
      </c>
      <c r="AQ1529">
        <v>-43.910241999999997</v>
      </c>
      <c r="AR1529">
        <v>28.320416429206599</v>
      </c>
      <c r="AS1529" t="s">
        <v>65</v>
      </c>
      <c r="AT1529">
        <v>1</v>
      </c>
      <c r="AU1529" t="s">
        <v>66</v>
      </c>
      <c r="AV1529" t="s">
        <v>67</v>
      </c>
      <c r="AW1529" t="s">
        <v>60</v>
      </c>
      <c r="AX1529" t="s">
        <v>68</v>
      </c>
      <c r="AY1529" t="s">
        <v>69</v>
      </c>
      <c r="AZ1529" t="b">
        <v>1</v>
      </c>
    </row>
    <row r="1530" spans="1:52" x14ac:dyDescent="0.3">
      <c r="A1530" t="s">
        <v>52</v>
      </c>
      <c r="B1530" t="s">
        <v>53</v>
      </c>
      <c r="C1530" t="s">
        <v>54</v>
      </c>
      <c r="D1530" t="s">
        <v>55</v>
      </c>
      <c r="E1530" t="s">
        <v>844</v>
      </c>
      <c r="F1530" t="s">
        <v>512</v>
      </c>
      <c r="G1530" t="s">
        <v>70</v>
      </c>
      <c r="H1530" t="s">
        <v>71</v>
      </c>
      <c r="I1530" t="s">
        <v>71</v>
      </c>
      <c r="J1530" t="s">
        <v>60</v>
      </c>
      <c r="K1530" t="s">
        <v>72</v>
      </c>
      <c r="L1530" t="s">
        <v>62</v>
      </c>
      <c r="M1530" t="s">
        <v>72</v>
      </c>
      <c r="N1530" t="s">
        <v>73</v>
      </c>
      <c r="O1530" t="s">
        <v>74</v>
      </c>
      <c r="P1530">
        <v>-19.632581999999999</v>
      </c>
      <c r="Q1530">
        <v>-43.902416000000002</v>
      </c>
      <c r="R1530" s="2" t="str">
        <f>HYPERLINK("https://www.google.com/maps?q=-19.6325820,-43.9024160","Abrir no Google Maps")</f>
        <v>Abrir no Google Maps</v>
      </c>
      <c r="S1530">
        <v>4</v>
      </c>
      <c r="T1530">
        <v>0</v>
      </c>
      <c r="U1530">
        <v>3</v>
      </c>
      <c r="V1530">
        <v>0.11059468888429839</v>
      </c>
      <c r="W1530">
        <v>1</v>
      </c>
      <c r="X1530">
        <v>0.11059468888429839</v>
      </c>
      <c r="Y1530">
        <v>10</v>
      </c>
      <c r="Z1530">
        <v>146.6968158874696</v>
      </c>
      <c r="AA1530">
        <v>2</v>
      </c>
      <c r="AB1530">
        <v>3</v>
      </c>
      <c r="AC1530">
        <v>7</v>
      </c>
      <c r="AD1530">
        <v>25.73</v>
      </c>
      <c r="AE1530">
        <v>253</v>
      </c>
      <c r="AF1530">
        <v>19</v>
      </c>
      <c r="AG1530">
        <v>55</v>
      </c>
      <c r="AH1530">
        <v>32</v>
      </c>
      <c r="AI1530">
        <v>7.51</v>
      </c>
      <c r="AJ1530">
        <v>21.74</v>
      </c>
      <c r="AK1530">
        <v>12.65</v>
      </c>
      <c r="AL1530">
        <v>-19.63271449999996</v>
      </c>
      <c r="AM1530">
        <v>-43.902649897389402</v>
      </c>
      <c r="AN1530">
        <v>-19.63271449999996</v>
      </c>
      <c r="AO1530">
        <v>-43.902649897389402</v>
      </c>
      <c r="AP1530">
        <v>-19.632581999999999</v>
      </c>
      <c r="AQ1530">
        <v>-43.902416000000002</v>
      </c>
      <c r="AR1530">
        <v>28.617753432996459</v>
      </c>
      <c r="AS1530" t="s">
        <v>65</v>
      </c>
      <c r="AT1530">
        <v>1</v>
      </c>
      <c r="AU1530" t="s">
        <v>75</v>
      </c>
      <c r="AV1530" t="s">
        <v>76</v>
      </c>
      <c r="AW1530" t="s">
        <v>60</v>
      </c>
      <c r="AX1530" t="s">
        <v>68</v>
      </c>
      <c r="AY1530" t="s">
        <v>69</v>
      </c>
      <c r="AZ1530" t="b">
        <v>1</v>
      </c>
    </row>
    <row r="1531" spans="1:52" x14ac:dyDescent="0.3">
      <c r="A1531" t="s">
        <v>52</v>
      </c>
      <c r="B1531" t="s">
        <v>53</v>
      </c>
      <c r="C1531" t="s">
        <v>54</v>
      </c>
      <c r="D1531" t="s">
        <v>55</v>
      </c>
      <c r="E1531" t="s">
        <v>844</v>
      </c>
      <c r="F1531" t="s">
        <v>512</v>
      </c>
      <c r="G1531" t="s">
        <v>77</v>
      </c>
      <c r="H1531" t="s">
        <v>78</v>
      </c>
      <c r="I1531" t="s">
        <v>78</v>
      </c>
      <c r="J1531" t="s">
        <v>60</v>
      </c>
      <c r="K1531" t="s">
        <v>79</v>
      </c>
      <c r="L1531" t="s">
        <v>62</v>
      </c>
      <c r="M1531" t="s">
        <v>79</v>
      </c>
      <c r="N1531" t="s">
        <v>80</v>
      </c>
      <c r="O1531" t="s">
        <v>81</v>
      </c>
      <c r="P1531">
        <v>-19.632463999999999</v>
      </c>
      <c r="Q1531">
        <v>-43.904927999999998</v>
      </c>
      <c r="R1531" s="2" t="str">
        <f>HYPERLINK("https://www.google.com/maps?q=-19.6324640,-43.9049280","Abrir no Google Maps")</f>
        <v>Abrir no Google Maps</v>
      </c>
      <c r="S1531">
        <v>4</v>
      </c>
      <c r="T1531">
        <v>244.1735197453369</v>
      </c>
      <c r="U1531">
        <v>3</v>
      </c>
      <c r="V1531">
        <v>0.121108615634163</v>
      </c>
      <c r="W1531">
        <v>1</v>
      </c>
      <c r="X1531">
        <v>0.121108615634163</v>
      </c>
      <c r="Y1531">
        <v>10</v>
      </c>
      <c r="Z1531">
        <v>287.26068152447448</v>
      </c>
      <c r="AA1531">
        <v>2</v>
      </c>
      <c r="AB1531">
        <v>3</v>
      </c>
      <c r="AC1531">
        <v>7</v>
      </c>
      <c r="AD1531">
        <v>25.73</v>
      </c>
      <c r="AE1531">
        <v>253</v>
      </c>
      <c r="AF1531">
        <v>19</v>
      </c>
      <c r="AG1531">
        <v>55</v>
      </c>
      <c r="AH1531">
        <v>32</v>
      </c>
      <c r="AI1531">
        <v>7.51</v>
      </c>
      <c r="AJ1531">
        <v>21.74</v>
      </c>
      <c r="AK1531">
        <v>12.65</v>
      </c>
      <c r="AL1531">
        <v>-19.63247099999996</v>
      </c>
      <c r="AM1531">
        <v>-43.904964174285787</v>
      </c>
      <c r="AN1531">
        <v>-19.63247099999996</v>
      </c>
      <c r="AO1531">
        <v>-43.904964174285787</v>
      </c>
      <c r="AP1531">
        <v>-19.632463999999999</v>
      </c>
      <c r="AQ1531">
        <v>-43.904927999999998</v>
      </c>
      <c r="AR1531">
        <v>3.8720457500200469</v>
      </c>
      <c r="AS1531" t="s">
        <v>65</v>
      </c>
      <c r="AT1531">
        <v>1</v>
      </c>
      <c r="AU1531" t="s">
        <v>82</v>
      </c>
      <c r="AV1531" t="s">
        <v>83</v>
      </c>
      <c r="AW1531" t="s">
        <v>60</v>
      </c>
      <c r="AX1531" t="s">
        <v>68</v>
      </c>
      <c r="AY1531" t="s">
        <v>69</v>
      </c>
      <c r="AZ1531" t="b">
        <v>1</v>
      </c>
    </row>
    <row r="1532" spans="1:52" x14ac:dyDescent="0.3">
      <c r="A1532" t="s">
        <v>52</v>
      </c>
      <c r="B1532" t="s">
        <v>53</v>
      </c>
      <c r="C1532" t="s">
        <v>54</v>
      </c>
      <c r="D1532" t="s">
        <v>55</v>
      </c>
      <c r="E1532" t="s">
        <v>844</v>
      </c>
      <c r="F1532" t="s">
        <v>512</v>
      </c>
      <c r="G1532" t="s">
        <v>97</v>
      </c>
      <c r="H1532" t="s">
        <v>98</v>
      </c>
      <c r="I1532" t="s">
        <v>98</v>
      </c>
      <c r="J1532" t="s">
        <v>60</v>
      </c>
      <c r="K1532" t="s">
        <v>99</v>
      </c>
      <c r="L1532" t="s">
        <v>62</v>
      </c>
      <c r="M1532" t="s">
        <v>99</v>
      </c>
      <c r="N1532" t="s">
        <v>100</v>
      </c>
      <c r="O1532" t="s">
        <v>101</v>
      </c>
      <c r="P1532">
        <v>-19.629822000000001</v>
      </c>
      <c r="Q1532">
        <v>-43.905341</v>
      </c>
      <c r="R1532" s="2" t="str">
        <f>HYPERLINK("https://www.google.com/maps?q=-19.6298220,-43.9053410","Abrir no Google Maps")</f>
        <v>Abrir no Google Maps</v>
      </c>
      <c r="S1532">
        <v>4</v>
      </c>
      <c r="T1532">
        <v>441.30597341744129</v>
      </c>
      <c r="U1532">
        <v>3</v>
      </c>
      <c r="V1532">
        <v>0.1151415695111198</v>
      </c>
      <c r="W1532">
        <v>1</v>
      </c>
      <c r="X1532">
        <v>0.1151415695111198</v>
      </c>
      <c r="Y1532">
        <v>10</v>
      </c>
      <c r="Z1532">
        <v>513.56493751010987</v>
      </c>
      <c r="AA1532">
        <v>2</v>
      </c>
      <c r="AB1532">
        <v>3</v>
      </c>
      <c r="AC1532">
        <v>7</v>
      </c>
      <c r="AD1532">
        <v>25.73</v>
      </c>
      <c r="AE1532">
        <v>253</v>
      </c>
      <c r="AF1532">
        <v>19</v>
      </c>
      <c r="AG1532">
        <v>55</v>
      </c>
      <c r="AH1532">
        <v>32</v>
      </c>
      <c r="AI1532">
        <v>7.51</v>
      </c>
      <c r="AJ1532">
        <v>21.74</v>
      </c>
      <c r="AK1532">
        <v>12.65</v>
      </c>
      <c r="AL1532">
        <v>-19.629671599999941</v>
      </c>
      <c r="AM1532">
        <v>-43.905369597920988</v>
      </c>
      <c r="AN1532">
        <v>-19.629671599999931</v>
      </c>
      <c r="AO1532">
        <v>-43.905369597920988</v>
      </c>
      <c r="AP1532">
        <v>-19.629822000000001</v>
      </c>
      <c r="AQ1532">
        <v>-43.905341</v>
      </c>
      <c r="AR1532">
        <v>17.008917699186132</v>
      </c>
      <c r="AS1532" t="s">
        <v>65</v>
      </c>
      <c r="AT1532">
        <v>1</v>
      </c>
      <c r="AU1532" t="s">
        <v>102</v>
      </c>
      <c r="AV1532" t="s">
        <v>103</v>
      </c>
      <c r="AW1532" t="s">
        <v>60</v>
      </c>
      <c r="AX1532" t="s">
        <v>68</v>
      </c>
      <c r="AY1532" t="s">
        <v>69</v>
      </c>
      <c r="AZ1532" t="b">
        <v>1</v>
      </c>
    </row>
    <row r="1533" spans="1:52" x14ac:dyDescent="0.3">
      <c r="A1533" t="s">
        <v>52</v>
      </c>
      <c r="B1533" t="s">
        <v>53</v>
      </c>
      <c r="C1533" t="s">
        <v>54</v>
      </c>
      <c r="D1533" t="s">
        <v>55</v>
      </c>
      <c r="E1533" t="s">
        <v>844</v>
      </c>
      <c r="F1533" t="s">
        <v>512</v>
      </c>
      <c r="G1533" t="s">
        <v>513</v>
      </c>
      <c r="H1533" t="s">
        <v>514</v>
      </c>
      <c r="I1533" t="s">
        <v>514</v>
      </c>
      <c r="J1533" t="s">
        <v>60</v>
      </c>
      <c r="K1533" t="s">
        <v>185</v>
      </c>
      <c r="L1533" t="s">
        <v>62</v>
      </c>
      <c r="M1533" t="s">
        <v>185</v>
      </c>
      <c r="N1533" t="s">
        <v>515</v>
      </c>
      <c r="O1533" t="s">
        <v>516</v>
      </c>
      <c r="P1533">
        <v>-19.63184</v>
      </c>
      <c r="Q1533">
        <v>-43.899625999999998</v>
      </c>
      <c r="R1533" s="2" t="str">
        <f>HYPERLINK("https://www.google.com/maps?q=-19.6318400,-43.8996260","Abrir no Google Maps")</f>
        <v>Abrir no Google Maps</v>
      </c>
      <c r="S1533">
        <v>4</v>
      </c>
      <c r="T1533">
        <v>317.05369638212568</v>
      </c>
      <c r="U1533">
        <v>2</v>
      </c>
      <c r="V1533">
        <v>0.111367977343081</v>
      </c>
      <c r="W1533">
        <v>0.85</v>
      </c>
      <c r="X1533">
        <v>9.4662780741618852E-2</v>
      </c>
      <c r="Y1533">
        <v>10</v>
      </c>
      <c r="Z1533">
        <v>467.39112963581732</v>
      </c>
      <c r="AA1533">
        <v>2</v>
      </c>
      <c r="AB1533">
        <v>3</v>
      </c>
      <c r="AC1533">
        <v>7</v>
      </c>
      <c r="AD1533">
        <v>25.73</v>
      </c>
      <c r="AE1533">
        <v>253</v>
      </c>
      <c r="AF1533">
        <v>19</v>
      </c>
      <c r="AG1533">
        <v>55</v>
      </c>
      <c r="AH1533">
        <v>32</v>
      </c>
      <c r="AI1533">
        <v>7.51</v>
      </c>
      <c r="AJ1533">
        <v>21.74</v>
      </c>
      <c r="AK1533">
        <v>12.65</v>
      </c>
      <c r="AL1533">
        <v>-19.631819699999941</v>
      </c>
      <c r="AM1533">
        <v>-43.89977767057065</v>
      </c>
      <c r="AN1533">
        <v>-19.631819699999941</v>
      </c>
      <c r="AO1533">
        <v>-43.89977767057065</v>
      </c>
      <c r="AP1533">
        <v>-19.63184</v>
      </c>
      <c r="AQ1533">
        <v>-43.899625999999998</v>
      </c>
      <c r="AR1533">
        <v>16.062279375806241</v>
      </c>
      <c r="AS1533" t="s">
        <v>65</v>
      </c>
      <c r="AT1533">
        <v>1</v>
      </c>
      <c r="AU1533" t="s">
        <v>517</v>
      </c>
      <c r="AV1533" t="s">
        <v>518</v>
      </c>
      <c r="AW1533" t="s">
        <v>60</v>
      </c>
      <c r="AX1533" t="s">
        <v>68</v>
      </c>
      <c r="AY1533" t="s">
        <v>69</v>
      </c>
      <c r="AZ1533" t="b">
        <v>1</v>
      </c>
    </row>
    <row r="1534" spans="1:52" x14ac:dyDescent="0.3">
      <c r="A1534" t="s">
        <v>52</v>
      </c>
      <c r="B1534" t="s">
        <v>53</v>
      </c>
      <c r="C1534" t="s">
        <v>54</v>
      </c>
      <c r="D1534" t="s">
        <v>55</v>
      </c>
      <c r="E1534" t="s">
        <v>844</v>
      </c>
      <c r="F1534" t="s">
        <v>512</v>
      </c>
      <c r="G1534" t="s">
        <v>519</v>
      </c>
      <c r="H1534" t="s">
        <v>520</v>
      </c>
      <c r="I1534" t="s">
        <v>520</v>
      </c>
      <c r="J1534" t="s">
        <v>60</v>
      </c>
      <c r="K1534" t="s">
        <v>72</v>
      </c>
      <c r="L1534" t="s">
        <v>62</v>
      </c>
      <c r="M1534" t="s">
        <v>72</v>
      </c>
      <c r="N1534" t="s">
        <v>521</v>
      </c>
      <c r="O1534" t="s">
        <v>522</v>
      </c>
      <c r="P1534">
        <v>-19.634713000000001</v>
      </c>
      <c r="Q1534">
        <v>-43.908909999999999</v>
      </c>
      <c r="R1534" s="2" t="str">
        <f>HYPERLINK("https://www.google.com/maps?q=-19.6347130,-43.9089100","Abrir no Google Maps")</f>
        <v>Abrir no Google Maps</v>
      </c>
      <c r="S1534">
        <v>4</v>
      </c>
      <c r="T1534">
        <v>700.74700083720154</v>
      </c>
      <c r="U1534">
        <v>1</v>
      </c>
      <c r="V1534">
        <v>8.3705726580602394E-2</v>
      </c>
      <c r="W1534">
        <v>0.85</v>
      </c>
      <c r="X1534">
        <v>7.1149867593512037E-2</v>
      </c>
      <c r="Y1534">
        <v>10</v>
      </c>
      <c r="Z1534">
        <v>557.86159429038207</v>
      </c>
      <c r="AA1534">
        <v>2</v>
      </c>
      <c r="AB1534">
        <v>3</v>
      </c>
      <c r="AC1534">
        <v>7</v>
      </c>
      <c r="AD1534">
        <v>25.73</v>
      </c>
      <c r="AE1534">
        <v>253</v>
      </c>
      <c r="AF1534">
        <v>19</v>
      </c>
      <c r="AG1534">
        <v>55</v>
      </c>
      <c r="AH1534">
        <v>32</v>
      </c>
      <c r="AI1534">
        <v>7.51</v>
      </c>
      <c r="AJ1534">
        <v>21.74</v>
      </c>
      <c r="AK1534">
        <v>12.65</v>
      </c>
      <c r="AL1534">
        <v>-19.634626949999959</v>
      </c>
      <c r="AM1534">
        <v>-43.909020333181857</v>
      </c>
      <c r="AN1534">
        <v>-19.634626949999959</v>
      </c>
      <c r="AO1534">
        <v>-43.909020333181857</v>
      </c>
      <c r="AP1534">
        <v>-19.634713000000001</v>
      </c>
      <c r="AQ1534">
        <v>-43.908909999999999</v>
      </c>
      <c r="AR1534">
        <v>15.01933861967664</v>
      </c>
      <c r="AS1534" t="s">
        <v>65</v>
      </c>
      <c r="AT1534">
        <v>1</v>
      </c>
      <c r="AU1534" t="s">
        <v>523</v>
      </c>
      <c r="AV1534" t="s">
        <v>524</v>
      </c>
      <c r="AW1534" t="s">
        <v>60</v>
      </c>
      <c r="AX1534" t="s">
        <v>68</v>
      </c>
      <c r="AY1534" t="s">
        <v>69</v>
      </c>
      <c r="AZ1534" t="b">
        <v>1</v>
      </c>
    </row>
    <row r="1535" spans="1:52" x14ac:dyDescent="0.3">
      <c r="A1535" t="s">
        <v>52</v>
      </c>
      <c r="B1535" t="s">
        <v>53</v>
      </c>
      <c r="C1535" t="s">
        <v>54</v>
      </c>
      <c r="D1535" t="s">
        <v>55</v>
      </c>
      <c r="E1535" t="s">
        <v>844</v>
      </c>
      <c r="F1535" t="s">
        <v>512</v>
      </c>
      <c r="G1535" t="s">
        <v>399</v>
      </c>
      <c r="H1535" t="s">
        <v>400</v>
      </c>
      <c r="I1535" t="s">
        <v>400</v>
      </c>
      <c r="J1535" t="s">
        <v>60</v>
      </c>
      <c r="K1535" t="s">
        <v>286</v>
      </c>
      <c r="L1535" t="s">
        <v>62</v>
      </c>
      <c r="M1535" t="s">
        <v>286</v>
      </c>
      <c r="N1535" t="s">
        <v>401</v>
      </c>
      <c r="O1535" t="s">
        <v>402</v>
      </c>
      <c r="P1535">
        <v>-19.639906</v>
      </c>
      <c r="Q1535">
        <v>-43.886059000000003</v>
      </c>
      <c r="R1535" s="2" t="str">
        <f>HYPERLINK("https://www.google.com/maps?q=-19.6399060,-43.8860590","Abrir no Google Maps")</f>
        <v>Abrir no Google Maps</v>
      </c>
      <c r="S1535">
        <v>3</v>
      </c>
      <c r="T1535">
        <v>256.0748811302048</v>
      </c>
      <c r="U1535">
        <v>4</v>
      </c>
      <c r="V1535">
        <v>0.1216926793013749</v>
      </c>
      <c r="W1535">
        <v>1</v>
      </c>
      <c r="X1535">
        <v>0.1216926793013749</v>
      </c>
      <c r="Y1535">
        <v>10</v>
      </c>
      <c r="Z1535">
        <v>205.06236700857289</v>
      </c>
      <c r="AA1535">
        <v>2</v>
      </c>
      <c r="AB1535">
        <v>3</v>
      </c>
      <c r="AC1535">
        <v>7</v>
      </c>
      <c r="AD1535">
        <v>25.73</v>
      </c>
      <c r="AE1535">
        <v>253</v>
      </c>
      <c r="AF1535">
        <v>19</v>
      </c>
      <c r="AG1535">
        <v>55</v>
      </c>
      <c r="AH1535">
        <v>32</v>
      </c>
      <c r="AI1535">
        <v>7.51</v>
      </c>
      <c r="AJ1535">
        <v>21.74</v>
      </c>
      <c r="AK1535">
        <v>12.65</v>
      </c>
      <c r="AL1535">
        <v>-19.639789499999949</v>
      </c>
      <c r="AM1535">
        <v>-43.885737855031408</v>
      </c>
      <c r="AN1535">
        <v>-19.639789499999949</v>
      </c>
      <c r="AO1535">
        <v>-43.885737855031408</v>
      </c>
      <c r="AP1535">
        <v>-19.639906</v>
      </c>
      <c r="AQ1535">
        <v>-43.886059000000003</v>
      </c>
      <c r="AR1535">
        <v>36.081349702130403</v>
      </c>
      <c r="AS1535" t="s">
        <v>65</v>
      </c>
      <c r="AT1535">
        <v>1</v>
      </c>
      <c r="AU1535" t="s">
        <v>403</v>
      </c>
      <c r="AV1535" t="s">
        <v>404</v>
      </c>
      <c r="AW1535" t="s">
        <v>60</v>
      </c>
      <c r="AX1535" t="s">
        <v>68</v>
      </c>
      <c r="AY1535" t="s">
        <v>69</v>
      </c>
      <c r="AZ1535" t="b">
        <v>1</v>
      </c>
    </row>
    <row r="1536" spans="1:52" x14ac:dyDescent="0.3">
      <c r="A1536" t="s">
        <v>52</v>
      </c>
      <c r="B1536" t="s">
        <v>53</v>
      </c>
      <c r="C1536" t="s">
        <v>54</v>
      </c>
      <c r="D1536" t="s">
        <v>55</v>
      </c>
      <c r="E1536" t="s">
        <v>844</v>
      </c>
      <c r="F1536" t="s">
        <v>512</v>
      </c>
      <c r="G1536" t="s">
        <v>284</v>
      </c>
      <c r="H1536" t="s">
        <v>285</v>
      </c>
      <c r="I1536" t="s">
        <v>285</v>
      </c>
      <c r="J1536" t="s">
        <v>60</v>
      </c>
      <c r="K1536" t="s">
        <v>286</v>
      </c>
      <c r="L1536" t="s">
        <v>62</v>
      </c>
      <c r="M1536" t="s">
        <v>286</v>
      </c>
      <c r="N1536" t="s">
        <v>287</v>
      </c>
      <c r="O1536" t="s">
        <v>288</v>
      </c>
      <c r="P1536">
        <v>-19.639790000000001</v>
      </c>
      <c r="Q1536">
        <v>-43.882798999999999</v>
      </c>
      <c r="R1536" s="2" t="str">
        <f>HYPERLINK("https://www.google.com/maps?q=-19.6397900,-43.8827990","Abrir no Google Maps")</f>
        <v>Abrir no Google Maps</v>
      </c>
      <c r="S1536">
        <v>3</v>
      </c>
      <c r="T1536">
        <v>242.7052058134478</v>
      </c>
      <c r="U1536">
        <v>4</v>
      </c>
      <c r="V1536">
        <v>0.13515363958756119</v>
      </c>
      <c r="W1536">
        <v>1</v>
      </c>
      <c r="X1536">
        <v>0.13515363958756119</v>
      </c>
      <c r="Y1536">
        <v>10</v>
      </c>
      <c r="Z1536">
        <v>187.2088809462339</v>
      </c>
      <c r="AA1536">
        <v>2</v>
      </c>
      <c r="AB1536">
        <v>3</v>
      </c>
      <c r="AC1536">
        <v>7</v>
      </c>
      <c r="AD1536">
        <v>25.73</v>
      </c>
      <c r="AE1536">
        <v>253</v>
      </c>
      <c r="AF1536">
        <v>19</v>
      </c>
      <c r="AG1536">
        <v>55</v>
      </c>
      <c r="AH1536">
        <v>32</v>
      </c>
      <c r="AI1536">
        <v>7.51</v>
      </c>
      <c r="AJ1536">
        <v>21.74</v>
      </c>
      <c r="AK1536">
        <v>12.65</v>
      </c>
      <c r="AL1536">
        <v>-19.639855599999951</v>
      </c>
      <c r="AM1536">
        <v>-43.882909745178452</v>
      </c>
      <c r="AN1536">
        <v>-19.639855599999951</v>
      </c>
      <c r="AO1536">
        <v>-43.882909745178452</v>
      </c>
      <c r="AP1536">
        <v>-19.639790000000001</v>
      </c>
      <c r="AQ1536">
        <v>-43.882798999999999</v>
      </c>
      <c r="AR1536">
        <v>13.716486068571211</v>
      </c>
      <c r="AS1536" t="s">
        <v>65</v>
      </c>
      <c r="AT1536">
        <v>1</v>
      </c>
      <c r="AU1536" t="s">
        <v>289</v>
      </c>
      <c r="AV1536" t="s">
        <v>290</v>
      </c>
      <c r="AW1536" t="s">
        <v>60</v>
      </c>
      <c r="AX1536" t="s">
        <v>68</v>
      </c>
      <c r="AY1536" t="s">
        <v>69</v>
      </c>
      <c r="AZ1536" t="b">
        <v>1</v>
      </c>
    </row>
    <row r="1537" spans="1:52" x14ac:dyDescent="0.3">
      <c r="A1537" t="s">
        <v>52</v>
      </c>
      <c r="B1537" t="s">
        <v>53</v>
      </c>
      <c r="C1537" t="s">
        <v>54</v>
      </c>
      <c r="D1537" t="s">
        <v>55</v>
      </c>
      <c r="E1537" t="s">
        <v>844</v>
      </c>
      <c r="F1537" t="s">
        <v>512</v>
      </c>
      <c r="G1537" t="s">
        <v>388</v>
      </c>
      <c r="H1537" t="s">
        <v>389</v>
      </c>
      <c r="I1537" t="s">
        <v>389</v>
      </c>
      <c r="J1537" t="s">
        <v>60</v>
      </c>
      <c r="K1537" t="s">
        <v>185</v>
      </c>
      <c r="L1537" t="s">
        <v>62</v>
      </c>
      <c r="M1537" t="s">
        <v>185</v>
      </c>
      <c r="N1537" t="s">
        <v>390</v>
      </c>
      <c r="O1537" t="s">
        <v>391</v>
      </c>
      <c r="P1537">
        <v>-19.628802</v>
      </c>
      <c r="Q1537">
        <v>-43.891649000000001</v>
      </c>
      <c r="R1537" s="2" t="str">
        <f>HYPERLINK("https://www.google.com/maps?q=-19.6288020,-43.8916490","Abrir no Google Maps")</f>
        <v>Abrir no Google Maps</v>
      </c>
      <c r="S1537">
        <v>3</v>
      </c>
      <c r="T1537">
        <v>0</v>
      </c>
      <c r="U1537">
        <v>3</v>
      </c>
      <c r="V1537">
        <v>0.138085928408509</v>
      </c>
      <c r="W1537">
        <v>0.85</v>
      </c>
      <c r="X1537">
        <v>0.1173730391472326</v>
      </c>
      <c r="Y1537">
        <v>18</v>
      </c>
      <c r="Z1537">
        <v>117.5064585283839</v>
      </c>
      <c r="AA1537">
        <v>2</v>
      </c>
      <c r="AB1537">
        <v>3</v>
      </c>
      <c r="AC1537">
        <v>7</v>
      </c>
      <c r="AD1537">
        <v>25.73</v>
      </c>
      <c r="AE1537">
        <v>253</v>
      </c>
      <c r="AF1537">
        <v>19</v>
      </c>
      <c r="AG1537">
        <v>55</v>
      </c>
      <c r="AH1537">
        <v>32</v>
      </c>
      <c r="AI1537">
        <v>7.51</v>
      </c>
      <c r="AJ1537">
        <v>21.74</v>
      </c>
      <c r="AK1537">
        <v>12.65</v>
      </c>
      <c r="AL1537">
        <v>-19.628865499999961</v>
      </c>
      <c r="AM1537">
        <v>-43.891662391334172</v>
      </c>
      <c r="AN1537">
        <v>-19.628865499999961</v>
      </c>
      <c r="AO1537">
        <v>-43.891662391334172</v>
      </c>
      <c r="AP1537">
        <v>-19.628802</v>
      </c>
      <c r="AQ1537">
        <v>-43.891649000000001</v>
      </c>
      <c r="AR1537">
        <v>7.2069201904448459</v>
      </c>
      <c r="AS1537" t="s">
        <v>65</v>
      </c>
      <c r="AT1537">
        <v>1</v>
      </c>
      <c r="AU1537" t="s">
        <v>392</v>
      </c>
      <c r="AV1537" t="s">
        <v>393</v>
      </c>
      <c r="AW1537" t="s">
        <v>60</v>
      </c>
      <c r="AX1537" t="s">
        <v>68</v>
      </c>
      <c r="AY1537" t="s">
        <v>69</v>
      </c>
      <c r="AZ1537" t="b">
        <v>1</v>
      </c>
    </row>
    <row r="1538" spans="1:52" x14ac:dyDescent="0.3">
      <c r="A1538" t="s">
        <v>52</v>
      </c>
      <c r="B1538" t="s">
        <v>53</v>
      </c>
      <c r="C1538" t="s">
        <v>54</v>
      </c>
      <c r="D1538" t="s">
        <v>55</v>
      </c>
      <c r="E1538" t="s">
        <v>844</v>
      </c>
      <c r="F1538" t="s">
        <v>512</v>
      </c>
      <c r="G1538" t="s">
        <v>394</v>
      </c>
      <c r="H1538" t="s">
        <v>395</v>
      </c>
      <c r="I1538" t="s">
        <v>395</v>
      </c>
      <c r="J1538" t="s">
        <v>60</v>
      </c>
      <c r="K1538" t="s">
        <v>286</v>
      </c>
      <c r="L1538" t="s">
        <v>62</v>
      </c>
      <c r="M1538" t="s">
        <v>286</v>
      </c>
      <c r="N1538" t="s">
        <v>396</v>
      </c>
      <c r="O1538" t="s">
        <v>88</v>
      </c>
      <c r="P1538">
        <v>-19.636932999999999</v>
      </c>
      <c r="Q1538">
        <v>-43.882691999999999</v>
      </c>
      <c r="R1538" s="2" t="str">
        <f>HYPERLINK("https://www.google.com/maps?q=-19.6369330,-43.8826920","Abrir no Google Maps")</f>
        <v>Abrir no Google Maps</v>
      </c>
      <c r="S1538">
        <v>3</v>
      </c>
      <c r="T1538">
        <v>523.52675813688109</v>
      </c>
      <c r="U1538">
        <v>3</v>
      </c>
      <c r="V1538">
        <v>0.1214448564125003</v>
      </c>
      <c r="W1538">
        <v>1</v>
      </c>
      <c r="X1538">
        <v>0.1214448564125003</v>
      </c>
      <c r="Y1538">
        <v>10</v>
      </c>
      <c r="Z1538">
        <v>372.58135532659509</v>
      </c>
      <c r="AA1538">
        <v>2</v>
      </c>
      <c r="AB1538">
        <v>3</v>
      </c>
      <c r="AC1538">
        <v>7</v>
      </c>
      <c r="AD1538">
        <v>25.73</v>
      </c>
      <c r="AE1538">
        <v>253</v>
      </c>
      <c r="AF1538">
        <v>19</v>
      </c>
      <c r="AG1538">
        <v>55</v>
      </c>
      <c r="AH1538">
        <v>32</v>
      </c>
      <c r="AI1538">
        <v>7.51</v>
      </c>
      <c r="AJ1538">
        <v>21.74</v>
      </c>
      <c r="AK1538">
        <v>12.65</v>
      </c>
      <c r="AL1538">
        <v>-19.637159949999951</v>
      </c>
      <c r="AM1538">
        <v>-43.882643289441461</v>
      </c>
      <c r="AN1538">
        <v>-19.637159949999951</v>
      </c>
      <c r="AO1538">
        <v>-43.882643289441461</v>
      </c>
      <c r="AP1538">
        <v>-19.636932999999999</v>
      </c>
      <c r="AQ1538">
        <v>-43.882691999999999</v>
      </c>
      <c r="AR1538">
        <v>25.775099947452478</v>
      </c>
      <c r="AS1538" t="s">
        <v>65</v>
      </c>
      <c r="AT1538">
        <v>1</v>
      </c>
      <c r="AU1538" t="s">
        <v>397</v>
      </c>
      <c r="AV1538" t="s">
        <v>398</v>
      </c>
      <c r="AW1538" t="s">
        <v>60</v>
      </c>
      <c r="AX1538" t="s">
        <v>68</v>
      </c>
      <c r="AY1538" t="s">
        <v>69</v>
      </c>
      <c r="AZ1538" t="b">
        <v>1</v>
      </c>
    </row>
    <row r="1539" spans="1:52" x14ac:dyDescent="0.3">
      <c r="A1539" t="s">
        <v>52</v>
      </c>
      <c r="B1539" t="s">
        <v>53</v>
      </c>
      <c r="C1539" t="s">
        <v>54</v>
      </c>
      <c r="D1539" t="s">
        <v>55</v>
      </c>
      <c r="E1539" t="s">
        <v>844</v>
      </c>
      <c r="F1539" t="s">
        <v>512</v>
      </c>
      <c r="G1539" t="s">
        <v>291</v>
      </c>
      <c r="H1539" t="s">
        <v>292</v>
      </c>
      <c r="I1539" t="s">
        <v>292</v>
      </c>
      <c r="J1539" t="s">
        <v>60</v>
      </c>
      <c r="K1539" t="s">
        <v>286</v>
      </c>
      <c r="L1539" t="s">
        <v>62</v>
      </c>
      <c r="M1539" t="s">
        <v>286</v>
      </c>
      <c r="N1539" t="s">
        <v>293</v>
      </c>
      <c r="O1539" t="s">
        <v>294</v>
      </c>
      <c r="P1539">
        <v>-19.640333999999999</v>
      </c>
      <c r="Q1539">
        <v>-43.880004999999997</v>
      </c>
      <c r="R1539" s="2" t="str">
        <f>HYPERLINK("https://www.google.com/maps?q=-19.6403340,-43.8800050","Abrir no Google Maps")</f>
        <v>Abrir no Google Maps</v>
      </c>
      <c r="S1539">
        <v>3</v>
      </c>
      <c r="T1539">
        <v>276.80943817309782</v>
      </c>
      <c r="U1539">
        <v>3</v>
      </c>
      <c r="V1539">
        <v>0.12022292993630571</v>
      </c>
      <c r="W1539">
        <v>1</v>
      </c>
      <c r="X1539">
        <v>0.12022292993630571</v>
      </c>
      <c r="Y1539">
        <v>10</v>
      </c>
      <c r="Z1539">
        <v>361.98332038983392</v>
      </c>
      <c r="AA1539">
        <v>2</v>
      </c>
      <c r="AB1539">
        <v>3</v>
      </c>
      <c r="AC1539">
        <v>7</v>
      </c>
      <c r="AD1539">
        <v>25.73</v>
      </c>
      <c r="AE1539">
        <v>253</v>
      </c>
      <c r="AF1539">
        <v>19</v>
      </c>
      <c r="AG1539">
        <v>55</v>
      </c>
      <c r="AH1539">
        <v>32</v>
      </c>
      <c r="AI1539">
        <v>7.51</v>
      </c>
      <c r="AJ1539">
        <v>21.74</v>
      </c>
      <c r="AK1539">
        <v>12.65</v>
      </c>
      <c r="AL1539">
        <v>-19.640260249999951</v>
      </c>
      <c r="AM1539">
        <v>-43.880090474326408</v>
      </c>
      <c r="AN1539">
        <v>-19.640260249999951</v>
      </c>
      <c r="AO1539">
        <v>-43.880090474326408</v>
      </c>
      <c r="AP1539">
        <v>-19.640333999999999</v>
      </c>
      <c r="AQ1539">
        <v>-43.880004999999997</v>
      </c>
      <c r="AR1539">
        <v>12.153556195359609</v>
      </c>
      <c r="AS1539" t="s">
        <v>65</v>
      </c>
      <c r="AT1539">
        <v>1</v>
      </c>
      <c r="AU1539" t="s">
        <v>295</v>
      </c>
      <c r="AV1539" t="s">
        <v>296</v>
      </c>
      <c r="AW1539" t="s">
        <v>60</v>
      </c>
      <c r="AX1539" t="s">
        <v>68</v>
      </c>
      <c r="AY1539" t="s">
        <v>69</v>
      </c>
      <c r="AZ1539" t="b">
        <v>1</v>
      </c>
    </row>
    <row r="1540" spans="1:52" x14ac:dyDescent="0.3">
      <c r="A1540" t="s">
        <v>52</v>
      </c>
      <c r="B1540" t="s">
        <v>53</v>
      </c>
      <c r="C1540" t="s">
        <v>54</v>
      </c>
      <c r="D1540" t="s">
        <v>55</v>
      </c>
      <c r="E1540" t="s">
        <v>844</v>
      </c>
      <c r="F1540" t="s">
        <v>512</v>
      </c>
      <c r="G1540" t="s">
        <v>405</v>
      </c>
      <c r="H1540" t="s">
        <v>406</v>
      </c>
      <c r="I1540" t="s">
        <v>406</v>
      </c>
      <c r="J1540" t="s">
        <v>60</v>
      </c>
      <c r="K1540" t="s">
        <v>286</v>
      </c>
      <c r="L1540" t="s">
        <v>62</v>
      </c>
      <c r="M1540" t="s">
        <v>286</v>
      </c>
      <c r="N1540" t="s">
        <v>407</v>
      </c>
      <c r="O1540" t="s">
        <v>408</v>
      </c>
      <c r="P1540">
        <v>-19.646345</v>
      </c>
      <c r="Q1540">
        <v>-43.882294999999999</v>
      </c>
      <c r="R1540" s="2" t="str">
        <f>HYPERLINK("https://www.google.com/maps?q=-19.6463450,-43.8822950","Abrir no Google Maps")</f>
        <v>Abrir no Google Maps</v>
      </c>
      <c r="S1540">
        <v>3</v>
      </c>
      <c r="T1540">
        <v>450.3180538635894</v>
      </c>
      <c r="U1540">
        <v>3</v>
      </c>
      <c r="V1540">
        <v>0.1167631651502619</v>
      </c>
      <c r="W1540">
        <v>1</v>
      </c>
      <c r="X1540">
        <v>0.1167631651502619</v>
      </c>
      <c r="Y1540">
        <v>10</v>
      </c>
      <c r="Z1540">
        <v>349.23341775902583</v>
      </c>
      <c r="AA1540">
        <v>2</v>
      </c>
      <c r="AB1540">
        <v>3</v>
      </c>
      <c r="AC1540">
        <v>7</v>
      </c>
      <c r="AD1540">
        <v>25.73</v>
      </c>
      <c r="AE1540">
        <v>253</v>
      </c>
      <c r="AF1540">
        <v>19</v>
      </c>
      <c r="AG1540">
        <v>55</v>
      </c>
      <c r="AH1540">
        <v>32</v>
      </c>
      <c r="AI1540">
        <v>7.51</v>
      </c>
      <c r="AJ1540">
        <v>21.74</v>
      </c>
      <c r="AK1540">
        <v>12.65</v>
      </c>
      <c r="AL1540">
        <v>-19.646391649999941</v>
      </c>
      <c r="AM1540">
        <v>-43.882007396993302</v>
      </c>
      <c r="AN1540">
        <v>-19.646391649999941</v>
      </c>
      <c r="AO1540">
        <v>-43.882007396993302</v>
      </c>
      <c r="AP1540">
        <v>-19.646345</v>
      </c>
      <c r="AQ1540">
        <v>-43.882294999999999</v>
      </c>
      <c r="AR1540">
        <v>30.596105513395301</v>
      </c>
      <c r="AS1540" t="s">
        <v>65</v>
      </c>
      <c r="AT1540">
        <v>1</v>
      </c>
      <c r="AU1540" t="s">
        <v>409</v>
      </c>
      <c r="AV1540" t="s">
        <v>410</v>
      </c>
      <c r="AW1540" t="s">
        <v>60</v>
      </c>
      <c r="AX1540" t="s">
        <v>68</v>
      </c>
      <c r="AY1540" t="s">
        <v>69</v>
      </c>
      <c r="AZ1540" t="b">
        <v>1</v>
      </c>
    </row>
    <row r="1541" spans="1:52" x14ac:dyDescent="0.3">
      <c r="A1541" t="s">
        <v>52</v>
      </c>
      <c r="B1541" t="s">
        <v>53</v>
      </c>
      <c r="C1541" t="s">
        <v>54</v>
      </c>
      <c r="D1541" t="s">
        <v>55</v>
      </c>
      <c r="E1541" t="s">
        <v>844</v>
      </c>
      <c r="F1541" t="s">
        <v>512</v>
      </c>
      <c r="G1541" t="s">
        <v>525</v>
      </c>
      <c r="H1541" t="s">
        <v>526</v>
      </c>
      <c r="I1541" t="s">
        <v>526</v>
      </c>
      <c r="J1541" t="s">
        <v>60</v>
      </c>
      <c r="K1541" t="s">
        <v>286</v>
      </c>
      <c r="L1541" t="s">
        <v>62</v>
      </c>
      <c r="M1541" t="s">
        <v>286</v>
      </c>
      <c r="N1541" t="s">
        <v>527</v>
      </c>
      <c r="O1541" t="s">
        <v>113</v>
      </c>
      <c r="P1541">
        <v>-19.629049999999999</v>
      </c>
      <c r="Q1541">
        <v>-43.887543000000001</v>
      </c>
      <c r="R1541" s="2" t="str">
        <f>HYPERLINK("https://www.google.com/maps?q=-19.6290500,-43.8875430","Abrir no Google Maps")</f>
        <v>Abrir no Google Maps</v>
      </c>
      <c r="S1541">
        <v>3</v>
      </c>
      <c r="T1541">
        <v>420.9244758141914</v>
      </c>
      <c r="U1541">
        <v>2</v>
      </c>
      <c r="V1541">
        <v>0.1207180500658761</v>
      </c>
      <c r="W1541">
        <v>0.85</v>
      </c>
      <c r="X1541">
        <v>0.1026103425559947</v>
      </c>
      <c r="Y1541">
        <v>18</v>
      </c>
      <c r="Z1541">
        <v>298.16529694300579</v>
      </c>
      <c r="AA1541">
        <v>2</v>
      </c>
      <c r="AB1541">
        <v>3</v>
      </c>
      <c r="AC1541">
        <v>7</v>
      </c>
      <c r="AD1541">
        <v>25.73</v>
      </c>
      <c r="AE1541">
        <v>253</v>
      </c>
      <c r="AF1541">
        <v>19</v>
      </c>
      <c r="AG1541">
        <v>55</v>
      </c>
      <c r="AH1541">
        <v>32</v>
      </c>
      <c r="AI1541">
        <v>7.51</v>
      </c>
      <c r="AJ1541">
        <v>21.74</v>
      </c>
      <c r="AK1541">
        <v>12.65</v>
      </c>
      <c r="AL1541">
        <v>-19.62914789999996</v>
      </c>
      <c r="AM1541">
        <v>-43.887659532387332</v>
      </c>
      <c r="AN1541">
        <v>-19.62914789999996</v>
      </c>
      <c r="AO1541">
        <v>-43.887659532387332</v>
      </c>
      <c r="AP1541">
        <v>-19.629049999999999</v>
      </c>
      <c r="AQ1541">
        <v>-43.887543000000001</v>
      </c>
      <c r="AR1541">
        <v>16.372645779361299</v>
      </c>
      <c r="AS1541" t="s">
        <v>65</v>
      </c>
      <c r="AT1541">
        <v>1</v>
      </c>
      <c r="AU1541" t="s">
        <v>528</v>
      </c>
      <c r="AV1541" t="s">
        <v>529</v>
      </c>
      <c r="AW1541" t="s">
        <v>60</v>
      </c>
      <c r="AX1541" t="s">
        <v>68</v>
      </c>
      <c r="AY1541" t="s">
        <v>69</v>
      </c>
      <c r="AZ1541" t="b">
        <v>1</v>
      </c>
    </row>
    <row r="1542" spans="1:52" x14ac:dyDescent="0.3">
      <c r="A1542" t="s">
        <v>52</v>
      </c>
      <c r="B1542" t="s">
        <v>53</v>
      </c>
      <c r="C1542" t="s">
        <v>54</v>
      </c>
      <c r="D1542" t="s">
        <v>55</v>
      </c>
      <c r="E1542" t="s">
        <v>844</v>
      </c>
      <c r="F1542" t="s">
        <v>512</v>
      </c>
      <c r="G1542" t="s">
        <v>530</v>
      </c>
      <c r="H1542" t="s">
        <v>531</v>
      </c>
      <c r="I1542" t="s">
        <v>531</v>
      </c>
      <c r="J1542" t="s">
        <v>60</v>
      </c>
      <c r="K1542" t="s">
        <v>185</v>
      </c>
      <c r="L1542" t="s">
        <v>62</v>
      </c>
      <c r="M1542" t="s">
        <v>185</v>
      </c>
      <c r="N1542" t="s">
        <v>532</v>
      </c>
      <c r="O1542" t="s">
        <v>533</v>
      </c>
      <c r="P1542">
        <v>-19.625264000000001</v>
      </c>
      <c r="Q1542">
        <v>-43.889451000000001</v>
      </c>
      <c r="R1542" s="2" t="str">
        <f>HYPERLINK("https://www.google.com/maps?q=-19.6252640,-43.8894510","Abrir no Google Maps")</f>
        <v>Abrir no Google Maps</v>
      </c>
      <c r="S1542">
        <v>3</v>
      </c>
      <c r="T1542">
        <v>466.11340370665903</v>
      </c>
      <c r="U1542">
        <v>2</v>
      </c>
      <c r="V1542">
        <v>0.1212898212898212</v>
      </c>
      <c r="W1542">
        <v>0.85</v>
      </c>
      <c r="X1542">
        <v>0.103096348096348</v>
      </c>
      <c r="Y1542">
        <v>18</v>
      </c>
      <c r="Z1542">
        <v>320.77337440837812</v>
      </c>
      <c r="AA1542">
        <v>2</v>
      </c>
      <c r="AB1542">
        <v>3</v>
      </c>
      <c r="AC1542">
        <v>7</v>
      </c>
      <c r="AD1542">
        <v>25.73</v>
      </c>
      <c r="AE1542">
        <v>253</v>
      </c>
      <c r="AF1542">
        <v>19</v>
      </c>
      <c r="AG1542">
        <v>55</v>
      </c>
      <c r="AH1542">
        <v>32</v>
      </c>
      <c r="AI1542">
        <v>7.51</v>
      </c>
      <c r="AJ1542">
        <v>21.74</v>
      </c>
      <c r="AK1542">
        <v>12.65</v>
      </c>
      <c r="AL1542">
        <v>-19.62516189999997</v>
      </c>
      <c r="AM1542">
        <v>-43.88954614566876</v>
      </c>
      <c r="AN1542">
        <v>-19.62516189999997</v>
      </c>
      <c r="AO1542">
        <v>-43.88954614566876</v>
      </c>
      <c r="AP1542">
        <v>-19.625264000000001</v>
      </c>
      <c r="AQ1542">
        <v>-43.889451000000001</v>
      </c>
      <c r="AR1542">
        <v>15.12310549834147</v>
      </c>
      <c r="AS1542" t="s">
        <v>65</v>
      </c>
      <c r="AT1542">
        <v>1</v>
      </c>
      <c r="AU1542" t="s">
        <v>534</v>
      </c>
      <c r="AV1542" t="s">
        <v>535</v>
      </c>
      <c r="AW1542" t="s">
        <v>60</v>
      </c>
      <c r="AX1542" t="s">
        <v>68</v>
      </c>
      <c r="AY1542" t="s">
        <v>69</v>
      </c>
      <c r="AZ1542" t="b">
        <v>1</v>
      </c>
    </row>
    <row r="1543" spans="1:52" x14ac:dyDescent="0.3">
      <c r="A1543" t="s">
        <v>52</v>
      </c>
      <c r="B1543" t="s">
        <v>53</v>
      </c>
      <c r="C1543" t="s">
        <v>54</v>
      </c>
      <c r="D1543" t="s">
        <v>55</v>
      </c>
      <c r="E1543" t="s">
        <v>844</v>
      </c>
      <c r="F1543" t="s">
        <v>512</v>
      </c>
      <c r="G1543" t="s">
        <v>536</v>
      </c>
      <c r="H1543" t="s">
        <v>537</v>
      </c>
      <c r="I1543" t="s">
        <v>537</v>
      </c>
      <c r="J1543" t="s">
        <v>60</v>
      </c>
      <c r="K1543" t="s">
        <v>185</v>
      </c>
      <c r="L1543" t="s">
        <v>62</v>
      </c>
      <c r="M1543" t="s">
        <v>185</v>
      </c>
      <c r="N1543" t="s">
        <v>538</v>
      </c>
      <c r="O1543" t="s">
        <v>408</v>
      </c>
      <c r="P1543">
        <v>-19.630147999999998</v>
      </c>
      <c r="Q1543">
        <v>-43.893844000000001</v>
      </c>
      <c r="R1543" s="2" t="str">
        <f>HYPERLINK("https://www.google.com/maps?q=-19.6301480,-43.8938440","Abrir no Google Maps")</f>
        <v>Abrir no Google Maps</v>
      </c>
      <c r="S1543">
        <v>3</v>
      </c>
      <c r="T1543">
        <v>262.94285160220159</v>
      </c>
      <c r="U1543">
        <v>2</v>
      </c>
      <c r="V1543">
        <v>0.1132423756019261</v>
      </c>
      <c r="W1543">
        <v>0.85</v>
      </c>
      <c r="X1543">
        <v>9.6256019261637182E-2</v>
      </c>
      <c r="Y1543">
        <v>18</v>
      </c>
      <c r="Z1543">
        <v>351.25774094845309</v>
      </c>
      <c r="AA1543">
        <v>2</v>
      </c>
      <c r="AB1543">
        <v>3</v>
      </c>
      <c r="AC1543">
        <v>7</v>
      </c>
      <c r="AD1543">
        <v>25.73</v>
      </c>
      <c r="AE1543">
        <v>253</v>
      </c>
      <c r="AF1543">
        <v>19</v>
      </c>
      <c r="AG1543">
        <v>55</v>
      </c>
      <c r="AH1543">
        <v>32</v>
      </c>
      <c r="AI1543">
        <v>7.51</v>
      </c>
      <c r="AJ1543">
        <v>21.74</v>
      </c>
      <c r="AK1543">
        <v>12.65</v>
      </c>
      <c r="AL1543">
        <v>-19.630177599999939</v>
      </c>
      <c r="AM1543">
        <v>-43.893752755034278</v>
      </c>
      <c r="AN1543">
        <v>-19.630177599999939</v>
      </c>
      <c r="AO1543">
        <v>-43.893752755034278</v>
      </c>
      <c r="AP1543">
        <v>-19.630147999999998</v>
      </c>
      <c r="AQ1543">
        <v>-43.893844000000001</v>
      </c>
      <c r="AR1543">
        <v>10.1185927114604</v>
      </c>
      <c r="AS1543" t="s">
        <v>65</v>
      </c>
      <c r="AT1543">
        <v>1</v>
      </c>
      <c r="AU1543" t="s">
        <v>539</v>
      </c>
      <c r="AV1543" t="s">
        <v>540</v>
      </c>
      <c r="AW1543" t="s">
        <v>60</v>
      </c>
      <c r="AX1543" t="s">
        <v>68</v>
      </c>
      <c r="AY1543" t="s">
        <v>69</v>
      </c>
      <c r="AZ1543" t="b">
        <v>1</v>
      </c>
    </row>
    <row r="1544" spans="1:52" x14ac:dyDescent="0.3">
      <c r="A1544" t="s">
        <v>52</v>
      </c>
      <c r="B1544" t="s">
        <v>53</v>
      </c>
      <c r="C1544" t="s">
        <v>54</v>
      </c>
      <c r="D1544" t="s">
        <v>55</v>
      </c>
      <c r="E1544" t="s">
        <v>844</v>
      </c>
      <c r="F1544" t="s">
        <v>512</v>
      </c>
      <c r="G1544" t="s">
        <v>541</v>
      </c>
      <c r="H1544" t="s">
        <v>542</v>
      </c>
      <c r="I1544" t="s">
        <v>542</v>
      </c>
      <c r="J1544" t="s">
        <v>60</v>
      </c>
      <c r="K1544" t="s">
        <v>445</v>
      </c>
      <c r="L1544" t="s">
        <v>62</v>
      </c>
      <c r="M1544" t="s">
        <v>445</v>
      </c>
      <c r="N1544" t="s">
        <v>543</v>
      </c>
      <c r="O1544" t="s">
        <v>328</v>
      </c>
      <c r="P1544">
        <v>-19.642263</v>
      </c>
      <c r="Q1544">
        <v>-43.881428999999997</v>
      </c>
      <c r="R1544" s="2" t="str">
        <f>HYPERLINK("https://www.google.com/maps?q=-19.6422630,-43.8814290","Abrir no Google Maps")</f>
        <v>Abrir no Google Maps</v>
      </c>
      <c r="S1544">
        <v>3</v>
      </c>
      <c r="T1544">
        <v>0</v>
      </c>
      <c r="U1544">
        <v>2</v>
      </c>
      <c r="V1544">
        <v>0.1187235329703569</v>
      </c>
      <c r="W1544">
        <v>0.85</v>
      </c>
      <c r="X1544">
        <v>0.1009150030248034</v>
      </c>
      <c r="Y1544">
        <v>10</v>
      </c>
      <c r="Z1544">
        <v>162.4764384685345</v>
      </c>
      <c r="AA1544">
        <v>2</v>
      </c>
      <c r="AB1544">
        <v>3</v>
      </c>
      <c r="AC1544">
        <v>7</v>
      </c>
      <c r="AD1544">
        <v>25.73</v>
      </c>
      <c r="AE1544">
        <v>253</v>
      </c>
      <c r="AF1544">
        <v>19</v>
      </c>
      <c r="AG1544">
        <v>55</v>
      </c>
      <c r="AH1544">
        <v>32</v>
      </c>
      <c r="AI1544">
        <v>7.51</v>
      </c>
      <c r="AJ1544">
        <v>21.74</v>
      </c>
      <c r="AK1544">
        <v>12.65</v>
      </c>
      <c r="AL1544">
        <v>-19.642346249999949</v>
      </c>
      <c r="AM1544">
        <v>-43.881546938715289</v>
      </c>
      <c r="AN1544">
        <v>-19.642346249999939</v>
      </c>
      <c r="AO1544">
        <v>-43.881546938715289</v>
      </c>
      <c r="AP1544">
        <v>-19.642263</v>
      </c>
      <c r="AQ1544">
        <v>-43.881428999999997</v>
      </c>
      <c r="AR1544">
        <v>15.45239906956777</v>
      </c>
      <c r="AS1544" t="s">
        <v>65</v>
      </c>
      <c r="AT1544">
        <v>1</v>
      </c>
      <c r="AU1544" t="s">
        <v>544</v>
      </c>
      <c r="AV1544" t="s">
        <v>545</v>
      </c>
      <c r="AW1544" t="s">
        <v>60</v>
      </c>
      <c r="AX1544" t="s">
        <v>68</v>
      </c>
      <c r="AY1544" t="s">
        <v>69</v>
      </c>
      <c r="AZ1544" t="b">
        <v>1</v>
      </c>
    </row>
    <row r="1545" spans="1:52" x14ac:dyDescent="0.3">
      <c r="A1545" t="s">
        <v>52</v>
      </c>
      <c r="B1545" t="s">
        <v>53</v>
      </c>
      <c r="C1545" t="s">
        <v>54</v>
      </c>
      <c r="D1545" t="s">
        <v>55</v>
      </c>
      <c r="E1545" t="s">
        <v>844</v>
      </c>
      <c r="F1545" t="s">
        <v>512</v>
      </c>
      <c r="G1545" t="s">
        <v>557</v>
      </c>
      <c r="H1545" t="s">
        <v>558</v>
      </c>
      <c r="I1545" t="s">
        <v>558</v>
      </c>
      <c r="J1545" t="s">
        <v>60</v>
      </c>
      <c r="K1545" t="s">
        <v>445</v>
      </c>
      <c r="L1545" t="s">
        <v>62</v>
      </c>
      <c r="M1545" t="s">
        <v>445</v>
      </c>
      <c r="N1545" t="s">
        <v>559</v>
      </c>
      <c r="O1545" t="s">
        <v>560</v>
      </c>
      <c r="P1545">
        <v>-19.641839000000001</v>
      </c>
      <c r="Q1545">
        <v>-43.876227</v>
      </c>
      <c r="R1545" s="2" t="str">
        <f>HYPERLINK("https://www.google.com/maps?q=-19.6418390,-43.8762270","Abrir no Google Maps")</f>
        <v>Abrir no Google Maps</v>
      </c>
      <c r="S1545">
        <v>3</v>
      </c>
      <c r="T1545">
        <v>564.50471877254449</v>
      </c>
      <c r="U1545">
        <v>2</v>
      </c>
      <c r="V1545">
        <v>0.1125530390698187</v>
      </c>
      <c r="W1545">
        <v>0.85</v>
      </c>
      <c r="X1545">
        <v>9.5670083209345891E-2</v>
      </c>
      <c r="Y1545">
        <v>10</v>
      </c>
      <c r="Z1545">
        <v>490.40238336341412</v>
      </c>
      <c r="AA1545">
        <v>2</v>
      </c>
      <c r="AB1545">
        <v>3</v>
      </c>
      <c r="AC1545">
        <v>7</v>
      </c>
      <c r="AD1545">
        <v>25.73</v>
      </c>
      <c r="AE1545">
        <v>253</v>
      </c>
      <c r="AF1545">
        <v>19</v>
      </c>
      <c r="AG1545">
        <v>55</v>
      </c>
      <c r="AH1545">
        <v>32</v>
      </c>
      <c r="AI1545">
        <v>7.51</v>
      </c>
      <c r="AJ1545">
        <v>21.74</v>
      </c>
      <c r="AK1545">
        <v>12.65</v>
      </c>
      <c r="AL1545">
        <v>-19.641880699999941</v>
      </c>
      <c r="AM1545">
        <v>-43.876185869580858</v>
      </c>
      <c r="AN1545">
        <v>-19.641880699999941</v>
      </c>
      <c r="AO1545">
        <v>-43.876185869580858</v>
      </c>
      <c r="AP1545">
        <v>-19.641839000000001</v>
      </c>
      <c r="AQ1545">
        <v>-43.876227</v>
      </c>
      <c r="AR1545">
        <v>6.3359121862683301</v>
      </c>
      <c r="AS1545" t="s">
        <v>65</v>
      </c>
      <c r="AT1545">
        <v>1</v>
      </c>
      <c r="AU1545" t="s">
        <v>561</v>
      </c>
      <c r="AV1545" t="s">
        <v>562</v>
      </c>
      <c r="AW1545" t="s">
        <v>60</v>
      </c>
      <c r="AX1545" t="s">
        <v>68</v>
      </c>
      <c r="AY1545" t="s">
        <v>69</v>
      </c>
      <c r="AZ1545" t="b">
        <v>1</v>
      </c>
    </row>
    <row r="1546" spans="1:52" x14ac:dyDescent="0.3">
      <c r="A1546" t="s">
        <v>52</v>
      </c>
      <c r="B1546" t="s">
        <v>53</v>
      </c>
      <c r="C1546" t="s">
        <v>54</v>
      </c>
      <c r="D1546" t="s">
        <v>55</v>
      </c>
      <c r="E1546" t="s">
        <v>844</v>
      </c>
      <c r="F1546" t="s">
        <v>512</v>
      </c>
      <c r="G1546" t="s">
        <v>563</v>
      </c>
      <c r="H1546" t="s">
        <v>564</v>
      </c>
      <c r="I1546" t="s">
        <v>564</v>
      </c>
      <c r="J1546" t="s">
        <v>60</v>
      </c>
      <c r="K1546" t="s">
        <v>445</v>
      </c>
      <c r="L1546" t="s">
        <v>62</v>
      </c>
      <c r="M1546" t="s">
        <v>445</v>
      </c>
      <c r="N1546" t="s">
        <v>565</v>
      </c>
      <c r="O1546" t="s">
        <v>566</v>
      </c>
      <c r="P1546">
        <v>-19.645859000000002</v>
      </c>
      <c r="Q1546">
        <v>-43.878008000000001</v>
      </c>
      <c r="R1546" s="2" t="str">
        <f>HYPERLINK("https://www.google.com/maps?q=-19.6458590,-43.8780080","Abrir no Google Maps")</f>
        <v>Abrir no Google Maps</v>
      </c>
      <c r="S1546">
        <v>3</v>
      </c>
      <c r="T1546">
        <v>535.60651658514928</v>
      </c>
      <c r="U1546">
        <v>2</v>
      </c>
      <c r="V1546">
        <v>0.1224552366936472</v>
      </c>
      <c r="W1546">
        <v>0.85</v>
      </c>
      <c r="X1546">
        <v>0.1040869511896001</v>
      </c>
      <c r="Y1546">
        <v>10</v>
      </c>
      <c r="Z1546">
        <v>356.77070476702067</v>
      </c>
      <c r="AA1546">
        <v>2</v>
      </c>
      <c r="AB1546">
        <v>3</v>
      </c>
      <c r="AC1546">
        <v>7</v>
      </c>
      <c r="AD1546">
        <v>25.73</v>
      </c>
      <c r="AE1546">
        <v>253</v>
      </c>
      <c r="AF1546">
        <v>19</v>
      </c>
      <c r="AG1546">
        <v>55</v>
      </c>
      <c r="AH1546">
        <v>32</v>
      </c>
      <c r="AI1546">
        <v>7.51</v>
      </c>
      <c r="AJ1546">
        <v>21.74</v>
      </c>
      <c r="AK1546">
        <v>12.65</v>
      </c>
      <c r="AL1546">
        <v>-19.645894599999959</v>
      </c>
      <c r="AM1546">
        <v>-43.878073476665591</v>
      </c>
      <c r="AN1546">
        <v>-19.645894599999959</v>
      </c>
      <c r="AO1546">
        <v>-43.878073476665591</v>
      </c>
      <c r="AP1546">
        <v>-19.645859000000002</v>
      </c>
      <c r="AQ1546">
        <v>-43.878008000000001</v>
      </c>
      <c r="AR1546">
        <v>7.9263849189726594</v>
      </c>
      <c r="AS1546" t="s">
        <v>65</v>
      </c>
      <c r="AT1546">
        <v>1</v>
      </c>
      <c r="AU1546" t="s">
        <v>567</v>
      </c>
      <c r="AV1546" t="s">
        <v>568</v>
      </c>
      <c r="AW1546" t="s">
        <v>60</v>
      </c>
      <c r="AX1546" t="s">
        <v>68</v>
      </c>
      <c r="AY1546" t="s">
        <v>69</v>
      </c>
      <c r="AZ1546" t="b">
        <v>1</v>
      </c>
    </row>
    <row r="1547" spans="1:52" x14ac:dyDescent="0.3">
      <c r="A1547" t="s">
        <v>52</v>
      </c>
      <c r="B1547" t="s">
        <v>53</v>
      </c>
      <c r="C1547" t="s">
        <v>54</v>
      </c>
      <c r="D1547" t="s">
        <v>55</v>
      </c>
      <c r="E1547" t="s">
        <v>844</v>
      </c>
      <c r="F1547" t="s">
        <v>512</v>
      </c>
      <c r="G1547" t="s">
        <v>586</v>
      </c>
      <c r="H1547" t="s">
        <v>587</v>
      </c>
      <c r="I1547" t="s">
        <v>587</v>
      </c>
      <c r="J1547" t="s">
        <v>60</v>
      </c>
      <c r="K1547" t="s">
        <v>286</v>
      </c>
      <c r="L1547" t="s">
        <v>62</v>
      </c>
      <c r="M1547" t="s">
        <v>286</v>
      </c>
      <c r="N1547" t="s">
        <v>588</v>
      </c>
      <c r="O1547" t="s">
        <v>589</v>
      </c>
      <c r="P1547">
        <v>-19.638362999999998</v>
      </c>
      <c r="Q1547">
        <v>-43.887081000000002</v>
      </c>
      <c r="R1547" s="2" t="str">
        <f>HYPERLINK("https://www.google.com/maps?q=-19.6383630,-43.8870810","Abrir no Google Maps")</f>
        <v>Abrir no Google Maps</v>
      </c>
      <c r="S1547">
        <v>3</v>
      </c>
      <c r="T1547">
        <v>521.16909902210193</v>
      </c>
      <c r="U1547">
        <v>2</v>
      </c>
      <c r="V1547">
        <v>0.1224321705426356</v>
      </c>
      <c r="W1547">
        <v>0.85</v>
      </c>
      <c r="X1547">
        <v>0.1040673449612403</v>
      </c>
      <c r="Y1547">
        <v>10</v>
      </c>
      <c r="Z1547">
        <v>416.66355243950221</v>
      </c>
      <c r="AA1547">
        <v>2</v>
      </c>
      <c r="AB1547">
        <v>3</v>
      </c>
      <c r="AC1547">
        <v>7</v>
      </c>
      <c r="AD1547">
        <v>25.73</v>
      </c>
      <c r="AE1547">
        <v>253</v>
      </c>
      <c r="AF1547">
        <v>19</v>
      </c>
      <c r="AG1547">
        <v>55</v>
      </c>
      <c r="AH1547">
        <v>32</v>
      </c>
      <c r="AI1547">
        <v>7.51</v>
      </c>
      <c r="AJ1547">
        <v>21.74</v>
      </c>
      <c r="AK1547">
        <v>12.65</v>
      </c>
      <c r="AL1547">
        <v>-19.638074649999961</v>
      </c>
      <c r="AM1547">
        <v>-43.887517684870552</v>
      </c>
      <c r="AN1547">
        <v>-19.638074649999961</v>
      </c>
      <c r="AO1547">
        <v>-43.887517684870552</v>
      </c>
      <c r="AP1547">
        <v>-19.638362999999998</v>
      </c>
      <c r="AQ1547">
        <v>-43.887081000000002</v>
      </c>
      <c r="AR1547">
        <v>55.915550702564907</v>
      </c>
      <c r="AS1547" t="s">
        <v>65</v>
      </c>
      <c r="AT1547">
        <v>1</v>
      </c>
      <c r="AU1547" t="s">
        <v>590</v>
      </c>
      <c r="AV1547" t="s">
        <v>591</v>
      </c>
      <c r="AW1547" t="s">
        <v>60</v>
      </c>
      <c r="AX1547" t="s">
        <v>68</v>
      </c>
      <c r="AY1547" t="s">
        <v>69</v>
      </c>
      <c r="AZ1547" t="b">
        <v>1</v>
      </c>
    </row>
    <row r="1548" spans="1:52" x14ac:dyDescent="0.3">
      <c r="A1548" t="s">
        <v>52</v>
      </c>
      <c r="B1548" t="s">
        <v>53</v>
      </c>
      <c r="C1548" t="s">
        <v>54</v>
      </c>
      <c r="D1548" t="s">
        <v>55</v>
      </c>
      <c r="E1548" t="s">
        <v>844</v>
      </c>
      <c r="F1548" t="s">
        <v>512</v>
      </c>
      <c r="G1548" t="s">
        <v>411</v>
      </c>
      <c r="H1548" t="s">
        <v>412</v>
      </c>
      <c r="I1548" t="s">
        <v>412</v>
      </c>
      <c r="J1548" t="s">
        <v>60</v>
      </c>
      <c r="K1548" t="s">
        <v>179</v>
      </c>
      <c r="L1548" t="s">
        <v>62</v>
      </c>
      <c r="M1548" t="s">
        <v>179</v>
      </c>
      <c r="N1548" t="s">
        <v>413</v>
      </c>
      <c r="O1548" t="s">
        <v>414</v>
      </c>
      <c r="P1548">
        <v>-19.650079000000002</v>
      </c>
      <c r="Q1548">
        <v>-43.884253999999999</v>
      </c>
      <c r="R1548" s="2" t="str">
        <f>HYPERLINK("https://www.google.com/maps?q=-19.6500790,-43.8842540","Abrir no Google Maps")</f>
        <v>Abrir no Google Maps</v>
      </c>
      <c r="S1548">
        <v>3</v>
      </c>
      <c r="T1548">
        <v>797.21430129715498</v>
      </c>
      <c r="U1548">
        <v>2</v>
      </c>
      <c r="V1548">
        <v>0.10353618421052629</v>
      </c>
      <c r="W1548">
        <v>1</v>
      </c>
      <c r="X1548">
        <v>0.10353618421052629</v>
      </c>
      <c r="Y1548">
        <v>10</v>
      </c>
      <c r="Z1548">
        <v>774.04145012702554</v>
      </c>
      <c r="AA1548">
        <v>2</v>
      </c>
      <c r="AB1548">
        <v>3</v>
      </c>
      <c r="AC1548">
        <v>7</v>
      </c>
      <c r="AD1548">
        <v>25.73</v>
      </c>
      <c r="AE1548">
        <v>253</v>
      </c>
      <c r="AF1548">
        <v>19</v>
      </c>
      <c r="AG1548">
        <v>55</v>
      </c>
      <c r="AH1548">
        <v>32</v>
      </c>
      <c r="AI1548">
        <v>7.51</v>
      </c>
      <c r="AJ1548">
        <v>21.74</v>
      </c>
      <c r="AK1548">
        <v>12.65</v>
      </c>
      <c r="AL1548">
        <v>-19.649199399999961</v>
      </c>
      <c r="AM1548">
        <v>-43.883888390043637</v>
      </c>
      <c r="AN1548">
        <v>-19.649199399999961</v>
      </c>
      <c r="AO1548">
        <v>-43.883888390043637</v>
      </c>
      <c r="AP1548">
        <v>-19.650079000000002</v>
      </c>
      <c r="AQ1548">
        <v>-43.884253999999999</v>
      </c>
      <c r="AR1548">
        <v>105.1518915696123</v>
      </c>
      <c r="AS1548" t="s">
        <v>65</v>
      </c>
      <c r="AT1548">
        <v>1</v>
      </c>
      <c r="AU1548" t="s">
        <v>415</v>
      </c>
      <c r="AV1548" t="s">
        <v>416</v>
      </c>
      <c r="AW1548" t="s">
        <v>60</v>
      </c>
      <c r="AX1548" t="s">
        <v>68</v>
      </c>
      <c r="AY1548" t="s">
        <v>69</v>
      </c>
      <c r="AZ1548" t="b">
        <v>1</v>
      </c>
    </row>
    <row r="1549" spans="1:52" x14ac:dyDescent="0.3">
      <c r="A1549" t="s">
        <v>52</v>
      </c>
      <c r="B1549" t="s">
        <v>53</v>
      </c>
      <c r="C1549" t="s">
        <v>54</v>
      </c>
      <c r="D1549" t="s">
        <v>55</v>
      </c>
      <c r="E1549" t="s">
        <v>844</v>
      </c>
      <c r="F1549" t="s">
        <v>512</v>
      </c>
      <c r="G1549" t="s">
        <v>575</v>
      </c>
      <c r="H1549" t="s">
        <v>576</v>
      </c>
      <c r="I1549" t="s">
        <v>576</v>
      </c>
      <c r="J1549" t="s">
        <v>60</v>
      </c>
      <c r="K1549" t="s">
        <v>445</v>
      </c>
      <c r="L1549" t="s">
        <v>62</v>
      </c>
      <c r="M1549" t="s">
        <v>445</v>
      </c>
      <c r="N1549" t="s">
        <v>577</v>
      </c>
      <c r="O1549" t="s">
        <v>214</v>
      </c>
      <c r="P1549">
        <v>-19.639865</v>
      </c>
      <c r="Q1549">
        <v>-43.877858000000003</v>
      </c>
      <c r="R1549" s="2" t="str">
        <f>HYPERLINK("https://www.google.com/maps?q=-19.6398650,-43.8778580","Abrir no Google Maps")</f>
        <v>Abrir no Google Maps</v>
      </c>
      <c r="S1549">
        <v>3</v>
      </c>
      <c r="T1549">
        <v>497.47318171010488</v>
      </c>
      <c r="U1549">
        <v>2</v>
      </c>
      <c r="V1549">
        <v>0.12837945928651409</v>
      </c>
      <c r="W1549">
        <v>0.85</v>
      </c>
      <c r="X1549">
        <v>0.109122540393537</v>
      </c>
      <c r="Y1549">
        <v>10</v>
      </c>
      <c r="Z1549">
        <v>547.08184956634818</v>
      </c>
      <c r="AA1549">
        <v>2</v>
      </c>
      <c r="AB1549">
        <v>3</v>
      </c>
      <c r="AC1549">
        <v>7</v>
      </c>
      <c r="AD1549">
        <v>25.73</v>
      </c>
      <c r="AE1549">
        <v>253</v>
      </c>
      <c r="AF1549">
        <v>19</v>
      </c>
      <c r="AG1549">
        <v>55</v>
      </c>
      <c r="AH1549">
        <v>32</v>
      </c>
      <c r="AI1549">
        <v>7.51</v>
      </c>
      <c r="AJ1549">
        <v>21.74</v>
      </c>
      <c r="AK1549">
        <v>12.65</v>
      </c>
      <c r="AL1549">
        <v>-19.639907499999961</v>
      </c>
      <c r="AM1549">
        <v>-43.877561677180587</v>
      </c>
      <c r="AN1549">
        <v>-19.639907499999961</v>
      </c>
      <c r="AO1549">
        <v>-43.877561677180587</v>
      </c>
      <c r="AP1549">
        <v>-19.639865</v>
      </c>
      <c r="AQ1549">
        <v>-43.877858000000003</v>
      </c>
      <c r="AR1549">
        <v>31.4257813556037</v>
      </c>
      <c r="AS1549" t="s">
        <v>65</v>
      </c>
      <c r="AT1549">
        <v>1</v>
      </c>
      <c r="AU1549" t="s">
        <v>578</v>
      </c>
      <c r="AV1549" t="s">
        <v>579</v>
      </c>
      <c r="AW1549" t="s">
        <v>60</v>
      </c>
      <c r="AX1549" t="s">
        <v>68</v>
      </c>
      <c r="AY1549" t="s">
        <v>69</v>
      </c>
      <c r="AZ1549" t="b">
        <v>1</v>
      </c>
    </row>
    <row r="1550" spans="1:52" x14ac:dyDescent="0.3">
      <c r="A1550" t="s">
        <v>52</v>
      </c>
      <c r="B1550" t="s">
        <v>53</v>
      </c>
      <c r="C1550" t="s">
        <v>54</v>
      </c>
      <c r="D1550" t="s">
        <v>55</v>
      </c>
      <c r="E1550" t="s">
        <v>844</v>
      </c>
      <c r="F1550" t="s">
        <v>512</v>
      </c>
      <c r="G1550" t="s">
        <v>546</v>
      </c>
      <c r="H1550" t="s">
        <v>547</v>
      </c>
      <c r="I1550" t="s">
        <v>547</v>
      </c>
      <c r="J1550" t="s">
        <v>60</v>
      </c>
      <c r="K1550" t="s">
        <v>445</v>
      </c>
      <c r="L1550" t="s">
        <v>62</v>
      </c>
      <c r="M1550" t="s">
        <v>445</v>
      </c>
      <c r="N1550" t="s">
        <v>548</v>
      </c>
      <c r="O1550" t="s">
        <v>549</v>
      </c>
      <c r="P1550">
        <v>-19.642752999999999</v>
      </c>
      <c r="Q1550">
        <v>-43.879080999999999</v>
      </c>
      <c r="R1550" s="2" t="str">
        <f>HYPERLINK("https://www.google.com/maps?q=-19.6427530,-43.8790810","Abrir no Google Maps")</f>
        <v>Abrir no Google Maps</v>
      </c>
      <c r="S1550">
        <v>3</v>
      </c>
      <c r="T1550">
        <v>256.19518367376457</v>
      </c>
      <c r="U1550">
        <v>1</v>
      </c>
      <c r="V1550">
        <v>0.1089706543376356</v>
      </c>
      <c r="W1550">
        <v>0.85</v>
      </c>
      <c r="X1550">
        <v>9.2625056186990254E-2</v>
      </c>
      <c r="Y1550">
        <v>10</v>
      </c>
      <c r="Z1550">
        <v>192.73978446408199</v>
      </c>
      <c r="AA1550">
        <v>2</v>
      </c>
      <c r="AB1550">
        <v>3</v>
      </c>
      <c r="AC1550">
        <v>7</v>
      </c>
      <c r="AD1550">
        <v>25.73</v>
      </c>
      <c r="AE1550">
        <v>253</v>
      </c>
      <c r="AF1550">
        <v>19</v>
      </c>
      <c r="AG1550">
        <v>55</v>
      </c>
      <c r="AH1550">
        <v>32</v>
      </c>
      <c r="AI1550">
        <v>7.51</v>
      </c>
      <c r="AJ1550">
        <v>21.74</v>
      </c>
      <c r="AK1550">
        <v>12.65</v>
      </c>
      <c r="AL1550">
        <v>-19.642703749999949</v>
      </c>
      <c r="AM1550">
        <v>-43.879132974738582</v>
      </c>
      <c r="AN1550">
        <v>-19.642703749999949</v>
      </c>
      <c r="AO1550">
        <v>-43.879132974738582</v>
      </c>
      <c r="AP1550">
        <v>-19.642752999999999</v>
      </c>
      <c r="AQ1550">
        <v>-43.879080999999999</v>
      </c>
      <c r="AR1550">
        <v>7.7298757823687696</v>
      </c>
      <c r="AS1550" t="s">
        <v>65</v>
      </c>
      <c r="AT1550">
        <v>1</v>
      </c>
      <c r="AU1550" t="s">
        <v>550</v>
      </c>
      <c r="AV1550" t="s">
        <v>551</v>
      </c>
      <c r="AW1550" t="s">
        <v>60</v>
      </c>
      <c r="AX1550" t="s">
        <v>68</v>
      </c>
      <c r="AY1550" t="s">
        <v>69</v>
      </c>
      <c r="AZ1550" t="b">
        <v>1</v>
      </c>
    </row>
    <row r="1551" spans="1:52" x14ac:dyDescent="0.3">
      <c r="A1551" t="s">
        <v>52</v>
      </c>
      <c r="B1551" t="s">
        <v>53</v>
      </c>
      <c r="C1551" t="s">
        <v>54</v>
      </c>
      <c r="D1551" t="s">
        <v>55</v>
      </c>
      <c r="E1551" t="s">
        <v>844</v>
      </c>
      <c r="F1551" t="s">
        <v>512</v>
      </c>
      <c r="G1551" t="s">
        <v>552</v>
      </c>
      <c r="H1551" t="s">
        <v>553</v>
      </c>
      <c r="I1551" t="s">
        <v>553</v>
      </c>
      <c r="J1551" t="s">
        <v>60</v>
      </c>
      <c r="K1551" t="s">
        <v>445</v>
      </c>
      <c r="L1551" t="s">
        <v>62</v>
      </c>
      <c r="M1551" t="s">
        <v>445</v>
      </c>
      <c r="N1551" t="s">
        <v>554</v>
      </c>
      <c r="O1551" t="s">
        <v>207</v>
      </c>
      <c r="P1551">
        <v>-19.641549999999999</v>
      </c>
      <c r="Q1551">
        <v>-43.873263999999999</v>
      </c>
      <c r="R1551" s="2" t="str">
        <f>HYPERLINK("https://www.google.com/maps?q=-19.6415500,-43.8732640","Abrir no Google Maps")</f>
        <v>Abrir no Google Maps</v>
      </c>
      <c r="S1551">
        <v>3</v>
      </c>
      <c r="T1551">
        <v>879.45465995735231</v>
      </c>
      <c r="U1551">
        <v>1</v>
      </c>
      <c r="V1551">
        <v>8.3727743971151597E-2</v>
      </c>
      <c r="W1551">
        <v>0.85</v>
      </c>
      <c r="X1551">
        <v>7.116858237547885E-2</v>
      </c>
      <c r="Y1551">
        <v>10</v>
      </c>
      <c r="Z1551">
        <v>830.70905214077095</v>
      </c>
      <c r="AA1551">
        <v>2</v>
      </c>
      <c r="AB1551">
        <v>3</v>
      </c>
      <c r="AC1551">
        <v>7</v>
      </c>
      <c r="AD1551">
        <v>25.73</v>
      </c>
      <c r="AE1551">
        <v>253</v>
      </c>
      <c r="AF1551">
        <v>19</v>
      </c>
      <c r="AG1551">
        <v>55</v>
      </c>
      <c r="AH1551">
        <v>32</v>
      </c>
      <c r="AI1551">
        <v>7.51</v>
      </c>
      <c r="AJ1551">
        <v>21.74</v>
      </c>
      <c r="AK1551">
        <v>12.65</v>
      </c>
      <c r="AL1551">
        <v>-19.641459949999959</v>
      </c>
      <c r="AM1551">
        <v>-43.873212145688711</v>
      </c>
      <c r="AN1551">
        <v>-19.641459949999959</v>
      </c>
      <c r="AO1551">
        <v>-43.873212145688711</v>
      </c>
      <c r="AP1551">
        <v>-19.641549999999999</v>
      </c>
      <c r="AQ1551">
        <v>-43.873263999999999</v>
      </c>
      <c r="AR1551">
        <v>11.40368340137019</v>
      </c>
      <c r="AS1551" t="s">
        <v>65</v>
      </c>
      <c r="AT1551">
        <v>1</v>
      </c>
      <c r="AU1551" t="s">
        <v>555</v>
      </c>
      <c r="AV1551" t="s">
        <v>556</v>
      </c>
      <c r="AW1551" t="s">
        <v>60</v>
      </c>
      <c r="AX1551" t="s">
        <v>68</v>
      </c>
      <c r="AY1551" t="s">
        <v>69</v>
      </c>
      <c r="AZ1551" t="b">
        <v>1</v>
      </c>
    </row>
    <row r="1552" spans="1:52" x14ac:dyDescent="0.3">
      <c r="A1552" t="s">
        <v>52</v>
      </c>
      <c r="B1552" t="s">
        <v>53</v>
      </c>
      <c r="C1552" t="s">
        <v>54</v>
      </c>
      <c r="D1552" t="s">
        <v>55</v>
      </c>
      <c r="E1552" t="s">
        <v>844</v>
      </c>
      <c r="F1552" t="s">
        <v>512</v>
      </c>
      <c r="G1552" t="s">
        <v>569</v>
      </c>
      <c r="H1552" t="s">
        <v>570</v>
      </c>
      <c r="I1552" t="s">
        <v>570</v>
      </c>
      <c r="J1552" t="s">
        <v>60</v>
      </c>
      <c r="K1552" t="s">
        <v>445</v>
      </c>
      <c r="L1552" t="s">
        <v>62</v>
      </c>
      <c r="M1552" t="s">
        <v>445</v>
      </c>
      <c r="N1552" t="s">
        <v>571</v>
      </c>
      <c r="O1552" t="s">
        <v>572</v>
      </c>
      <c r="P1552">
        <v>-19.646602999999999</v>
      </c>
      <c r="Q1552">
        <v>-43.879826000000001</v>
      </c>
      <c r="R1552" s="2" t="str">
        <f>HYPERLINK("https://www.google.com/maps?q=-19.6466030,-43.8798260","Abrir no Google Maps")</f>
        <v>Abrir no Google Maps</v>
      </c>
      <c r="S1552">
        <v>3</v>
      </c>
      <c r="T1552">
        <v>497.89126003830972</v>
      </c>
      <c r="U1552">
        <v>1</v>
      </c>
      <c r="V1552">
        <v>9.8349139445029807E-2</v>
      </c>
      <c r="W1552">
        <v>0.85</v>
      </c>
      <c r="X1552">
        <v>8.3596768528275328E-2</v>
      </c>
      <c r="Y1552">
        <v>10</v>
      </c>
      <c r="Z1552">
        <v>228.69190976735251</v>
      </c>
      <c r="AA1552">
        <v>2</v>
      </c>
      <c r="AB1552">
        <v>3</v>
      </c>
      <c r="AC1552">
        <v>7</v>
      </c>
      <c r="AD1552">
        <v>25.73</v>
      </c>
      <c r="AE1552">
        <v>253</v>
      </c>
      <c r="AF1552">
        <v>19</v>
      </c>
      <c r="AG1552">
        <v>55</v>
      </c>
      <c r="AH1552">
        <v>32</v>
      </c>
      <c r="AI1552">
        <v>7.51</v>
      </c>
      <c r="AJ1552">
        <v>21.74</v>
      </c>
      <c r="AK1552">
        <v>12.65</v>
      </c>
      <c r="AL1552">
        <v>-19.646577499999982</v>
      </c>
      <c r="AM1552">
        <v>-43.879934131171261</v>
      </c>
      <c r="AN1552">
        <v>-19.646577499999971</v>
      </c>
      <c r="AO1552">
        <v>-43.879934131171261</v>
      </c>
      <c r="AP1552">
        <v>-19.646602999999999</v>
      </c>
      <c r="AQ1552">
        <v>-43.879826000000001</v>
      </c>
      <c r="AR1552">
        <v>11.68641198848764</v>
      </c>
      <c r="AS1552" t="s">
        <v>65</v>
      </c>
      <c r="AT1552">
        <v>1</v>
      </c>
      <c r="AU1552" t="s">
        <v>573</v>
      </c>
      <c r="AV1552" t="s">
        <v>574</v>
      </c>
      <c r="AW1552" t="s">
        <v>60</v>
      </c>
      <c r="AX1552" t="s">
        <v>68</v>
      </c>
      <c r="AY1552" t="s">
        <v>69</v>
      </c>
      <c r="AZ1552" t="b">
        <v>1</v>
      </c>
    </row>
    <row r="1553" spans="1:52" x14ac:dyDescent="0.3">
      <c r="A1553" t="s">
        <v>52</v>
      </c>
      <c r="B1553" t="s">
        <v>53</v>
      </c>
      <c r="C1553" t="s">
        <v>54</v>
      </c>
      <c r="D1553" t="s">
        <v>55</v>
      </c>
      <c r="E1553" t="s">
        <v>844</v>
      </c>
      <c r="F1553" t="s">
        <v>512</v>
      </c>
      <c r="G1553" t="s">
        <v>580</v>
      </c>
      <c r="H1553" t="s">
        <v>581</v>
      </c>
      <c r="I1553" t="s">
        <v>581</v>
      </c>
      <c r="J1553" t="s">
        <v>60</v>
      </c>
      <c r="K1553" t="s">
        <v>179</v>
      </c>
      <c r="L1553" t="s">
        <v>62</v>
      </c>
      <c r="M1553" t="s">
        <v>179</v>
      </c>
      <c r="N1553" t="s">
        <v>582</v>
      </c>
      <c r="O1553" t="s">
        <v>583</v>
      </c>
      <c r="P1553">
        <v>-19.651917999999998</v>
      </c>
      <c r="Q1553">
        <v>-43.888081</v>
      </c>
      <c r="R1553" s="2" t="str">
        <f>HYPERLINK("https://www.google.com/maps?q=-19.6519180,-43.8880810","Abrir no Google Maps")</f>
        <v>Abrir no Google Maps</v>
      </c>
      <c r="S1553">
        <v>3</v>
      </c>
      <c r="T1553">
        <v>1192.758363020145</v>
      </c>
      <c r="U1553">
        <v>1</v>
      </c>
      <c r="V1553">
        <v>0.1003166378814047</v>
      </c>
      <c r="W1553">
        <v>0.85</v>
      </c>
      <c r="X1553">
        <v>8.5269142199193987E-2</v>
      </c>
      <c r="Y1553">
        <v>10</v>
      </c>
      <c r="Z1553">
        <v>1164.020417046748</v>
      </c>
      <c r="AA1553">
        <v>2</v>
      </c>
      <c r="AB1553">
        <v>3</v>
      </c>
      <c r="AC1553">
        <v>7</v>
      </c>
      <c r="AD1553">
        <v>25.73</v>
      </c>
      <c r="AE1553">
        <v>253</v>
      </c>
      <c r="AF1553">
        <v>19</v>
      </c>
      <c r="AG1553">
        <v>55</v>
      </c>
      <c r="AH1553">
        <v>32</v>
      </c>
      <c r="AI1553">
        <v>7.51</v>
      </c>
      <c r="AJ1553">
        <v>21.74</v>
      </c>
      <c r="AK1553">
        <v>12.65</v>
      </c>
      <c r="AL1553">
        <v>-19.65182809999996</v>
      </c>
      <c r="AM1553">
        <v>-43.887955347266519</v>
      </c>
      <c r="AN1553">
        <v>-19.65182809999996</v>
      </c>
      <c r="AO1553">
        <v>-43.887955347266519</v>
      </c>
      <c r="AP1553">
        <v>-19.651917999999998</v>
      </c>
      <c r="AQ1553">
        <v>-43.888081</v>
      </c>
      <c r="AR1553">
        <v>16.543262936495491</v>
      </c>
      <c r="AS1553" t="s">
        <v>65</v>
      </c>
      <c r="AT1553">
        <v>1</v>
      </c>
      <c r="AU1553" t="s">
        <v>584</v>
      </c>
      <c r="AV1553" t="s">
        <v>585</v>
      </c>
      <c r="AW1553" t="s">
        <v>60</v>
      </c>
      <c r="AX1553" t="s">
        <v>68</v>
      </c>
      <c r="AY1553" t="s">
        <v>69</v>
      </c>
      <c r="AZ1553" t="b">
        <v>1</v>
      </c>
    </row>
    <row r="1554" spans="1:52" x14ac:dyDescent="0.3">
      <c r="A1554" t="s">
        <v>52</v>
      </c>
      <c r="B1554" t="s">
        <v>53</v>
      </c>
      <c r="C1554" t="s">
        <v>54</v>
      </c>
      <c r="D1554" t="s">
        <v>55</v>
      </c>
      <c r="E1554" t="s">
        <v>844</v>
      </c>
      <c r="F1554" t="s">
        <v>512</v>
      </c>
      <c r="G1554" t="s">
        <v>592</v>
      </c>
      <c r="H1554" t="s">
        <v>593</v>
      </c>
      <c r="I1554" t="s">
        <v>593</v>
      </c>
      <c r="J1554" t="s">
        <v>60</v>
      </c>
      <c r="K1554" t="s">
        <v>445</v>
      </c>
      <c r="L1554" t="s">
        <v>62</v>
      </c>
      <c r="M1554" t="s">
        <v>445</v>
      </c>
      <c r="N1554" t="s">
        <v>594</v>
      </c>
      <c r="O1554" t="s">
        <v>477</v>
      </c>
      <c r="P1554">
        <v>-19.640709000000001</v>
      </c>
      <c r="Q1554">
        <v>-43.868687999999999</v>
      </c>
      <c r="R1554" s="2" t="str">
        <f>HYPERLINK("https://www.google.com/maps?q=-19.6407090,-43.8686880","Abrir no Google Maps")</f>
        <v>Abrir no Google Maps</v>
      </c>
      <c r="S1554">
        <v>1</v>
      </c>
      <c r="T1554">
        <v>1174.9679995958841</v>
      </c>
      <c r="U1554">
        <v>3</v>
      </c>
      <c r="V1554">
        <v>0.1107507618812289</v>
      </c>
      <c r="W1554">
        <v>1</v>
      </c>
      <c r="X1554">
        <v>0.1107507618812289</v>
      </c>
      <c r="Y1554">
        <v>10</v>
      </c>
      <c r="Z1554">
        <v>1230.8029594060461</v>
      </c>
      <c r="AA1554">
        <v>2</v>
      </c>
      <c r="AB1554">
        <v>3</v>
      </c>
      <c r="AC1554">
        <v>7</v>
      </c>
      <c r="AD1554">
        <v>25.73</v>
      </c>
      <c r="AE1554">
        <v>253</v>
      </c>
      <c r="AF1554">
        <v>19</v>
      </c>
      <c r="AG1554">
        <v>55</v>
      </c>
      <c r="AH1554">
        <v>32</v>
      </c>
      <c r="AI1554">
        <v>7.51</v>
      </c>
      <c r="AJ1554">
        <v>21.74</v>
      </c>
      <c r="AK1554">
        <v>12.65</v>
      </c>
      <c r="AL1554">
        <v>-19.641057949999979</v>
      </c>
      <c r="AM1554">
        <v>-43.868800137485707</v>
      </c>
      <c r="AN1554">
        <v>-19.641057949999979</v>
      </c>
      <c r="AO1554">
        <v>-43.868800137485707</v>
      </c>
      <c r="AP1554">
        <v>-19.640709000000001</v>
      </c>
      <c r="AQ1554">
        <v>-43.868687999999999</v>
      </c>
      <c r="AR1554">
        <v>40.585293798071682</v>
      </c>
      <c r="AS1554" t="s">
        <v>65</v>
      </c>
      <c r="AT1554">
        <v>1</v>
      </c>
      <c r="AU1554" t="s">
        <v>595</v>
      </c>
      <c r="AV1554" t="s">
        <v>596</v>
      </c>
      <c r="AW1554" t="s">
        <v>60</v>
      </c>
      <c r="AX1554" t="s">
        <v>68</v>
      </c>
      <c r="AY1554" t="s">
        <v>69</v>
      </c>
      <c r="AZ1554" t="b">
        <v>1</v>
      </c>
    </row>
    <row r="1555" spans="1:52" x14ac:dyDescent="0.3">
      <c r="A1555" t="s">
        <v>52</v>
      </c>
      <c r="B1555" t="s">
        <v>53</v>
      </c>
      <c r="C1555" t="s">
        <v>54</v>
      </c>
      <c r="D1555" t="s">
        <v>55</v>
      </c>
      <c r="E1555" t="s">
        <v>844</v>
      </c>
      <c r="F1555" t="s">
        <v>512</v>
      </c>
      <c r="G1555" t="s">
        <v>611</v>
      </c>
      <c r="H1555" t="s">
        <v>612</v>
      </c>
      <c r="I1555" t="s">
        <v>612</v>
      </c>
      <c r="J1555" t="s">
        <v>60</v>
      </c>
      <c r="K1555" t="s">
        <v>445</v>
      </c>
      <c r="L1555" t="s">
        <v>62</v>
      </c>
      <c r="M1555" t="s">
        <v>445</v>
      </c>
      <c r="N1555" t="s">
        <v>613</v>
      </c>
      <c r="O1555" t="s">
        <v>94</v>
      </c>
      <c r="P1555">
        <v>-19.639271999999998</v>
      </c>
      <c r="Q1555">
        <v>-43.875624000000002</v>
      </c>
      <c r="R1555" s="2" t="str">
        <f>HYPERLINK("https://www.google.com/maps?q=-19.6392720,-43.8756240","Abrir no Google Maps")</f>
        <v>Abrir no Google Maps</v>
      </c>
      <c r="S1555">
        <v>1</v>
      </c>
      <c r="T1555">
        <v>618.4798639458262</v>
      </c>
      <c r="U1555">
        <v>3</v>
      </c>
      <c r="V1555">
        <v>0.13258605072463769</v>
      </c>
      <c r="W1555">
        <v>0.85</v>
      </c>
      <c r="X1555">
        <v>0.11269814311594201</v>
      </c>
      <c r="Y1555">
        <v>10</v>
      </c>
      <c r="Z1555">
        <v>724.62991660382431</v>
      </c>
      <c r="AA1555">
        <v>2</v>
      </c>
      <c r="AB1555">
        <v>3</v>
      </c>
      <c r="AC1555">
        <v>7</v>
      </c>
      <c r="AD1555">
        <v>25.73</v>
      </c>
      <c r="AE1555">
        <v>253</v>
      </c>
      <c r="AF1555">
        <v>19</v>
      </c>
      <c r="AG1555">
        <v>55</v>
      </c>
      <c r="AH1555">
        <v>32</v>
      </c>
      <c r="AI1555">
        <v>7.51</v>
      </c>
      <c r="AJ1555">
        <v>21.74</v>
      </c>
      <c r="AK1555">
        <v>12.65</v>
      </c>
      <c r="AL1555">
        <v>-19.639239899999978</v>
      </c>
      <c r="AM1555">
        <v>-43.875497463228079</v>
      </c>
      <c r="AN1555">
        <v>-19.639239899999978</v>
      </c>
      <c r="AO1555">
        <v>-43.875497463228079</v>
      </c>
      <c r="AP1555">
        <v>-19.639271999999998</v>
      </c>
      <c r="AQ1555">
        <v>-43.875624000000002</v>
      </c>
      <c r="AR1555">
        <v>13.73946951590594</v>
      </c>
      <c r="AS1555" t="s">
        <v>65</v>
      </c>
      <c r="AT1555">
        <v>1</v>
      </c>
      <c r="AU1555" t="s">
        <v>614</v>
      </c>
      <c r="AV1555" t="s">
        <v>615</v>
      </c>
      <c r="AW1555" t="s">
        <v>60</v>
      </c>
      <c r="AX1555" t="s">
        <v>68</v>
      </c>
      <c r="AY1555" t="s">
        <v>69</v>
      </c>
      <c r="AZ1555" t="b">
        <v>1</v>
      </c>
    </row>
    <row r="1556" spans="1:52" x14ac:dyDescent="0.3">
      <c r="A1556" t="s">
        <v>52</v>
      </c>
      <c r="B1556" t="s">
        <v>53</v>
      </c>
      <c r="C1556" t="s">
        <v>54</v>
      </c>
      <c r="D1556" t="s">
        <v>55</v>
      </c>
      <c r="E1556" t="s">
        <v>844</v>
      </c>
      <c r="F1556" t="s">
        <v>512</v>
      </c>
      <c r="G1556" t="s">
        <v>597</v>
      </c>
      <c r="H1556" t="s">
        <v>598</v>
      </c>
      <c r="I1556" t="s">
        <v>598</v>
      </c>
      <c r="J1556" t="s">
        <v>60</v>
      </c>
      <c r="K1556" t="s">
        <v>445</v>
      </c>
      <c r="L1556" t="s">
        <v>62</v>
      </c>
      <c r="M1556" t="s">
        <v>445</v>
      </c>
      <c r="N1556" t="s">
        <v>599</v>
      </c>
      <c r="O1556" t="s">
        <v>391</v>
      </c>
      <c r="P1556">
        <v>-19.637060999999999</v>
      </c>
      <c r="Q1556">
        <v>-43.871026000000001</v>
      </c>
      <c r="R1556" s="2" t="str">
        <f>HYPERLINK("https://www.google.com/maps?q=-19.6370610,-43.8710260","Abrir no Google Maps")</f>
        <v>Abrir no Google Maps</v>
      </c>
      <c r="S1556">
        <v>1</v>
      </c>
      <c r="T1556">
        <v>737.61884389282102</v>
      </c>
      <c r="U1556">
        <v>2</v>
      </c>
      <c r="V1556">
        <v>9.8320723698367196E-2</v>
      </c>
      <c r="W1556">
        <v>1</v>
      </c>
      <c r="X1556">
        <v>9.8320723698367196E-2</v>
      </c>
      <c r="Y1556">
        <v>10</v>
      </c>
      <c r="Z1556">
        <v>1331.4501394006061</v>
      </c>
      <c r="AA1556">
        <v>2</v>
      </c>
      <c r="AB1556">
        <v>3</v>
      </c>
      <c r="AC1556">
        <v>7</v>
      </c>
      <c r="AD1556">
        <v>25.73</v>
      </c>
      <c r="AE1556">
        <v>253</v>
      </c>
      <c r="AF1556">
        <v>19</v>
      </c>
      <c r="AG1556">
        <v>55</v>
      </c>
      <c r="AH1556">
        <v>32</v>
      </c>
      <c r="AI1556">
        <v>7.51</v>
      </c>
      <c r="AJ1556">
        <v>21.74</v>
      </c>
      <c r="AK1556">
        <v>12.65</v>
      </c>
      <c r="AL1556">
        <v>-19.637111899999951</v>
      </c>
      <c r="AM1556">
        <v>-43.870888931681193</v>
      </c>
      <c r="AN1556">
        <v>-19.637111899999951</v>
      </c>
      <c r="AO1556">
        <v>-43.870888931681193</v>
      </c>
      <c r="AP1556">
        <v>-19.637060999999999</v>
      </c>
      <c r="AQ1556">
        <v>-43.871026000000001</v>
      </c>
      <c r="AR1556">
        <v>15.44770924391884</v>
      </c>
      <c r="AS1556" t="s">
        <v>65</v>
      </c>
      <c r="AT1556">
        <v>1</v>
      </c>
      <c r="AU1556" t="s">
        <v>600</v>
      </c>
      <c r="AV1556" t="s">
        <v>601</v>
      </c>
      <c r="AW1556" t="s">
        <v>60</v>
      </c>
      <c r="AX1556" t="s">
        <v>68</v>
      </c>
      <c r="AY1556" t="s">
        <v>69</v>
      </c>
      <c r="AZ1556" t="b">
        <v>1</v>
      </c>
    </row>
    <row r="1557" spans="1:52" x14ac:dyDescent="0.3">
      <c r="A1557" t="s">
        <v>52</v>
      </c>
      <c r="B1557" t="s">
        <v>53</v>
      </c>
      <c r="C1557" t="s">
        <v>54</v>
      </c>
      <c r="D1557" t="s">
        <v>55</v>
      </c>
      <c r="E1557" t="s">
        <v>844</v>
      </c>
      <c r="F1557" t="s">
        <v>512</v>
      </c>
      <c r="G1557" t="s">
        <v>123</v>
      </c>
      <c r="H1557" t="s">
        <v>607</v>
      </c>
      <c r="I1557" t="s">
        <v>607</v>
      </c>
      <c r="J1557" t="s">
        <v>60</v>
      </c>
      <c r="K1557" t="s">
        <v>333</v>
      </c>
      <c r="L1557" t="s">
        <v>62</v>
      </c>
      <c r="M1557" t="s">
        <v>333</v>
      </c>
      <c r="N1557" t="s">
        <v>125</v>
      </c>
      <c r="O1557" t="s">
        <v>608</v>
      </c>
      <c r="P1557">
        <v>-19.636002999999999</v>
      </c>
      <c r="Q1557">
        <v>-43.908445</v>
      </c>
      <c r="R1557" s="2" t="str">
        <f>HYPERLINK("https://www.google.com/maps?q=-19.6360030,-43.9084450","Abrir no Google Maps")</f>
        <v>Abrir no Google Maps</v>
      </c>
      <c r="S1557">
        <v>1</v>
      </c>
      <c r="T1557">
        <v>612.64850802557942</v>
      </c>
      <c r="U1557">
        <v>2</v>
      </c>
      <c r="V1557">
        <v>0.11543301871170721</v>
      </c>
      <c r="W1557">
        <v>0.85</v>
      </c>
      <c r="X1557">
        <v>9.8118065904951118E-2</v>
      </c>
      <c r="Y1557">
        <v>10</v>
      </c>
      <c r="Z1557">
        <v>606.91793961222209</v>
      </c>
      <c r="AA1557">
        <v>2</v>
      </c>
      <c r="AB1557">
        <v>3</v>
      </c>
      <c r="AC1557">
        <v>7</v>
      </c>
      <c r="AD1557">
        <v>25.73</v>
      </c>
      <c r="AE1557">
        <v>253</v>
      </c>
      <c r="AF1557">
        <v>19</v>
      </c>
      <c r="AG1557">
        <v>55</v>
      </c>
      <c r="AH1557">
        <v>32</v>
      </c>
      <c r="AI1557">
        <v>7.51</v>
      </c>
      <c r="AJ1557">
        <v>21.74</v>
      </c>
      <c r="AK1557">
        <v>12.65</v>
      </c>
      <c r="AL1557">
        <v>-19.63618049999997</v>
      </c>
      <c r="AM1557">
        <v>-43.908471095478113</v>
      </c>
      <c r="AN1557">
        <v>-19.63618049999997</v>
      </c>
      <c r="AO1557">
        <v>-43.908471095478113</v>
      </c>
      <c r="AP1557">
        <v>-19.636002999999999</v>
      </c>
      <c r="AQ1557">
        <v>-43.908445</v>
      </c>
      <c r="AR1557">
        <v>19.947824476218141</v>
      </c>
      <c r="AS1557" t="s">
        <v>65</v>
      </c>
      <c r="AT1557">
        <v>1</v>
      </c>
      <c r="AU1557" t="s">
        <v>609</v>
      </c>
      <c r="AV1557" t="s">
        <v>610</v>
      </c>
      <c r="AW1557" t="s">
        <v>60</v>
      </c>
      <c r="AX1557" t="s">
        <v>68</v>
      </c>
      <c r="AY1557" t="s">
        <v>69</v>
      </c>
      <c r="AZ1557" t="b">
        <v>1</v>
      </c>
    </row>
    <row r="1558" spans="1:52" x14ac:dyDescent="0.3">
      <c r="A1558" t="s">
        <v>52</v>
      </c>
      <c r="B1558" t="s">
        <v>53</v>
      </c>
      <c r="C1558" t="s">
        <v>54</v>
      </c>
      <c r="D1558" t="s">
        <v>55</v>
      </c>
      <c r="E1558" t="s">
        <v>844</v>
      </c>
      <c r="F1558" t="s">
        <v>512</v>
      </c>
      <c r="G1558" t="s">
        <v>602</v>
      </c>
      <c r="H1558" t="s">
        <v>603</v>
      </c>
      <c r="I1558" t="s">
        <v>603</v>
      </c>
      <c r="J1558" t="s">
        <v>60</v>
      </c>
      <c r="K1558" t="s">
        <v>185</v>
      </c>
      <c r="L1558" t="s">
        <v>62</v>
      </c>
      <c r="M1558" t="s">
        <v>185</v>
      </c>
      <c r="N1558" t="s">
        <v>604</v>
      </c>
      <c r="O1558" t="s">
        <v>341</v>
      </c>
      <c r="P1558">
        <v>-19.624801999999999</v>
      </c>
      <c r="Q1558">
        <v>-43.891128999999999</v>
      </c>
      <c r="R1558" s="2" t="str">
        <f>HYPERLINK("https://www.google.com/maps?q=-19.6248020,-43.8911290","Abrir no Google Maps")</f>
        <v>Abrir no Google Maps</v>
      </c>
      <c r="S1558">
        <v>1</v>
      </c>
      <c r="T1558">
        <v>340.53720321500958</v>
      </c>
      <c r="U1558">
        <v>1</v>
      </c>
      <c r="V1558">
        <v>9.97807017543859E-2</v>
      </c>
      <c r="W1558">
        <v>0.85</v>
      </c>
      <c r="X1558">
        <v>8.4813596491228008E-2</v>
      </c>
      <c r="Y1558">
        <v>18</v>
      </c>
      <c r="Z1558">
        <v>362.68114540183888</v>
      </c>
      <c r="AA1558">
        <v>2</v>
      </c>
      <c r="AB1558">
        <v>3</v>
      </c>
      <c r="AC1558">
        <v>7</v>
      </c>
      <c r="AD1558">
        <v>25.73</v>
      </c>
      <c r="AE1558">
        <v>253</v>
      </c>
      <c r="AF1558">
        <v>19</v>
      </c>
      <c r="AG1558">
        <v>55</v>
      </c>
      <c r="AH1558">
        <v>32</v>
      </c>
      <c r="AI1558">
        <v>7.51</v>
      </c>
      <c r="AJ1558">
        <v>21.74</v>
      </c>
      <c r="AK1558">
        <v>12.65</v>
      </c>
      <c r="AL1558">
        <v>-19.625033299999959</v>
      </c>
      <c r="AM1558">
        <v>-43.891084256403538</v>
      </c>
      <c r="AN1558">
        <v>-19.625033299999959</v>
      </c>
      <c r="AO1558">
        <v>-43.891084256403538</v>
      </c>
      <c r="AP1558">
        <v>-19.624801999999999</v>
      </c>
      <c r="AQ1558">
        <v>-43.891128999999999</v>
      </c>
      <c r="AR1558">
        <v>26.172240371022362</v>
      </c>
      <c r="AS1558" t="s">
        <v>65</v>
      </c>
      <c r="AT1558">
        <v>1</v>
      </c>
      <c r="AU1558" t="s">
        <v>605</v>
      </c>
      <c r="AV1558" t="s">
        <v>606</v>
      </c>
      <c r="AW1558" t="s">
        <v>60</v>
      </c>
      <c r="AX1558" t="s">
        <v>68</v>
      </c>
      <c r="AY1558" t="s">
        <v>69</v>
      </c>
      <c r="AZ1558" t="b">
        <v>1</v>
      </c>
    </row>
    <row r="1559" spans="1:52" x14ac:dyDescent="0.3">
      <c r="A1559" t="s">
        <v>52</v>
      </c>
      <c r="B1559" t="s">
        <v>53</v>
      </c>
      <c r="C1559" t="s">
        <v>54</v>
      </c>
      <c r="D1559" t="s">
        <v>55</v>
      </c>
      <c r="E1559" t="s">
        <v>845</v>
      </c>
      <c r="F1559" t="s">
        <v>57</v>
      </c>
      <c r="G1559" t="s">
        <v>84</v>
      </c>
      <c r="H1559" t="s">
        <v>85</v>
      </c>
      <c r="I1559" t="s">
        <v>85</v>
      </c>
      <c r="J1559" t="s">
        <v>60</v>
      </c>
      <c r="K1559" t="s">
        <v>86</v>
      </c>
      <c r="L1559" t="s">
        <v>62</v>
      </c>
      <c r="M1559" t="s">
        <v>86</v>
      </c>
      <c r="N1559" t="s">
        <v>87</v>
      </c>
      <c r="O1559" t="s">
        <v>88</v>
      </c>
      <c r="P1559">
        <v>-19.629436999999999</v>
      </c>
      <c r="Q1559">
        <v>-43.910398999999998</v>
      </c>
      <c r="R1559" s="2" t="str">
        <f>HYPERLINK("https://www.google.com/maps?q=-19.6294370,-43.9103990","Abrir no Google Maps")</f>
        <v>Abrir no Google Maps</v>
      </c>
      <c r="S1559">
        <v>4</v>
      </c>
      <c r="T1559">
        <v>888.82060643108082</v>
      </c>
      <c r="U1559">
        <v>4</v>
      </c>
      <c r="V1559">
        <v>0.1858407079646017</v>
      </c>
      <c r="W1559">
        <v>1</v>
      </c>
      <c r="X1559">
        <v>0.1858407079646017</v>
      </c>
      <c r="Y1559">
        <v>10</v>
      </c>
      <c r="Z1559">
        <v>867.42797341651737</v>
      </c>
      <c r="AA1559">
        <v>2</v>
      </c>
      <c r="AB1559">
        <v>3</v>
      </c>
      <c r="AC1559">
        <v>7</v>
      </c>
      <c r="AD1559">
        <v>26.28</v>
      </c>
      <c r="AE1559">
        <v>253</v>
      </c>
      <c r="AF1559">
        <v>16</v>
      </c>
      <c r="AG1559">
        <v>63</v>
      </c>
      <c r="AH1559">
        <v>32</v>
      </c>
      <c r="AI1559">
        <v>6.32</v>
      </c>
      <c r="AJ1559">
        <v>24.9</v>
      </c>
      <c r="AK1559">
        <v>12.65</v>
      </c>
      <c r="AL1559">
        <v>-19.62934694999996</v>
      </c>
      <c r="AM1559">
        <v>-43.910344699357317</v>
      </c>
      <c r="AN1559">
        <v>-19.62934694999996</v>
      </c>
      <c r="AO1559">
        <v>-43.910344699357331</v>
      </c>
      <c r="AP1559">
        <v>-19.629436999999999</v>
      </c>
      <c r="AQ1559">
        <v>-43.910398999999998</v>
      </c>
      <c r="AR1559">
        <v>11.52837377953678</v>
      </c>
      <c r="AS1559" t="s">
        <v>65</v>
      </c>
      <c r="AT1559">
        <v>1</v>
      </c>
      <c r="AU1559" t="s">
        <v>89</v>
      </c>
      <c r="AV1559" t="s">
        <v>90</v>
      </c>
      <c r="AW1559" t="s">
        <v>60</v>
      </c>
      <c r="AX1559" t="s">
        <v>68</v>
      </c>
      <c r="AY1559" t="s">
        <v>69</v>
      </c>
      <c r="AZ1559" t="b">
        <v>1</v>
      </c>
    </row>
    <row r="1560" spans="1:52" x14ac:dyDescent="0.3">
      <c r="A1560" t="s">
        <v>52</v>
      </c>
      <c r="B1560" t="s">
        <v>53</v>
      </c>
      <c r="C1560" t="s">
        <v>54</v>
      </c>
      <c r="D1560" t="s">
        <v>55</v>
      </c>
      <c r="E1560" t="s">
        <v>845</v>
      </c>
      <c r="F1560" t="s">
        <v>57</v>
      </c>
      <c r="G1560" t="s">
        <v>104</v>
      </c>
      <c r="H1560" t="s">
        <v>105</v>
      </c>
      <c r="I1560" t="s">
        <v>105</v>
      </c>
      <c r="J1560" t="s">
        <v>60</v>
      </c>
      <c r="K1560" t="s">
        <v>99</v>
      </c>
      <c r="L1560" t="s">
        <v>62</v>
      </c>
      <c r="M1560" t="s">
        <v>99</v>
      </c>
      <c r="N1560" t="s">
        <v>106</v>
      </c>
      <c r="O1560" t="s">
        <v>107</v>
      </c>
      <c r="P1560">
        <v>-19.627993</v>
      </c>
      <c r="Q1560">
        <v>-43.904820000000001</v>
      </c>
      <c r="R1560" s="2" t="str">
        <f>HYPERLINK("https://www.google.com/maps?q=-19.6279930,-43.9048200","Abrir no Google Maps")</f>
        <v>Abrir no Google Maps</v>
      </c>
      <c r="S1560">
        <v>4</v>
      </c>
      <c r="T1560">
        <v>573.16526621674666</v>
      </c>
      <c r="U1560">
        <v>4</v>
      </c>
      <c r="V1560">
        <v>0.1964285714285714</v>
      </c>
      <c r="W1560">
        <v>1</v>
      </c>
      <c r="X1560">
        <v>0.1964285714285714</v>
      </c>
      <c r="Y1560">
        <v>7</v>
      </c>
      <c r="Z1560">
        <v>659.04372306144853</v>
      </c>
      <c r="AA1560">
        <v>2</v>
      </c>
      <c r="AB1560">
        <v>3</v>
      </c>
      <c r="AC1560">
        <v>7</v>
      </c>
      <c r="AD1560">
        <v>26.28</v>
      </c>
      <c r="AE1560">
        <v>253</v>
      </c>
      <c r="AF1560">
        <v>16</v>
      </c>
      <c r="AG1560">
        <v>63</v>
      </c>
      <c r="AH1560">
        <v>32</v>
      </c>
      <c r="AI1560">
        <v>6.32</v>
      </c>
      <c r="AJ1560">
        <v>24.9</v>
      </c>
      <c r="AK1560">
        <v>12.65</v>
      </c>
      <c r="AL1560">
        <v>-19.627956249999951</v>
      </c>
      <c r="AM1560">
        <v>-43.904807634206207</v>
      </c>
      <c r="AN1560">
        <v>-19.627956249999951</v>
      </c>
      <c r="AO1560">
        <v>-43.904807634206207</v>
      </c>
      <c r="AP1560">
        <v>-19.627993</v>
      </c>
      <c r="AQ1560">
        <v>-43.904820000000001</v>
      </c>
      <c r="AR1560">
        <v>4.291557430205998</v>
      </c>
      <c r="AS1560" t="s">
        <v>65</v>
      </c>
      <c r="AT1560">
        <v>1</v>
      </c>
      <c r="AU1560" t="s">
        <v>108</v>
      </c>
      <c r="AV1560" t="s">
        <v>103</v>
      </c>
      <c r="AW1560" t="s">
        <v>60</v>
      </c>
      <c r="AX1560" t="s">
        <v>68</v>
      </c>
      <c r="AY1560" t="s">
        <v>69</v>
      </c>
      <c r="AZ1560" t="b">
        <v>1</v>
      </c>
    </row>
    <row r="1561" spans="1:52" x14ac:dyDescent="0.3">
      <c r="A1561" t="s">
        <v>52</v>
      </c>
      <c r="B1561" t="s">
        <v>53</v>
      </c>
      <c r="C1561" t="s">
        <v>54</v>
      </c>
      <c r="D1561" t="s">
        <v>55</v>
      </c>
      <c r="E1561" t="s">
        <v>845</v>
      </c>
      <c r="F1561" t="s">
        <v>57</v>
      </c>
      <c r="G1561" t="s">
        <v>617</v>
      </c>
      <c r="H1561" t="s">
        <v>618</v>
      </c>
      <c r="I1561" t="s">
        <v>618</v>
      </c>
      <c r="J1561" t="s">
        <v>60</v>
      </c>
      <c r="K1561" t="s">
        <v>164</v>
      </c>
      <c r="L1561" t="s">
        <v>62</v>
      </c>
      <c r="M1561" t="s">
        <v>164</v>
      </c>
      <c r="N1561" t="s">
        <v>619</v>
      </c>
      <c r="O1561" t="s">
        <v>533</v>
      </c>
      <c r="P1561">
        <v>-19.647825000000001</v>
      </c>
      <c r="Q1561">
        <v>-43.908369</v>
      </c>
      <c r="R1561" s="2" t="str">
        <f>HYPERLINK("https://www.google.com/maps?q=-19.6478250,-43.9083690","Abrir no Google Maps")</f>
        <v>Abrir no Google Maps</v>
      </c>
      <c r="S1561">
        <v>4</v>
      </c>
      <c r="T1561">
        <v>492.67524679338959</v>
      </c>
      <c r="U1561">
        <v>4</v>
      </c>
      <c r="V1561">
        <v>0.17943548387096769</v>
      </c>
      <c r="W1561">
        <v>1</v>
      </c>
      <c r="X1561">
        <v>0.17943548387096769</v>
      </c>
      <c r="Y1561">
        <v>4</v>
      </c>
      <c r="Z1561">
        <v>410.3082448803296</v>
      </c>
      <c r="AA1561">
        <v>2</v>
      </c>
      <c r="AB1561">
        <v>3</v>
      </c>
      <c r="AC1561">
        <v>7</v>
      </c>
      <c r="AD1561">
        <v>26.28</v>
      </c>
      <c r="AE1561">
        <v>253</v>
      </c>
      <c r="AF1561">
        <v>16</v>
      </c>
      <c r="AG1561">
        <v>63</v>
      </c>
      <c r="AH1561">
        <v>32</v>
      </c>
      <c r="AI1561">
        <v>6.32</v>
      </c>
      <c r="AJ1561">
        <v>24.9</v>
      </c>
      <c r="AK1561">
        <v>12.65</v>
      </c>
      <c r="AL1561">
        <v>-19.647879399999969</v>
      </c>
      <c r="AM1561">
        <v>-43.908372097349897</v>
      </c>
      <c r="AN1561">
        <v>-19.647879399999969</v>
      </c>
      <c r="AO1561">
        <v>-43.908372097349897</v>
      </c>
      <c r="AP1561">
        <v>-19.647825000000001</v>
      </c>
      <c r="AQ1561">
        <v>-43.908369</v>
      </c>
      <c r="AR1561">
        <v>6.06450779015137</v>
      </c>
      <c r="AS1561" t="s">
        <v>65</v>
      </c>
      <c r="AT1561">
        <v>1</v>
      </c>
      <c r="AU1561" t="s">
        <v>620</v>
      </c>
      <c r="AV1561" t="s">
        <v>621</v>
      </c>
      <c r="AW1561" t="s">
        <v>60</v>
      </c>
      <c r="AX1561" t="s">
        <v>68</v>
      </c>
      <c r="AY1561" t="s">
        <v>69</v>
      </c>
      <c r="AZ1561" t="b">
        <v>1</v>
      </c>
    </row>
    <row r="1562" spans="1:52" x14ac:dyDescent="0.3">
      <c r="A1562" t="s">
        <v>52</v>
      </c>
      <c r="B1562" t="s">
        <v>53</v>
      </c>
      <c r="C1562" t="s">
        <v>54</v>
      </c>
      <c r="D1562" t="s">
        <v>55</v>
      </c>
      <c r="E1562" t="s">
        <v>845</v>
      </c>
      <c r="F1562" t="s">
        <v>57</v>
      </c>
      <c r="G1562" t="s">
        <v>204</v>
      </c>
      <c r="H1562" t="s">
        <v>205</v>
      </c>
      <c r="I1562" t="s">
        <v>205</v>
      </c>
      <c r="J1562" t="s">
        <v>60</v>
      </c>
      <c r="K1562" t="s">
        <v>171</v>
      </c>
      <c r="L1562" t="s">
        <v>62</v>
      </c>
      <c r="M1562" t="s">
        <v>171</v>
      </c>
      <c r="N1562" t="s">
        <v>206</v>
      </c>
      <c r="O1562" t="s">
        <v>207</v>
      </c>
      <c r="P1562">
        <v>-19.674109000000001</v>
      </c>
      <c r="Q1562">
        <v>-43.890711000000003</v>
      </c>
      <c r="R1562" s="2" t="str">
        <f>HYPERLINK("https://www.google.com/maps?q=-19.6741090,-43.8907110","Abrir no Google Maps")</f>
        <v>Abrir no Google Maps</v>
      </c>
      <c r="S1562">
        <v>4</v>
      </c>
      <c r="T1562">
        <v>396.53059443764772</v>
      </c>
      <c r="U1562">
        <v>4</v>
      </c>
      <c r="V1562">
        <v>0.18483709273182949</v>
      </c>
      <c r="W1562">
        <v>1</v>
      </c>
      <c r="X1562">
        <v>0.18483709273182949</v>
      </c>
      <c r="Y1562">
        <v>3</v>
      </c>
      <c r="Z1562">
        <v>499.22520255557538</v>
      </c>
      <c r="AA1562">
        <v>2</v>
      </c>
      <c r="AB1562">
        <v>3</v>
      </c>
      <c r="AC1562">
        <v>7</v>
      </c>
      <c r="AD1562">
        <v>26.28</v>
      </c>
      <c r="AE1562">
        <v>253</v>
      </c>
      <c r="AF1562">
        <v>16</v>
      </c>
      <c r="AG1562">
        <v>63</v>
      </c>
      <c r="AH1562">
        <v>32</v>
      </c>
      <c r="AI1562">
        <v>6.32</v>
      </c>
      <c r="AJ1562">
        <v>24.9</v>
      </c>
      <c r="AK1562">
        <v>12.65</v>
      </c>
      <c r="AL1562">
        <v>-19.67362479999997</v>
      </c>
      <c r="AM1562">
        <v>-43.89068378253377</v>
      </c>
      <c r="AN1562">
        <v>-19.67362479999997</v>
      </c>
      <c r="AO1562">
        <v>-43.89068378253377</v>
      </c>
      <c r="AP1562">
        <v>-19.674109000000001</v>
      </c>
      <c r="AQ1562">
        <v>-43.890711000000003</v>
      </c>
      <c r="AR1562">
        <v>53.976595260276227</v>
      </c>
      <c r="AS1562" t="s">
        <v>65</v>
      </c>
      <c r="AT1562">
        <v>1</v>
      </c>
      <c r="AU1562" t="s">
        <v>208</v>
      </c>
      <c r="AV1562" t="s">
        <v>209</v>
      </c>
      <c r="AW1562" t="s">
        <v>60</v>
      </c>
      <c r="AX1562" t="s">
        <v>68</v>
      </c>
      <c r="AY1562" t="s">
        <v>69</v>
      </c>
      <c r="AZ1562" t="b">
        <v>1</v>
      </c>
    </row>
    <row r="1563" spans="1:52" x14ac:dyDescent="0.3">
      <c r="A1563" t="s">
        <v>52</v>
      </c>
      <c r="B1563" t="s">
        <v>53</v>
      </c>
      <c r="C1563" t="s">
        <v>54</v>
      </c>
      <c r="D1563" t="s">
        <v>55</v>
      </c>
      <c r="E1563" t="s">
        <v>845</v>
      </c>
      <c r="F1563" t="s">
        <v>57</v>
      </c>
      <c r="G1563" t="s">
        <v>217</v>
      </c>
      <c r="H1563" t="s">
        <v>218</v>
      </c>
      <c r="I1563" t="s">
        <v>218</v>
      </c>
      <c r="J1563" t="s">
        <v>60</v>
      </c>
      <c r="K1563" t="s">
        <v>219</v>
      </c>
      <c r="L1563" t="s">
        <v>62</v>
      </c>
      <c r="M1563" t="s">
        <v>219</v>
      </c>
      <c r="N1563" t="s">
        <v>220</v>
      </c>
      <c r="O1563" t="s">
        <v>221</v>
      </c>
      <c r="P1563">
        <v>-19.668924000000001</v>
      </c>
      <c r="Q1563">
        <v>-43.888824</v>
      </c>
      <c r="R1563" s="2" t="str">
        <f>HYPERLINK("https://www.google.com/maps?q=-19.6689240,-43.8888240","Abrir no Google Maps")</f>
        <v>Abrir no Google Maps</v>
      </c>
      <c r="S1563">
        <v>4</v>
      </c>
      <c r="T1563">
        <v>911.82770913869297</v>
      </c>
      <c r="U1563">
        <v>4</v>
      </c>
      <c r="V1563">
        <v>0.19727891156462579</v>
      </c>
      <c r="W1563">
        <v>1</v>
      </c>
      <c r="X1563">
        <v>0.19727891156462579</v>
      </c>
      <c r="Y1563">
        <v>3</v>
      </c>
      <c r="Z1563">
        <v>306.43809582423751</v>
      </c>
      <c r="AA1563">
        <v>2</v>
      </c>
      <c r="AB1563">
        <v>3</v>
      </c>
      <c r="AC1563">
        <v>7</v>
      </c>
      <c r="AD1563">
        <v>26.28</v>
      </c>
      <c r="AE1563">
        <v>253</v>
      </c>
      <c r="AF1563">
        <v>16</v>
      </c>
      <c r="AG1563">
        <v>63</v>
      </c>
      <c r="AH1563">
        <v>32</v>
      </c>
      <c r="AI1563">
        <v>6.32</v>
      </c>
      <c r="AJ1563">
        <v>24.9</v>
      </c>
      <c r="AK1563">
        <v>12.65</v>
      </c>
      <c r="AL1563">
        <v>-19.669015399999981</v>
      </c>
      <c r="AM1563">
        <v>-43.88883436988452</v>
      </c>
      <c r="AN1563">
        <v>-19.669015399999971</v>
      </c>
      <c r="AO1563">
        <v>-43.88883436988452</v>
      </c>
      <c r="AP1563">
        <v>-19.668924000000001</v>
      </c>
      <c r="AQ1563">
        <v>-43.888824</v>
      </c>
      <c r="AR1563">
        <v>10.23254983885769</v>
      </c>
      <c r="AS1563" t="s">
        <v>65</v>
      </c>
      <c r="AT1563">
        <v>1</v>
      </c>
      <c r="AU1563" t="s">
        <v>222</v>
      </c>
      <c r="AV1563" t="s">
        <v>223</v>
      </c>
      <c r="AW1563" t="s">
        <v>60</v>
      </c>
      <c r="AX1563" t="s">
        <v>68</v>
      </c>
      <c r="AY1563" t="s">
        <v>69</v>
      </c>
      <c r="AZ1563" t="b">
        <v>1</v>
      </c>
    </row>
    <row r="1564" spans="1:52" x14ac:dyDescent="0.3">
      <c r="A1564" t="s">
        <v>52</v>
      </c>
      <c r="B1564" t="s">
        <v>53</v>
      </c>
      <c r="C1564" t="s">
        <v>54</v>
      </c>
      <c r="D1564" t="s">
        <v>55</v>
      </c>
      <c r="E1564" t="s">
        <v>845</v>
      </c>
      <c r="F1564" t="s">
        <v>57</v>
      </c>
      <c r="G1564" t="s">
        <v>246</v>
      </c>
      <c r="H1564" t="s">
        <v>247</v>
      </c>
      <c r="I1564" t="s">
        <v>247</v>
      </c>
      <c r="J1564" t="s">
        <v>60</v>
      </c>
      <c r="K1564" t="s">
        <v>164</v>
      </c>
      <c r="L1564" t="s">
        <v>62</v>
      </c>
      <c r="M1564" t="s">
        <v>164</v>
      </c>
      <c r="N1564" t="s">
        <v>248</v>
      </c>
      <c r="O1564" t="s">
        <v>249</v>
      </c>
      <c r="P1564">
        <v>-19.6448</v>
      </c>
      <c r="Q1564">
        <v>-43.901600999999999</v>
      </c>
      <c r="R1564" s="2" t="str">
        <f>HYPERLINK("https://www.google.com/maps?q=-19.6448000,-43.9016010","Abrir no Google Maps")</f>
        <v>Abrir no Google Maps</v>
      </c>
      <c r="S1564">
        <v>4</v>
      </c>
      <c r="T1564">
        <v>317.869447308274</v>
      </c>
      <c r="U1564">
        <v>4</v>
      </c>
      <c r="V1564">
        <v>0.1970802919708029</v>
      </c>
      <c r="W1564">
        <v>1</v>
      </c>
      <c r="X1564">
        <v>0.1970802919708029</v>
      </c>
      <c r="Y1564">
        <v>1</v>
      </c>
      <c r="Z1564">
        <v>349.42631749673592</v>
      </c>
      <c r="AA1564">
        <v>2</v>
      </c>
      <c r="AB1564">
        <v>3</v>
      </c>
      <c r="AC1564">
        <v>7</v>
      </c>
      <c r="AD1564">
        <v>26.28</v>
      </c>
      <c r="AE1564">
        <v>253</v>
      </c>
      <c r="AF1564">
        <v>16</v>
      </c>
      <c r="AG1564">
        <v>63</v>
      </c>
      <c r="AH1564">
        <v>32</v>
      </c>
      <c r="AI1564">
        <v>6.32</v>
      </c>
      <c r="AJ1564">
        <v>24.9</v>
      </c>
      <c r="AK1564">
        <v>12.65</v>
      </c>
      <c r="AL1564">
        <v>-19.644877249999951</v>
      </c>
      <c r="AM1564">
        <v>-43.901796079893373</v>
      </c>
      <c r="AN1564">
        <v>-19.644877249999951</v>
      </c>
      <c r="AO1564">
        <v>-43.901796079893373</v>
      </c>
      <c r="AP1564">
        <v>-19.6448</v>
      </c>
      <c r="AQ1564">
        <v>-43.901600999999999</v>
      </c>
      <c r="AR1564">
        <v>22.186635956426102</v>
      </c>
      <c r="AS1564" t="s">
        <v>65</v>
      </c>
      <c r="AT1564">
        <v>1</v>
      </c>
      <c r="AU1564" t="s">
        <v>250</v>
      </c>
      <c r="AV1564" t="s">
        <v>251</v>
      </c>
      <c r="AW1564" t="s">
        <v>60</v>
      </c>
      <c r="AX1564" t="s">
        <v>68</v>
      </c>
      <c r="AY1564" t="s">
        <v>69</v>
      </c>
      <c r="AZ1564" t="b">
        <v>1</v>
      </c>
    </row>
    <row r="1565" spans="1:52" x14ac:dyDescent="0.3">
      <c r="A1565" t="s">
        <v>52</v>
      </c>
      <c r="B1565" t="s">
        <v>53</v>
      </c>
      <c r="C1565" t="s">
        <v>54</v>
      </c>
      <c r="D1565" t="s">
        <v>55</v>
      </c>
      <c r="E1565" t="s">
        <v>845</v>
      </c>
      <c r="F1565" t="s">
        <v>57</v>
      </c>
      <c r="G1565" t="s">
        <v>252</v>
      </c>
      <c r="H1565" t="s">
        <v>253</v>
      </c>
      <c r="I1565" t="s">
        <v>253</v>
      </c>
      <c r="J1565" t="s">
        <v>60</v>
      </c>
      <c r="K1565" t="s">
        <v>164</v>
      </c>
      <c r="L1565" t="s">
        <v>62</v>
      </c>
      <c r="M1565" t="s">
        <v>164</v>
      </c>
      <c r="N1565" t="s">
        <v>254</v>
      </c>
      <c r="O1565" t="s">
        <v>255</v>
      </c>
      <c r="P1565">
        <v>-19.652244</v>
      </c>
      <c r="Q1565">
        <v>-43.906869</v>
      </c>
      <c r="R1565" s="2" t="str">
        <f>HYPERLINK("https://www.google.com/maps?q=-19.6522440,-43.9068690","Abrir no Google Maps")</f>
        <v>Abrir no Google Maps</v>
      </c>
      <c r="S1565">
        <v>4</v>
      </c>
      <c r="T1565">
        <v>659.98887289357856</v>
      </c>
      <c r="U1565">
        <v>4</v>
      </c>
      <c r="V1565">
        <v>0.18843283582089551</v>
      </c>
      <c r="W1565">
        <v>1</v>
      </c>
      <c r="X1565">
        <v>0.18843283582089551</v>
      </c>
      <c r="Y1565">
        <v>1</v>
      </c>
      <c r="Z1565">
        <v>607.69009953455907</v>
      </c>
      <c r="AA1565">
        <v>2</v>
      </c>
      <c r="AB1565">
        <v>3</v>
      </c>
      <c r="AC1565">
        <v>7</v>
      </c>
      <c r="AD1565">
        <v>26.28</v>
      </c>
      <c r="AE1565">
        <v>253</v>
      </c>
      <c r="AF1565">
        <v>16</v>
      </c>
      <c r="AG1565">
        <v>63</v>
      </c>
      <c r="AH1565">
        <v>32</v>
      </c>
      <c r="AI1565">
        <v>6.32</v>
      </c>
      <c r="AJ1565">
        <v>24.9</v>
      </c>
      <c r="AK1565">
        <v>12.65</v>
      </c>
      <c r="AL1565">
        <v>-19.65225609999996</v>
      </c>
      <c r="AM1565">
        <v>-43.906862663911163</v>
      </c>
      <c r="AN1565">
        <v>-19.65225609999996</v>
      </c>
      <c r="AO1565">
        <v>-43.906862663911149</v>
      </c>
      <c r="AP1565">
        <v>-19.652244</v>
      </c>
      <c r="AQ1565">
        <v>-43.906869</v>
      </c>
      <c r="AR1565">
        <v>1.501852076897872</v>
      </c>
      <c r="AS1565" t="s">
        <v>65</v>
      </c>
      <c r="AT1565">
        <v>1</v>
      </c>
      <c r="AU1565" t="s">
        <v>256</v>
      </c>
      <c r="AV1565" t="s">
        <v>257</v>
      </c>
      <c r="AW1565" t="s">
        <v>60</v>
      </c>
      <c r="AX1565" t="s">
        <v>68</v>
      </c>
      <c r="AY1565" t="s">
        <v>69</v>
      </c>
      <c r="AZ1565" t="b">
        <v>1</v>
      </c>
    </row>
    <row r="1566" spans="1:52" x14ac:dyDescent="0.3">
      <c r="A1566" t="s">
        <v>52</v>
      </c>
      <c r="B1566" t="s">
        <v>53</v>
      </c>
      <c r="C1566" t="s">
        <v>54</v>
      </c>
      <c r="D1566" t="s">
        <v>55</v>
      </c>
      <c r="E1566" t="s">
        <v>845</v>
      </c>
      <c r="F1566" t="s">
        <v>57</v>
      </c>
      <c r="G1566" t="s">
        <v>622</v>
      </c>
      <c r="H1566" t="s">
        <v>623</v>
      </c>
      <c r="I1566" t="s">
        <v>623</v>
      </c>
      <c r="J1566" t="s">
        <v>60</v>
      </c>
      <c r="K1566" t="s">
        <v>219</v>
      </c>
      <c r="L1566" t="s">
        <v>62</v>
      </c>
      <c r="M1566" t="s">
        <v>219</v>
      </c>
      <c r="N1566" t="s">
        <v>624</v>
      </c>
      <c r="O1566" t="s">
        <v>113</v>
      </c>
      <c r="P1566">
        <v>-19.670276999999999</v>
      </c>
      <c r="Q1566">
        <v>-43.893808</v>
      </c>
      <c r="R1566" s="2" t="str">
        <f>HYPERLINK("https://www.google.com/maps?q=-19.6702770,-43.8938080","Abrir no Google Maps")</f>
        <v>Abrir no Google Maps</v>
      </c>
      <c r="S1566">
        <v>4</v>
      </c>
      <c r="T1566">
        <v>846.9753608437735</v>
      </c>
      <c r="U1566">
        <v>4</v>
      </c>
      <c r="V1566">
        <v>0.18197278911564621</v>
      </c>
      <c r="W1566">
        <v>1</v>
      </c>
      <c r="X1566">
        <v>0.18197278911564621</v>
      </c>
      <c r="Y1566">
        <v>1</v>
      </c>
      <c r="Z1566">
        <v>600.43160852236622</v>
      </c>
      <c r="AA1566">
        <v>2</v>
      </c>
      <c r="AB1566">
        <v>3</v>
      </c>
      <c r="AC1566">
        <v>7</v>
      </c>
      <c r="AD1566">
        <v>26.28</v>
      </c>
      <c r="AE1566">
        <v>253</v>
      </c>
      <c r="AF1566">
        <v>16</v>
      </c>
      <c r="AG1566">
        <v>63</v>
      </c>
      <c r="AH1566">
        <v>32</v>
      </c>
      <c r="AI1566">
        <v>6.32</v>
      </c>
      <c r="AJ1566">
        <v>24.9</v>
      </c>
      <c r="AK1566">
        <v>12.65</v>
      </c>
      <c r="AL1566">
        <v>-19.670319349999971</v>
      </c>
      <c r="AM1566">
        <v>-43.893716431206371</v>
      </c>
      <c r="AN1566">
        <v>-19.670319349999971</v>
      </c>
      <c r="AO1566">
        <v>-43.893716431206371</v>
      </c>
      <c r="AP1566">
        <v>-19.670276999999999</v>
      </c>
      <c r="AQ1566">
        <v>-43.893808</v>
      </c>
      <c r="AR1566">
        <v>10.693863517034069</v>
      </c>
      <c r="AS1566" t="s">
        <v>65</v>
      </c>
      <c r="AT1566">
        <v>1</v>
      </c>
      <c r="AU1566" t="s">
        <v>625</v>
      </c>
      <c r="AV1566" t="s">
        <v>626</v>
      </c>
      <c r="AW1566" t="s">
        <v>60</v>
      </c>
      <c r="AX1566" t="s">
        <v>68</v>
      </c>
      <c r="AY1566" t="s">
        <v>69</v>
      </c>
      <c r="AZ1566" t="b">
        <v>1</v>
      </c>
    </row>
    <row r="1567" spans="1:52" x14ac:dyDescent="0.3">
      <c r="A1567" t="s">
        <v>52</v>
      </c>
      <c r="B1567" t="s">
        <v>53</v>
      </c>
      <c r="C1567" t="s">
        <v>54</v>
      </c>
      <c r="D1567" t="s">
        <v>55</v>
      </c>
      <c r="E1567" t="s">
        <v>845</v>
      </c>
      <c r="F1567" t="s">
        <v>57</v>
      </c>
      <c r="G1567" t="s">
        <v>217</v>
      </c>
      <c r="H1567" t="s">
        <v>264</v>
      </c>
      <c r="I1567" t="s">
        <v>264</v>
      </c>
      <c r="J1567" t="s">
        <v>60</v>
      </c>
      <c r="K1567" t="s">
        <v>219</v>
      </c>
      <c r="L1567" t="s">
        <v>62</v>
      </c>
      <c r="M1567" t="s">
        <v>219</v>
      </c>
      <c r="N1567" t="s">
        <v>220</v>
      </c>
      <c r="O1567" t="s">
        <v>265</v>
      </c>
      <c r="P1567">
        <v>-19.668958</v>
      </c>
      <c r="Q1567">
        <v>-43.890619999999998</v>
      </c>
      <c r="R1567" s="2" t="str">
        <f>HYPERLINK("https://www.google.com/maps?q=-19.6689580,-43.8906200","Abrir no Google Maps")</f>
        <v>Abrir no Google Maps</v>
      </c>
      <c r="S1567">
        <v>4</v>
      </c>
      <c r="T1567">
        <v>893.53138484322108</v>
      </c>
      <c r="U1567">
        <v>4</v>
      </c>
      <c r="V1567">
        <v>0.20265151515151511</v>
      </c>
      <c r="W1567">
        <v>1</v>
      </c>
      <c r="X1567">
        <v>0.20265151515151511</v>
      </c>
      <c r="Y1567">
        <v>1</v>
      </c>
      <c r="Z1567">
        <v>336.68220024294959</v>
      </c>
      <c r="AA1567">
        <v>2</v>
      </c>
      <c r="AB1567">
        <v>3</v>
      </c>
      <c r="AC1567">
        <v>7</v>
      </c>
      <c r="AD1567">
        <v>26.28</v>
      </c>
      <c r="AE1567">
        <v>253</v>
      </c>
      <c r="AF1567">
        <v>16</v>
      </c>
      <c r="AG1567">
        <v>63</v>
      </c>
      <c r="AH1567">
        <v>32</v>
      </c>
      <c r="AI1567">
        <v>6.32</v>
      </c>
      <c r="AJ1567">
        <v>24.9</v>
      </c>
      <c r="AK1567">
        <v>12.65</v>
      </c>
      <c r="AL1567">
        <v>-19.669114549999961</v>
      </c>
      <c r="AM1567">
        <v>-43.890740893526242</v>
      </c>
      <c r="AN1567">
        <v>-19.669114549999961</v>
      </c>
      <c r="AO1567">
        <v>-43.890740893526242</v>
      </c>
      <c r="AP1567">
        <v>-19.668958</v>
      </c>
      <c r="AQ1567">
        <v>-43.890619999999998</v>
      </c>
      <c r="AR1567">
        <v>21.54764375256557</v>
      </c>
      <c r="AS1567" t="s">
        <v>65</v>
      </c>
      <c r="AT1567">
        <v>1</v>
      </c>
      <c r="AU1567" t="s">
        <v>266</v>
      </c>
      <c r="AV1567" t="s">
        <v>267</v>
      </c>
      <c r="AW1567" t="s">
        <v>60</v>
      </c>
      <c r="AX1567" t="s">
        <v>68</v>
      </c>
      <c r="AY1567" t="s">
        <v>69</v>
      </c>
      <c r="AZ1567" t="b">
        <v>1</v>
      </c>
    </row>
    <row r="1568" spans="1:52" x14ac:dyDescent="0.3">
      <c r="A1568" t="s">
        <v>52</v>
      </c>
      <c r="B1568" t="s">
        <v>53</v>
      </c>
      <c r="C1568" t="s">
        <v>54</v>
      </c>
      <c r="D1568" t="s">
        <v>55</v>
      </c>
      <c r="E1568" t="s">
        <v>845</v>
      </c>
      <c r="F1568" t="s">
        <v>57</v>
      </c>
      <c r="G1568" t="s">
        <v>647</v>
      </c>
      <c r="H1568" t="s">
        <v>648</v>
      </c>
      <c r="I1568" t="s">
        <v>648</v>
      </c>
      <c r="J1568" t="s">
        <v>60</v>
      </c>
      <c r="K1568" t="s">
        <v>219</v>
      </c>
      <c r="L1568" t="s">
        <v>62</v>
      </c>
      <c r="M1568" t="s">
        <v>219</v>
      </c>
      <c r="N1568" t="s">
        <v>649</v>
      </c>
      <c r="O1568" t="s">
        <v>650</v>
      </c>
      <c r="P1568">
        <v>-19.665845999999998</v>
      </c>
      <c r="Q1568">
        <v>-43.889798999999996</v>
      </c>
      <c r="R1568" s="2" t="str">
        <f>HYPERLINK("https://www.google.com/maps?q=-19.6658460,-43.8897990","Abrir no Google Maps")</f>
        <v>Abrir no Google Maps</v>
      </c>
      <c r="S1568">
        <v>4</v>
      </c>
      <c r="T1568">
        <v>1250.455343908134</v>
      </c>
      <c r="U1568">
        <v>4</v>
      </c>
      <c r="V1568">
        <v>0.21764705882352939</v>
      </c>
      <c r="W1568">
        <v>0.85</v>
      </c>
      <c r="X1568">
        <v>0.185</v>
      </c>
      <c r="Y1568">
        <v>1</v>
      </c>
      <c r="Z1568">
        <v>82.379279290412427</v>
      </c>
      <c r="AA1568">
        <v>2</v>
      </c>
      <c r="AB1568">
        <v>3</v>
      </c>
      <c r="AC1568">
        <v>7</v>
      </c>
      <c r="AD1568">
        <v>26.28</v>
      </c>
      <c r="AE1568">
        <v>253</v>
      </c>
      <c r="AF1568">
        <v>16</v>
      </c>
      <c r="AG1568">
        <v>63</v>
      </c>
      <c r="AH1568">
        <v>32</v>
      </c>
      <c r="AI1568">
        <v>6.32</v>
      </c>
      <c r="AJ1568">
        <v>24.9</v>
      </c>
      <c r="AK1568">
        <v>12.65</v>
      </c>
      <c r="AL1568">
        <v>-19.665872099999941</v>
      </c>
      <c r="AM1568">
        <v>-43.889753298873359</v>
      </c>
      <c r="AN1568">
        <v>-19.665872099999941</v>
      </c>
      <c r="AO1568">
        <v>-43.889753298873359</v>
      </c>
      <c r="AP1568">
        <v>-19.665845999999998</v>
      </c>
      <c r="AQ1568">
        <v>-43.889798999999996</v>
      </c>
      <c r="AR1568">
        <v>5.6029010526379528</v>
      </c>
      <c r="AS1568" t="s">
        <v>65</v>
      </c>
      <c r="AT1568">
        <v>1</v>
      </c>
      <c r="AU1568" t="s">
        <v>651</v>
      </c>
      <c r="AV1568" t="s">
        <v>652</v>
      </c>
      <c r="AW1568" t="s">
        <v>60</v>
      </c>
      <c r="AX1568" t="s">
        <v>68</v>
      </c>
      <c r="AY1568" t="s">
        <v>69</v>
      </c>
      <c r="AZ1568" t="b">
        <v>1</v>
      </c>
    </row>
    <row r="1569" spans="1:52" x14ac:dyDescent="0.3">
      <c r="A1569" t="s">
        <v>52</v>
      </c>
      <c r="B1569" t="s">
        <v>53</v>
      </c>
      <c r="C1569" t="s">
        <v>54</v>
      </c>
      <c r="D1569" t="s">
        <v>55</v>
      </c>
      <c r="E1569" t="s">
        <v>845</v>
      </c>
      <c r="F1569" t="s">
        <v>57</v>
      </c>
      <c r="G1569" t="s">
        <v>658</v>
      </c>
      <c r="H1569" t="s">
        <v>659</v>
      </c>
      <c r="I1569" t="s">
        <v>659</v>
      </c>
      <c r="J1569" t="s">
        <v>60</v>
      </c>
      <c r="K1569" t="s">
        <v>219</v>
      </c>
      <c r="L1569" t="s">
        <v>62</v>
      </c>
      <c r="M1569" t="s">
        <v>219</v>
      </c>
      <c r="N1569" t="s">
        <v>660</v>
      </c>
      <c r="O1569" t="s">
        <v>661</v>
      </c>
      <c r="P1569">
        <v>-19.666937999999998</v>
      </c>
      <c r="Q1569">
        <v>-43.888468000000003</v>
      </c>
      <c r="R1569" s="2" t="str">
        <f>HYPERLINK("https://www.google.com/maps?q=-19.6669380,-43.8884680","Abrir no Google Maps")</f>
        <v>Abrir no Google Maps</v>
      </c>
      <c r="S1569">
        <v>4</v>
      </c>
      <c r="T1569">
        <v>1154.601486572938</v>
      </c>
      <c r="U1569">
        <v>4</v>
      </c>
      <c r="V1569">
        <v>0.212719298245614</v>
      </c>
      <c r="W1569">
        <v>0.85</v>
      </c>
      <c r="X1569">
        <v>0.1808114035087719</v>
      </c>
      <c r="Y1569">
        <v>1</v>
      </c>
      <c r="Z1569">
        <v>129.9648546404961</v>
      </c>
      <c r="AA1569">
        <v>2</v>
      </c>
      <c r="AB1569">
        <v>3</v>
      </c>
      <c r="AC1569">
        <v>7</v>
      </c>
      <c r="AD1569">
        <v>26.28</v>
      </c>
      <c r="AE1569">
        <v>253</v>
      </c>
      <c r="AF1569">
        <v>16</v>
      </c>
      <c r="AG1569">
        <v>63</v>
      </c>
      <c r="AH1569">
        <v>32</v>
      </c>
      <c r="AI1569">
        <v>6.32</v>
      </c>
      <c r="AJ1569">
        <v>24.9</v>
      </c>
      <c r="AK1569">
        <v>12.65</v>
      </c>
      <c r="AL1569">
        <v>-19.666844549999951</v>
      </c>
      <c r="AM1569">
        <v>-43.888501800017913</v>
      </c>
      <c r="AN1569">
        <v>-19.666844549999951</v>
      </c>
      <c r="AO1569">
        <v>-43.888501800017913</v>
      </c>
      <c r="AP1569">
        <v>-19.666937999999998</v>
      </c>
      <c r="AQ1569">
        <v>-43.888468000000003</v>
      </c>
      <c r="AR1569">
        <v>10.9896825754148</v>
      </c>
      <c r="AS1569" t="s">
        <v>65</v>
      </c>
      <c r="AT1569">
        <v>1</v>
      </c>
      <c r="AU1569" t="s">
        <v>662</v>
      </c>
      <c r="AV1569" t="s">
        <v>663</v>
      </c>
      <c r="AW1569" t="s">
        <v>60</v>
      </c>
      <c r="AX1569" t="s">
        <v>68</v>
      </c>
      <c r="AY1569" t="s">
        <v>69</v>
      </c>
      <c r="AZ1569" t="b">
        <v>1</v>
      </c>
    </row>
    <row r="1570" spans="1:52" x14ac:dyDescent="0.3">
      <c r="A1570" t="s">
        <v>52</v>
      </c>
      <c r="B1570" t="s">
        <v>53</v>
      </c>
      <c r="C1570" t="s">
        <v>54</v>
      </c>
      <c r="D1570" t="s">
        <v>55</v>
      </c>
      <c r="E1570" t="s">
        <v>845</v>
      </c>
      <c r="F1570" t="s">
        <v>57</v>
      </c>
      <c r="G1570" t="s">
        <v>268</v>
      </c>
      <c r="H1570" t="s">
        <v>269</v>
      </c>
      <c r="I1570" t="s">
        <v>269</v>
      </c>
      <c r="J1570" t="s">
        <v>60</v>
      </c>
      <c r="K1570" t="s">
        <v>164</v>
      </c>
      <c r="L1570" t="s">
        <v>62</v>
      </c>
      <c r="M1570" t="s">
        <v>164</v>
      </c>
      <c r="N1570" t="s">
        <v>270</v>
      </c>
      <c r="O1570" t="s">
        <v>113</v>
      </c>
      <c r="P1570">
        <v>-19.648771</v>
      </c>
      <c r="Q1570">
        <v>-43.903640000000003</v>
      </c>
      <c r="R1570" s="2" t="str">
        <f>HYPERLINK("https://www.google.com/maps?q=-19.6487710,-43.9036400","Abrir no Google Maps")</f>
        <v>Abrir no Google Maps</v>
      </c>
      <c r="S1570">
        <v>4</v>
      </c>
      <c r="T1570">
        <v>206.63717887005251</v>
      </c>
      <c r="U1570">
        <v>4</v>
      </c>
      <c r="V1570">
        <v>0.1988188976377952</v>
      </c>
      <c r="W1570">
        <v>1</v>
      </c>
      <c r="X1570">
        <v>0.1988188976377952</v>
      </c>
      <c r="Y1570">
        <v>1</v>
      </c>
      <c r="Z1570">
        <v>200.80459056276209</v>
      </c>
      <c r="AA1570">
        <v>2</v>
      </c>
      <c r="AB1570">
        <v>3</v>
      </c>
      <c r="AC1570">
        <v>7</v>
      </c>
      <c r="AD1570">
        <v>26.28</v>
      </c>
      <c r="AE1570">
        <v>253</v>
      </c>
      <c r="AF1570">
        <v>16</v>
      </c>
      <c r="AG1570">
        <v>63</v>
      </c>
      <c r="AH1570">
        <v>32</v>
      </c>
      <c r="AI1570">
        <v>6.32</v>
      </c>
      <c r="AJ1570">
        <v>24.9</v>
      </c>
      <c r="AK1570">
        <v>12.65</v>
      </c>
      <c r="AL1570">
        <v>-19.648938299999969</v>
      </c>
      <c r="AM1570">
        <v>-43.903687287450857</v>
      </c>
      <c r="AN1570">
        <v>-19.648938299999969</v>
      </c>
      <c r="AO1570">
        <v>-43.903687287450857</v>
      </c>
      <c r="AP1570">
        <v>-19.648771</v>
      </c>
      <c r="AQ1570">
        <v>-43.903640000000003</v>
      </c>
      <c r="AR1570">
        <v>19.272369946853829</v>
      </c>
      <c r="AS1570" t="s">
        <v>65</v>
      </c>
      <c r="AT1570">
        <v>1</v>
      </c>
      <c r="AU1570" t="s">
        <v>271</v>
      </c>
      <c r="AV1570" t="s">
        <v>272</v>
      </c>
      <c r="AW1570" t="s">
        <v>60</v>
      </c>
      <c r="AX1570" t="s">
        <v>68</v>
      </c>
      <c r="AY1570" t="s">
        <v>69</v>
      </c>
      <c r="AZ1570" t="b">
        <v>1</v>
      </c>
    </row>
    <row r="1571" spans="1:52" x14ac:dyDescent="0.3">
      <c r="A1571" t="s">
        <v>52</v>
      </c>
      <c r="B1571" t="s">
        <v>53</v>
      </c>
      <c r="C1571" t="s">
        <v>54</v>
      </c>
      <c r="D1571" t="s">
        <v>55</v>
      </c>
      <c r="E1571" t="s">
        <v>845</v>
      </c>
      <c r="F1571" t="s">
        <v>57</v>
      </c>
      <c r="G1571" t="s">
        <v>162</v>
      </c>
      <c r="H1571" t="s">
        <v>163</v>
      </c>
      <c r="I1571" t="s">
        <v>163</v>
      </c>
      <c r="J1571" t="s">
        <v>60</v>
      </c>
      <c r="K1571" t="s">
        <v>164</v>
      </c>
      <c r="L1571" t="s">
        <v>62</v>
      </c>
      <c r="M1571" t="s">
        <v>164</v>
      </c>
      <c r="N1571" t="s">
        <v>165</v>
      </c>
      <c r="O1571" t="s">
        <v>166</v>
      </c>
      <c r="P1571">
        <v>-19.650033000000001</v>
      </c>
      <c r="Q1571">
        <v>-43.904634000000001</v>
      </c>
      <c r="R1571" s="2" t="str">
        <f>HYPERLINK("https://www.google.com/maps?q=-19.6500330,-43.9046340","Abrir no Google Maps")</f>
        <v>Abrir no Google Maps</v>
      </c>
      <c r="S1571">
        <v>4</v>
      </c>
      <c r="T1571">
        <v>343.61469317865811</v>
      </c>
      <c r="U1571">
        <v>4</v>
      </c>
      <c r="V1571">
        <v>0.20940170940170941</v>
      </c>
      <c r="W1571">
        <v>1</v>
      </c>
      <c r="X1571">
        <v>0.20940170940170941</v>
      </c>
      <c r="Y1571">
        <v>1</v>
      </c>
      <c r="Z1571">
        <v>351.81960241626399</v>
      </c>
      <c r="AA1571">
        <v>2</v>
      </c>
      <c r="AB1571">
        <v>3</v>
      </c>
      <c r="AC1571">
        <v>7</v>
      </c>
      <c r="AD1571">
        <v>26.28</v>
      </c>
      <c r="AE1571">
        <v>253</v>
      </c>
      <c r="AF1571">
        <v>16</v>
      </c>
      <c r="AG1571">
        <v>63</v>
      </c>
      <c r="AH1571">
        <v>32</v>
      </c>
      <c r="AI1571">
        <v>6.32</v>
      </c>
      <c r="AJ1571">
        <v>24.9</v>
      </c>
      <c r="AK1571">
        <v>12.65</v>
      </c>
      <c r="AL1571">
        <v>-19.650065899999959</v>
      </c>
      <c r="AM1571">
        <v>-43.904619920569793</v>
      </c>
      <c r="AN1571">
        <v>-19.650065899999959</v>
      </c>
      <c r="AO1571">
        <v>-43.904619920569793</v>
      </c>
      <c r="AP1571">
        <v>-19.650033000000001</v>
      </c>
      <c r="AQ1571">
        <v>-43.904634000000001</v>
      </c>
      <c r="AR1571">
        <v>3.9486827164921792</v>
      </c>
      <c r="AS1571" t="s">
        <v>65</v>
      </c>
      <c r="AT1571">
        <v>1</v>
      </c>
      <c r="AU1571" t="s">
        <v>167</v>
      </c>
      <c r="AV1571" t="s">
        <v>168</v>
      </c>
      <c r="AW1571" t="s">
        <v>60</v>
      </c>
      <c r="AX1571" t="s">
        <v>68</v>
      </c>
      <c r="AY1571" t="s">
        <v>69</v>
      </c>
      <c r="AZ1571" t="b">
        <v>1</v>
      </c>
    </row>
    <row r="1572" spans="1:52" x14ac:dyDescent="0.3">
      <c r="A1572" t="s">
        <v>52</v>
      </c>
      <c r="B1572" t="s">
        <v>53</v>
      </c>
      <c r="C1572" t="s">
        <v>54</v>
      </c>
      <c r="D1572" t="s">
        <v>55</v>
      </c>
      <c r="E1572" t="s">
        <v>845</v>
      </c>
      <c r="F1572" t="s">
        <v>57</v>
      </c>
      <c r="G1572" t="s">
        <v>273</v>
      </c>
      <c r="H1572" t="s">
        <v>274</v>
      </c>
      <c r="I1572" t="s">
        <v>274</v>
      </c>
      <c r="J1572" t="s">
        <v>60</v>
      </c>
      <c r="K1572" t="s">
        <v>171</v>
      </c>
      <c r="L1572" t="s">
        <v>62</v>
      </c>
      <c r="M1572" t="s">
        <v>171</v>
      </c>
      <c r="N1572" t="s">
        <v>275</v>
      </c>
      <c r="O1572" t="s">
        <v>276</v>
      </c>
      <c r="P1572">
        <v>-19.679956000000001</v>
      </c>
      <c r="Q1572">
        <v>-43.888520999999997</v>
      </c>
      <c r="R1572" s="2" t="str">
        <f>HYPERLINK("https://www.google.com/maps?q=-19.6799560,-43.8885210","Abrir no Google Maps")</f>
        <v>Abrir no Google Maps</v>
      </c>
      <c r="S1572">
        <v>4</v>
      </c>
      <c r="T1572">
        <v>346.2974251077423</v>
      </c>
      <c r="U1572">
        <v>4</v>
      </c>
      <c r="V1572">
        <v>0.1859903381642512</v>
      </c>
      <c r="W1572">
        <v>1</v>
      </c>
      <c r="X1572">
        <v>0.1859903381642512</v>
      </c>
      <c r="Y1572">
        <v>0</v>
      </c>
      <c r="Z1572">
        <v>223.68420981797229</v>
      </c>
      <c r="AA1572">
        <v>2</v>
      </c>
      <c r="AB1572">
        <v>3</v>
      </c>
      <c r="AC1572">
        <v>7</v>
      </c>
      <c r="AD1572">
        <v>26.28</v>
      </c>
      <c r="AE1572">
        <v>253</v>
      </c>
      <c r="AF1572">
        <v>16</v>
      </c>
      <c r="AG1572">
        <v>63</v>
      </c>
      <c r="AH1572">
        <v>32</v>
      </c>
      <c r="AI1572">
        <v>6.32</v>
      </c>
      <c r="AJ1572">
        <v>24.9</v>
      </c>
      <c r="AK1572">
        <v>12.65</v>
      </c>
      <c r="AL1572">
        <v>-19.67989189999998</v>
      </c>
      <c r="AM1572">
        <v>-43.888485157753777</v>
      </c>
      <c r="AN1572">
        <v>-19.67989189999998</v>
      </c>
      <c r="AO1572">
        <v>-43.888485157753777</v>
      </c>
      <c r="AP1572">
        <v>-19.679956000000001</v>
      </c>
      <c r="AQ1572">
        <v>-43.888520999999997</v>
      </c>
      <c r="AR1572">
        <v>8.0641961934087583</v>
      </c>
      <c r="AS1572" t="s">
        <v>65</v>
      </c>
      <c r="AT1572">
        <v>1</v>
      </c>
      <c r="AU1572" t="s">
        <v>277</v>
      </c>
      <c r="AV1572" t="s">
        <v>278</v>
      </c>
      <c r="AW1572" t="s">
        <v>60</v>
      </c>
      <c r="AX1572" t="s">
        <v>68</v>
      </c>
      <c r="AY1572" t="s">
        <v>69</v>
      </c>
      <c r="AZ1572" t="b">
        <v>1</v>
      </c>
    </row>
    <row r="1573" spans="1:52" x14ac:dyDescent="0.3">
      <c r="A1573" t="s">
        <v>52</v>
      </c>
      <c r="B1573" t="s">
        <v>53</v>
      </c>
      <c r="C1573" t="s">
        <v>54</v>
      </c>
      <c r="D1573" t="s">
        <v>55</v>
      </c>
      <c r="E1573" t="s">
        <v>845</v>
      </c>
      <c r="F1573" t="s">
        <v>57</v>
      </c>
      <c r="G1573" t="s">
        <v>279</v>
      </c>
      <c r="H1573" t="s">
        <v>280</v>
      </c>
      <c r="I1573" t="s">
        <v>280</v>
      </c>
      <c r="J1573" t="s">
        <v>60</v>
      </c>
      <c r="K1573" t="s">
        <v>171</v>
      </c>
      <c r="L1573" t="s">
        <v>62</v>
      </c>
      <c r="M1573" t="s">
        <v>171</v>
      </c>
      <c r="N1573" t="s">
        <v>281</v>
      </c>
      <c r="O1573" t="s">
        <v>282</v>
      </c>
      <c r="P1573">
        <v>-19.677088000000001</v>
      </c>
      <c r="Q1573">
        <v>-43.890014000000001</v>
      </c>
      <c r="R1573" s="2" t="str">
        <f>HYPERLINK("https://www.google.com/maps?q=-19.6770880,-43.8900140","Abrir no Google Maps")</f>
        <v>Abrir no Google Maps</v>
      </c>
      <c r="S1573">
        <v>4</v>
      </c>
      <c r="T1573">
        <v>0</v>
      </c>
      <c r="U1573">
        <v>4</v>
      </c>
      <c r="V1573">
        <v>0.18907563025210081</v>
      </c>
      <c r="W1573">
        <v>1</v>
      </c>
      <c r="X1573">
        <v>0.18907563025210081</v>
      </c>
      <c r="Y1573">
        <v>0</v>
      </c>
      <c r="Z1573">
        <v>151.75635194559609</v>
      </c>
      <c r="AA1573">
        <v>2</v>
      </c>
      <c r="AB1573">
        <v>3</v>
      </c>
      <c r="AC1573">
        <v>7</v>
      </c>
      <c r="AD1573">
        <v>26.28</v>
      </c>
      <c r="AE1573">
        <v>253</v>
      </c>
      <c r="AF1573">
        <v>16</v>
      </c>
      <c r="AG1573">
        <v>63</v>
      </c>
      <c r="AH1573">
        <v>32</v>
      </c>
      <c r="AI1573">
        <v>6.32</v>
      </c>
      <c r="AJ1573">
        <v>24.9</v>
      </c>
      <c r="AK1573">
        <v>12.65</v>
      </c>
      <c r="AL1573">
        <v>-19.677165649999949</v>
      </c>
      <c r="AM1573">
        <v>-43.890106299611283</v>
      </c>
      <c r="AN1573">
        <v>-19.677165649999949</v>
      </c>
      <c r="AO1573">
        <v>-43.890106299611283</v>
      </c>
      <c r="AP1573">
        <v>-19.677088000000001</v>
      </c>
      <c r="AQ1573">
        <v>-43.890014000000001</v>
      </c>
      <c r="AR1573">
        <v>12.973833126778279</v>
      </c>
      <c r="AS1573" t="s">
        <v>65</v>
      </c>
      <c r="AT1573">
        <v>1</v>
      </c>
      <c r="AU1573" t="s">
        <v>283</v>
      </c>
      <c r="AV1573" t="s">
        <v>175</v>
      </c>
      <c r="AW1573" t="s">
        <v>60</v>
      </c>
      <c r="AX1573" t="s">
        <v>68</v>
      </c>
      <c r="AY1573" t="s">
        <v>69</v>
      </c>
      <c r="AZ1573" t="b">
        <v>1</v>
      </c>
    </row>
    <row r="1574" spans="1:52" x14ac:dyDescent="0.3">
      <c r="A1574" t="s">
        <v>52</v>
      </c>
      <c r="B1574" t="s">
        <v>53</v>
      </c>
      <c r="C1574" t="s">
        <v>54</v>
      </c>
      <c r="D1574" t="s">
        <v>55</v>
      </c>
      <c r="E1574" t="s">
        <v>845</v>
      </c>
      <c r="F1574" t="s">
        <v>57</v>
      </c>
      <c r="G1574" t="s">
        <v>664</v>
      </c>
      <c r="H1574" t="s">
        <v>665</v>
      </c>
      <c r="I1574" t="s">
        <v>665</v>
      </c>
      <c r="J1574" t="s">
        <v>60</v>
      </c>
      <c r="K1574" t="s">
        <v>666</v>
      </c>
      <c r="L1574" t="s">
        <v>62</v>
      </c>
      <c r="M1574" t="s">
        <v>666</v>
      </c>
      <c r="N1574" t="s">
        <v>667</v>
      </c>
      <c r="O1574" t="s">
        <v>120</v>
      </c>
      <c r="P1574">
        <v>-19.682517000000001</v>
      </c>
      <c r="Q1574">
        <v>-43.886673000000002</v>
      </c>
      <c r="R1574" s="2" t="str">
        <f>HYPERLINK("https://www.google.com/maps?q=-19.6825170,-43.8866730","Abrir no Google Maps")</f>
        <v>Abrir no Google Maps</v>
      </c>
      <c r="S1574">
        <v>4</v>
      </c>
      <c r="T1574">
        <v>688.73237714666766</v>
      </c>
      <c r="U1574">
        <v>4</v>
      </c>
      <c r="V1574">
        <v>0.2130681818181818</v>
      </c>
      <c r="W1574">
        <v>0.85</v>
      </c>
      <c r="X1574">
        <v>0.1811079545454545</v>
      </c>
      <c r="Y1574">
        <v>0</v>
      </c>
      <c r="Z1574">
        <v>961.20849723967763</v>
      </c>
      <c r="AA1574">
        <v>2</v>
      </c>
      <c r="AB1574">
        <v>3</v>
      </c>
      <c r="AC1574">
        <v>7</v>
      </c>
      <c r="AD1574">
        <v>26.28</v>
      </c>
      <c r="AE1574">
        <v>253</v>
      </c>
      <c r="AF1574">
        <v>16</v>
      </c>
      <c r="AG1574">
        <v>63</v>
      </c>
      <c r="AH1574">
        <v>32</v>
      </c>
      <c r="AI1574">
        <v>6.32</v>
      </c>
      <c r="AJ1574">
        <v>24.9</v>
      </c>
      <c r="AK1574">
        <v>12.65</v>
      </c>
      <c r="AL1574">
        <v>-19.683136299999941</v>
      </c>
      <c r="AM1574">
        <v>-43.888254237759512</v>
      </c>
      <c r="AN1574">
        <v>-19.683136299999941</v>
      </c>
      <c r="AO1574">
        <v>-43.888254237759512</v>
      </c>
      <c r="AP1574">
        <v>-19.682517000000001</v>
      </c>
      <c r="AQ1574">
        <v>-43.886673000000002</v>
      </c>
      <c r="AR1574">
        <v>179.50479253324011</v>
      </c>
      <c r="AS1574" t="s">
        <v>65</v>
      </c>
      <c r="AT1574">
        <v>1</v>
      </c>
      <c r="AU1574" t="s">
        <v>668</v>
      </c>
      <c r="AV1574" t="s">
        <v>669</v>
      </c>
      <c r="AW1574" t="s">
        <v>60</v>
      </c>
      <c r="AX1574" t="s">
        <v>68</v>
      </c>
      <c r="AY1574" t="s">
        <v>69</v>
      </c>
      <c r="AZ1574" t="b">
        <v>1</v>
      </c>
    </row>
    <row r="1575" spans="1:52" x14ac:dyDescent="0.3">
      <c r="A1575" t="s">
        <v>52</v>
      </c>
      <c r="B1575" t="s">
        <v>53</v>
      </c>
      <c r="C1575" t="s">
        <v>54</v>
      </c>
      <c r="D1575" t="s">
        <v>55</v>
      </c>
      <c r="E1575" t="s">
        <v>845</v>
      </c>
      <c r="F1575" t="s">
        <v>176</v>
      </c>
      <c r="G1575" t="s">
        <v>58</v>
      </c>
      <c r="H1575" t="s">
        <v>59</v>
      </c>
      <c r="I1575" t="s">
        <v>59</v>
      </c>
      <c r="J1575" t="s">
        <v>60</v>
      </c>
      <c r="K1575" t="s">
        <v>61</v>
      </c>
      <c r="L1575" t="s">
        <v>62</v>
      </c>
      <c r="M1575" t="s">
        <v>61</v>
      </c>
      <c r="N1575" t="s">
        <v>63</v>
      </c>
      <c r="O1575" t="s">
        <v>64</v>
      </c>
      <c r="P1575">
        <v>-19.631502000000001</v>
      </c>
      <c r="Q1575">
        <v>-43.910241999999997</v>
      </c>
      <c r="R1575" s="2" t="str">
        <f>HYPERLINK("https://www.google.com/maps?q=-19.6315020,-43.9102420","Abrir no Google Maps")</f>
        <v>Abrir no Google Maps</v>
      </c>
      <c r="S1575">
        <v>4</v>
      </c>
      <c r="T1575">
        <v>789.20099406682743</v>
      </c>
      <c r="U1575">
        <v>3</v>
      </c>
      <c r="V1575">
        <v>0.1584645669291338</v>
      </c>
      <c r="W1575">
        <v>1</v>
      </c>
      <c r="X1575">
        <v>0.1584645669291338</v>
      </c>
      <c r="Y1575">
        <v>10</v>
      </c>
      <c r="Z1575">
        <v>691.44930074509864</v>
      </c>
      <c r="AA1575">
        <v>2</v>
      </c>
      <c r="AB1575">
        <v>3</v>
      </c>
      <c r="AC1575">
        <v>7</v>
      </c>
      <c r="AD1575">
        <v>26.28</v>
      </c>
      <c r="AE1575">
        <v>253</v>
      </c>
      <c r="AF1575">
        <v>16</v>
      </c>
      <c r="AG1575">
        <v>63</v>
      </c>
      <c r="AH1575">
        <v>32</v>
      </c>
      <c r="AI1575">
        <v>6.32</v>
      </c>
      <c r="AJ1575">
        <v>24.9</v>
      </c>
      <c r="AK1575">
        <v>12.65</v>
      </c>
      <c r="AL1575">
        <v>-19.631719749999949</v>
      </c>
      <c r="AM1575">
        <v>-43.910102324517517</v>
      </c>
      <c r="AN1575">
        <v>-19.631719749999949</v>
      </c>
      <c r="AO1575">
        <v>-43.910102324517517</v>
      </c>
      <c r="AP1575">
        <v>-19.631502000000001</v>
      </c>
      <c r="AQ1575">
        <v>-43.910241999999997</v>
      </c>
      <c r="AR1575">
        <v>28.320416429206599</v>
      </c>
      <c r="AS1575" t="s">
        <v>65</v>
      </c>
      <c r="AT1575">
        <v>1</v>
      </c>
      <c r="AU1575" t="s">
        <v>66</v>
      </c>
      <c r="AV1575" t="s">
        <v>67</v>
      </c>
      <c r="AW1575" t="s">
        <v>60</v>
      </c>
      <c r="AX1575" t="s">
        <v>68</v>
      </c>
      <c r="AY1575" t="s">
        <v>69</v>
      </c>
      <c r="AZ1575" t="b">
        <v>1</v>
      </c>
    </row>
    <row r="1576" spans="1:52" x14ac:dyDescent="0.3">
      <c r="A1576" t="s">
        <v>52</v>
      </c>
      <c r="B1576" t="s">
        <v>53</v>
      </c>
      <c r="C1576" t="s">
        <v>54</v>
      </c>
      <c r="D1576" t="s">
        <v>55</v>
      </c>
      <c r="E1576" t="s">
        <v>845</v>
      </c>
      <c r="F1576" t="s">
        <v>176</v>
      </c>
      <c r="G1576" t="s">
        <v>91</v>
      </c>
      <c r="H1576" t="s">
        <v>92</v>
      </c>
      <c r="I1576" t="s">
        <v>92</v>
      </c>
      <c r="J1576" t="s">
        <v>60</v>
      </c>
      <c r="K1576" t="s">
        <v>86</v>
      </c>
      <c r="L1576" t="s">
        <v>62</v>
      </c>
      <c r="M1576" t="s">
        <v>86</v>
      </c>
      <c r="N1576" t="s">
        <v>93</v>
      </c>
      <c r="O1576" t="s">
        <v>94</v>
      </c>
      <c r="P1576">
        <v>-19.630676999999999</v>
      </c>
      <c r="Q1576">
        <v>-43.907255999999997</v>
      </c>
      <c r="R1576" s="2" t="str">
        <f>HYPERLINK("https://www.google.com/maps?q=-19.6306770,-43.9072560","Abrir no Google Maps")</f>
        <v>Abrir no Google Maps</v>
      </c>
      <c r="S1576">
        <v>4</v>
      </c>
      <c r="T1576">
        <v>545.39374622597825</v>
      </c>
      <c r="U1576">
        <v>3</v>
      </c>
      <c r="V1576">
        <v>0.1666666666666666</v>
      </c>
      <c r="W1576">
        <v>1</v>
      </c>
      <c r="X1576">
        <v>0.1666666666666666</v>
      </c>
      <c r="Y1576">
        <v>10</v>
      </c>
      <c r="Z1576">
        <v>559.94033759457182</v>
      </c>
      <c r="AA1576">
        <v>2</v>
      </c>
      <c r="AB1576">
        <v>3</v>
      </c>
      <c r="AC1576">
        <v>7</v>
      </c>
      <c r="AD1576">
        <v>26.28</v>
      </c>
      <c r="AE1576">
        <v>253</v>
      </c>
      <c r="AF1576">
        <v>16</v>
      </c>
      <c r="AG1576">
        <v>63</v>
      </c>
      <c r="AH1576">
        <v>32</v>
      </c>
      <c r="AI1576">
        <v>6.32</v>
      </c>
      <c r="AJ1576">
        <v>24.9</v>
      </c>
      <c r="AK1576">
        <v>12.65</v>
      </c>
      <c r="AL1576">
        <v>-19.630448649999941</v>
      </c>
      <c r="AM1576">
        <v>-43.907268502495313</v>
      </c>
      <c r="AN1576">
        <v>-19.630448649999941</v>
      </c>
      <c r="AO1576">
        <v>-43.907268502495313</v>
      </c>
      <c r="AP1576">
        <v>-19.630676999999999</v>
      </c>
      <c r="AQ1576">
        <v>-43.907255999999997</v>
      </c>
      <c r="AR1576">
        <v>25.453700276562468</v>
      </c>
      <c r="AS1576" t="s">
        <v>65</v>
      </c>
      <c r="AT1576">
        <v>1</v>
      </c>
      <c r="AU1576" t="s">
        <v>95</v>
      </c>
      <c r="AV1576" t="s">
        <v>96</v>
      </c>
      <c r="AW1576" t="s">
        <v>60</v>
      </c>
      <c r="AX1576" t="s">
        <v>68</v>
      </c>
      <c r="AY1576" t="s">
        <v>69</v>
      </c>
      <c r="AZ1576" t="b">
        <v>1</v>
      </c>
    </row>
    <row r="1577" spans="1:52" x14ac:dyDescent="0.3">
      <c r="A1577" t="s">
        <v>52</v>
      </c>
      <c r="B1577" t="s">
        <v>53</v>
      </c>
      <c r="C1577" t="s">
        <v>54</v>
      </c>
      <c r="D1577" t="s">
        <v>55</v>
      </c>
      <c r="E1577" t="s">
        <v>845</v>
      </c>
      <c r="F1577" t="s">
        <v>176</v>
      </c>
      <c r="G1577" t="s">
        <v>177</v>
      </c>
      <c r="H1577" t="s">
        <v>178</v>
      </c>
      <c r="I1577" t="s">
        <v>178</v>
      </c>
      <c r="J1577" t="s">
        <v>60</v>
      </c>
      <c r="K1577" t="s">
        <v>179</v>
      </c>
      <c r="L1577" t="s">
        <v>62</v>
      </c>
      <c r="M1577" t="s">
        <v>179</v>
      </c>
      <c r="N1577" t="s">
        <v>180</v>
      </c>
      <c r="O1577" t="s">
        <v>120</v>
      </c>
      <c r="P1577">
        <v>-19.651526</v>
      </c>
      <c r="Q1577">
        <v>-43.891382999999998</v>
      </c>
      <c r="R1577" s="2" t="str">
        <f>HYPERLINK("https://www.google.com/maps?q=-19.6515260,-43.8913830","Abrir no Google Maps")</f>
        <v>Abrir no Google Maps</v>
      </c>
      <c r="S1577">
        <v>4</v>
      </c>
      <c r="T1577">
        <v>925.67779296789433</v>
      </c>
      <c r="U1577">
        <v>3</v>
      </c>
      <c r="V1577">
        <v>0.17857142857142849</v>
      </c>
      <c r="W1577">
        <v>1</v>
      </c>
      <c r="X1577">
        <v>0.17857142857142849</v>
      </c>
      <c r="Y1577">
        <v>7</v>
      </c>
      <c r="Z1577">
        <v>1193.102297436121</v>
      </c>
      <c r="AA1577">
        <v>2</v>
      </c>
      <c r="AB1577">
        <v>3</v>
      </c>
      <c r="AC1577">
        <v>7</v>
      </c>
      <c r="AD1577">
        <v>26.28</v>
      </c>
      <c r="AE1577">
        <v>253</v>
      </c>
      <c r="AF1577">
        <v>16</v>
      </c>
      <c r="AG1577">
        <v>63</v>
      </c>
      <c r="AH1577">
        <v>32</v>
      </c>
      <c r="AI1577">
        <v>6.32</v>
      </c>
      <c r="AJ1577">
        <v>24.9</v>
      </c>
      <c r="AK1577">
        <v>12.65</v>
      </c>
      <c r="AL1577">
        <v>-19.651590199999958</v>
      </c>
      <c r="AM1577">
        <v>-43.891399191449963</v>
      </c>
      <c r="AN1577">
        <v>-19.651590199999958</v>
      </c>
      <c r="AO1577">
        <v>-43.891399191449963</v>
      </c>
      <c r="AP1577">
        <v>-19.651526</v>
      </c>
      <c r="AQ1577">
        <v>-43.891382999999998</v>
      </c>
      <c r="AR1577">
        <v>7.3455622550785931</v>
      </c>
      <c r="AS1577" t="s">
        <v>65</v>
      </c>
      <c r="AT1577">
        <v>1</v>
      </c>
      <c r="AU1577" t="s">
        <v>181</v>
      </c>
      <c r="AV1577" t="s">
        <v>182</v>
      </c>
      <c r="AW1577" t="s">
        <v>60</v>
      </c>
      <c r="AX1577" t="s">
        <v>68</v>
      </c>
      <c r="AY1577" t="s">
        <v>69</v>
      </c>
      <c r="AZ1577" t="b">
        <v>1</v>
      </c>
    </row>
    <row r="1578" spans="1:52" x14ac:dyDescent="0.3">
      <c r="A1578" t="s">
        <v>52</v>
      </c>
      <c r="B1578" t="s">
        <v>53</v>
      </c>
      <c r="C1578" t="s">
        <v>54</v>
      </c>
      <c r="D1578" t="s">
        <v>55</v>
      </c>
      <c r="E1578" t="s">
        <v>845</v>
      </c>
      <c r="F1578" t="s">
        <v>176</v>
      </c>
      <c r="G1578" t="s">
        <v>197</v>
      </c>
      <c r="H1578" t="s">
        <v>198</v>
      </c>
      <c r="I1578" t="s">
        <v>198</v>
      </c>
      <c r="J1578" t="s">
        <v>60</v>
      </c>
      <c r="K1578" t="s">
        <v>199</v>
      </c>
      <c r="L1578" t="s">
        <v>62</v>
      </c>
      <c r="M1578" t="s">
        <v>199</v>
      </c>
      <c r="N1578" t="s">
        <v>200</v>
      </c>
      <c r="O1578" t="s">
        <v>201</v>
      </c>
      <c r="P1578">
        <v>-19.639250000000001</v>
      </c>
      <c r="Q1578">
        <v>-43.916449999999998</v>
      </c>
      <c r="R1578" s="2" t="str">
        <f>HYPERLINK("https://www.google.com/maps?q=-19.6392500,-43.9164500","Abrir no Google Maps")</f>
        <v>Abrir no Google Maps</v>
      </c>
      <c r="S1578">
        <v>4</v>
      </c>
      <c r="T1578">
        <v>249.46350881074861</v>
      </c>
      <c r="U1578">
        <v>3</v>
      </c>
      <c r="V1578">
        <v>0.1776960784313725</v>
      </c>
      <c r="W1578">
        <v>1</v>
      </c>
      <c r="X1578">
        <v>0.1776960784313725</v>
      </c>
      <c r="Y1578">
        <v>3</v>
      </c>
      <c r="Z1578">
        <v>267.54148787490578</v>
      </c>
      <c r="AA1578">
        <v>2</v>
      </c>
      <c r="AB1578">
        <v>3</v>
      </c>
      <c r="AC1578">
        <v>7</v>
      </c>
      <c r="AD1578">
        <v>26.28</v>
      </c>
      <c r="AE1578">
        <v>253</v>
      </c>
      <c r="AF1578">
        <v>16</v>
      </c>
      <c r="AG1578">
        <v>63</v>
      </c>
      <c r="AH1578">
        <v>32</v>
      </c>
      <c r="AI1578">
        <v>6.32</v>
      </c>
      <c r="AJ1578">
        <v>24.9</v>
      </c>
      <c r="AK1578">
        <v>12.65</v>
      </c>
      <c r="AL1578">
        <v>-19.639331149999951</v>
      </c>
      <c r="AM1578">
        <v>-43.916434187886892</v>
      </c>
      <c r="AN1578">
        <v>-19.639331149999951</v>
      </c>
      <c r="AO1578">
        <v>-43.916434187886892</v>
      </c>
      <c r="AP1578">
        <v>-19.639250000000001</v>
      </c>
      <c r="AQ1578">
        <v>-43.916449999999998</v>
      </c>
      <c r="AR1578">
        <v>9.1844750188843953</v>
      </c>
      <c r="AS1578" t="s">
        <v>65</v>
      </c>
      <c r="AT1578">
        <v>1</v>
      </c>
      <c r="AU1578" t="s">
        <v>202</v>
      </c>
      <c r="AV1578" t="s">
        <v>203</v>
      </c>
      <c r="AW1578" t="s">
        <v>60</v>
      </c>
      <c r="AX1578" t="s">
        <v>68</v>
      </c>
      <c r="AY1578" t="s">
        <v>69</v>
      </c>
      <c r="AZ1578" t="b">
        <v>1</v>
      </c>
    </row>
    <row r="1579" spans="1:52" x14ac:dyDescent="0.3">
      <c r="A1579" t="s">
        <v>52</v>
      </c>
      <c r="B1579" t="s">
        <v>53</v>
      </c>
      <c r="C1579" t="s">
        <v>54</v>
      </c>
      <c r="D1579" t="s">
        <v>55</v>
      </c>
      <c r="E1579" t="s">
        <v>845</v>
      </c>
      <c r="F1579" t="s">
        <v>176</v>
      </c>
      <c r="G1579" t="s">
        <v>438</v>
      </c>
      <c r="H1579" t="s">
        <v>627</v>
      </c>
      <c r="I1579" t="s">
        <v>627</v>
      </c>
      <c r="J1579" t="s">
        <v>60</v>
      </c>
      <c r="K1579" t="s">
        <v>628</v>
      </c>
      <c r="L1579" t="s">
        <v>62</v>
      </c>
      <c r="M1579" t="s">
        <v>628</v>
      </c>
      <c r="N1579" t="s">
        <v>629</v>
      </c>
      <c r="O1579" t="s">
        <v>120</v>
      </c>
      <c r="P1579">
        <v>-19.628743</v>
      </c>
      <c r="Q1579">
        <v>-43.943513000000003</v>
      </c>
      <c r="R1579" s="2" t="str">
        <f>HYPERLINK("https://www.google.com/maps?q=-19.6287430,-43.9435130","Abrir no Google Maps")</f>
        <v>Abrir no Google Maps</v>
      </c>
      <c r="S1579">
        <v>4</v>
      </c>
      <c r="T1579">
        <v>3557.9101481053699</v>
      </c>
      <c r="U1579">
        <v>3</v>
      </c>
      <c r="V1579">
        <v>0.1802325581395349</v>
      </c>
      <c r="W1579">
        <v>0.85</v>
      </c>
      <c r="X1579">
        <v>0.15319767441860471</v>
      </c>
      <c r="Y1579">
        <v>3</v>
      </c>
      <c r="Z1579">
        <v>2502.7249183190038</v>
      </c>
      <c r="AA1579">
        <v>2</v>
      </c>
      <c r="AB1579">
        <v>3</v>
      </c>
      <c r="AC1579">
        <v>7</v>
      </c>
      <c r="AD1579">
        <v>26.28</v>
      </c>
      <c r="AE1579">
        <v>253</v>
      </c>
      <c r="AF1579">
        <v>16</v>
      </c>
      <c r="AG1579">
        <v>63</v>
      </c>
      <c r="AH1579">
        <v>32</v>
      </c>
      <c r="AI1579">
        <v>6.32</v>
      </c>
      <c r="AJ1579">
        <v>24.9</v>
      </c>
      <c r="AK1579">
        <v>12.65</v>
      </c>
      <c r="AL1579">
        <v>-19.629071349999951</v>
      </c>
      <c r="AM1579">
        <v>-43.948698793409463</v>
      </c>
      <c r="AN1579">
        <v>-19.629071349999951</v>
      </c>
      <c r="AO1579">
        <v>-43.948698793409463</v>
      </c>
      <c r="AP1579">
        <v>-19.628743</v>
      </c>
      <c r="AQ1579">
        <v>-43.943513000000003</v>
      </c>
      <c r="AR1579">
        <v>544.96217050785538</v>
      </c>
      <c r="AS1579" t="s">
        <v>65</v>
      </c>
      <c r="AT1579">
        <v>1</v>
      </c>
      <c r="AU1579" t="s">
        <v>630</v>
      </c>
      <c r="AV1579" t="s">
        <v>631</v>
      </c>
      <c r="AW1579" t="s">
        <v>60</v>
      </c>
      <c r="AX1579" t="s">
        <v>68</v>
      </c>
      <c r="AY1579" t="s">
        <v>69</v>
      </c>
      <c r="AZ1579" t="b">
        <v>1</v>
      </c>
    </row>
    <row r="1580" spans="1:52" x14ac:dyDescent="0.3">
      <c r="A1580" t="s">
        <v>52</v>
      </c>
      <c r="B1580" t="s">
        <v>53</v>
      </c>
      <c r="C1580" t="s">
        <v>54</v>
      </c>
      <c r="D1580" t="s">
        <v>55</v>
      </c>
      <c r="E1580" t="s">
        <v>845</v>
      </c>
      <c r="F1580" t="s">
        <v>176</v>
      </c>
      <c r="G1580" t="s">
        <v>129</v>
      </c>
      <c r="H1580" t="s">
        <v>130</v>
      </c>
      <c r="I1580" t="s">
        <v>130</v>
      </c>
      <c r="J1580" t="s">
        <v>60</v>
      </c>
      <c r="K1580" t="s">
        <v>131</v>
      </c>
      <c r="L1580" t="s">
        <v>62</v>
      </c>
      <c r="M1580" t="s">
        <v>131</v>
      </c>
      <c r="N1580" t="s">
        <v>132</v>
      </c>
      <c r="O1580" t="s">
        <v>133</v>
      </c>
      <c r="P1580">
        <v>-19.632088</v>
      </c>
      <c r="Q1580">
        <v>-43.916114999999998</v>
      </c>
      <c r="R1580" s="2" t="str">
        <f>HYPERLINK("https://www.google.com/maps?q=-19.6320880,-43.9161150","Abrir no Google Maps")</f>
        <v>Abrir no Google Maps</v>
      </c>
      <c r="S1580">
        <v>4</v>
      </c>
      <c r="T1580">
        <v>566.5346232632869</v>
      </c>
      <c r="U1580">
        <v>3</v>
      </c>
      <c r="V1580">
        <v>0.1503164556962025</v>
      </c>
      <c r="W1580">
        <v>1</v>
      </c>
      <c r="X1580">
        <v>0.1503164556962025</v>
      </c>
      <c r="Y1580">
        <v>3</v>
      </c>
      <c r="Z1580">
        <v>488.06597434012792</v>
      </c>
      <c r="AA1580">
        <v>2</v>
      </c>
      <c r="AB1580">
        <v>3</v>
      </c>
      <c r="AC1580">
        <v>7</v>
      </c>
      <c r="AD1580">
        <v>26.28</v>
      </c>
      <c r="AE1580">
        <v>253</v>
      </c>
      <c r="AF1580">
        <v>16</v>
      </c>
      <c r="AG1580">
        <v>63</v>
      </c>
      <c r="AH1580">
        <v>32</v>
      </c>
      <c r="AI1580">
        <v>6.32</v>
      </c>
      <c r="AJ1580">
        <v>24.9</v>
      </c>
      <c r="AK1580">
        <v>12.65</v>
      </c>
      <c r="AL1580">
        <v>-19.632034449999939</v>
      </c>
      <c r="AM1580">
        <v>-43.916174776913351</v>
      </c>
      <c r="AN1580">
        <v>-19.632034449999939</v>
      </c>
      <c r="AO1580">
        <v>-43.916174776913351</v>
      </c>
      <c r="AP1580">
        <v>-19.632088</v>
      </c>
      <c r="AQ1580">
        <v>-43.916114999999998</v>
      </c>
      <c r="AR1580">
        <v>8.6497324882263911</v>
      </c>
      <c r="AS1580" t="s">
        <v>65</v>
      </c>
      <c r="AT1580">
        <v>1</v>
      </c>
      <c r="AU1580" t="s">
        <v>134</v>
      </c>
      <c r="AV1580" t="s">
        <v>135</v>
      </c>
      <c r="AW1580" t="s">
        <v>60</v>
      </c>
      <c r="AX1580" t="s">
        <v>68</v>
      </c>
      <c r="AY1580" t="s">
        <v>69</v>
      </c>
      <c r="AZ1580" t="b">
        <v>1</v>
      </c>
    </row>
    <row r="1581" spans="1:52" x14ac:dyDescent="0.3">
      <c r="A1581" t="s">
        <v>52</v>
      </c>
      <c r="B1581" t="s">
        <v>53</v>
      </c>
      <c r="C1581" t="s">
        <v>54</v>
      </c>
      <c r="D1581" t="s">
        <v>55</v>
      </c>
      <c r="E1581" t="s">
        <v>845</v>
      </c>
      <c r="F1581" t="s">
        <v>176</v>
      </c>
      <c r="G1581" t="s">
        <v>129</v>
      </c>
      <c r="H1581" t="s">
        <v>136</v>
      </c>
      <c r="I1581" t="s">
        <v>136</v>
      </c>
      <c r="J1581" t="s">
        <v>60</v>
      </c>
      <c r="K1581" t="s">
        <v>131</v>
      </c>
      <c r="L1581" t="s">
        <v>62</v>
      </c>
      <c r="M1581" t="s">
        <v>131</v>
      </c>
      <c r="N1581" t="s">
        <v>132</v>
      </c>
      <c r="O1581" t="s">
        <v>133</v>
      </c>
      <c r="P1581">
        <v>-19.632290999999999</v>
      </c>
      <c r="Q1581">
        <v>-43.916542999999997</v>
      </c>
      <c r="R1581" s="2" t="str">
        <f>HYPERLINK("https://www.google.com/maps?q=-19.6322910,-43.9165430","Abrir no Google Maps")</f>
        <v>Abrir no Google Maps</v>
      </c>
      <c r="S1581">
        <v>4</v>
      </c>
      <c r="T1581">
        <v>556.95255545673058</v>
      </c>
      <c r="U1581">
        <v>3</v>
      </c>
      <c r="V1581">
        <v>0.1651785714285714</v>
      </c>
      <c r="W1581">
        <v>1</v>
      </c>
      <c r="X1581">
        <v>0.1651785714285714</v>
      </c>
      <c r="Y1581">
        <v>3</v>
      </c>
      <c r="Z1581">
        <v>479.66756878400719</v>
      </c>
      <c r="AA1581">
        <v>2</v>
      </c>
      <c r="AB1581">
        <v>3</v>
      </c>
      <c r="AC1581">
        <v>7</v>
      </c>
      <c r="AD1581">
        <v>26.28</v>
      </c>
      <c r="AE1581">
        <v>253</v>
      </c>
      <c r="AF1581">
        <v>16</v>
      </c>
      <c r="AG1581">
        <v>63</v>
      </c>
      <c r="AH1581">
        <v>32</v>
      </c>
      <c r="AI1581">
        <v>6.32</v>
      </c>
      <c r="AJ1581">
        <v>24.9</v>
      </c>
      <c r="AK1581">
        <v>12.65</v>
      </c>
      <c r="AL1581">
        <v>-19.63215424999996</v>
      </c>
      <c r="AM1581">
        <v>-43.916542189528307</v>
      </c>
      <c r="AN1581">
        <v>-19.63215424999996</v>
      </c>
      <c r="AO1581">
        <v>-43.916542189528307</v>
      </c>
      <c r="AP1581">
        <v>-19.632290999999999</v>
      </c>
      <c r="AQ1581">
        <v>-43.916542999999997</v>
      </c>
      <c r="AR1581">
        <v>15.22324717984722</v>
      </c>
      <c r="AS1581" t="s">
        <v>65</v>
      </c>
      <c r="AT1581">
        <v>1</v>
      </c>
      <c r="AU1581" t="s">
        <v>137</v>
      </c>
      <c r="AV1581" t="s">
        <v>138</v>
      </c>
      <c r="AW1581" t="s">
        <v>60</v>
      </c>
      <c r="AX1581" t="s">
        <v>68</v>
      </c>
      <c r="AY1581" t="s">
        <v>69</v>
      </c>
      <c r="AZ1581" t="b">
        <v>1</v>
      </c>
    </row>
    <row r="1582" spans="1:52" x14ac:dyDescent="0.3">
      <c r="A1582" t="s">
        <v>52</v>
      </c>
      <c r="B1582" t="s">
        <v>53</v>
      </c>
      <c r="C1582" t="s">
        <v>54</v>
      </c>
      <c r="D1582" t="s">
        <v>55</v>
      </c>
      <c r="E1582" t="s">
        <v>845</v>
      </c>
      <c r="F1582" t="s">
        <v>176</v>
      </c>
      <c r="G1582" t="s">
        <v>145</v>
      </c>
      <c r="H1582" t="s">
        <v>146</v>
      </c>
      <c r="I1582" t="s">
        <v>146</v>
      </c>
      <c r="J1582" t="s">
        <v>60</v>
      </c>
      <c r="K1582" t="s">
        <v>147</v>
      </c>
      <c r="L1582" t="s">
        <v>62</v>
      </c>
      <c r="M1582" t="s">
        <v>147</v>
      </c>
      <c r="N1582" t="s">
        <v>148</v>
      </c>
      <c r="O1582" t="s">
        <v>81</v>
      </c>
      <c r="P1582">
        <v>-19.629356999999999</v>
      </c>
      <c r="Q1582">
        <v>-43.916857</v>
      </c>
      <c r="R1582" s="2" t="str">
        <f>HYPERLINK("https://www.google.com/maps?q=-19.6293570,-43.9168570","Abrir no Google Maps")</f>
        <v>Abrir no Google Maps</v>
      </c>
      <c r="S1582">
        <v>4</v>
      </c>
      <c r="T1582">
        <v>834.49898564045827</v>
      </c>
      <c r="U1582">
        <v>3</v>
      </c>
      <c r="V1582">
        <v>0.1646825396825396</v>
      </c>
      <c r="W1582">
        <v>1</v>
      </c>
      <c r="X1582">
        <v>0.1646825396825396</v>
      </c>
      <c r="Y1582">
        <v>3</v>
      </c>
      <c r="Z1582">
        <v>774.2841152512085</v>
      </c>
      <c r="AA1582">
        <v>2</v>
      </c>
      <c r="AB1582">
        <v>3</v>
      </c>
      <c r="AC1582">
        <v>7</v>
      </c>
      <c r="AD1582">
        <v>26.28</v>
      </c>
      <c r="AE1582">
        <v>253</v>
      </c>
      <c r="AF1582">
        <v>16</v>
      </c>
      <c r="AG1582">
        <v>63</v>
      </c>
      <c r="AH1582">
        <v>32</v>
      </c>
      <c r="AI1582">
        <v>6.32</v>
      </c>
      <c r="AJ1582">
        <v>24.9</v>
      </c>
      <c r="AK1582">
        <v>12.65</v>
      </c>
      <c r="AL1582">
        <v>-19.62962324999998</v>
      </c>
      <c r="AM1582">
        <v>-43.916419823634037</v>
      </c>
      <c r="AN1582">
        <v>-19.62962324999998</v>
      </c>
      <c r="AO1582">
        <v>-43.916419823634051</v>
      </c>
      <c r="AP1582">
        <v>-19.629356999999999</v>
      </c>
      <c r="AQ1582">
        <v>-43.916857</v>
      </c>
      <c r="AR1582">
        <v>54.585757388798442</v>
      </c>
      <c r="AS1582" t="s">
        <v>65</v>
      </c>
      <c r="AT1582">
        <v>1</v>
      </c>
      <c r="AU1582" t="s">
        <v>149</v>
      </c>
      <c r="AV1582" t="s">
        <v>150</v>
      </c>
      <c r="AW1582" t="s">
        <v>60</v>
      </c>
      <c r="AX1582" t="s">
        <v>68</v>
      </c>
      <c r="AY1582" t="s">
        <v>69</v>
      </c>
      <c r="AZ1582" t="b">
        <v>1</v>
      </c>
    </row>
    <row r="1583" spans="1:52" x14ac:dyDescent="0.3">
      <c r="A1583" t="s">
        <v>52</v>
      </c>
      <c r="B1583" t="s">
        <v>53</v>
      </c>
      <c r="C1583" t="s">
        <v>54</v>
      </c>
      <c r="D1583" t="s">
        <v>55</v>
      </c>
      <c r="E1583" t="s">
        <v>845</v>
      </c>
      <c r="F1583" t="s">
        <v>176</v>
      </c>
      <c r="G1583" t="s">
        <v>228</v>
      </c>
      <c r="H1583" t="s">
        <v>229</v>
      </c>
      <c r="I1583" t="s">
        <v>229</v>
      </c>
      <c r="J1583" t="s">
        <v>60</v>
      </c>
      <c r="K1583" t="s">
        <v>199</v>
      </c>
      <c r="L1583" t="s">
        <v>62</v>
      </c>
      <c r="M1583" t="s">
        <v>199</v>
      </c>
      <c r="N1583" t="s">
        <v>230</v>
      </c>
      <c r="O1583" t="s">
        <v>88</v>
      </c>
      <c r="P1583">
        <v>-19.637703999999999</v>
      </c>
      <c r="Q1583">
        <v>-43.913817999999999</v>
      </c>
      <c r="R1583" s="2" t="str">
        <f>HYPERLINK("https://www.google.com/maps?q=-19.6377040,-43.9138180","Abrir no Google Maps")</f>
        <v>Abrir no Google Maps</v>
      </c>
      <c r="S1583">
        <v>4</v>
      </c>
      <c r="T1583">
        <v>216.67225021659709</v>
      </c>
      <c r="U1583">
        <v>3</v>
      </c>
      <c r="V1583">
        <v>0.15107913669064749</v>
      </c>
      <c r="W1583">
        <v>1</v>
      </c>
      <c r="X1583">
        <v>0.15107913669064749</v>
      </c>
      <c r="Y1583">
        <v>3</v>
      </c>
      <c r="Z1583">
        <v>250.25912407368671</v>
      </c>
      <c r="AA1583">
        <v>2</v>
      </c>
      <c r="AB1583">
        <v>3</v>
      </c>
      <c r="AC1583">
        <v>7</v>
      </c>
      <c r="AD1583">
        <v>26.28</v>
      </c>
      <c r="AE1583">
        <v>253</v>
      </c>
      <c r="AF1583">
        <v>16</v>
      </c>
      <c r="AG1583">
        <v>63</v>
      </c>
      <c r="AH1583">
        <v>32</v>
      </c>
      <c r="AI1583">
        <v>6.32</v>
      </c>
      <c r="AJ1583">
        <v>24.9</v>
      </c>
      <c r="AK1583">
        <v>12.65</v>
      </c>
      <c r="AL1583">
        <v>-19.637548049999939</v>
      </c>
      <c r="AM1583">
        <v>-43.91383458447649</v>
      </c>
      <c r="AN1583">
        <v>-19.637548049999939</v>
      </c>
      <c r="AO1583">
        <v>-43.91383458447649</v>
      </c>
      <c r="AP1583">
        <v>-19.637703999999999</v>
      </c>
      <c r="AQ1583">
        <v>-43.913817999999999</v>
      </c>
      <c r="AR1583">
        <v>17.44721566371809</v>
      </c>
      <c r="AS1583" t="s">
        <v>65</v>
      </c>
      <c r="AT1583">
        <v>1</v>
      </c>
      <c r="AU1583" t="s">
        <v>231</v>
      </c>
      <c r="AV1583" t="s">
        <v>232</v>
      </c>
      <c r="AW1583" t="s">
        <v>60</v>
      </c>
      <c r="AX1583" t="s">
        <v>68</v>
      </c>
      <c r="AY1583" t="s">
        <v>69</v>
      </c>
      <c r="AZ1583" t="b">
        <v>1</v>
      </c>
    </row>
    <row r="1584" spans="1:52" x14ac:dyDescent="0.3">
      <c r="A1584" t="s">
        <v>52</v>
      </c>
      <c r="B1584" t="s">
        <v>53</v>
      </c>
      <c r="C1584" t="s">
        <v>54</v>
      </c>
      <c r="D1584" t="s">
        <v>55</v>
      </c>
      <c r="E1584" t="s">
        <v>845</v>
      </c>
      <c r="F1584" t="s">
        <v>176</v>
      </c>
      <c r="G1584" t="s">
        <v>156</v>
      </c>
      <c r="H1584" t="s">
        <v>157</v>
      </c>
      <c r="I1584" t="s">
        <v>157</v>
      </c>
      <c r="J1584" t="s">
        <v>60</v>
      </c>
      <c r="K1584" t="s">
        <v>79</v>
      </c>
      <c r="L1584" t="s">
        <v>62</v>
      </c>
      <c r="M1584" t="s">
        <v>79</v>
      </c>
      <c r="N1584" t="s">
        <v>158</v>
      </c>
      <c r="O1584" t="s">
        <v>159</v>
      </c>
      <c r="P1584">
        <v>-19.634687</v>
      </c>
      <c r="Q1584">
        <v>-43.912925999999999</v>
      </c>
      <c r="R1584" s="2" t="str">
        <f>HYPERLINK("https://www.google.com/maps?q=-19.6346870,-43.9129260","Abrir no Google Maps")</f>
        <v>Abrir no Google Maps</v>
      </c>
      <c r="S1584">
        <v>4</v>
      </c>
      <c r="T1584">
        <v>363.69725005634331</v>
      </c>
      <c r="U1584">
        <v>3</v>
      </c>
      <c r="V1584">
        <v>0.16502463054187189</v>
      </c>
      <c r="W1584">
        <v>1</v>
      </c>
      <c r="X1584">
        <v>0.16502463054187189</v>
      </c>
      <c r="Y1584">
        <v>3</v>
      </c>
      <c r="Z1584">
        <v>343.04088334900467</v>
      </c>
      <c r="AA1584">
        <v>2</v>
      </c>
      <c r="AB1584">
        <v>3</v>
      </c>
      <c r="AC1584">
        <v>7</v>
      </c>
      <c r="AD1584">
        <v>26.28</v>
      </c>
      <c r="AE1584">
        <v>253</v>
      </c>
      <c r="AF1584">
        <v>16</v>
      </c>
      <c r="AG1584">
        <v>63</v>
      </c>
      <c r="AH1584">
        <v>32</v>
      </c>
      <c r="AI1584">
        <v>6.32</v>
      </c>
      <c r="AJ1584">
        <v>24.9</v>
      </c>
      <c r="AK1584">
        <v>12.65</v>
      </c>
      <c r="AL1584">
        <v>-19.635145849999962</v>
      </c>
      <c r="AM1584">
        <v>-43.913103387269381</v>
      </c>
      <c r="AN1584">
        <v>-19.635145849999962</v>
      </c>
      <c r="AO1584">
        <v>-43.913103387269381</v>
      </c>
      <c r="AP1584">
        <v>-19.634687</v>
      </c>
      <c r="AQ1584">
        <v>-43.912925999999999</v>
      </c>
      <c r="AR1584">
        <v>54.359794849827942</v>
      </c>
      <c r="AS1584" t="s">
        <v>65</v>
      </c>
      <c r="AT1584">
        <v>1</v>
      </c>
      <c r="AU1584" t="s">
        <v>160</v>
      </c>
      <c r="AV1584" t="s">
        <v>161</v>
      </c>
      <c r="AW1584" t="s">
        <v>60</v>
      </c>
      <c r="AX1584" t="s">
        <v>68</v>
      </c>
      <c r="AY1584" t="s">
        <v>69</v>
      </c>
      <c r="AZ1584" t="b">
        <v>1</v>
      </c>
    </row>
    <row r="1585" spans="1:52" x14ac:dyDescent="0.3">
      <c r="A1585" t="s">
        <v>52</v>
      </c>
      <c r="B1585" t="s">
        <v>53</v>
      </c>
      <c r="C1585" t="s">
        <v>54</v>
      </c>
      <c r="D1585" t="s">
        <v>55</v>
      </c>
      <c r="E1585" t="s">
        <v>845</v>
      </c>
      <c r="F1585" t="s">
        <v>176</v>
      </c>
      <c r="G1585" t="s">
        <v>632</v>
      </c>
      <c r="H1585" t="s">
        <v>633</v>
      </c>
      <c r="I1585" t="s">
        <v>633</v>
      </c>
      <c r="J1585" t="s">
        <v>60</v>
      </c>
      <c r="K1585" t="s">
        <v>164</v>
      </c>
      <c r="L1585" t="s">
        <v>62</v>
      </c>
      <c r="M1585" t="s">
        <v>164</v>
      </c>
      <c r="N1585" t="s">
        <v>287</v>
      </c>
      <c r="O1585" t="s">
        <v>634</v>
      </c>
      <c r="P1585">
        <v>-19.647012</v>
      </c>
      <c r="Q1585">
        <v>-43.903843000000002</v>
      </c>
      <c r="R1585" s="2" t="str">
        <f>HYPERLINK("https://www.google.com/maps?q=-19.6470120,-43.9038430","Abrir no Google Maps")</f>
        <v>Abrir no Google Maps</v>
      </c>
      <c r="S1585">
        <v>4</v>
      </c>
      <c r="T1585">
        <v>0</v>
      </c>
      <c r="U1585">
        <v>3</v>
      </c>
      <c r="V1585">
        <v>0.19500000000000001</v>
      </c>
      <c r="W1585">
        <v>0.85</v>
      </c>
      <c r="X1585">
        <v>0.16575000000000001</v>
      </c>
      <c r="Y1585">
        <v>1</v>
      </c>
      <c r="Z1585">
        <v>126.45608798330009</v>
      </c>
      <c r="AA1585">
        <v>2</v>
      </c>
      <c r="AB1585">
        <v>3</v>
      </c>
      <c r="AC1585">
        <v>7</v>
      </c>
      <c r="AD1585">
        <v>26.28</v>
      </c>
      <c r="AE1585">
        <v>253</v>
      </c>
      <c r="AF1585">
        <v>16</v>
      </c>
      <c r="AG1585">
        <v>63</v>
      </c>
      <c r="AH1585">
        <v>32</v>
      </c>
      <c r="AI1585">
        <v>6.32</v>
      </c>
      <c r="AJ1585">
        <v>24.9</v>
      </c>
      <c r="AK1585">
        <v>12.65</v>
      </c>
      <c r="AL1585">
        <v>-19.647072199999968</v>
      </c>
      <c r="AM1585">
        <v>-43.903751273681941</v>
      </c>
      <c r="AN1585">
        <v>-19.647072199999968</v>
      </c>
      <c r="AO1585">
        <v>-43.903751273681941</v>
      </c>
      <c r="AP1585">
        <v>-19.647012</v>
      </c>
      <c r="AQ1585">
        <v>-43.903843000000002</v>
      </c>
      <c r="AR1585">
        <v>11.72121231224985</v>
      </c>
      <c r="AS1585" t="s">
        <v>65</v>
      </c>
      <c r="AT1585">
        <v>1</v>
      </c>
      <c r="AU1585" t="s">
        <v>635</v>
      </c>
      <c r="AV1585" t="s">
        <v>636</v>
      </c>
      <c r="AW1585" t="s">
        <v>60</v>
      </c>
      <c r="AX1585" t="s">
        <v>68</v>
      </c>
      <c r="AY1585" t="s">
        <v>69</v>
      </c>
      <c r="AZ1585" t="b">
        <v>1</v>
      </c>
    </row>
    <row r="1586" spans="1:52" x14ac:dyDescent="0.3">
      <c r="A1586" t="s">
        <v>52</v>
      </c>
      <c r="B1586" t="s">
        <v>53</v>
      </c>
      <c r="C1586" t="s">
        <v>54</v>
      </c>
      <c r="D1586" t="s">
        <v>55</v>
      </c>
      <c r="E1586" t="s">
        <v>845</v>
      </c>
      <c r="F1586" t="s">
        <v>176</v>
      </c>
      <c r="G1586" t="s">
        <v>637</v>
      </c>
      <c r="H1586" t="s">
        <v>638</v>
      </c>
      <c r="I1586" t="s">
        <v>638</v>
      </c>
      <c r="J1586" t="s">
        <v>60</v>
      </c>
      <c r="K1586" t="s">
        <v>164</v>
      </c>
      <c r="L1586" t="s">
        <v>62</v>
      </c>
      <c r="M1586" t="s">
        <v>164</v>
      </c>
      <c r="N1586" t="s">
        <v>515</v>
      </c>
      <c r="O1586" t="s">
        <v>639</v>
      </c>
      <c r="P1586">
        <v>-19.649045000000001</v>
      </c>
      <c r="Q1586">
        <v>-43.906213000000001</v>
      </c>
      <c r="R1586" s="2" t="str">
        <f>HYPERLINK("https://www.google.com/maps?q=-19.6490450,-43.9062130","Abrir no Google Maps")</f>
        <v>Abrir no Google Maps</v>
      </c>
      <c r="S1586">
        <v>4</v>
      </c>
      <c r="T1586">
        <v>354.5775313741824</v>
      </c>
      <c r="U1586">
        <v>3</v>
      </c>
      <c r="V1586">
        <v>0.185</v>
      </c>
      <c r="W1586">
        <v>0.85</v>
      </c>
      <c r="X1586">
        <v>0.15725</v>
      </c>
      <c r="Y1586">
        <v>1</v>
      </c>
      <c r="Z1586">
        <v>313.4728845052731</v>
      </c>
      <c r="AA1586">
        <v>2</v>
      </c>
      <c r="AB1586">
        <v>3</v>
      </c>
      <c r="AC1586">
        <v>7</v>
      </c>
      <c r="AD1586">
        <v>26.28</v>
      </c>
      <c r="AE1586">
        <v>253</v>
      </c>
      <c r="AF1586">
        <v>16</v>
      </c>
      <c r="AG1586">
        <v>63</v>
      </c>
      <c r="AH1586">
        <v>32</v>
      </c>
      <c r="AI1586">
        <v>6.32</v>
      </c>
      <c r="AJ1586">
        <v>24.9</v>
      </c>
      <c r="AK1586">
        <v>12.65</v>
      </c>
      <c r="AL1586">
        <v>-19.64957229999996</v>
      </c>
      <c r="AM1586">
        <v>-43.905865971426437</v>
      </c>
      <c r="AN1586">
        <v>-19.64957229999996</v>
      </c>
      <c r="AO1586">
        <v>-43.905865971426437</v>
      </c>
      <c r="AP1586">
        <v>-19.649045000000001</v>
      </c>
      <c r="AQ1586">
        <v>-43.906213000000001</v>
      </c>
      <c r="AR1586">
        <v>69.059379686882949</v>
      </c>
      <c r="AS1586" t="s">
        <v>65</v>
      </c>
      <c r="AT1586">
        <v>1</v>
      </c>
      <c r="AU1586" t="s">
        <v>640</v>
      </c>
      <c r="AV1586" t="s">
        <v>641</v>
      </c>
      <c r="AW1586" t="s">
        <v>60</v>
      </c>
      <c r="AX1586" t="s">
        <v>68</v>
      </c>
      <c r="AY1586" t="s">
        <v>69</v>
      </c>
      <c r="AZ1586" t="b">
        <v>1</v>
      </c>
    </row>
    <row r="1587" spans="1:52" x14ac:dyDescent="0.3">
      <c r="A1587" t="s">
        <v>52</v>
      </c>
      <c r="B1587" t="s">
        <v>53</v>
      </c>
      <c r="C1587" t="s">
        <v>54</v>
      </c>
      <c r="D1587" t="s">
        <v>55</v>
      </c>
      <c r="E1587" t="s">
        <v>845</v>
      </c>
      <c r="F1587" t="s">
        <v>176</v>
      </c>
      <c r="G1587" t="s">
        <v>642</v>
      </c>
      <c r="H1587" t="s">
        <v>643</v>
      </c>
      <c r="I1587" t="s">
        <v>643</v>
      </c>
      <c r="J1587" t="s">
        <v>60</v>
      </c>
      <c r="K1587" t="s">
        <v>164</v>
      </c>
      <c r="L1587" t="s">
        <v>62</v>
      </c>
      <c r="M1587" t="s">
        <v>164</v>
      </c>
      <c r="N1587" t="s">
        <v>644</v>
      </c>
      <c r="O1587" t="s">
        <v>81</v>
      </c>
      <c r="P1587">
        <v>-19.644956000000001</v>
      </c>
      <c r="Q1587">
        <v>-43.901023000000002</v>
      </c>
      <c r="R1587" s="2" t="str">
        <f>HYPERLINK("https://www.google.com/maps?q=-19.6449560,-43.9010230","Abrir no Google Maps")</f>
        <v>Abrir no Google Maps</v>
      </c>
      <c r="S1587">
        <v>4</v>
      </c>
      <c r="T1587">
        <v>378.64754976511352</v>
      </c>
      <c r="U1587">
        <v>3</v>
      </c>
      <c r="V1587">
        <v>0.20749999999999999</v>
      </c>
      <c r="W1587">
        <v>0.85</v>
      </c>
      <c r="X1587">
        <v>0.176375</v>
      </c>
      <c r="Y1587">
        <v>1</v>
      </c>
      <c r="Z1587">
        <v>510.11108946713603</v>
      </c>
      <c r="AA1587">
        <v>2</v>
      </c>
      <c r="AB1587">
        <v>3</v>
      </c>
      <c r="AC1587">
        <v>7</v>
      </c>
      <c r="AD1587">
        <v>26.28</v>
      </c>
      <c r="AE1587">
        <v>253</v>
      </c>
      <c r="AF1587">
        <v>16</v>
      </c>
      <c r="AG1587">
        <v>63</v>
      </c>
      <c r="AH1587">
        <v>32</v>
      </c>
      <c r="AI1587">
        <v>6.32</v>
      </c>
      <c r="AJ1587">
        <v>24.9</v>
      </c>
      <c r="AK1587">
        <v>12.65</v>
      </c>
      <c r="AL1587">
        <v>-19.644933249999951</v>
      </c>
      <c r="AM1587">
        <v>-43.900932838618871</v>
      </c>
      <c r="AN1587">
        <v>-19.644933249999951</v>
      </c>
      <c r="AO1587">
        <v>-43.900932838618871</v>
      </c>
      <c r="AP1587">
        <v>-19.644956000000001</v>
      </c>
      <c r="AQ1587">
        <v>-43.901023000000002</v>
      </c>
      <c r="AR1587">
        <v>9.7859445473101285</v>
      </c>
      <c r="AS1587" t="s">
        <v>65</v>
      </c>
      <c r="AT1587">
        <v>1</v>
      </c>
      <c r="AU1587" t="s">
        <v>645</v>
      </c>
      <c r="AV1587" t="s">
        <v>646</v>
      </c>
      <c r="AW1587" t="s">
        <v>60</v>
      </c>
      <c r="AX1587" t="s">
        <v>68</v>
      </c>
      <c r="AY1587" t="s">
        <v>69</v>
      </c>
      <c r="AZ1587" t="b">
        <v>1</v>
      </c>
    </row>
    <row r="1588" spans="1:52" x14ac:dyDescent="0.3">
      <c r="A1588" t="s">
        <v>52</v>
      </c>
      <c r="B1588" t="s">
        <v>53</v>
      </c>
      <c r="C1588" t="s">
        <v>54</v>
      </c>
      <c r="D1588" t="s">
        <v>55</v>
      </c>
      <c r="E1588" t="s">
        <v>845</v>
      </c>
      <c r="F1588" t="s">
        <v>176</v>
      </c>
      <c r="G1588" t="s">
        <v>506</v>
      </c>
      <c r="H1588" t="s">
        <v>653</v>
      </c>
      <c r="I1588" t="s">
        <v>653</v>
      </c>
      <c r="J1588" t="s">
        <v>60</v>
      </c>
      <c r="K1588" t="s">
        <v>219</v>
      </c>
      <c r="L1588" t="s">
        <v>62</v>
      </c>
      <c r="M1588" t="s">
        <v>219</v>
      </c>
      <c r="N1588" t="s">
        <v>654</v>
      </c>
      <c r="O1588" t="s">
        <v>655</v>
      </c>
      <c r="P1588">
        <v>-19.663547000000001</v>
      </c>
      <c r="Q1588">
        <v>-43.887289000000003</v>
      </c>
      <c r="R1588" s="2" t="str">
        <f>HYPERLINK("https://www.google.com/maps?q=-19.6635470,-43.8872890","Abrir no Google Maps")</f>
        <v>Abrir no Google Maps</v>
      </c>
      <c r="S1588">
        <v>4</v>
      </c>
      <c r="T1588">
        <v>1322.0974038105271</v>
      </c>
      <c r="U1588">
        <v>3</v>
      </c>
      <c r="V1588">
        <v>0.20937500000000001</v>
      </c>
      <c r="W1588">
        <v>0.85</v>
      </c>
      <c r="X1588">
        <v>0.17796875000000001</v>
      </c>
      <c r="Y1588">
        <v>1</v>
      </c>
      <c r="Z1588">
        <v>410.01820565428989</v>
      </c>
      <c r="AA1588">
        <v>2</v>
      </c>
      <c r="AB1588">
        <v>3</v>
      </c>
      <c r="AC1588">
        <v>7</v>
      </c>
      <c r="AD1588">
        <v>26.28</v>
      </c>
      <c r="AE1588">
        <v>253</v>
      </c>
      <c r="AF1588">
        <v>16</v>
      </c>
      <c r="AG1588">
        <v>63</v>
      </c>
      <c r="AH1588">
        <v>32</v>
      </c>
      <c r="AI1588">
        <v>6.32</v>
      </c>
      <c r="AJ1588">
        <v>24.9</v>
      </c>
      <c r="AK1588">
        <v>12.65</v>
      </c>
      <c r="AL1588">
        <v>-19.663324149999969</v>
      </c>
      <c r="AM1588">
        <v>-43.887335428407333</v>
      </c>
      <c r="AN1588">
        <v>-19.663324149999969</v>
      </c>
      <c r="AO1588">
        <v>-43.887335428407333</v>
      </c>
      <c r="AP1588">
        <v>-19.663547000000001</v>
      </c>
      <c r="AQ1588">
        <v>-43.887289000000003</v>
      </c>
      <c r="AR1588">
        <v>25.280585055537909</v>
      </c>
      <c r="AS1588" t="s">
        <v>65</v>
      </c>
      <c r="AT1588">
        <v>1</v>
      </c>
      <c r="AU1588" t="s">
        <v>656</v>
      </c>
      <c r="AV1588" t="s">
        <v>657</v>
      </c>
      <c r="AW1588" t="s">
        <v>60</v>
      </c>
      <c r="AX1588" t="s">
        <v>68</v>
      </c>
      <c r="AY1588" t="s">
        <v>69</v>
      </c>
      <c r="AZ1588" t="b">
        <v>1</v>
      </c>
    </row>
    <row r="1589" spans="1:52" x14ac:dyDescent="0.3">
      <c r="A1589" t="s">
        <v>52</v>
      </c>
      <c r="B1589" t="s">
        <v>53</v>
      </c>
      <c r="C1589" t="s">
        <v>54</v>
      </c>
      <c r="D1589" t="s">
        <v>55</v>
      </c>
      <c r="E1589" t="s">
        <v>845</v>
      </c>
      <c r="F1589" t="s">
        <v>176</v>
      </c>
      <c r="G1589" t="s">
        <v>169</v>
      </c>
      <c r="H1589" t="s">
        <v>170</v>
      </c>
      <c r="I1589" t="s">
        <v>170</v>
      </c>
      <c r="J1589" t="s">
        <v>60</v>
      </c>
      <c r="K1589" t="s">
        <v>171</v>
      </c>
      <c r="L1589" t="s">
        <v>62</v>
      </c>
      <c r="M1589" t="s">
        <v>171</v>
      </c>
      <c r="N1589" t="s">
        <v>172</v>
      </c>
      <c r="O1589" t="s">
        <v>173</v>
      </c>
      <c r="P1589">
        <v>-19.676233</v>
      </c>
      <c r="Q1589">
        <v>-43.88861</v>
      </c>
      <c r="R1589" s="2" t="str">
        <f>HYPERLINK("https://www.google.com/maps?q=-19.6762330,-43.8886100","Abrir no Google Maps")</f>
        <v>Abrir no Google Maps</v>
      </c>
      <c r="S1589">
        <v>4</v>
      </c>
      <c r="T1589">
        <v>209.5772620412292</v>
      </c>
      <c r="U1589">
        <v>3</v>
      </c>
      <c r="V1589">
        <v>0.1764705882352941</v>
      </c>
      <c r="W1589">
        <v>1</v>
      </c>
      <c r="X1589">
        <v>0.1764705882352941</v>
      </c>
      <c r="Y1589">
        <v>0</v>
      </c>
      <c r="Z1589">
        <v>194.26571923644971</v>
      </c>
      <c r="AA1589">
        <v>2</v>
      </c>
      <c r="AB1589">
        <v>3</v>
      </c>
      <c r="AC1589">
        <v>7</v>
      </c>
      <c r="AD1589">
        <v>26.28</v>
      </c>
      <c r="AE1589">
        <v>253</v>
      </c>
      <c r="AF1589">
        <v>16</v>
      </c>
      <c r="AG1589">
        <v>63</v>
      </c>
      <c r="AH1589">
        <v>32</v>
      </c>
      <c r="AI1589">
        <v>6.32</v>
      </c>
      <c r="AJ1589">
        <v>24.9</v>
      </c>
      <c r="AK1589">
        <v>12.65</v>
      </c>
      <c r="AL1589">
        <v>-19.676097449999961</v>
      </c>
      <c r="AM1589">
        <v>-43.888455613153738</v>
      </c>
      <c r="AN1589">
        <v>-19.676097449999961</v>
      </c>
      <c r="AO1589">
        <v>-43.888455613153738</v>
      </c>
      <c r="AP1589">
        <v>-19.676233</v>
      </c>
      <c r="AQ1589">
        <v>-43.88861</v>
      </c>
      <c r="AR1589">
        <v>22.126352434234079</v>
      </c>
      <c r="AS1589" t="s">
        <v>65</v>
      </c>
      <c r="AT1589">
        <v>1</v>
      </c>
      <c r="AU1589" t="s">
        <v>174</v>
      </c>
      <c r="AV1589" t="s">
        <v>175</v>
      </c>
      <c r="AW1589" t="s">
        <v>60</v>
      </c>
      <c r="AX1589" t="s">
        <v>68</v>
      </c>
      <c r="AY1589" t="s">
        <v>69</v>
      </c>
      <c r="AZ1589" t="b">
        <v>1</v>
      </c>
    </row>
    <row r="1590" spans="1:52" x14ac:dyDescent="0.3">
      <c r="A1590" t="s">
        <v>52</v>
      </c>
      <c r="B1590" t="s">
        <v>53</v>
      </c>
      <c r="C1590" t="s">
        <v>54</v>
      </c>
      <c r="D1590" t="s">
        <v>55</v>
      </c>
      <c r="E1590" t="s">
        <v>845</v>
      </c>
      <c r="F1590" t="s">
        <v>176</v>
      </c>
      <c r="G1590" t="s">
        <v>691</v>
      </c>
      <c r="H1590" t="s">
        <v>692</v>
      </c>
      <c r="I1590" t="s">
        <v>692</v>
      </c>
      <c r="J1590" t="s">
        <v>60</v>
      </c>
      <c r="K1590" t="s">
        <v>352</v>
      </c>
      <c r="L1590" t="s">
        <v>62</v>
      </c>
      <c r="M1590" t="s">
        <v>352</v>
      </c>
      <c r="N1590" t="s">
        <v>693</v>
      </c>
      <c r="O1590" t="s">
        <v>694</v>
      </c>
      <c r="P1590">
        <v>-19.592984999999999</v>
      </c>
      <c r="Q1590">
        <v>-43.897024999999999</v>
      </c>
      <c r="R1590" s="2" t="str">
        <f>HYPERLINK("https://www.google.com/maps?q=-19.5929850,-43.8970250","Abrir no Google Maps")</f>
        <v>Abrir no Google Maps</v>
      </c>
      <c r="S1590">
        <v>3</v>
      </c>
      <c r="T1590">
        <v>1022.30441514714</v>
      </c>
      <c r="U1590">
        <v>4</v>
      </c>
      <c r="V1590">
        <v>0.2208333333333333</v>
      </c>
      <c r="W1590">
        <v>0.85</v>
      </c>
      <c r="X1590">
        <v>0.18770833333333331</v>
      </c>
      <c r="Y1590">
        <v>7</v>
      </c>
      <c r="Z1590">
        <v>1025.765184854632</v>
      </c>
      <c r="AA1590">
        <v>2</v>
      </c>
      <c r="AB1590">
        <v>3</v>
      </c>
      <c r="AC1590">
        <v>7</v>
      </c>
      <c r="AD1590">
        <v>26.28</v>
      </c>
      <c r="AE1590">
        <v>253</v>
      </c>
      <c r="AF1590">
        <v>16</v>
      </c>
      <c r="AG1590">
        <v>63</v>
      </c>
      <c r="AH1590">
        <v>32</v>
      </c>
      <c r="AI1590">
        <v>6.32</v>
      </c>
      <c r="AJ1590">
        <v>24.9</v>
      </c>
      <c r="AK1590">
        <v>12.65</v>
      </c>
      <c r="AL1590">
        <v>-19.593727299999951</v>
      </c>
      <c r="AM1590">
        <v>-43.89663096630845</v>
      </c>
      <c r="AN1590">
        <v>-19.593727299999951</v>
      </c>
      <c r="AO1590">
        <v>-43.89663096630845</v>
      </c>
      <c r="AP1590">
        <v>-19.592984999999999</v>
      </c>
      <c r="AQ1590">
        <v>-43.897024999999999</v>
      </c>
      <c r="AR1590">
        <v>92.389647241204798</v>
      </c>
      <c r="AS1590" t="s">
        <v>65</v>
      </c>
      <c r="AT1590">
        <v>1</v>
      </c>
      <c r="AU1590" t="s">
        <v>695</v>
      </c>
      <c r="AV1590" t="s">
        <v>375</v>
      </c>
      <c r="AW1590" t="s">
        <v>60</v>
      </c>
      <c r="AX1590" t="s">
        <v>68</v>
      </c>
      <c r="AY1590" t="s">
        <v>69</v>
      </c>
      <c r="AZ1590" t="b">
        <v>1</v>
      </c>
    </row>
    <row r="1591" spans="1:52" x14ac:dyDescent="0.3">
      <c r="A1591" t="s">
        <v>52</v>
      </c>
      <c r="B1591" t="s">
        <v>53</v>
      </c>
      <c r="C1591" t="s">
        <v>54</v>
      </c>
      <c r="D1591" t="s">
        <v>55</v>
      </c>
      <c r="E1591" t="s">
        <v>845</v>
      </c>
      <c r="F1591" t="s">
        <v>176</v>
      </c>
      <c r="G1591" t="s">
        <v>670</v>
      </c>
      <c r="H1591" t="s">
        <v>671</v>
      </c>
      <c r="I1591" t="s">
        <v>671</v>
      </c>
      <c r="J1591" t="s">
        <v>60</v>
      </c>
      <c r="K1591" t="s">
        <v>672</v>
      </c>
      <c r="L1591" t="s">
        <v>62</v>
      </c>
      <c r="M1591" t="s">
        <v>672</v>
      </c>
      <c r="N1591" t="s">
        <v>673</v>
      </c>
      <c r="O1591" t="s">
        <v>424</v>
      </c>
      <c r="P1591">
        <v>-19.574909999999999</v>
      </c>
      <c r="Q1591">
        <v>-43.906655999999998</v>
      </c>
      <c r="R1591" s="2" t="str">
        <f>HYPERLINK("https://www.google.com/maps?q=-19.5749100,-43.9066560","Abrir no Google Maps")</f>
        <v>Abrir no Google Maps</v>
      </c>
      <c r="S1591">
        <v>3</v>
      </c>
      <c r="T1591">
        <v>1366.716412286687</v>
      </c>
      <c r="U1591">
        <v>4</v>
      </c>
      <c r="V1591">
        <v>0.2253236245954692</v>
      </c>
      <c r="W1591">
        <v>1</v>
      </c>
      <c r="X1591">
        <v>0.2253236245954692</v>
      </c>
      <c r="Y1591">
        <v>7</v>
      </c>
      <c r="Z1591">
        <v>1153.3004962806151</v>
      </c>
      <c r="AA1591">
        <v>2</v>
      </c>
      <c r="AB1591">
        <v>3</v>
      </c>
      <c r="AC1591">
        <v>7</v>
      </c>
      <c r="AD1591">
        <v>26.28</v>
      </c>
      <c r="AE1591">
        <v>253</v>
      </c>
      <c r="AF1591">
        <v>16</v>
      </c>
      <c r="AG1591">
        <v>63</v>
      </c>
      <c r="AH1591">
        <v>32</v>
      </c>
      <c r="AI1591">
        <v>6.32</v>
      </c>
      <c r="AJ1591">
        <v>24.9</v>
      </c>
      <c r="AK1591">
        <v>12.65</v>
      </c>
      <c r="AL1591">
        <v>-19.574026899999978</v>
      </c>
      <c r="AM1591">
        <v>-43.907476033591983</v>
      </c>
      <c r="AN1591">
        <v>-19.574026899999978</v>
      </c>
      <c r="AO1591">
        <v>-43.907476033591983</v>
      </c>
      <c r="AP1591">
        <v>-19.574909999999999</v>
      </c>
      <c r="AQ1591">
        <v>-43.906655999999998</v>
      </c>
      <c r="AR1591">
        <v>130.62174183264671</v>
      </c>
      <c r="AS1591" t="s">
        <v>65</v>
      </c>
      <c r="AT1591">
        <v>1</v>
      </c>
      <c r="AU1591" t="s">
        <v>674</v>
      </c>
      <c r="AV1591" t="s">
        <v>675</v>
      </c>
      <c r="AW1591" t="s">
        <v>60</v>
      </c>
      <c r="AX1591" t="s">
        <v>68</v>
      </c>
      <c r="AY1591" t="s">
        <v>69</v>
      </c>
      <c r="AZ1591" t="b">
        <v>1</v>
      </c>
    </row>
    <row r="1592" spans="1:52" x14ac:dyDescent="0.3">
      <c r="A1592" t="s">
        <v>52</v>
      </c>
      <c r="B1592" t="s">
        <v>53</v>
      </c>
      <c r="C1592" t="s">
        <v>54</v>
      </c>
      <c r="D1592" t="s">
        <v>55</v>
      </c>
      <c r="E1592" t="s">
        <v>845</v>
      </c>
      <c r="F1592" t="s">
        <v>176</v>
      </c>
      <c r="G1592" t="s">
        <v>696</v>
      </c>
      <c r="H1592" t="s">
        <v>697</v>
      </c>
      <c r="I1592" t="s">
        <v>697</v>
      </c>
      <c r="J1592" t="s">
        <v>60</v>
      </c>
      <c r="K1592" t="s">
        <v>192</v>
      </c>
      <c r="L1592" t="s">
        <v>62</v>
      </c>
      <c r="M1592" t="s">
        <v>192</v>
      </c>
      <c r="N1592" t="s">
        <v>698</v>
      </c>
      <c r="O1592" t="s">
        <v>201</v>
      </c>
      <c r="P1592">
        <v>-19.657964</v>
      </c>
      <c r="Q1592">
        <v>-43.913791000000003</v>
      </c>
      <c r="R1592" s="2" t="str">
        <f>HYPERLINK("https://www.google.com/maps?q=-19.6579640,-43.9137910","Abrir no Google Maps")</f>
        <v>Abrir no Google Maps</v>
      </c>
      <c r="S1592">
        <v>3</v>
      </c>
      <c r="T1592">
        <v>1058.2952342500039</v>
      </c>
      <c r="U1592">
        <v>4</v>
      </c>
      <c r="V1592">
        <v>0.21666666666666659</v>
      </c>
      <c r="W1592">
        <v>0.85</v>
      </c>
      <c r="X1592">
        <v>0.18416666666666659</v>
      </c>
      <c r="Y1592">
        <v>5</v>
      </c>
      <c r="Z1592">
        <v>569.88485997938767</v>
      </c>
      <c r="AA1592">
        <v>2</v>
      </c>
      <c r="AB1592">
        <v>3</v>
      </c>
      <c r="AC1592">
        <v>7</v>
      </c>
      <c r="AD1592">
        <v>26.28</v>
      </c>
      <c r="AE1592">
        <v>253</v>
      </c>
      <c r="AF1592">
        <v>16</v>
      </c>
      <c r="AG1592">
        <v>63</v>
      </c>
      <c r="AH1592">
        <v>32</v>
      </c>
      <c r="AI1592">
        <v>6.32</v>
      </c>
      <c r="AJ1592">
        <v>24.9</v>
      </c>
      <c r="AK1592">
        <v>12.65</v>
      </c>
      <c r="AL1592">
        <v>-19.656920099999951</v>
      </c>
      <c r="AM1592">
        <v>-43.913287088959777</v>
      </c>
      <c r="AN1592">
        <v>-19.656920099999951</v>
      </c>
      <c r="AO1592">
        <v>-43.913287088959777</v>
      </c>
      <c r="AP1592">
        <v>-19.657964</v>
      </c>
      <c r="AQ1592">
        <v>-43.913791000000003</v>
      </c>
      <c r="AR1592">
        <v>127.6506083298423</v>
      </c>
      <c r="AS1592" t="s">
        <v>65</v>
      </c>
      <c r="AT1592">
        <v>1</v>
      </c>
      <c r="AU1592" t="s">
        <v>699</v>
      </c>
      <c r="AV1592" t="s">
        <v>700</v>
      </c>
      <c r="AW1592" t="s">
        <v>60</v>
      </c>
      <c r="AX1592" t="s">
        <v>68</v>
      </c>
      <c r="AY1592" t="s">
        <v>69</v>
      </c>
      <c r="AZ1592" t="b">
        <v>1</v>
      </c>
    </row>
    <row r="1593" spans="1:52" x14ac:dyDescent="0.3">
      <c r="A1593" t="s">
        <v>52</v>
      </c>
      <c r="B1593" t="s">
        <v>53</v>
      </c>
      <c r="C1593" t="s">
        <v>54</v>
      </c>
      <c r="D1593" t="s">
        <v>55</v>
      </c>
      <c r="E1593" t="s">
        <v>845</v>
      </c>
      <c r="F1593" t="s">
        <v>176</v>
      </c>
      <c r="G1593" t="s">
        <v>297</v>
      </c>
      <c r="H1593" t="s">
        <v>298</v>
      </c>
      <c r="I1593" t="s">
        <v>298</v>
      </c>
      <c r="J1593" t="s">
        <v>60</v>
      </c>
      <c r="K1593" t="s">
        <v>299</v>
      </c>
      <c r="L1593" t="s">
        <v>62</v>
      </c>
      <c r="M1593" t="s">
        <v>299</v>
      </c>
      <c r="N1593" t="s">
        <v>300</v>
      </c>
      <c r="O1593" t="s">
        <v>301</v>
      </c>
      <c r="P1593">
        <v>-19.679597000000001</v>
      </c>
      <c r="Q1593">
        <v>-43.912095000000001</v>
      </c>
      <c r="R1593" s="2" t="str">
        <f>HYPERLINK("https://www.google.com/maps?q=-19.6795970,-43.9120950","Abrir no Google Maps")</f>
        <v>Abrir no Google Maps</v>
      </c>
      <c r="S1593">
        <v>3</v>
      </c>
      <c r="T1593">
        <v>1581.3368267219889</v>
      </c>
      <c r="U1593">
        <v>4</v>
      </c>
      <c r="V1593">
        <v>0.19867549668874171</v>
      </c>
      <c r="W1593">
        <v>1</v>
      </c>
      <c r="X1593">
        <v>0.19867549668874171</v>
      </c>
      <c r="Y1593">
        <v>5</v>
      </c>
      <c r="Z1593">
        <v>2051.2590436749392</v>
      </c>
      <c r="AA1593">
        <v>2</v>
      </c>
      <c r="AB1593">
        <v>3</v>
      </c>
      <c r="AC1593">
        <v>7</v>
      </c>
      <c r="AD1593">
        <v>26.28</v>
      </c>
      <c r="AE1593">
        <v>253</v>
      </c>
      <c r="AF1593">
        <v>16</v>
      </c>
      <c r="AG1593">
        <v>63</v>
      </c>
      <c r="AH1593">
        <v>32</v>
      </c>
      <c r="AI1593">
        <v>6.32</v>
      </c>
      <c r="AJ1593">
        <v>24.9</v>
      </c>
      <c r="AK1593">
        <v>12.65</v>
      </c>
      <c r="AL1593">
        <v>-19.679572799999931</v>
      </c>
      <c r="AM1593">
        <v>-43.912071775440793</v>
      </c>
      <c r="AN1593">
        <v>-19.679572799999931</v>
      </c>
      <c r="AO1593">
        <v>-43.912071775440793</v>
      </c>
      <c r="AP1593">
        <v>-19.679597000000001</v>
      </c>
      <c r="AQ1593">
        <v>-43.912095000000001</v>
      </c>
      <c r="AR1593">
        <v>3.6308936744190978</v>
      </c>
      <c r="AS1593" t="s">
        <v>65</v>
      </c>
      <c r="AT1593">
        <v>1</v>
      </c>
      <c r="AU1593" t="s">
        <v>302</v>
      </c>
      <c r="AV1593" t="s">
        <v>303</v>
      </c>
      <c r="AW1593" t="s">
        <v>60</v>
      </c>
      <c r="AX1593" t="s">
        <v>68</v>
      </c>
      <c r="AY1593" t="s">
        <v>69</v>
      </c>
      <c r="AZ1593" t="b">
        <v>1</v>
      </c>
    </row>
    <row r="1594" spans="1:52" x14ac:dyDescent="0.3">
      <c r="A1594" t="s">
        <v>52</v>
      </c>
      <c r="B1594" t="s">
        <v>53</v>
      </c>
      <c r="C1594" t="s">
        <v>54</v>
      </c>
      <c r="D1594" t="s">
        <v>55</v>
      </c>
      <c r="E1594" t="s">
        <v>845</v>
      </c>
      <c r="F1594" t="s">
        <v>176</v>
      </c>
      <c r="G1594" t="s">
        <v>304</v>
      </c>
      <c r="H1594" t="s">
        <v>305</v>
      </c>
      <c r="I1594" t="s">
        <v>305</v>
      </c>
      <c r="J1594" t="s">
        <v>60</v>
      </c>
      <c r="K1594" t="s">
        <v>299</v>
      </c>
      <c r="L1594" t="s">
        <v>62</v>
      </c>
      <c r="M1594" t="s">
        <v>299</v>
      </c>
      <c r="N1594" t="s">
        <v>306</v>
      </c>
      <c r="O1594" t="s">
        <v>307</v>
      </c>
      <c r="P1594">
        <v>-19.681051</v>
      </c>
      <c r="Q1594">
        <v>-43.914375</v>
      </c>
      <c r="R1594" s="2" t="str">
        <f>HYPERLINK("https://www.google.com/maps?q=-19.6810510,-43.9143750","Abrir no Google Maps")</f>
        <v>Abrir no Google Maps</v>
      </c>
      <c r="S1594">
        <v>3</v>
      </c>
      <c r="T1594">
        <v>1793.507056919605</v>
      </c>
      <c r="U1594">
        <v>4</v>
      </c>
      <c r="V1594">
        <v>0.222027972027972</v>
      </c>
      <c r="W1594">
        <v>1</v>
      </c>
      <c r="X1594">
        <v>0.222027972027972</v>
      </c>
      <c r="Y1594">
        <v>5</v>
      </c>
      <c r="Z1594">
        <v>2183.7125920783069</v>
      </c>
      <c r="AA1594">
        <v>2</v>
      </c>
      <c r="AB1594">
        <v>3</v>
      </c>
      <c r="AC1594">
        <v>7</v>
      </c>
      <c r="AD1594">
        <v>26.28</v>
      </c>
      <c r="AE1594">
        <v>253</v>
      </c>
      <c r="AF1594">
        <v>16</v>
      </c>
      <c r="AG1594">
        <v>63</v>
      </c>
      <c r="AH1594">
        <v>32</v>
      </c>
      <c r="AI1594">
        <v>6.32</v>
      </c>
      <c r="AJ1594">
        <v>24.9</v>
      </c>
      <c r="AK1594">
        <v>12.65</v>
      </c>
      <c r="AL1594">
        <v>-19.680967149999962</v>
      </c>
      <c r="AM1594">
        <v>-43.914383884426663</v>
      </c>
      <c r="AN1594">
        <v>-19.680967149999962</v>
      </c>
      <c r="AO1594">
        <v>-43.914383884426663</v>
      </c>
      <c r="AP1594">
        <v>-19.681051</v>
      </c>
      <c r="AQ1594">
        <v>-43.914375</v>
      </c>
      <c r="AR1594">
        <v>9.3805201894968722</v>
      </c>
      <c r="AS1594" t="s">
        <v>65</v>
      </c>
      <c r="AT1594">
        <v>1</v>
      </c>
      <c r="AU1594" t="s">
        <v>308</v>
      </c>
      <c r="AV1594" t="s">
        <v>303</v>
      </c>
      <c r="AW1594" t="s">
        <v>60</v>
      </c>
      <c r="AX1594" t="s">
        <v>68</v>
      </c>
      <c r="AY1594" t="s">
        <v>69</v>
      </c>
      <c r="AZ1594" t="b">
        <v>1</v>
      </c>
    </row>
    <row r="1595" spans="1:52" x14ac:dyDescent="0.3">
      <c r="A1595" t="s">
        <v>52</v>
      </c>
      <c r="B1595" t="s">
        <v>53</v>
      </c>
      <c r="C1595" t="s">
        <v>54</v>
      </c>
      <c r="D1595" t="s">
        <v>55</v>
      </c>
      <c r="E1595" t="s">
        <v>845</v>
      </c>
      <c r="F1595" t="s">
        <v>176</v>
      </c>
      <c r="G1595" t="s">
        <v>309</v>
      </c>
      <c r="H1595" t="s">
        <v>676</v>
      </c>
      <c r="I1595" t="s">
        <v>676</v>
      </c>
      <c r="J1595" t="s">
        <v>60</v>
      </c>
      <c r="K1595" t="s">
        <v>311</v>
      </c>
      <c r="L1595" t="s">
        <v>62</v>
      </c>
      <c r="M1595" t="s">
        <v>311</v>
      </c>
      <c r="N1595" t="s">
        <v>677</v>
      </c>
      <c r="O1595" t="s">
        <v>678</v>
      </c>
      <c r="P1595">
        <v>-19.567574</v>
      </c>
      <c r="Q1595">
        <v>-43.916691</v>
      </c>
      <c r="R1595" s="2" t="str">
        <f>HYPERLINK("https://www.google.com/maps?q=-19.5675740,-43.9166910","Abrir no Google Maps")</f>
        <v>Abrir no Google Maps</v>
      </c>
      <c r="S1595">
        <v>3</v>
      </c>
      <c r="T1595">
        <v>964.07840012317956</v>
      </c>
      <c r="U1595">
        <v>4</v>
      </c>
      <c r="V1595">
        <v>0.19580419580419581</v>
      </c>
      <c r="W1595">
        <v>1</v>
      </c>
      <c r="X1595">
        <v>0.19580419580419581</v>
      </c>
      <c r="Y1595">
        <v>5</v>
      </c>
      <c r="Z1595">
        <v>848.74171565955544</v>
      </c>
      <c r="AA1595">
        <v>2</v>
      </c>
      <c r="AB1595">
        <v>3</v>
      </c>
      <c r="AC1595">
        <v>7</v>
      </c>
      <c r="AD1595">
        <v>26.28</v>
      </c>
      <c r="AE1595">
        <v>253</v>
      </c>
      <c r="AF1595">
        <v>16</v>
      </c>
      <c r="AG1595">
        <v>63</v>
      </c>
      <c r="AH1595">
        <v>32</v>
      </c>
      <c r="AI1595">
        <v>6.32</v>
      </c>
      <c r="AJ1595">
        <v>24.9</v>
      </c>
      <c r="AK1595">
        <v>12.65</v>
      </c>
      <c r="AL1595">
        <v>-19.568204099999971</v>
      </c>
      <c r="AM1595">
        <v>-43.914085447159053</v>
      </c>
      <c r="AN1595">
        <v>-19.568204099999971</v>
      </c>
      <c r="AO1595">
        <v>-43.914085447159053</v>
      </c>
      <c r="AP1595">
        <v>-19.567574</v>
      </c>
      <c r="AQ1595">
        <v>-43.916691</v>
      </c>
      <c r="AR1595">
        <v>282.15548573552991</v>
      </c>
      <c r="AS1595" t="s">
        <v>65</v>
      </c>
      <c r="AT1595">
        <v>1</v>
      </c>
      <c r="AU1595" t="s">
        <v>679</v>
      </c>
      <c r="AV1595" t="s">
        <v>680</v>
      </c>
      <c r="AW1595" t="s">
        <v>60</v>
      </c>
      <c r="AX1595" t="s">
        <v>68</v>
      </c>
      <c r="AY1595" t="s">
        <v>69</v>
      </c>
      <c r="AZ1595" t="b">
        <v>1</v>
      </c>
    </row>
    <row r="1596" spans="1:52" x14ac:dyDescent="0.3">
      <c r="A1596" t="s">
        <v>52</v>
      </c>
      <c r="B1596" t="s">
        <v>53</v>
      </c>
      <c r="C1596" t="s">
        <v>54</v>
      </c>
      <c r="D1596" t="s">
        <v>55</v>
      </c>
      <c r="E1596" t="s">
        <v>845</v>
      </c>
      <c r="F1596" t="s">
        <v>176</v>
      </c>
      <c r="G1596" t="s">
        <v>309</v>
      </c>
      <c r="H1596" t="s">
        <v>316</v>
      </c>
      <c r="I1596" t="s">
        <v>316</v>
      </c>
      <c r="J1596" t="s">
        <v>60</v>
      </c>
      <c r="K1596" t="s">
        <v>311</v>
      </c>
      <c r="L1596" t="s">
        <v>62</v>
      </c>
      <c r="M1596" t="s">
        <v>311</v>
      </c>
      <c r="N1596" t="s">
        <v>317</v>
      </c>
      <c r="O1596" t="s">
        <v>313</v>
      </c>
      <c r="P1596">
        <v>-19.580131999999999</v>
      </c>
      <c r="Q1596">
        <v>-43.918303000000002</v>
      </c>
      <c r="R1596" s="2" t="str">
        <f>HYPERLINK("https://www.google.com/maps?q=-19.5801320,-43.9183030","Abrir no Google Maps")</f>
        <v>Abrir no Google Maps</v>
      </c>
      <c r="S1596">
        <v>3</v>
      </c>
      <c r="T1596">
        <v>665.05989403461285</v>
      </c>
      <c r="U1596">
        <v>4</v>
      </c>
      <c r="V1596">
        <v>0.19029850746268651</v>
      </c>
      <c r="W1596">
        <v>1</v>
      </c>
      <c r="X1596">
        <v>0.19029850746268651</v>
      </c>
      <c r="Y1596">
        <v>5</v>
      </c>
      <c r="Z1596">
        <v>743.64474333505098</v>
      </c>
      <c r="AA1596">
        <v>2</v>
      </c>
      <c r="AB1596">
        <v>3</v>
      </c>
      <c r="AC1596">
        <v>7</v>
      </c>
      <c r="AD1596">
        <v>26.28</v>
      </c>
      <c r="AE1596">
        <v>253</v>
      </c>
      <c r="AF1596">
        <v>16</v>
      </c>
      <c r="AG1596">
        <v>63</v>
      </c>
      <c r="AH1596">
        <v>32</v>
      </c>
      <c r="AI1596">
        <v>6.32</v>
      </c>
      <c r="AJ1596">
        <v>24.9</v>
      </c>
      <c r="AK1596">
        <v>12.65</v>
      </c>
      <c r="AL1596">
        <v>-19.58010349999995</v>
      </c>
      <c r="AM1596">
        <v>-43.918363319288602</v>
      </c>
      <c r="AN1596">
        <v>-19.58010349999995</v>
      </c>
      <c r="AO1596">
        <v>-43.918363319288602</v>
      </c>
      <c r="AP1596">
        <v>-19.580131999999999</v>
      </c>
      <c r="AQ1596">
        <v>-43.918303000000002</v>
      </c>
      <c r="AR1596">
        <v>7.0773977790944862</v>
      </c>
      <c r="AS1596" t="s">
        <v>65</v>
      </c>
      <c r="AT1596">
        <v>1</v>
      </c>
      <c r="AU1596" t="s">
        <v>318</v>
      </c>
      <c r="AV1596" t="s">
        <v>319</v>
      </c>
      <c r="AW1596" t="s">
        <v>60</v>
      </c>
      <c r="AX1596" t="s">
        <v>68</v>
      </c>
      <c r="AY1596" t="s">
        <v>69</v>
      </c>
      <c r="AZ1596" t="b">
        <v>1</v>
      </c>
    </row>
    <row r="1597" spans="1:52" x14ac:dyDescent="0.3">
      <c r="A1597" t="s">
        <v>52</v>
      </c>
      <c r="B1597" t="s">
        <v>53</v>
      </c>
      <c r="C1597" t="s">
        <v>54</v>
      </c>
      <c r="D1597" t="s">
        <v>55</v>
      </c>
      <c r="E1597" t="s">
        <v>845</v>
      </c>
      <c r="F1597" t="s">
        <v>176</v>
      </c>
      <c r="G1597" t="s">
        <v>427</v>
      </c>
      <c r="H1597" t="s">
        <v>428</v>
      </c>
      <c r="I1597" t="s">
        <v>428</v>
      </c>
      <c r="J1597" t="s">
        <v>60</v>
      </c>
      <c r="K1597" t="s">
        <v>311</v>
      </c>
      <c r="L1597" t="s">
        <v>62</v>
      </c>
      <c r="M1597" t="s">
        <v>311</v>
      </c>
      <c r="N1597" t="s">
        <v>429</v>
      </c>
      <c r="O1597" t="s">
        <v>430</v>
      </c>
      <c r="P1597">
        <v>-19.574636999999999</v>
      </c>
      <c r="Q1597">
        <v>-43.919919999999998</v>
      </c>
      <c r="R1597" s="2" t="str">
        <f>HYPERLINK("https://www.google.com/maps?q=-19.5746370,-43.9199200","Abrir no Google Maps")</f>
        <v>Abrir no Google Maps</v>
      </c>
      <c r="S1597">
        <v>3</v>
      </c>
      <c r="T1597">
        <v>0</v>
      </c>
      <c r="U1597">
        <v>4</v>
      </c>
      <c r="V1597">
        <v>0.18699186991869921</v>
      </c>
      <c r="W1597">
        <v>1</v>
      </c>
      <c r="X1597">
        <v>0.18699186991869921</v>
      </c>
      <c r="Y1597">
        <v>5</v>
      </c>
      <c r="Z1597">
        <v>161.2304444692663</v>
      </c>
      <c r="AA1597">
        <v>2</v>
      </c>
      <c r="AB1597">
        <v>3</v>
      </c>
      <c r="AC1597">
        <v>7</v>
      </c>
      <c r="AD1597">
        <v>26.28</v>
      </c>
      <c r="AE1597">
        <v>253</v>
      </c>
      <c r="AF1597">
        <v>16</v>
      </c>
      <c r="AG1597">
        <v>63</v>
      </c>
      <c r="AH1597">
        <v>32</v>
      </c>
      <c r="AI1597">
        <v>6.32</v>
      </c>
      <c r="AJ1597">
        <v>24.9</v>
      </c>
      <c r="AK1597">
        <v>12.65</v>
      </c>
      <c r="AL1597">
        <v>-19.57444484999996</v>
      </c>
      <c r="AM1597">
        <v>-43.920497272225433</v>
      </c>
      <c r="AN1597">
        <v>-19.57444484999996</v>
      </c>
      <c r="AO1597">
        <v>-43.920497272225433</v>
      </c>
      <c r="AP1597">
        <v>-19.574636999999999</v>
      </c>
      <c r="AQ1597">
        <v>-43.919919999999998</v>
      </c>
      <c r="AR1597">
        <v>64.215298992893679</v>
      </c>
      <c r="AS1597" t="s">
        <v>65</v>
      </c>
      <c r="AT1597">
        <v>1</v>
      </c>
      <c r="AU1597" t="s">
        <v>431</v>
      </c>
      <c r="AV1597" t="s">
        <v>432</v>
      </c>
      <c r="AW1597" t="s">
        <v>60</v>
      </c>
      <c r="AX1597" t="s">
        <v>68</v>
      </c>
      <c r="AY1597" t="s">
        <v>69</v>
      </c>
      <c r="AZ1597" t="b">
        <v>1</v>
      </c>
    </row>
    <row r="1598" spans="1:52" x14ac:dyDescent="0.3">
      <c r="A1598" t="s">
        <v>52</v>
      </c>
      <c r="B1598" t="s">
        <v>53</v>
      </c>
      <c r="C1598" t="s">
        <v>54</v>
      </c>
      <c r="D1598" t="s">
        <v>55</v>
      </c>
      <c r="E1598" t="s">
        <v>845</v>
      </c>
      <c r="F1598" t="s">
        <v>176</v>
      </c>
      <c r="G1598" t="s">
        <v>433</v>
      </c>
      <c r="H1598" t="s">
        <v>434</v>
      </c>
      <c r="I1598" t="s">
        <v>434</v>
      </c>
      <c r="J1598" t="s">
        <v>60</v>
      </c>
      <c r="K1598" t="s">
        <v>311</v>
      </c>
      <c r="L1598" t="s">
        <v>62</v>
      </c>
      <c r="M1598" t="s">
        <v>311</v>
      </c>
      <c r="N1598" t="s">
        <v>435</v>
      </c>
      <c r="O1598" t="s">
        <v>120</v>
      </c>
      <c r="P1598">
        <v>-19.563834</v>
      </c>
      <c r="Q1598">
        <v>-43.917617</v>
      </c>
      <c r="R1598" s="2" t="str">
        <f>HYPERLINK("https://www.google.com/maps?q=-19.5638340,-43.9176170","Abrir no Google Maps")</f>
        <v>Abrir no Google Maps</v>
      </c>
      <c r="S1598">
        <v>3</v>
      </c>
      <c r="T1598">
        <v>1208.4380275937069</v>
      </c>
      <c r="U1598">
        <v>4</v>
      </c>
      <c r="V1598">
        <v>0.20474137931034481</v>
      </c>
      <c r="W1598">
        <v>1</v>
      </c>
      <c r="X1598">
        <v>0.20474137931034481</v>
      </c>
      <c r="Y1598">
        <v>5</v>
      </c>
      <c r="Z1598">
        <v>1239.357315084522</v>
      </c>
      <c r="AA1598">
        <v>2</v>
      </c>
      <c r="AB1598">
        <v>3</v>
      </c>
      <c r="AC1598">
        <v>7</v>
      </c>
      <c r="AD1598">
        <v>26.28</v>
      </c>
      <c r="AE1598">
        <v>253</v>
      </c>
      <c r="AF1598">
        <v>16</v>
      </c>
      <c r="AG1598">
        <v>63</v>
      </c>
      <c r="AH1598">
        <v>32</v>
      </c>
      <c r="AI1598">
        <v>6.32</v>
      </c>
      <c r="AJ1598">
        <v>24.9</v>
      </c>
      <c r="AK1598">
        <v>12.65</v>
      </c>
      <c r="AL1598">
        <v>-19.563932349999959</v>
      </c>
      <c r="AM1598">
        <v>-43.917383104532327</v>
      </c>
      <c r="AN1598">
        <v>-19.563932349999959</v>
      </c>
      <c r="AO1598">
        <v>-43.917383104532327</v>
      </c>
      <c r="AP1598">
        <v>-19.563834</v>
      </c>
      <c r="AQ1598">
        <v>-43.917617</v>
      </c>
      <c r="AR1598">
        <v>26.86608405010627</v>
      </c>
      <c r="AS1598" t="s">
        <v>65</v>
      </c>
      <c r="AT1598">
        <v>1</v>
      </c>
      <c r="AU1598" t="s">
        <v>436</v>
      </c>
      <c r="AV1598" t="s">
        <v>437</v>
      </c>
      <c r="AW1598" t="s">
        <v>60</v>
      </c>
      <c r="AX1598" t="s">
        <v>68</v>
      </c>
      <c r="AY1598" t="s">
        <v>69</v>
      </c>
      <c r="AZ1598" t="b">
        <v>1</v>
      </c>
    </row>
    <row r="1599" spans="1:52" x14ac:dyDescent="0.3">
      <c r="A1599" t="s">
        <v>52</v>
      </c>
      <c r="B1599" t="s">
        <v>53</v>
      </c>
      <c r="C1599" t="s">
        <v>54</v>
      </c>
      <c r="D1599" t="s">
        <v>55</v>
      </c>
      <c r="E1599" t="s">
        <v>845</v>
      </c>
      <c r="F1599" t="s">
        <v>176</v>
      </c>
      <c r="G1599" t="s">
        <v>443</v>
      </c>
      <c r="H1599" t="s">
        <v>444</v>
      </c>
      <c r="I1599" t="s">
        <v>444</v>
      </c>
      <c r="J1599" t="s">
        <v>60</v>
      </c>
      <c r="K1599" t="s">
        <v>445</v>
      </c>
      <c r="L1599" t="s">
        <v>62</v>
      </c>
      <c r="M1599" t="s">
        <v>445</v>
      </c>
      <c r="N1599" t="s">
        <v>446</v>
      </c>
      <c r="O1599" t="s">
        <v>447</v>
      </c>
      <c r="P1599">
        <v>-19.650062999999999</v>
      </c>
      <c r="Q1599">
        <v>-43.878337000000002</v>
      </c>
      <c r="R1599" s="2" t="str">
        <f>HYPERLINK("https://www.google.com/maps?q=-19.6500630,-43.8783370","Abrir no Google Maps")</f>
        <v>Abrir no Google Maps</v>
      </c>
      <c r="S1599">
        <v>3</v>
      </c>
      <c r="T1599">
        <v>839.11860749856135</v>
      </c>
      <c r="U1599">
        <v>4</v>
      </c>
      <c r="V1599">
        <v>0.187007874015748</v>
      </c>
      <c r="W1599">
        <v>1</v>
      </c>
      <c r="X1599">
        <v>0.187007874015748</v>
      </c>
      <c r="Y1599">
        <v>3</v>
      </c>
      <c r="Z1599">
        <v>698.86168887476526</v>
      </c>
      <c r="AA1599">
        <v>2</v>
      </c>
      <c r="AB1599">
        <v>3</v>
      </c>
      <c r="AC1599">
        <v>7</v>
      </c>
      <c r="AD1599">
        <v>26.28</v>
      </c>
      <c r="AE1599">
        <v>253</v>
      </c>
      <c r="AF1599">
        <v>16</v>
      </c>
      <c r="AG1599">
        <v>63</v>
      </c>
      <c r="AH1599">
        <v>32</v>
      </c>
      <c r="AI1599">
        <v>6.32</v>
      </c>
      <c r="AJ1599">
        <v>24.9</v>
      </c>
      <c r="AK1599">
        <v>12.65</v>
      </c>
      <c r="AL1599">
        <v>-19.650555399999941</v>
      </c>
      <c r="AM1599">
        <v>-43.878603008553611</v>
      </c>
      <c r="AN1599">
        <v>-19.650555399999941</v>
      </c>
      <c r="AO1599">
        <v>-43.878603008553611</v>
      </c>
      <c r="AP1599">
        <v>-19.650062999999999</v>
      </c>
      <c r="AQ1599">
        <v>-43.878337000000002</v>
      </c>
      <c r="AR1599">
        <v>61.500273251918507</v>
      </c>
      <c r="AS1599" t="s">
        <v>65</v>
      </c>
      <c r="AT1599">
        <v>1</v>
      </c>
      <c r="AU1599" t="s">
        <v>448</v>
      </c>
      <c r="AV1599" t="s">
        <v>449</v>
      </c>
      <c r="AW1599" t="s">
        <v>60</v>
      </c>
      <c r="AX1599" t="s">
        <v>68</v>
      </c>
      <c r="AY1599" t="s">
        <v>69</v>
      </c>
      <c r="AZ1599" t="b">
        <v>1</v>
      </c>
    </row>
    <row r="1600" spans="1:52" x14ac:dyDescent="0.3">
      <c r="A1600" t="s">
        <v>52</v>
      </c>
      <c r="B1600" t="s">
        <v>53</v>
      </c>
      <c r="C1600" t="s">
        <v>54</v>
      </c>
      <c r="D1600" t="s">
        <v>55</v>
      </c>
      <c r="E1600" t="s">
        <v>845</v>
      </c>
      <c r="F1600" t="s">
        <v>176</v>
      </c>
      <c r="G1600" t="s">
        <v>450</v>
      </c>
      <c r="H1600" t="s">
        <v>451</v>
      </c>
      <c r="I1600" t="s">
        <v>451</v>
      </c>
      <c r="J1600" t="s">
        <v>60</v>
      </c>
      <c r="K1600" t="s">
        <v>452</v>
      </c>
      <c r="L1600" t="s">
        <v>62</v>
      </c>
      <c r="M1600" t="s">
        <v>452</v>
      </c>
      <c r="N1600" t="s">
        <v>453</v>
      </c>
      <c r="O1600" t="s">
        <v>454</v>
      </c>
      <c r="P1600">
        <v>-19.649691000000001</v>
      </c>
      <c r="Q1600">
        <v>-43.873970999999997</v>
      </c>
      <c r="R1600" s="2" t="str">
        <f>HYPERLINK("https://www.google.com/maps?q=-19.6496910,-43.8739710","Abrir no Google Maps")</f>
        <v>Abrir no Google Maps</v>
      </c>
      <c r="S1600">
        <v>3</v>
      </c>
      <c r="T1600">
        <v>433.54329587849469</v>
      </c>
      <c r="U1600">
        <v>4</v>
      </c>
      <c r="V1600">
        <v>0.18370165745856351</v>
      </c>
      <c r="W1600">
        <v>1</v>
      </c>
      <c r="X1600">
        <v>0.18370165745856351</v>
      </c>
      <c r="Y1600">
        <v>3</v>
      </c>
      <c r="Z1600">
        <v>298.71042308886041</v>
      </c>
      <c r="AA1600">
        <v>2</v>
      </c>
      <c r="AB1600">
        <v>3</v>
      </c>
      <c r="AC1600">
        <v>7</v>
      </c>
      <c r="AD1600">
        <v>26.28</v>
      </c>
      <c r="AE1600">
        <v>253</v>
      </c>
      <c r="AF1600">
        <v>16</v>
      </c>
      <c r="AG1600">
        <v>63</v>
      </c>
      <c r="AH1600">
        <v>32</v>
      </c>
      <c r="AI1600">
        <v>6.32</v>
      </c>
      <c r="AJ1600">
        <v>24.9</v>
      </c>
      <c r="AK1600">
        <v>12.65</v>
      </c>
      <c r="AL1600">
        <v>-19.64973869999994</v>
      </c>
      <c r="AM1600">
        <v>-43.873980587601103</v>
      </c>
      <c r="AN1600">
        <v>-19.64973869999994</v>
      </c>
      <c r="AO1600">
        <v>-43.873980587601103</v>
      </c>
      <c r="AP1600">
        <v>-19.649691000000001</v>
      </c>
      <c r="AQ1600">
        <v>-43.873970999999997</v>
      </c>
      <c r="AR1600">
        <v>5.4042596125531333</v>
      </c>
      <c r="AS1600" t="s">
        <v>65</v>
      </c>
      <c r="AT1600">
        <v>1</v>
      </c>
      <c r="AU1600" t="s">
        <v>455</v>
      </c>
      <c r="AV1600" t="s">
        <v>456</v>
      </c>
      <c r="AW1600" t="s">
        <v>60</v>
      </c>
      <c r="AX1600" t="s">
        <v>68</v>
      </c>
      <c r="AY1600" t="s">
        <v>69</v>
      </c>
      <c r="AZ1600" t="b">
        <v>1</v>
      </c>
    </row>
    <row r="1601" spans="1:52" x14ac:dyDescent="0.3">
      <c r="A1601" t="s">
        <v>52</v>
      </c>
      <c r="B1601" t="s">
        <v>53</v>
      </c>
      <c r="C1601" t="s">
        <v>54</v>
      </c>
      <c r="D1601" t="s">
        <v>55</v>
      </c>
      <c r="E1601" t="s">
        <v>845</v>
      </c>
      <c r="F1601" t="s">
        <v>176</v>
      </c>
      <c r="G1601" t="s">
        <v>457</v>
      </c>
      <c r="H1601" t="s">
        <v>458</v>
      </c>
      <c r="I1601" t="s">
        <v>458</v>
      </c>
      <c r="J1601" t="s">
        <v>60</v>
      </c>
      <c r="K1601" t="s">
        <v>286</v>
      </c>
      <c r="L1601" t="s">
        <v>62</v>
      </c>
      <c r="M1601" t="s">
        <v>286</v>
      </c>
      <c r="N1601" t="s">
        <v>459</v>
      </c>
      <c r="O1601" t="s">
        <v>408</v>
      </c>
      <c r="P1601">
        <v>-19.648675000000001</v>
      </c>
      <c r="Q1601">
        <v>-43.876176999999998</v>
      </c>
      <c r="R1601" s="2" t="str">
        <f>HYPERLINK("https://www.google.com/maps?q=-19.6486750,-43.8761770","Abrir no Google Maps")</f>
        <v>Abrir no Google Maps</v>
      </c>
      <c r="S1601">
        <v>3</v>
      </c>
      <c r="T1601">
        <v>696.15049931004592</v>
      </c>
      <c r="U1601">
        <v>4</v>
      </c>
      <c r="V1601">
        <v>0.19083969465648851</v>
      </c>
      <c r="W1601">
        <v>1</v>
      </c>
      <c r="X1601">
        <v>0.19083969465648851</v>
      </c>
      <c r="Y1601">
        <v>3</v>
      </c>
      <c r="Z1601">
        <v>617.40976221624703</v>
      </c>
      <c r="AA1601">
        <v>2</v>
      </c>
      <c r="AB1601">
        <v>3</v>
      </c>
      <c r="AC1601">
        <v>7</v>
      </c>
      <c r="AD1601">
        <v>26.28</v>
      </c>
      <c r="AE1601">
        <v>253</v>
      </c>
      <c r="AF1601">
        <v>16</v>
      </c>
      <c r="AG1601">
        <v>63</v>
      </c>
      <c r="AH1601">
        <v>32</v>
      </c>
      <c r="AI1601">
        <v>6.32</v>
      </c>
      <c r="AJ1601">
        <v>24.9</v>
      </c>
      <c r="AK1601">
        <v>12.65</v>
      </c>
      <c r="AL1601">
        <v>-19.648626649999951</v>
      </c>
      <c r="AM1601">
        <v>-43.876233357879343</v>
      </c>
      <c r="AN1601">
        <v>-19.648626649999951</v>
      </c>
      <c r="AO1601">
        <v>-43.876233357879343</v>
      </c>
      <c r="AP1601">
        <v>-19.648675000000001</v>
      </c>
      <c r="AQ1601">
        <v>-43.876176999999998</v>
      </c>
      <c r="AR1601">
        <v>7.9924470956447653</v>
      </c>
      <c r="AS1601" t="s">
        <v>65</v>
      </c>
      <c r="AT1601">
        <v>1</v>
      </c>
      <c r="AU1601" t="s">
        <v>460</v>
      </c>
      <c r="AV1601" t="s">
        <v>461</v>
      </c>
      <c r="AW1601" t="s">
        <v>60</v>
      </c>
      <c r="AX1601" t="s">
        <v>68</v>
      </c>
      <c r="AY1601" t="s">
        <v>69</v>
      </c>
      <c r="AZ1601" t="b">
        <v>1</v>
      </c>
    </row>
    <row r="1602" spans="1:52" x14ac:dyDescent="0.3">
      <c r="A1602" t="s">
        <v>52</v>
      </c>
      <c r="B1602" t="s">
        <v>53</v>
      </c>
      <c r="C1602" t="s">
        <v>54</v>
      </c>
      <c r="D1602" t="s">
        <v>55</v>
      </c>
      <c r="E1602" t="s">
        <v>845</v>
      </c>
      <c r="F1602" t="s">
        <v>176</v>
      </c>
      <c r="G1602" t="s">
        <v>468</v>
      </c>
      <c r="H1602" t="s">
        <v>469</v>
      </c>
      <c r="I1602" t="s">
        <v>469</v>
      </c>
      <c r="J1602" t="s">
        <v>60</v>
      </c>
      <c r="K1602" t="s">
        <v>326</v>
      </c>
      <c r="L1602" t="s">
        <v>62</v>
      </c>
      <c r="M1602" t="s">
        <v>326</v>
      </c>
      <c r="N1602" t="s">
        <v>470</v>
      </c>
      <c r="O1602" t="s">
        <v>471</v>
      </c>
      <c r="P1602">
        <v>-19.655975999999999</v>
      </c>
      <c r="Q1602">
        <v>-43.870057000000003</v>
      </c>
      <c r="R1602" s="2" t="str">
        <f>HYPERLINK("https://www.google.com/maps?q=-19.6559760,-43.8700570","Abrir no Google Maps")</f>
        <v>Abrir no Google Maps</v>
      </c>
      <c r="S1602">
        <v>3</v>
      </c>
      <c r="T1602">
        <v>409.25016374145417</v>
      </c>
      <c r="U1602">
        <v>4</v>
      </c>
      <c r="V1602">
        <v>0.18010752688172041</v>
      </c>
      <c r="W1602">
        <v>1</v>
      </c>
      <c r="X1602">
        <v>0.18010752688172041</v>
      </c>
      <c r="Y1602">
        <v>3</v>
      </c>
      <c r="Z1602">
        <v>484.59511175905197</v>
      </c>
      <c r="AA1602">
        <v>2</v>
      </c>
      <c r="AB1602">
        <v>3</v>
      </c>
      <c r="AC1602">
        <v>7</v>
      </c>
      <c r="AD1602">
        <v>26.28</v>
      </c>
      <c r="AE1602">
        <v>253</v>
      </c>
      <c r="AF1602">
        <v>16</v>
      </c>
      <c r="AG1602">
        <v>63</v>
      </c>
      <c r="AH1602">
        <v>32</v>
      </c>
      <c r="AI1602">
        <v>6.32</v>
      </c>
      <c r="AJ1602">
        <v>24.9</v>
      </c>
      <c r="AK1602">
        <v>12.65</v>
      </c>
      <c r="AL1602">
        <v>-19.655869499999969</v>
      </c>
      <c r="AM1602">
        <v>-43.870040006843681</v>
      </c>
      <c r="AN1602">
        <v>-19.655869499999969</v>
      </c>
      <c r="AO1602">
        <v>-43.870040006843681</v>
      </c>
      <c r="AP1602">
        <v>-19.655975999999999</v>
      </c>
      <c r="AQ1602">
        <v>-43.870057000000003</v>
      </c>
      <c r="AR1602">
        <v>11.98867552929476</v>
      </c>
      <c r="AS1602" t="s">
        <v>65</v>
      </c>
      <c r="AT1602">
        <v>1</v>
      </c>
      <c r="AU1602" t="s">
        <v>472</v>
      </c>
      <c r="AV1602" t="s">
        <v>473</v>
      </c>
      <c r="AW1602" t="s">
        <v>60</v>
      </c>
      <c r="AX1602" t="s">
        <v>68</v>
      </c>
      <c r="AY1602" t="s">
        <v>69</v>
      </c>
      <c r="AZ1602" t="b">
        <v>1</v>
      </c>
    </row>
    <row r="1603" spans="1:52" x14ac:dyDescent="0.3">
      <c r="A1603" t="s">
        <v>52</v>
      </c>
      <c r="B1603" t="s">
        <v>53</v>
      </c>
      <c r="C1603" t="s">
        <v>54</v>
      </c>
      <c r="D1603" t="s">
        <v>55</v>
      </c>
      <c r="E1603" t="s">
        <v>845</v>
      </c>
      <c r="F1603" t="s">
        <v>176</v>
      </c>
      <c r="G1603" t="s">
        <v>433</v>
      </c>
      <c r="H1603" t="s">
        <v>724</v>
      </c>
      <c r="I1603" t="s">
        <v>724</v>
      </c>
      <c r="J1603" t="s">
        <v>60</v>
      </c>
      <c r="K1603" t="s">
        <v>219</v>
      </c>
      <c r="L1603" t="s">
        <v>62</v>
      </c>
      <c r="M1603" t="s">
        <v>219</v>
      </c>
      <c r="N1603" t="s">
        <v>725</v>
      </c>
      <c r="O1603" t="s">
        <v>94</v>
      </c>
      <c r="P1603">
        <v>-19.667331999999998</v>
      </c>
      <c r="Q1603">
        <v>-43.882961999999999</v>
      </c>
      <c r="R1603" s="2" t="str">
        <f>HYPERLINK("https://www.google.com/maps?q=-19.6673320,-43.8829620","Abrir no Google Maps")</f>
        <v>Abrir no Google Maps</v>
      </c>
      <c r="S1603">
        <v>3</v>
      </c>
      <c r="T1603">
        <v>613.33664202269995</v>
      </c>
      <c r="U1603">
        <v>4</v>
      </c>
      <c r="V1603">
        <v>0.22222222222222221</v>
      </c>
      <c r="W1603">
        <v>0.85</v>
      </c>
      <c r="X1603">
        <v>0.18888888888888891</v>
      </c>
      <c r="Y1603">
        <v>3</v>
      </c>
      <c r="Z1603">
        <v>943.74394420174099</v>
      </c>
      <c r="AA1603">
        <v>2</v>
      </c>
      <c r="AB1603">
        <v>3</v>
      </c>
      <c r="AC1603">
        <v>7</v>
      </c>
      <c r="AD1603">
        <v>26.28</v>
      </c>
      <c r="AE1603">
        <v>253</v>
      </c>
      <c r="AF1603">
        <v>16</v>
      </c>
      <c r="AG1603">
        <v>63</v>
      </c>
      <c r="AH1603">
        <v>32</v>
      </c>
      <c r="AI1603">
        <v>6.32</v>
      </c>
      <c r="AJ1603">
        <v>24.9</v>
      </c>
      <c r="AK1603">
        <v>12.65</v>
      </c>
      <c r="AL1603">
        <v>-19.669342649999979</v>
      </c>
      <c r="AM1603">
        <v>-43.880131221973677</v>
      </c>
      <c r="AN1603">
        <v>-19.669342649999979</v>
      </c>
      <c r="AO1603">
        <v>-43.880131221973677</v>
      </c>
      <c r="AP1603">
        <v>-19.667331999999998</v>
      </c>
      <c r="AQ1603">
        <v>-43.882961999999999</v>
      </c>
      <c r="AR1603">
        <v>371.68479256351492</v>
      </c>
      <c r="AS1603" t="s">
        <v>65</v>
      </c>
      <c r="AT1603">
        <v>1</v>
      </c>
      <c r="AU1603" t="s">
        <v>726</v>
      </c>
      <c r="AV1603" t="s">
        <v>727</v>
      </c>
      <c r="AW1603" t="s">
        <v>60</v>
      </c>
      <c r="AX1603" t="s">
        <v>68</v>
      </c>
      <c r="AY1603" t="s">
        <v>69</v>
      </c>
      <c r="AZ1603" t="b">
        <v>1</v>
      </c>
    </row>
    <row r="1604" spans="1:52" x14ac:dyDescent="0.3">
      <c r="A1604" t="s">
        <v>52</v>
      </c>
      <c r="B1604" t="s">
        <v>53</v>
      </c>
      <c r="C1604" t="s">
        <v>54</v>
      </c>
      <c r="D1604" t="s">
        <v>55</v>
      </c>
      <c r="E1604" t="s">
        <v>845</v>
      </c>
      <c r="F1604" t="s">
        <v>176</v>
      </c>
      <c r="G1604" t="s">
        <v>338</v>
      </c>
      <c r="H1604" t="s">
        <v>339</v>
      </c>
      <c r="I1604" t="s">
        <v>339</v>
      </c>
      <c r="J1604" t="s">
        <v>60</v>
      </c>
      <c r="K1604" t="s">
        <v>219</v>
      </c>
      <c r="L1604" t="s">
        <v>62</v>
      </c>
      <c r="M1604" t="s">
        <v>219</v>
      </c>
      <c r="N1604" t="s">
        <v>340</v>
      </c>
      <c r="O1604" t="s">
        <v>341</v>
      </c>
      <c r="P1604">
        <v>-19.666964</v>
      </c>
      <c r="Q1604">
        <v>-43.884436999999998</v>
      </c>
      <c r="R1604" s="2" t="str">
        <f>HYPERLINK("https://www.google.com/maps?q=-19.6669640,-43.8844370","Abrir no Google Maps")</f>
        <v>Abrir no Google Maps</v>
      </c>
      <c r="S1604">
        <v>3</v>
      </c>
      <c r="T1604">
        <v>957.0047152726122</v>
      </c>
      <c r="U1604">
        <v>4</v>
      </c>
      <c r="V1604">
        <v>0.20384615384615379</v>
      </c>
      <c r="W1604">
        <v>1</v>
      </c>
      <c r="X1604">
        <v>0.20384615384615379</v>
      </c>
      <c r="Y1604">
        <v>3</v>
      </c>
      <c r="Z1604">
        <v>558.02655966087093</v>
      </c>
      <c r="AA1604">
        <v>2</v>
      </c>
      <c r="AB1604">
        <v>3</v>
      </c>
      <c r="AC1604">
        <v>7</v>
      </c>
      <c r="AD1604">
        <v>26.28</v>
      </c>
      <c r="AE1604">
        <v>253</v>
      </c>
      <c r="AF1604">
        <v>16</v>
      </c>
      <c r="AG1604">
        <v>63</v>
      </c>
      <c r="AH1604">
        <v>32</v>
      </c>
      <c r="AI1604">
        <v>6.32</v>
      </c>
      <c r="AJ1604">
        <v>24.9</v>
      </c>
      <c r="AK1604">
        <v>12.65</v>
      </c>
      <c r="AL1604">
        <v>-19.66693374999997</v>
      </c>
      <c r="AM1604">
        <v>-43.884551162820181</v>
      </c>
      <c r="AN1604">
        <v>-19.66693374999997</v>
      </c>
      <c r="AO1604">
        <v>-43.884551162820181</v>
      </c>
      <c r="AP1604">
        <v>-19.666964</v>
      </c>
      <c r="AQ1604">
        <v>-43.884436999999998</v>
      </c>
      <c r="AR1604">
        <v>12.43199920714442</v>
      </c>
      <c r="AS1604" t="s">
        <v>65</v>
      </c>
      <c r="AT1604">
        <v>1</v>
      </c>
      <c r="AU1604" t="s">
        <v>342</v>
      </c>
      <c r="AV1604" t="s">
        <v>343</v>
      </c>
      <c r="AW1604" t="s">
        <v>60</v>
      </c>
      <c r="AX1604" t="s">
        <v>68</v>
      </c>
      <c r="AY1604" t="s">
        <v>69</v>
      </c>
      <c r="AZ1604" t="b">
        <v>1</v>
      </c>
    </row>
    <row r="1605" spans="1:52" x14ac:dyDescent="0.3">
      <c r="A1605" t="s">
        <v>52</v>
      </c>
      <c r="B1605" t="s">
        <v>53</v>
      </c>
      <c r="C1605" t="s">
        <v>54</v>
      </c>
      <c r="D1605" t="s">
        <v>55</v>
      </c>
      <c r="E1605" t="s">
        <v>845</v>
      </c>
      <c r="F1605" t="s">
        <v>176</v>
      </c>
      <c r="G1605" t="s">
        <v>438</v>
      </c>
      <c r="H1605" t="s">
        <v>491</v>
      </c>
      <c r="I1605" t="s">
        <v>491</v>
      </c>
      <c r="J1605" t="s">
        <v>60</v>
      </c>
      <c r="K1605" t="s">
        <v>492</v>
      </c>
      <c r="L1605" t="s">
        <v>62</v>
      </c>
      <c r="M1605" t="s">
        <v>492</v>
      </c>
      <c r="N1605" t="s">
        <v>493</v>
      </c>
      <c r="O1605" t="s">
        <v>81</v>
      </c>
      <c r="P1605">
        <v>-19.599810999999999</v>
      </c>
      <c r="Q1605">
        <v>-43.906267</v>
      </c>
      <c r="R1605" s="2" t="str">
        <f>HYPERLINK("https://www.google.com/maps?q=-19.5998110,-43.9062670","Abrir no Google Maps")</f>
        <v>Abrir no Google Maps</v>
      </c>
      <c r="S1605">
        <v>3</v>
      </c>
      <c r="T1605">
        <v>214.87460546260371</v>
      </c>
      <c r="U1605">
        <v>4</v>
      </c>
      <c r="V1605">
        <v>0.1910714285714285</v>
      </c>
      <c r="W1605">
        <v>1</v>
      </c>
      <c r="X1605">
        <v>0.1910714285714285</v>
      </c>
      <c r="Y1605">
        <v>2</v>
      </c>
      <c r="Z1605">
        <v>211.0648412523515</v>
      </c>
      <c r="AA1605">
        <v>2</v>
      </c>
      <c r="AB1605">
        <v>3</v>
      </c>
      <c r="AC1605">
        <v>7</v>
      </c>
      <c r="AD1605">
        <v>26.28</v>
      </c>
      <c r="AE1605">
        <v>253</v>
      </c>
      <c r="AF1605">
        <v>16</v>
      </c>
      <c r="AG1605">
        <v>63</v>
      </c>
      <c r="AH1605">
        <v>32</v>
      </c>
      <c r="AI1605">
        <v>6.32</v>
      </c>
      <c r="AJ1605">
        <v>24.9</v>
      </c>
      <c r="AK1605">
        <v>12.65</v>
      </c>
      <c r="AL1605">
        <v>-19.600032099999961</v>
      </c>
      <c r="AM1605">
        <v>-43.906252350845229</v>
      </c>
      <c r="AN1605">
        <v>-19.600032099999961</v>
      </c>
      <c r="AO1605">
        <v>-43.906252350845229</v>
      </c>
      <c r="AP1605">
        <v>-19.599810999999999</v>
      </c>
      <c r="AQ1605">
        <v>-43.906267</v>
      </c>
      <c r="AR1605">
        <v>24.660749384148179</v>
      </c>
      <c r="AS1605" t="s">
        <v>65</v>
      </c>
      <c r="AT1605">
        <v>1</v>
      </c>
      <c r="AU1605" t="s">
        <v>494</v>
      </c>
      <c r="AV1605" t="s">
        <v>495</v>
      </c>
      <c r="AW1605" t="s">
        <v>60</v>
      </c>
      <c r="AX1605" t="s">
        <v>68</v>
      </c>
      <c r="AY1605" t="s">
        <v>69</v>
      </c>
      <c r="AZ1605" t="b">
        <v>1</v>
      </c>
    </row>
    <row r="1606" spans="1:52" x14ac:dyDescent="0.3">
      <c r="A1606" t="s">
        <v>52</v>
      </c>
      <c r="B1606" t="s">
        <v>53</v>
      </c>
      <c r="C1606" t="s">
        <v>54</v>
      </c>
      <c r="D1606" t="s">
        <v>55</v>
      </c>
      <c r="E1606" t="s">
        <v>845</v>
      </c>
      <c r="F1606" t="s">
        <v>176</v>
      </c>
      <c r="G1606" t="s">
        <v>371</v>
      </c>
      <c r="H1606" t="s">
        <v>372</v>
      </c>
      <c r="I1606" t="s">
        <v>372</v>
      </c>
      <c r="J1606" t="s">
        <v>60</v>
      </c>
      <c r="K1606" t="s">
        <v>352</v>
      </c>
      <c r="L1606" t="s">
        <v>62</v>
      </c>
      <c r="M1606" t="s">
        <v>352</v>
      </c>
      <c r="N1606" t="s">
        <v>353</v>
      </c>
      <c r="O1606" t="s">
        <v>373</v>
      </c>
      <c r="P1606">
        <v>-19.596541999999999</v>
      </c>
      <c r="Q1606">
        <v>-43.900803000000003</v>
      </c>
      <c r="R1606" s="2" t="str">
        <f>HYPERLINK("https://www.google.com/maps?q=-19.5965420,-43.9008030","Abrir no Google Maps")</f>
        <v>Abrir no Google Maps</v>
      </c>
      <c r="S1606">
        <v>3</v>
      </c>
      <c r="T1606">
        <v>401.18305899095373</v>
      </c>
      <c r="U1606">
        <v>4</v>
      </c>
      <c r="V1606">
        <v>0.19099378881987569</v>
      </c>
      <c r="W1606">
        <v>1</v>
      </c>
      <c r="X1606">
        <v>0.19099378881987569</v>
      </c>
      <c r="Y1606">
        <v>2</v>
      </c>
      <c r="Z1606">
        <v>484.51228510119228</v>
      </c>
      <c r="AA1606">
        <v>2</v>
      </c>
      <c r="AB1606">
        <v>3</v>
      </c>
      <c r="AC1606">
        <v>7</v>
      </c>
      <c r="AD1606">
        <v>26.28</v>
      </c>
      <c r="AE1606">
        <v>253</v>
      </c>
      <c r="AF1606">
        <v>16</v>
      </c>
      <c r="AG1606">
        <v>63</v>
      </c>
      <c r="AH1606">
        <v>32</v>
      </c>
      <c r="AI1606">
        <v>6.32</v>
      </c>
      <c r="AJ1606">
        <v>24.9</v>
      </c>
      <c r="AK1606">
        <v>12.65</v>
      </c>
      <c r="AL1606">
        <v>-19.596464449999932</v>
      </c>
      <c r="AM1606">
        <v>-43.902090320142641</v>
      </c>
      <c r="AN1606">
        <v>-19.596464449999932</v>
      </c>
      <c r="AO1606">
        <v>-43.902090320142641</v>
      </c>
      <c r="AP1606">
        <v>-19.596541999999999</v>
      </c>
      <c r="AQ1606">
        <v>-43.900803000000003</v>
      </c>
      <c r="AR1606">
        <v>135.27975170069479</v>
      </c>
      <c r="AS1606" t="s">
        <v>65</v>
      </c>
      <c r="AT1606">
        <v>1</v>
      </c>
      <c r="AU1606" t="s">
        <v>374</v>
      </c>
      <c r="AV1606" t="s">
        <v>375</v>
      </c>
      <c r="AW1606" t="s">
        <v>60</v>
      </c>
      <c r="AX1606" t="s">
        <v>68</v>
      </c>
      <c r="AY1606" t="s">
        <v>69</v>
      </c>
      <c r="AZ1606" t="b">
        <v>1</v>
      </c>
    </row>
    <row r="1607" spans="1:52" x14ac:dyDescent="0.3">
      <c r="A1607" t="s">
        <v>52</v>
      </c>
      <c r="B1607" t="s">
        <v>53</v>
      </c>
      <c r="C1607" t="s">
        <v>54</v>
      </c>
      <c r="D1607" t="s">
        <v>55</v>
      </c>
      <c r="E1607" t="s">
        <v>845</v>
      </c>
      <c r="F1607" t="s">
        <v>176</v>
      </c>
      <c r="G1607" t="s">
        <v>735</v>
      </c>
      <c r="H1607" t="s">
        <v>736</v>
      </c>
      <c r="I1607" t="s">
        <v>736</v>
      </c>
      <c r="J1607" t="s">
        <v>60</v>
      </c>
      <c r="K1607" t="s">
        <v>352</v>
      </c>
      <c r="L1607" t="s">
        <v>62</v>
      </c>
      <c r="M1607" t="s">
        <v>352</v>
      </c>
      <c r="N1607" t="s">
        <v>737</v>
      </c>
      <c r="O1607" t="s">
        <v>738</v>
      </c>
      <c r="P1607">
        <v>-19.598569999999999</v>
      </c>
      <c r="Q1607">
        <v>-43.884976000000002</v>
      </c>
      <c r="R1607" s="2" t="str">
        <f>HYPERLINK("https://www.google.com/maps?q=-19.5985700,-43.8849760","Abrir no Google Maps")</f>
        <v>Abrir no Google Maps</v>
      </c>
      <c r="S1607">
        <v>3</v>
      </c>
      <c r="T1607">
        <v>2088.975568364679</v>
      </c>
      <c r="U1607">
        <v>4</v>
      </c>
      <c r="V1607">
        <v>0.21499999999999991</v>
      </c>
      <c r="W1607">
        <v>0.85</v>
      </c>
      <c r="X1607">
        <v>0.18274999999999991</v>
      </c>
      <c r="Y1607">
        <v>2</v>
      </c>
      <c r="Z1607">
        <v>1895.3949691608641</v>
      </c>
      <c r="AA1607">
        <v>2</v>
      </c>
      <c r="AB1607">
        <v>3</v>
      </c>
      <c r="AC1607">
        <v>7</v>
      </c>
      <c r="AD1607">
        <v>26.28</v>
      </c>
      <c r="AE1607">
        <v>253</v>
      </c>
      <c r="AF1607">
        <v>16</v>
      </c>
      <c r="AG1607">
        <v>63</v>
      </c>
      <c r="AH1607">
        <v>32</v>
      </c>
      <c r="AI1607">
        <v>6.32</v>
      </c>
      <c r="AJ1607">
        <v>24.9</v>
      </c>
      <c r="AK1607">
        <v>12.65</v>
      </c>
      <c r="AL1607">
        <v>-19.598177199999949</v>
      </c>
      <c r="AM1607">
        <v>-43.884435371838791</v>
      </c>
      <c r="AN1607">
        <v>-19.598177199999949</v>
      </c>
      <c r="AO1607">
        <v>-43.884435371838791</v>
      </c>
      <c r="AP1607">
        <v>-19.598569999999999</v>
      </c>
      <c r="AQ1607">
        <v>-43.884976000000002</v>
      </c>
      <c r="AR1607">
        <v>71.599363100126297</v>
      </c>
      <c r="AS1607" t="s">
        <v>65</v>
      </c>
      <c r="AT1607">
        <v>1</v>
      </c>
      <c r="AU1607" t="s">
        <v>739</v>
      </c>
      <c r="AV1607" t="s">
        <v>740</v>
      </c>
      <c r="AW1607" t="s">
        <v>60</v>
      </c>
      <c r="AX1607" t="s">
        <v>68</v>
      </c>
      <c r="AY1607" t="s">
        <v>69</v>
      </c>
      <c r="AZ1607" t="b">
        <v>1</v>
      </c>
    </row>
    <row r="1608" spans="1:52" x14ac:dyDescent="0.3">
      <c r="A1608" t="s">
        <v>52</v>
      </c>
      <c r="B1608" t="s">
        <v>53</v>
      </c>
      <c r="C1608" t="s">
        <v>54</v>
      </c>
      <c r="D1608" t="s">
        <v>55</v>
      </c>
      <c r="E1608" t="s">
        <v>845</v>
      </c>
      <c r="F1608" t="s">
        <v>176</v>
      </c>
      <c r="G1608" t="s">
        <v>500</v>
      </c>
      <c r="H1608" t="s">
        <v>501</v>
      </c>
      <c r="I1608" t="s">
        <v>501</v>
      </c>
      <c r="J1608" t="s">
        <v>60</v>
      </c>
      <c r="K1608" t="s">
        <v>164</v>
      </c>
      <c r="L1608" t="s">
        <v>62</v>
      </c>
      <c r="M1608" t="s">
        <v>164</v>
      </c>
      <c r="N1608" t="s">
        <v>502</v>
      </c>
      <c r="O1608" t="s">
        <v>503</v>
      </c>
      <c r="P1608">
        <v>-19.665816</v>
      </c>
      <c r="Q1608">
        <v>-43.886322999999997</v>
      </c>
      <c r="R1608" s="2" t="str">
        <f>HYPERLINK("https://www.google.com/maps?q=-19.6658160,-43.8863230","Abrir no Google Maps")</f>
        <v>Abrir no Google Maps</v>
      </c>
      <c r="S1608">
        <v>3</v>
      </c>
      <c r="T1608">
        <v>1149.957610345353</v>
      </c>
      <c r="U1608">
        <v>4</v>
      </c>
      <c r="V1608">
        <v>0.19354838709677419</v>
      </c>
      <c r="W1608">
        <v>1</v>
      </c>
      <c r="X1608">
        <v>0.19354838709677419</v>
      </c>
      <c r="Y1608">
        <v>1</v>
      </c>
      <c r="Z1608">
        <v>381.605286477493</v>
      </c>
      <c r="AA1608">
        <v>2</v>
      </c>
      <c r="AB1608">
        <v>3</v>
      </c>
      <c r="AC1608">
        <v>7</v>
      </c>
      <c r="AD1608">
        <v>26.28</v>
      </c>
      <c r="AE1608">
        <v>253</v>
      </c>
      <c r="AF1608">
        <v>16</v>
      </c>
      <c r="AG1608">
        <v>63</v>
      </c>
      <c r="AH1608">
        <v>32</v>
      </c>
      <c r="AI1608">
        <v>6.32</v>
      </c>
      <c r="AJ1608">
        <v>24.9</v>
      </c>
      <c r="AK1608">
        <v>12.65</v>
      </c>
      <c r="AL1608">
        <v>-19.665844049999951</v>
      </c>
      <c r="AM1608">
        <v>-43.886344205728712</v>
      </c>
      <c r="AN1608">
        <v>-19.665844049999951</v>
      </c>
      <c r="AO1608">
        <v>-43.886344205728712</v>
      </c>
      <c r="AP1608">
        <v>-19.665816</v>
      </c>
      <c r="AQ1608">
        <v>-43.886322999999997</v>
      </c>
      <c r="AR1608">
        <v>3.8329604058735098</v>
      </c>
      <c r="AS1608" t="s">
        <v>65</v>
      </c>
      <c r="AT1608">
        <v>1</v>
      </c>
      <c r="AU1608" t="s">
        <v>504</v>
      </c>
      <c r="AV1608" t="s">
        <v>505</v>
      </c>
      <c r="AW1608" t="s">
        <v>60</v>
      </c>
      <c r="AX1608" t="s">
        <v>68</v>
      </c>
      <c r="AY1608" t="s">
        <v>69</v>
      </c>
      <c r="AZ1608" t="b">
        <v>1</v>
      </c>
    </row>
    <row r="1609" spans="1:52" x14ac:dyDescent="0.3">
      <c r="A1609" t="s">
        <v>52</v>
      </c>
      <c r="B1609" t="s">
        <v>53</v>
      </c>
      <c r="C1609" t="s">
        <v>54</v>
      </c>
      <c r="D1609" t="s">
        <v>55</v>
      </c>
      <c r="E1609" t="s">
        <v>845</v>
      </c>
      <c r="F1609" t="s">
        <v>176</v>
      </c>
      <c r="G1609" t="s">
        <v>506</v>
      </c>
      <c r="H1609" t="s">
        <v>507</v>
      </c>
      <c r="I1609" t="s">
        <v>507</v>
      </c>
      <c r="J1609" t="s">
        <v>60</v>
      </c>
      <c r="K1609" t="s">
        <v>219</v>
      </c>
      <c r="L1609" t="s">
        <v>62</v>
      </c>
      <c r="M1609" t="s">
        <v>219</v>
      </c>
      <c r="N1609" t="s">
        <v>508</v>
      </c>
      <c r="O1609" t="s">
        <v>509</v>
      </c>
      <c r="P1609">
        <v>-19.663573</v>
      </c>
      <c r="Q1609">
        <v>-43.884306000000002</v>
      </c>
      <c r="R1609" s="2" t="str">
        <f>HYPERLINK("https://www.google.com/maps?q=-19.6635730,-43.8843060","Abrir no Google Maps")</f>
        <v>Abrir no Google Maps</v>
      </c>
      <c r="S1609">
        <v>3</v>
      </c>
      <c r="T1609">
        <v>1293.040666597964</v>
      </c>
      <c r="U1609">
        <v>4</v>
      </c>
      <c r="V1609">
        <v>0.1936090225563909</v>
      </c>
      <c r="W1609">
        <v>1</v>
      </c>
      <c r="X1609">
        <v>0.1936090225563909</v>
      </c>
      <c r="Y1609">
        <v>1</v>
      </c>
      <c r="Z1609">
        <v>649.69199246551727</v>
      </c>
      <c r="AA1609">
        <v>2</v>
      </c>
      <c r="AB1609">
        <v>3</v>
      </c>
      <c r="AC1609">
        <v>7</v>
      </c>
      <c r="AD1609">
        <v>26.28</v>
      </c>
      <c r="AE1609">
        <v>253</v>
      </c>
      <c r="AF1609">
        <v>16</v>
      </c>
      <c r="AG1609">
        <v>63</v>
      </c>
      <c r="AH1609">
        <v>32</v>
      </c>
      <c r="AI1609">
        <v>6.32</v>
      </c>
      <c r="AJ1609">
        <v>24.9</v>
      </c>
      <c r="AK1609">
        <v>12.65</v>
      </c>
      <c r="AL1609">
        <v>-19.663616899999969</v>
      </c>
      <c r="AM1609">
        <v>-43.884279937960187</v>
      </c>
      <c r="AN1609">
        <v>-19.663616899999969</v>
      </c>
      <c r="AO1609">
        <v>-43.884279937960187</v>
      </c>
      <c r="AP1609">
        <v>-19.663573</v>
      </c>
      <c r="AQ1609">
        <v>-43.884306000000002</v>
      </c>
      <c r="AR1609">
        <v>5.5987767285658263</v>
      </c>
      <c r="AS1609" t="s">
        <v>65</v>
      </c>
      <c r="AT1609">
        <v>1</v>
      </c>
      <c r="AU1609" t="s">
        <v>510</v>
      </c>
      <c r="AV1609" t="s">
        <v>511</v>
      </c>
      <c r="AW1609" t="s">
        <v>60</v>
      </c>
      <c r="AX1609" t="s">
        <v>68</v>
      </c>
      <c r="AY1609" t="s">
        <v>69</v>
      </c>
      <c r="AZ1609" t="b">
        <v>1</v>
      </c>
    </row>
    <row r="1610" spans="1:52" x14ac:dyDescent="0.3">
      <c r="A1610" t="s">
        <v>52</v>
      </c>
      <c r="B1610" t="s">
        <v>53</v>
      </c>
      <c r="C1610" t="s">
        <v>54</v>
      </c>
      <c r="D1610" t="s">
        <v>55</v>
      </c>
      <c r="E1610" t="s">
        <v>845</v>
      </c>
      <c r="F1610" t="s">
        <v>176</v>
      </c>
      <c r="G1610" t="s">
        <v>741</v>
      </c>
      <c r="H1610" t="s">
        <v>742</v>
      </c>
      <c r="I1610" t="s">
        <v>742</v>
      </c>
      <c r="J1610" t="s">
        <v>60</v>
      </c>
      <c r="K1610" t="s">
        <v>683</v>
      </c>
      <c r="L1610" t="s">
        <v>62</v>
      </c>
      <c r="M1610" t="s">
        <v>683</v>
      </c>
      <c r="N1610" t="s">
        <v>743</v>
      </c>
      <c r="O1610" t="s">
        <v>744</v>
      </c>
      <c r="P1610">
        <v>-19.576246999999999</v>
      </c>
      <c r="Q1610">
        <v>-43.955125000000002</v>
      </c>
      <c r="R1610" s="2" t="str">
        <f>HYPERLINK("https://www.google.com/maps?q=-19.5762470,-43.9551250","Abrir no Google Maps")</f>
        <v>Abrir no Google Maps</v>
      </c>
      <c r="S1610">
        <v>3</v>
      </c>
      <c r="T1610">
        <v>1143.885924274435</v>
      </c>
      <c r="U1610">
        <v>4</v>
      </c>
      <c r="V1610">
        <v>0.21186440677966101</v>
      </c>
      <c r="W1610">
        <v>0.85</v>
      </c>
      <c r="X1610">
        <v>0.18008474576271191</v>
      </c>
      <c r="Y1610">
        <v>1</v>
      </c>
      <c r="Z1610">
        <v>744.36678704803273</v>
      </c>
      <c r="AA1610">
        <v>2</v>
      </c>
      <c r="AB1610">
        <v>3</v>
      </c>
      <c r="AC1610">
        <v>7</v>
      </c>
      <c r="AD1610">
        <v>26.28</v>
      </c>
      <c r="AE1610">
        <v>253</v>
      </c>
      <c r="AF1610">
        <v>16</v>
      </c>
      <c r="AG1610">
        <v>63</v>
      </c>
      <c r="AH1610">
        <v>32</v>
      </c>
      <c r="AI1610">
        <v>6.32</v>
      </c>
      <c r="AJ1610">
        <v>24.9</v>
      </c>
      <c r="AK1610">
        <v>12.65</v>
      </c>
      <c r="AL1610">
        <v>-19.57640394999996</v>
      </c>
      <c r="AM1610">
        <v>-43.955130280186857</v>
      </c>
      <c r="AN1610">
        <v>-19.57640394999996</v>
      </c>
      <c r="AO1610">
        <v>-43.955130280186857</v>
      </c>
      <c r="AP1610">
        <v>-19.576246999999999</v>
      </c>
      <c r="AQ1610">
        <v>-43.955125000000002</v>
      </c>
      <c r="AR1610">
        <v>17.48044912434408</v>
      </c>
      <c r="AS1610" t="s">
        <v>65</v>
      </c>
      <c r="AT1610">
        <v>1</v>
      </c>
      <c r="AU1610" t="s">
        <v>745</v>
      </c>
      <c r="AV1610" t="s">
        <v>746</v>
      </c>
      <c r="AW1610" t="s">
        <v>60</v>
      </c>
      <c r="AX1610" t="s">
        <v>68</v>
      </c>
      <c r="AY1610" t="s">
        <v>69</v>
      </c>
      <c r="AZ1610" t="b">
        <v>1</v>
      </c>
    </row>
    <row r="1611" spans="1:52" x14ac:dyDescent="0.3">
      <c r="A1611" t="s">
        <v>52</v>
      </c>
      <c r="B1611" t="s">
        <v>53</v>
      </c>
      <c r="C1611" t="s">
        <v>54</v>
      </c>
      <c r="D1611" t="s">
        <v>55</v>
      </c>
      <c r="E1611" t="s">
        <v>845</v>
      </c>
      <c r="F1611" t="s">
        <v>176</v>
      </c>
      <c r="G1611" t="s">
        <v>681</v>
      </c>
      <c r="H1611" t="s">
        <v>682</v>
      </c>
      <c r="I1611" t="s">
        <v>682</v>
      </c>
      <c r="J1611" t="s">
        <v>60</v>
      </c>
      <c r="K1611" t="s">
        <v>683</v>
      </c>
      <c r="L1611" t="s">
        <v>62</v>
      </c>
      <c r="M1611" t="s">
        <v>683</v>
      </c>
      <c r="N1611" t="s">
        <v>684</v>
      </c>
      <c r="O1611" t="s">
        <v>589</v>
      </c>
      <c r="P1611">
        <v>-19.569573999999999</v>
      </c>
      <c r="Q1611">
        <v>-43.948939000000003</v>
      </c>
      <c r="R1611" s="2" t="str">
        <f>HYPERLINK("https://www.google.com/maps?q=-19.5695740,-43.9489390","Abrir no Google Maps")</f>
        <v>Abrir no Google Maps</v>
      </c>
      <c r="S1611">
        <v>3</v>
      </c>
      <c r="T1611">
        <v>710.01170441209865</v>
      </c>
      <c r="U1611">
        <v>4</v>
      </c>
      <c r="V1611">
        <v>0.18653846153846149</v>
      </c>
      <c r="W1611">
        <v>1</v>
      </c>
      <c r="X1611">
        <v>0.18653846153846149</v>
      </c>
      <c r="Y1611">
        <v>1</v>
      </c>
      <c r="Z1611">
        <v>528.51196257580398</v>
      </c>
      <c r="AA1611">
        <v>2</v>
      </c>
      <c r="AB1611">
        <v>3</v>
      </c>
      <c r="AC1611">
        <v>7</v>
      </c>
      <c r="AD1611">
        <v>26.28</v>
      </c>
      <c r="AE1611">
        <v>253</v>
      </c>
      <c r="AF1611">
        <v>16</v>
      </c>
      <c r="AG1611">
        <v>63</v>
      </c>
      <c r="AH1611">
        <v>32</v>
      </c>
      <c r="AI1611">
        <v>6.32</v>
      </c>
      <c r="AJ1611">
        <v>24.9</v>
      </c>
      <c r="AK1611">
        <v>12.65</v>
      </c>
      <c r="AL1611">
        <v>-19.570777549999971</v>
      </c>
      <c r="AM1611">
        <v>-43.949205504203732</v>
      </c>
      <c r="AN1611">
        <v>-19.570777549999981</v>
      </c>
      <c r="AO1611">
        <v>-43.949205504203732</v>
      </c>
      <c r="AP1611">
        <v>-19.569573999999999</v>
      </c>
      <c r="AQ1611">
        <v>-43.948939000000003</v>
      </c>
      <c r="AR1611">
        <v>136.86420500821191</v>
      </c>
      <c r="AS1611" t="s">
        <v>65</v>
      </c>
      <c r="AT1611">
        <v>1</v>
      </c>
      <c r="AU1611" t="s">
        <v>685</v>
      </c>
      <c r="AV1611" t="s">
        <v>686</v>
      </c>
      <c r="AW1611" t="s">
        <v>60</v>
      </c>
      <c r="AX1611" t="s">
        <v>68</v>
      </c>
      <c r="AY1611" t="s">
        <v>69</v>
      </c>
      <c r="AZ1611" t="b">
        <v>1</v>
      </c>
    </row>
    <row r="1612" spans="1:52" x14ac:dyDescent="0.3">
      <c r="A1612" t="s">
        <v>52</v>
      </c>
      <c r="B1612" t="s">
        <v>53</v>
      </c>
      <c r="C1612" t="s">
        <v>54</v>
      </c>
      <c r="D1612" t="s">
        <v>55</v>
      </c>
      <c r="E1612" t="s">
        <v>845</v>
      </c>
      <c r="F1612" t="s">
        <v>176</v>
      </c>
      <c r="G1612" t="s">
        <v>664</v>
      </c>
      <c r="H1612" t="s">
        <v>687</v>
      </c>
      <c r="I1612" t="s">
        <v>687</v>
      </c>
      <c r="J1612" t="s">
        <v>60</v>
      </c>
      <c r="K1612" t="s">
        <v>683</v>
      </c>
      <c r="L1612" t="s">
        <v>62</v>
      </c>
      <c r="M1612" t="s">
        <v>683</v>
      </c>
      <c r="N1612" t="s">
        <v>688</v>
      </c>
      <c r="O1612" t="s">
        <v>354</v>
      </c>
      <c r="P1612">
        <v>-19.564990999999999</v>
      </c>
      <c r="Q1612">
        <v>-43.947169000000002</v>
      </c>
      <c r="R1612" s="2" t="str">
        <f>HYPERLINK("https://www.google.com/maps?q=-19.5649910,-43.9471690","Abrir no Google Maps")</f>
        <v>Abrir no Google Maps</v>
      </c>
      <c r="S1612">
        <v>3</v>
      </c>
      <c r="T1612">
        <v>686.62887321451433</v>
      </c>
      <c r="U1612">
        <v>4</v>
      </c>
      <c r="V1612">
        <v>0.2019230769230769</v>
      </c>
      <c r="W1612">
        <v>1</v>
      </c>
      <c r="X1612">
        <v>0.2019230769230769</v>
      </c>
      <c r="Y1612">
        <v>1</v>
      </c>
      <c r="Z1612">
        <v>848.87718642784125</v>
      </c>
      <c r="AA1612">
        <v>2</v>
      </c>
      <c r="AB1612">
        <v>3</v>
      </c>
      <c r="AC1612">
        <v>7</v>
      </c>
      <c r="AD1612">
        <v>26.28</v>
      </c>
      <c r="AE1612">
        <v>253</v>
      </c>
      <c r="AF1612">
        <v>16</v>
      </c>
      <c r="AG1612">
        <v>63</v>
      </c>
      <c r="AH1612">
        <v>32</v>
      </c>
      <c r="AI1612">
        <v>6.32</v>
      </c>
      <c r="AJ1612">
        <v>24.9</v>
      </c>
      <c r="AK1612">
        <v>12.65</v>
      </c>
      <c r="AL1612">
        <v>-19.564904949999971</v>
      </c>
      <c r="AM1612">
        <v>-43.94746329903581</v>
      </c>
      <c r="AN1612">
        <v>-19.564904949999971</v>
      </c>
      <c r="AO1612">
        <v>-43.94746329903581</v>
      </c>
      <c r="AP1612">
        <v>-19.564990999999999</v>
      </c>
      <c r="AQ1612">
        <v>-43.947169000000002</v>
      </c>
      <c r="AR1612">
        <v>32.321888980844889</v>
      </c>
      <c r="AS1612" t="s">
        <v>65</v>
      </c>
      <c r="AT1612">
        <v>1</v>
      </c>
      <c r="AU1612" t="s">
        <v>689</v>
      </c>
      <c r="AV1612" t="s">
        <v>690</v>
      </c>
      <c r="AW1612" t="s">
        <v>60</v>
      </c>
      <c r="AX1612" t="s">
        <v>68</v>
      </c>
      <c r="AY1612" t="s">
        <v>69</v>
      </c>
      <c r="AZ1612" t="b">
        <v>1</v>
      </c>
    </row>
    <row r="1613" spans="1:52" x14ac:dyDescent="0.3">
      <c r="A1613" t="s">
        <v>52</v>
      </c>
      <c r="B1613" t="s">
        <v>53</v>
      </c>
      <c r="C1613" t="s">
        <v>54</v>
      </c>
      <c r="D1613" t="s">
        <v>55</v>
      </c>
      <c r="E1613" t="s">
        <v>845</v>
      </c>
      <c r="F1613" t="s">
        <v>176</v>
      </c>
      <c r="G1613" t="s">
        <v>394</v>
      </c>
      <c r="H1613" t="s">
        <v>395</v>
      </c>
      <c r="I1613" t="s">
        <v>395</v>
      </c>
      <c r="J1613" t="s">
        <v>60</v>
      </c>
      <c r="K1613" t="s">
        <v>286</v>
      </c>
      <c r="L1613" t="s">
        <v>62</v>
      </c>
      <c r="M1613" t="s">
        <v>286</v>
      </c>
      <c r="N1613" t="s">
        <v>396</v>
      </c>
      <c r="O1613" t="s">
        <v>88</v>
      </c>
      <c r="P1613">
        <v>-19.636932999999999</v>
      </c>
      <c r="Q1613">
        <v>-43.882691999999999</v>
      </c>
      <c r="R1613" s="2" t="str">
        <f>HYPERLINK("https://www.google.com/maps?q=-19.6369330,-43.8826920","Abrir no Google Maps")</f>
        <v>Abrir no Google Maps</v>
      </c>
      <c r="S1613">
        <v>3</v>
      </c>
      <c r="T1613">
        <v>523.52675813688109</v>
      </c>
      <c r="U1613">
        <v>3</v>
      </c>
      <c r="V1613">
        <v>0.1719653179190751</v>
      </c>
      <c r="W1613">
        <v>1</v>
      </c>
      <c r="X1613">
        <v>0.1719653179190751</v>
      </c>
      <c r="Y1613">
        <v>10</v>
      </c>
      <c r="Z1613">
        <v>372.58135532659509</v>
      </c>
      <c r="AA1613">
        <v>2</v>
      </c>
      <c r="AB1613">
        <v>3</v>
      </c>
      <c r="AC1613">
        <v>7</v>
      </c>
      <c r="AD1613">
        <v>26.28</v>
      </c>
      <c r="AE1613">
        <v>253</v>
      </c>
      <c r="AF1613">
        <v>16</v>
      </c>
      <c r="AG1613">
        <v>63</v>
      </c>
      <c r="AH1613">
        <v>32</v>
      </c>
      <c r="AI1613">
        <v>6.32</v>
      </c>
      <c r="AJ1613">
        <v>24.9</v>
      </c>
      <c r="AK1613">
        <v>12.65</v>
      </c>
      <c r="AL1613">
        <v>-19.637159949999951</v>
      </c>
      <c r="AM1613">
        <v>-43.882643289441461</v>
      </c>
      <c r="AN1613">
        <v>-19.637159949999951</v>
      </c>
      <c r="AO1613">
        <v>-43.882643289441461</v>
      </c>
      <c r="AP1613">
        <v>-19.636932999999999</v>
      </c>
      <c r="AQ1613">
        <v>-43.882691999999999</v>
      </c>
      <c r="AR1613">
        <v>25.775099947452478</v>
      </c>
      <c r="AS1613" t="s">
        <v>65</v>
      </c>
      <c r="AT1613">
        <v>1</v>
      </c>
      <c r="AU1613" t="s">
        <v>397</v>
      </c>
      <c r="AV1613" t="s">
        <v>398</v>
      </c>
      <c r="AW1613" t="s">
        <v>60</v>
      </c>
      <c r="AX1613" t="s">
        <v>68</v>
      </c>
      <c r="AY1613" t="s">
        <v>69</v>
      </c>
      <c r="AZ1613" t="b">
        <v>1</v>
      </c>
    </row>
    <row r="1614" spans="1:52" x14ac:dyDescent="0.3">
      <c r="A1614" t="s">
        <v>52</v>
      </c>
      <c r="B1614" t="s">
        <v>53</v>
      </c>
      <c r="C1614" t="s">
        <v>54</v>
      </c>
      <c r="D1614" t="s">
        <v>55</v>
      </c>
      <c r="E1614" t="s">
        <v>845</v>
      </c>
      <c r="F1614" t="s">
        <v>176</v>
      </c>
      <c r="G1614" t="s">
        <v>399</v>
      </c>
      <c r="H1614" t="s">
        <v>400</v>
      </c>
      <c r="I1614" t="s">
        <v>400</v>
      </c>
      <c r="J1614" t="s">
        <v>60</v>
      </c>
      <c r="K1614" t="s">
        <v>286</v>
      </c>
      <c r="L1614" t="s">
        <v>62</v>
      </c>
      <c r="M1614" t="s">
        <v>286</v>
      </c>
      <c r="N1614" t="s">
        <v>401</v>
      </c>
      <c r="O1614" t="s">
        <v>402</v>
      </c>
      <c r="P1614">
        <v>-19.639906</v>
      </c>
      <c r="Q1614">
        <v>-43.886059000000003</v>
      </c>
      <c r="R1614" s="2" t="str">
        <f>HYPERLINK("https://www.google.com/maps?q=-19.6399060,-43.8860590","Abrir no Google Maps")</f>
        <v>Abrir no Google Maps</v>
      </c>
      <c r="S1614">
        <v>3</v>
      </c>
      <c r="T1614">
        <v>256.0748811302048</v>
      </c>
      <c r="U1614">
        <v>3</v>
      </c>
      <c r="V1614">
        <v>0.15869565217391299</v>
      </c>
      <c r="W1614">
        <v>1</v>
      </c>
      <c r="X1614">
        <v>0.15869565217391299</v>
      </c>
      <c r="Y1614">
        <v>10</v>
      </c>
      <c r="Z1614">
        <v>205.06236700857289</v>
      </c>
      <c r="AA1614">
        <v>2</v>
      </c>
      <c r="AB1614">
        <v>3</v>
      </c>
      <c r="AC1614">
        <v>7</v>
      </c>
      <c r="AD1614">
        <v>26.28</v>
      </c>
      <c r="AE1614">
        <v>253</v>
      </c>
      <c r="AF1614">
        <v>16</v>
      </c>
      <c r="AG1614">
        <v>63</v>
      </c>
      <c r="AH1614">
        <v>32</v>
      </c>
      <c r="AI1614">
        <v>6.32</v>
      </c>
      <c r="AJ1614">
        <v>24.9</v>
      </c>
      <c r="AK1614">
        <v>12.65</v>
      </c>
      <c r="AL1614">
        <v>-19.639789499999949</v>
      </c>
      <c r="AM1614">
        <v>-43.885737855031408</v>
      </c>
      <c r="AN1614">
        <v>-19.639789499999949</v>
      </c>
      <c r="AO1614">
        <v>-43.885737855031408</v>
      </c>
      <c r="AP1614">
        <v>-19.639906</v>
      </c>
      <c r="AQ1614">
        <v>-43.886059000000003</v>
      </c>
      <c r="AR1614">
        <v>36.081349702130403</v>
      </c>
      <c r="AS1614" t="s">
        <v>65</v>
      </c>
      <c r="AT1614">
        <v>1</v>
      </c>
      <c r="AU1614" t="s">
        <v>403</v>
      </c>
      <c r="AV1614" t="s">
        <v>404</v>
      </c>
      <c r="AW1614" t="s">
        <v>60</v>
      </c>
      <c r="AX1614" t="s">
        <v>68</v>
      </c>
      <c r="AY1614" t="s">
        <v>69</v>
      </c>
      <c r="AZ1614" t="b">
        <v>1</v>
      </c>
    </row>
    <row r="1615" spans="1:52" x14ac:dyDescent="0.3">
      <c r="A1615" t="s">
        <v>52</v>
      </c>
      <c r="B1615" t="s">
        <v>53</v>
      </c>
      <c r="C1615" t="s">
        <v>54</v>
      </c>
      <c r="D1615" t="s">
        <v>55</v>
      </c>
      <c r="E1615" t="s">
        <v>845</v>
      </c>
      <c r="F1615" t="s">
        <v>176</v>
      </c>
      <c r="G1615" t="s">
        <v>284</v>
      </c>
      <c r="H1615" t="s">
        <v>285</v>
      </c>
      <c r="I1615" t="s">
        <v>285</v>
      </c>
      <c r="J1615" t="s">
        <v>60</v>
      </c>
      <c r="K1615" t="s">
        <v>286</v>
      </c>
      <c r="L1615" t="s">
        <v>62</v>
      </c>
      <c r="M1615" t="s">
        <v>286</v>
      </c>
      <c r="N1615" t="s">
        <v>287</v>
      </c>
      <c r="O1615" t="s">
        <v>288</v>
      </c>
      <c r="P1615">
        <v>-19.639790000000001</v>
      </c>
      <c r="Q1615">
        <v>-43.882798999999999</v>
      </c>
      <c r="R1615" s="2" t="str">
        <f>HYPERLINK("https://www.google.com/maps?q=-19.6397900,-43.8827990","Abrir no Google Maps")</f>
        <v>Abrir no Google Maps</v>
      </c>
      <c r="S1615">
        <v>3</v>
      </c>
      <c r="T1615">
        <v>242.7052058134478</v>
      </c>
      <c r="U1615">
        <v>3</v>
      </c>
      <c r="V1615">
        <v>0.17546583850931671</v>
      </c>
      <c r="W1615">
        <v>1</v>
      </c>
      <c r="X1615">
        <v>0.17546583850931671</v>
      </c>
      <c r="Y1615">
        <v>10</v>
      </c>
      <c r="Z1615">
        <v>187.2088809462339</v>
      </c>
      <c r="AA1615">
        <v>2</v>
      </c>
      <c r="AB1615">
        <v>3</v>
      </c>
      <c r="AC1615">
        <v>7</v>
      </c>
      <c r="AD1615">
        <v>26.28</v>
      </c>
      <c r="AE1615">
        <v>253</v>
      </c>
      <c r="AF1615">
        <v>16</v>
      </c>
      <c r="AG1615">
        <v>63</v>
      </c>
      <c r="AH1615">
        <v>32</v>
      </c>
      <c r="AI1615">
        <v>6.32</v>
      </c>
      <c r="AJ1615">
        <v>24.9</v>
      </c>
      <c r="AK1615">
        <v>12.65</v>
      </c>
      <c r="AL1615">
        <v>-19.639855599999951</v>
      </c>
      <c r="AM1615">
        <v>-43.882909745178452</v>
      </c>
      <c r="AN1615">
        <v>-19.639855599999951</v>
      </c>
      <c r="AO1615">
        <v>-43.882909745178452</v>
      </c>
      <c r="AP1615">
        <v>-19.639790000000001</v>
      </c>
      <c r="AQ1615">
        <v>-43.882798999999999</v>
      </c>
      <c r="AR1615">
        <v>13.716486068571211</v>
      </c>
      <c r="AS1615" t="s">
        <v>65</v>
      </c>
      <c r="AT1615">
        <v>1</v>
      </c>
      <c r="AU1615" t="s">
        <v>289</v>
      </c>
      <c r="AV1615" t="s">
        <v>290</v>
      </c>
      <c r="AW1615" t="s">
        <v>60</v>
      </c>
      <c r="AX1615" t="s">
        <v>68</v>
      </c>
      <c r="AY1615" t="s">
        <v>69</v>
      </c>
      <c r="AZ1615" t="b">
        <v>1</v>
      </c>
    </row>
    <row r="1616" spans="1:52" x14ac:dyDescent="0.3">
      <c r="A1616" t="s">
        <v>52</v>
      </c>
      <c r="B1616" t="s">
        <v>53</v>
      </c>
      <c r="C1616" t="s">
        <v>54</v>
      </c>
      <c r="D1616" t="s">
        <v>55</v>
      </c>
      <c r="E1616" t="s">
        <v>845</v>
      </c>
      <c r="F1616" t="s">
        <v>176</v>
      </c>
      <c r="G1616" t="s">
        <v>291</v>
      </c>
      <c r="H1616" t="s">
        <v>292</v>
      </c>
      <c r="I1616" t="s">
        <v>292</v>
      </c>
      <c r="J1616" t="s">
        <v>60</v>
      </c>
      <c r="K1616" t="s">
        <v>286</v>
      </c>
      <c r="L1616" t="s">
        <v>62</v>
      </c>
      <c r="M1616" t="s">
        <v>286</v>
      </c>
      <c r="N1616" t="s">
        <v>293</v>
      </c>
      <c r="O1616" t="s">
        <v>294</v>
      </c>
      <c r="P1616">
        <v>-19.640333999999999</v>
      </c>
      <c r="Q1616">
        <v>-43.880004999999997</v>
      </c>
      <c r="R1616" s="2" t="str">
        <f>HYPERLINK("https://www.google.com/maps?q=-19.6403340,-43.8800050","Abrir no Google Maps")</f>
        <v>Abrir no Google Maps</v>
      </c>
      <c r="S1616">
        <v>3</v>
      </c>
      <c r="T1616">
        <v>276.80943817309782</v>
      </c>
      <c r="U1616">
        <v>3</v>
      </c>
      <c r="V1616">
        <v>0.15972222222222221</v>
      </c>
      <c r="W1616">
        <v>1</v>
      </c>
      <c r="X1616">
        <v>0.15972222222222221</v>
      </c>
      <c r="Y1616">
        <v>10</v>
      </c>
      <c r="Z1616">
        <v>361.98332038983392</v>
      </c>
      <c r="AA1616">
        <v>2</v>
      </c>
      <c r="AB1616">
        <v>3</v>
      </c>
      <c r="AC1616">
        <v>7</v>
      </c>
      <c r="AD1616">
        <v>26.28</v>
      </c>
      <c r="AE1616">
        <v>253</v>
      </c>
      <c r="AF1616">
        <v>16</v>
      </c>
      <c r="AG1616">
        <v>63</v>
      </c>
      <c r="AH1616">
        <v>32</v>
      </c>
      <c r="AI1616">
        <v>6.32</v>
      </c>
      <c r="AJ1616">
        <v>24.9</v>
      </c>
      <c r="AK1616">
        <v>12.65</v>
      </c>
      <c r="AL1616">
        <v>-19.640260249999951</v>
      </c>
      <c r="AM1616">
        <v>-43.880090474326408</v>
      </c>
      <c r="AN1616">
        <v>-19.640260249999951</v>
      </c>
      <c r="AO1616">
        <v>-43.880090474326408</v>
      </c>
      <c r="AP1616">
        <v>-19.640333999999999</v>
      </c>
      <c r="AQ1616">
        <v>-43.880004999999997</v>
      </c>
      <c r="AR1616">
        <v>12.153556195359609</v>
      </c>
      <c r="AS1616" t="s">
        <v>65</v>
      </c>
      <c r="AT1616">
        <v>1</v>
      </c>
      <c r="AU1616" t="s">
        <v>295</v>
      </c>
      <c r="AV1616" t="s">
        <v>296</v>
      </c>
      <c r="AW1616" t="s">
        <v>60</v>
      </c>
      <c r="AX1616" t="s">
        <v>68</v>
      </c>
      <c r="AY1616" t="s">
        <v>69</v>
      </c>
      <c r="AZ1616" t="b">
        <v>1</v>
      </c>
    </row>
    <row r="1617" spans="1:52" x14ac:dyDescent="0.3">
      <c r="A1617" t="s">
        <v>52</v>
      </c>
      <c r="B1617" t="s">
        <v>53</v>
      </c>
      <c r="C1617" t="s">
        <v>54</v>
      </c>
      <c r="D1617" t="s">
        <v>55</v>
      </c>
      <c r="E1617" t="s">
        <v>845</v>
      </c>
      <c r="F1617" t="s">
        <v>176</v>
      </c>
      <c r="G1617" t="s">
        <v>405</v>
      </c>
      <c r="H1617" t="s">
        <v>406</v>
      </c>
      <c r="I1617" t="s">
        <v>406</v>
      </c>
      <c r="J1617" t="s">
        <v>60</v>
      </c>
      <c r="K1617" t="s">
        <v>286</v>
      </c>
      <c r="L1617" t="s">
        <v>62</v>
      </c>
      <c r="M1617" t="s">
        <v>286</v>
      </c>
      <c r="N1617" t="s">
        <v>407</v>
      </c>
      <c r="O1617" t="s">
        <v>408</v>
      </c>
      <c r="P1617">
        <v>-19.646345</v>
      </c>
      <c r="Q1617">
        <v>-43.882294999999999</v>
      </c>
      <c r="R1617" s="2" t="str">
        <f>HYPERLINK("https://www.google.com/maps?q=-19.6463450,-43.8822950","Abrir no Google Maps")</f>
        <v>Abrir no Google Maps</v>
      </c>
      <c r="S1617">
        <v>3</v>
      </c>
      <c r="T1617">
        <v>450.3180538635894</v>
      </c>
      <c r="U1617">
        <v>3</v>
      </c>
      <c r="V1617">
        <v>0.17258064516129029</v>
      </c>
      <c r="W1617">
        <v>1</v>
      </c>
      <c r="X1617">
        <v>0.17258064516129029</v>
      </c>
      <c r="Y1617">
        <v>10</v>
      </c>
      <c r="Z1617">
        <v>349.23341775902583</v>
      </c>
      <c r="AA1617">
        <v>2</v>
      </c>
      <c r="AB1617">
        <v>3</v>
      </c>
      <c r="AC1617">
        <v>7</v>
      </c>
      <c r="AD1617">
        <v>26.28</v>
      </c>
      <c r="AE1617">
        <v>253</v>
      </c>
      <c r="AF1617">
        <v>16</v>
      </c>
      <c r="AG1617">
        <v>63</v>
      </c>
      <c r="AH1617">
        <v>32</v>
      </c>
      <c r="AI1617">
        <v>6.32</v>
      </c>
      <c r="AJ1617">
        <v>24.9</v>
      </c>
      <c r="AK1617">
        <v>12.65</v>
      </c>
      <c r="AL1617">
        <v>-19.646391649999941</v>
      </c>
      <c r="AM1617">
        <v>-43.882007396993302</v>
      </c>
      <c r="AN1617">
        <v>-19.646391649999941</v>
      </c>
      <c r="AO1617">
        <v>-43.882007396993302</v>
      </c>
      <c r="AP1617">
        <v>-19.646345</v>
      </c>
      <c r="AQ1617">
        <v>-43.882294999999999</v>
      </c>
      <c r="AR1617">
        <v>30.596105513395301</v>
      </c>
      <c r="AS1617" t="s">
        <v>65</v>
      </c>
      <c r="AT1617">
        <v>1</v>
      </c>
      <c r="AU1617" t="s">
        <v>409</v>
      </c>
      <c r="AV1617" t="s">
        <v>410</v>
      </c>
      <c r="AW1617" t="s">
        <v>60</v>
      </c>
      <c r="AX1617" t="s">
        <v>68</v>
      </c>
      <c r="AY1617" t="s">
        <v>69</v>
      </c>
      <c r="AZ1617" t="b">
        <v>1</v>
      </c>
    </row>
    <row r="1618" spans="1:52" x14ac:dyDescent="0.3">
      <c r="A1618" t="s">
        <v>52</v>
      </c>
      <c r="B1618" t="s">
        <v>53</v>
      </c>
      <c r="C1618" t="s">
        <v>54</v>
      </c>
      <c r="D1618" t="s">
        <v>55</v>
      </c>
      <c r="E1618" t="s">
        <v>845</v>
      </c>
      <c r="F1618" t="s">
        <v>176</v>
      </c>
      <c r="G1618" t="s">
        <v>417</v>
      </c>
      <c r="H1618" t="s">
        <v>418</v>
      </c>
      <c r="I1618" t="s">
        <v>418</v>
      </c>
      <c r="J1618" t="s">
        <v>60</v>
      </c>
      <c r="K1618" t="s">
        <v>179</v>
      </c>
      <c r="L1618" t="s">
        <v>62</v>
      </c>
      <c r="M1618" t="s">
        <v>179</v>
      </c>
      <c r="N1618" t="s">
        <v>419</v>
      </c>
      <c r="O1618" t="s">
        <v>420</v>
      </c>
      <c r="P1618">
        <v>-19.646516999999999</v>
      </c>
      <c r="Q1618">
        <v>-43.889716</v>
      </c>
      <c r="R1618" s="2" t="str">
        <f>HYPERLINK("https://www.google.com/maps?q=-19.6465170,-43.8897160","Abrir no Google Maps")</f>
        <v>Abrir no Google Maps</v>
      </c>
      <c r="S1618">
        <v>3</v>
      </c>
      <c r="T1618">
        <v>796.8355517653099</v>
      </c>
      <c r="U1618">
        <v>3</v>
      </c>
      <c r="V1618">
        <v>0.17698019801980189</v>
      </c>
      <c r="W1618">
        <v>1</v>
      </c>
      <c r="X1618">
        <v>0.17698019801980189</v>
      </c>
      <c r="Y1618">
        <v>7</v>
      </c>
      <c r="Z1618">
        <v>749.72812632947034</v>
      </c>
      <c r="AA1618">
        <v>2</v>
      </c>
      <c r="AB1618">
        <v>3</v>
      </c>
      <c r="AC1618">
        <v>7</v>
      </c>
      <c r="AD1618">
        <v>26.28</v>
      </c>
      <c r="AE1618">
        <v>253</v>
      </c>
      <c r="AF1618">
        <v>16</v>
      </c>
      <c r="AG1618">
        <v>63</v>
      </c>
      <c r="AH1618">
        <v>32</v>
      </c>
      <c r="AI1618">
        <v>6.32</v>
      </c>
      <c r="AJ1618">
        <v>24.9</v>
      </c>
      <c r="AK1618">
        <v>12.65</v>
      </c>
      <c r="AL1618">
        <v>-19.646452649999961</v>
      </c>
      <c r="AM1618">
        <v>-43.88991036523079</v>
      </c>
      <c r="AN1618">
        <v>-19.646452649999961</v>
      </c>
      <c r="AO1618">
        <v>-43.88991036523079</v>
      </c>
      <c r="AP1618">
        <v>-19.646516999999999</v>
      </c>
      <c r="AQ1618">
        <v>-43.889716</v>
      </c>
      <c r="AR1618">
        <v>21.599617922669939</v>
      </c>
      <c r="AS1618" t="s">
        <v>65</v>
      </c>
      <c r="AT1618">
        <v>1</v>
      </c>
      <c r="AU1618" t="s">
        <v>421</v>
      </c>
      <c r="AV1618" t="s">
        <v>422</v>
      </c>
      <c r="AW1618" t="s">
        <v>60</v>
      </c>
      <c r="AX1618" t="s">
        <v>68</v>
      </c>
      <c r="AY1618" t="s">
        <v>69</v>
      </c>
      <c r="AZ1618" t="b">
        <v>1</v>
      </c>
    </row>
    <row r="1619" spans="1:52" x14ac:dyDescent="0.3">
      <c r="A1619" t="s">
        <v>52</v>
      </c>
      <c r="B1619" t="s">
        <v>53</v>
      </c>
      <c r="C1619" t="s">
        <v>54</v>
      </c>
      <c r="D1619" t="s">
        <v>55</v>
      </c>
      <c r="E1619" t="s">
        <v>845</v>
      </c>
      <c r="F1619" t="s">
        <v>176</v>
      </c>
      <c r="G1619" t="s">
        <v>228</v>
      </c>
      <c r="H1619" t="s">
        <v>423</v>
      </c>
      <c r="I1619" t="s">
        <v>423</v>
      </c>
      <c r="J1619" t="s">
        <v>60</v>
      </c>
      <c r="K1619" t="s">
        <v>286</v>
      </c>
      <c r="L1619" t="s">
        <v>62</v>
      </c>
      <c r="M1619" t="s">
        <v>286</v>
      </c>
      <c r="N1619" t="s">
        <v>230</v>
      </c>
      <c r="O1619" t="s">
        <v>424</v>
      </c>
      <c r="P1619">
        <v>-19.641656999999999</v>
      </c>
      <c r="Q1619">
        <v>-43.884228999999998</v>
      </c>
      <c r="R1619" s="2" t="str">
        <f>HYPERLINK("https://www.google.com/maps?q=-19.6416570,-43.8842290","Abrir no Google Maps")</f>
        <v>Abrir no Google Maps</v>
      </c>
      <c r="S1619">
        <v>3</v>
      </c>
      <c r="T1619">
        <v>0</v>
      </c>
      <c r="U1619">
        <v>3</v>
      </c>
      <c r="V1619">
        <v>0.1712962962962962</v>
      </c>
      <c r="W1619">
        <v>1</v>
      </c>
      <c r="X1619">
        <v>0.1712962962962962</v>
      </c>
      <c r="Y1619">
        <v>7</v>
      </c>
      <c r="Z1619">
        <v>67.727401070752876</v>
      </c>
      <c r="AA1619">
        <v>2</v>
      </c>
      <c r="AB1619">
        <v>3</v>
      </c>
      <c r="AC1619">
        <v>7</v>
      </c>
      <c r="AD1619">
        <v>26.28</v>
      </c>
      <c r="AE1619">
        <v>253</v>
      </c>
      <c r="AF1619">
        <v>16</v>
      </c>
      <c r="AG1619">
        <v>63</v>
      </c>
      <c r="AH1619">
        <v>32</v>
      </c>
      <c r="AI1619">
        <v>6.32</v>
      </c>
      <c r="AJ1619">
        <v>24.9</v>
      </c>
      <c r="AK1619">
        <v>12.65</v>
      </c>
      <c r="AL1619">
        <v>-19.641634199999942</v>
      </c>
      <c r="AM1619">
        <v>-43.884263743972831</v>
      </c>
      <c r="AN1619">
        <v>-19.641634199999942</v>
      </c>
      <c r="AO1619">
        <v>-43.884263743972831</v>
      </c>
      <c r="AP1619">
        <v>-19.641656999999999</v>
      </c>
      <c r="AQ1619">
        <v>-43.884228999999998</v>
      </c>
      <c r="AR1619">
        <v>4.4396888961435659</v>
      </c>
      <c r="AS1619" t="s">
        <v>65</v>
      </c>
      <c r="AT1619">
        <v>1</v>
      </c>
      <c r="AU1619" t="s">
        <v>425</v>
      </c>
      <c r="AV1619" t="s">
        <v>426</v>
      </c>
      <c r="AW1619" t="s">
        <v>60</v>
      </c>
      <c r="AX1619" t="s">
        <v>68</v>
      </c>
      <c r="AY1619" t="s">
        <v>69</v>
      </c>
      <c r="AZ1619" t="b">
        <v>1</v>
      </c>
    </row>
    <row r="1620" spans="1:52" x14ac:dyDescent="0.3">
      <c r="A1620" t="s">
        <v>52</v>
      </c>
      <c r="B1620" t="s">
        <v>53</v>
      </c>
      <c r="C1620" t="s">
        <v>54</v>
      </c>
      <c r="D1620" t="s">
        <v>55</v>
      </c>
      <c r="E1620" t="s">
        <v>845</v>
      </c>
      <c r="F1620" t="s">
        <v>176</v>
      </c>
      <c r="G1620" t="s">
        <v>777</v>
      </c>
      <c r="H1620" t="s">
        <v>778</v>
      </c>
      <c r="I1620" t="s">
        <v>778</v>
      </c>
      <c r="J1620" t="s">
        <v>60</v>
      </c>
      <c r="K1620" t="s">
        <v>352</v>
      </c>
      <c r="L1620" t="s">
        <v>62</v>
      </c>
      <c r="M1620" t="s">
        <v>352</v>
      </c>
      <c r="N1620" t="s">
        <v>779</v>
      </c>
      <c r="O1620" t="s">
        <v>780</v>
      </c>
      <c r="P1620">
        <v>-19.579518</v>
      </c>
      <c r="Q1620">
        <v>-43.909238000000002</v>
      </c>
      <c r="R1620" s="2" t="str">
        <f>HYPERLINK("https://www.google.com/maps?q=-19.5795180,-43.9092380","Abrir no Google Maps")</f>
        <v>Abrir no Google Maps</v>
      </c>
      <c r="S1620">
        <v>3</v>
      </c>
      <c r="T1620">
        <v>1293.9709096326289</v>
      </c>
      <c r="U1620">
        <v>3</v>
      </c>
      <c r="V1620">
        <v>0.1884057971014492</v>
      </c>
      <c r="W1620">
        <v>0.85</v>
      </c>
      <c r="X1620">
        <v>0.1601449275362318</v>
      </c>
      <c r="Y1620">
        <v>7</v>
      </c>
      <c r="Z1620">
        <v>1024.030940986815</v>
      </c>
      <c r="AA1620">
        <v>2</v>
      </c>
      <c r="AB1620">
        <v>3</v>
      </c>
      <c r="AC1620">
        <v>7</v>
      </c>
      <c r="AD1620">
        <v>26.28</v>
      </c>
      <c r="AE1620">
        <v>253</v>
      </c>
      <c r="AF1620">
        <v>16</v>
      </c>
      <c r="AG1620">
        <v>63</v>
      </c>
      <c r="AH1620">
        <v>32</v>
      </c>
      <c r="AI1620">
        <v>6.32</v>
      </c>
      <c r="AJ1620">
        <v>24.9</v>
      </c>
      <c r="AK1620">
        <v>12.65</v>
      </c>
      <c r="AL1620">
        <v>-19.579767999999941</v>
      </c>
      <c r="AM1620">
        <v>-43.909514457818823</v>
      </c>
      <c r="AN1620">
        <v>-19.579767999999941</v>
      </c>
      <c r="AO1620">
        <v>-43.909514457818823</v>
      </c>
      <c r="AP1620">
        <v>-19.579518</v>
      </c>
      <c r="AQ1620">
        <v>-43.909238000000002</v>
      </c>
      <c r="AR1620">
        <v>40.190312724728379</v>
      </c>
      <c r="AS1620" t="s">
        <v>65</v>
      </c>
      <c r="AT1620">
        <v>1</v>
      </c>
      <c r="AU1620" t="s">
        <v>781</v>
      </c>
      <c r="AV1620" t="s">
        <v>782</v>
      </c>
      <c r="AW1620" t="s">
        <v>60</v>
      </c>
      <c r="AX1620" t="s">
        <v>68</v>
      </c>
      <c r="AY1620" t="s">
        <v>69</v>
      </c>
      <c r="AZ1620" t="b">
        <v>1</v>
      </c>
    </row>
    <row r="1621" spans="1:52" x14ac:dyDescent="0.3">
      <c r="A1621" t="s">
        <v>52</v>
      </c>
      <c r="B1621" t="s">
        <v>53</v>
      </c>
      <c r="C1621" t="s">
        <v>54</v>
      </c>
      <c r="D1621" t="s">
        <v>55</v>
      </c>
      <c r="E1621" t="s">
        <v>845</v>
      </c>
      <c r="F1621" t="s">
        <v>176</v>
      </c>
      <c r="G1621" t="s">
        <v>846</v>
      </c>
      <c r="H1621" t="s">
        <v>847</v>
      </c>
      <c r="I1621" t="s">
        <v>847</v>
      </c>
      <c r="J1621" t="s">
        <v>60</v>
      </c>
      <c r="K1621" t="s">
        <v>299</v>
      </c>
      <c r="L1621" t="s">
        <v>62</v>
      </c>
      <c r="M1621" t="s">
        <v>299</v>
      </c>
      <c r="N1621" t="s">
        <v>848</v>
      </c>
      <c r="O1621" t="s">
        <v>120</v>
      </c>
      <c r="P1621">
        <v>-19.673877999999998</v>
      </c>
      <c r="Q1621">
        <v>-43.916899000000001</v>
      </c>
      <c r="R1621" s="2" t="str">
        <f>HYPERLINK("https://www.google.com/maps?q=-19.6738780,-43.9168990","Abrir no Google Maps")</f>
        <v>Abrir no Google Maps</v>
      </c>
      <c r="S1621">
        <v>3</v>
      </c>
      <c r="T1621">
        <v>1198.567403279673</v>
      </c>
      <c r="U1621">
        <v>3</v>
      </c>
      <c r="V1621">
        <v>0.1875</v>
      </c>
      <c r="W1621">
        <v>0.85</v>
      </c>
      <c r="X1621">
        <v>0.15937499999999999</v>
      </c>
      <c r="Y1621">
        <v>5</v>
      </c>
      <c r="Z1621">
        <v>1339.4235827080181</v>
      </c>
      <c r="AA1621">
        <v>2</v>
      </c>
      <c r="AB1621">
        <v>3</v>
      </c>
      <c r="AC1621">
        <v>7</v>
      </c>
      <c r="AD1621">
        <v>26.28</v>
      </c>
      <c r="AE1621">
        <v>253</v>
      </c>
      <c r="AF1621">
        <v>16</v>
      </c>
      <c r="AG1621">
        <v>63</v>
      </c>
      <c r="AH1621">
        <v>32</v>
      </c>
      <c r="AI1621">
        <v>6.32</v>
      </c>
      <c r="AJ1621">
        <v>24.9</v>
      </c>
      <c r="AK1621">
        <v>12.65</v>
      </c>
      <c r="AL1621">
        <v>-19.673303049999959</v>
      </c>
      <c r="AM1621">
        <v>-43.917027177734163</v>
      </c>
      <c r="AN1621">
        <v>-19.673303049999959</v>
      </c>
      <c r="AO1621">
        <v>-43.917027177734163</v>
      </c>
      <c r="AP1621">
        <v>-19.673877999999998</v>
      </c>
      <c r="AQ1621">
        <v>-43.916899000000001</v>
      </c>
      <c r="AR1621">
        <v>65.398481992136681</v>
      </c>
      <c r="AS1621" t="s">
        <v>65</v>
      </c>
      <c r="AT1621">
        <v>1</v>
      </c>
      <c r="AU1621" t="s">
        <v>849</v>
      </c>
      <c r="AV1621" t="s">
        <v>850</v>
      </c>
      <c r="AW1621" t="s">
        <v>60</v>
      </c>
      <c r="AX1621" t="s">
        <v>68</v>
      </c>
      <c r="AY1621" t="s">
        <v>69</v>
      </c>
      <c r="AZ1621" t="b">
        <v>1</v>
      </c>
    </row>
    <row r="1622" spans="1:52" x14ac:dyDescent="0.3">
      <c r="A1622" t="s">
        <v>52</v>
      </c>
      <c r="B1622" t="s">
        <v>53</v>
      </c>
      <c r="C1622" t="s">
        <v>54</v>
      </c>
      <c r="D1622" t="s">
        <v>55</v>
      </c>
      <c r="E1622" t="s">
        <v>845</v>
      </c>
      <c r="F1622" t="s">
        <v>176</v>
      </c>
      <c r="G1622" t="s">
        <v>309</v>
      </c>
      <c r="H1622" t="s">
        <v>310</v>
      </c>
      <c r="I1622" t="s">
        <v>310</v>
      </c>
      <c r="J1622" t="s">
        <v>60</v>
      </c>
      <c r="K1622" t="s">
        <v>311</v>
      </c>
      <c r="L1622" t="s">
        <v>62</v>
      </c>
      <c r="M1622" t="s">
        <v>311</v>
      </c>
      <c r="N1622" t="s">
        <v>312</v>
      </c>
      <c r="O1622" t="s">
        <v>313</v>
      </c>
      <c r="P1622">
        <v>-19.576996999999999</v>
      </c>
      <c r="Q1622">
        <v>-43.919024999999998</v>
      </c>
      <c r="R1622" s="2" t="str">
        <f>HYPERLINK("https://www.google.com/maps?q=-19.5769970,-43.9190250","Abrir no Google Maps")</f>
        <v>Abrir no Google Maps</v>
      </c>
      <c r="S1622">
        <v>3</v>
      </c>
      <c r="T1622">
        <v>316.64266747869789</v>
      </c>
      <c r="U1622">
        <v>3</v>
      </c>
      <c r="V1622">
        <v>0.1911764705882352</v>
      </c>
      <c r="W1622">
        <v>0.85</v>
      </c>
      <c r="X1622">
        <v>0.16249999999999989</v>
      </c>
      <c r="Y1622">
        <v>5</v>
      </c>
      <c r="Z1622">
        <v>411.74435151529269</v>
      </c>
      <c r="AA1622">
        <v>2</v>
      </c>
      <c r="AB1622">
        <v>3</v>
      </c>
      <c r="AC1622">
        <v>7</v>
      </c>
      <c r="AD1622">
        <v>26.28</v>
      </c>
      <c r="AE1622">
        <v>253</v>
      </c>
      <c r="AF1622">
        <v>16</v>
      </c>
      <c r="AG1622">
        <v>63</v>
      </c>
      <c r="AH1622">
        <v>32</v>
      </c>
      <c r="AI1622">
        <v>6.32</v>
      </c>
      <c r="AJ1622">
        <v>24.9</v>
      </c>
      <c r="AK1622">
        <v>12.65</v>
      </c>
      <c r="AL1622">
        <v>-19.576964999999941</v>
      </c>
      <c r="AM1622">
        <v>-43.919068241233632</v>
      </c>
      <c r="AN1622">
        <v>-19.576964999999941</v>
      </c>
      <c r="AO1622">
        <v>-43.919068241233632</v>
      </c>
      <c r="AP1622">
        <v>-19.576996999999999</v>
      </c>
      <c r="AQ1622">
        <v>-43.919024999999998</v>
      </c>
      <c r="AR1622">
        <v>5.7670575161946216</v>
      </c>
      <c r="AS1622" t="s">
        <v>65</v>
      </c>
      <c r="AT1622">
        <v>1</v>
      </c>
      <c r="AU1622" t="s">
        <v>314</v>
      </c>
      <c r="AV1622" t="s">
        <v>315</v>
      </c>
      <c r="AW1622" t="s">
        <v>60</v>
      </c>
      <c r="AX1622" t="s">
        <v>68</v>
      </c>
      <c r="AY1622" t="s">
        <v>69</v>
      </c>
      <c r="AZ1622" t="b">
        <v>1</v>
      </c>
    </row>
    <row r="1623" spans="1:52" x14ac:dyDescent="0.3">
      <c r="A1623" t="s">
        <v>52</v>
      </c>
      <c r="B1623" t="s">
        <v>53</v>
      </c>
      <c r="C1623" t="s">
        <v>54</v>
      </c>
      <c r="D1623" t="s">
        <v>55</v>
      </c>
      <c r="E1623" t="s">
        <v>845</v>
      </c>
      <c r="F1623" t="s">
        <v>176</v>
      </c>
      <c r="G1623" t="s">
        <v>309</v>
      </c>
      <c r="H1623" t="s">
        <v>320</v>
      </c>
      <c r="I1623" t="s">
        <v>320</v>
      </c>
      <c r="J1623" t="s">
        <v>60</v>
      </c>
      <c r="K1623" t="s">
        <v>311</v>
      </c>
      <c r="L1623" t="s">
        <v>62</v>
      </c>
      <c r="M1623" t="s">
        <v>311</v>
      </c>
      <c r="N1623" t="s">
        <v>321</v>
      </c>
      <c r="O1623" t="s">
        <v>313</v>
      </c>
      <c r="P1623">
        <v>-19.578469999999999</v>
      </c>
      <c r="Q1623">
        <v>-43.918922000000002</v>
      </c>
      <c r="R1623" s="2" t="str">
        <f>HYPERLINK("https://www.google.com/maps?q=-19.5784700,-43.9189220","Abrir no Google Maps")</f>
        <v>Abrir no Google Maps</v>
      </c>
      <c r="S1623">
        <v>3</v>
      </c>
      <c r="T1623">
        <v>474.92456146278471</v>
      </c>
      <c r="U1623">
        <v>3</v>
      </c>
      <c r="V1623">
        <v>0.20495495495495489</v>
      </c>
      <c r="W1623">
        <v>0.85</v>
      </c>
      <c r="X1623">
        <v>0.17421171171171171</v>
      </c>
      <c r="Y1623">
        <v>5</v>
      </c>
      <c r="Z1623">
        <v>562.61594151292854</v>
      </c>
      <c r="AA1623">
        <v>2</v>
      </c>
      <c r="AB1623">
        <v>3</v>
      </c>
      <c r="AC1623">
        <v>7</v>
      </c>
      <c r="AD1623">
        <v>26.28</v>
      </c>
      <c r="AE1623">
        <v>253</v>
      </c>
      <c r="AF1623">
        <v>16</v>
      </c>
      <c r="AG1623">
        <v>63</v>
      </c>
      <c r="AH1623">
        <v>32</v>
      </c>
      <c r="AI1623">
        <v>6.32</v>
      </c>
      <c r="AJ1623">
        <v>24.9</v>
      </c>
      <c r="AK1623">
        <v>12.65</v>
      </c>
      <c r="AL1623">
        <v>-19.578483899999959</v>
      </c>
      <c r="AM1623">
        <v>-43.918967993509547</v>
      </c>
      <c r="AN1623">
        <v>-19.578483899999959</v>
      </c>
      <c r="AO1623">
        <v>-43.918967993509547</v>
      </c>
      <c r="AP1623">
        <v>-19.578469999999999</v>
      </c>
      <c r="AQ1623">
        <v>-43.918922000000002</v>
      </c>
      <c r="AR1623">
        <v>5.0660669465561501</v>
      </c>
      <c r="AS1623" t="s">
        <v>65</v>
      </c>
      <c r="AT1623">
        <v>1</v>
      </c>
      <c r="AU1623" t="s">
        <v>322</v>
      </c>
      <c r="AV1623" t="s">
        <v>323</v>
      </c>
      <c r="AW1623" t="s">
        <v>60</v>
      </c>
      <c r="AX1623" t="s">
        <v>68</v>
      </c>
      <c r="AY1623" t="s">
        <v>69</v>
      </c>
      <c r="AZ1623" t="b">
        <v>1</v>
      </c>
    </row>
    <row r="1624" spans="1:52" x14ac:dyDescent="0.3">
      <c r="A1624" t="s">
        <v>52</v>
      </c>
      <c r="B1624" t="s">
        <v>53</v>
      </c>
      <c r="C1624" t="s">
        <v>54</v>
      </c>
      <c r="D1624" t="s">
        <v>55</v>
      </c>
      <c r="E1624" t="s">
        <v>845</v>
      </c>
      <c r="F1624" t="s">
        <v>176</v>
      </c>
      <c r="G1624" t="s">
        <v>664</v>
      </c>
      <c r="H1624" t="s">
        <v>701</v>
      </c>
      <c r="I1624" t="s">
        <v>701</v>
      </c>
      <c r="J1624" t="s">
        <v>60</v>
      </c>
      <c r="K1624" t="s">
        <v>311</v>
      </c>
      <c r="L1624" t="s">
        <v>62</v>
      </c>
      <c r="M1624" t="s">
        <v>311</v>
      </c>
      <c r="N1624" t="s">
        <v>435</v>
      </c>
      <c r="O1624" t="s">
        <v>702</v>
      </c>
      <c r="P1624">
        <v>-19.565729000000001</v>
      </c>
      <c r="Q1624">
        <v>-43.920665999999997</v>
      </c>
      <c r="R1624" s="2" t="str">
        <f>HYPERLINK("https://www.google.com/maps?q=-19.5657290,-43.9206660","Abrir no Google Maps")</f>
        <v>Abrir no Google Maps</v>
      </c>
      <c r="S1624">
        <v>3</v>
      </c>
      <c r="T1624">
        <v>849.43063667308161</v>
      </c>
      <c r="U1624">
        <v>3</v>
      </c>
      <c r="V1624">
        <v>0.18987341772151889</v>
      </c>
      <c r="W1624">
        <v>0.85</v>
      </c>
      <c r="X1624">
        <v>0.16139240506329111</v>
      </c>
      <c r="Y1624">
        <v>5</v>
      </c>
      <c r="Z1624">
        <v>643.17339424023237</v>
      </c>
      <c r="AA1624">
        <v>2</v>
      </c>
      <c r="AB1624">
        <v>3</v>
      </c>
      <c r="AC1624">
        <v>7</v>
      </c>
      <c r="AD1624">
        <v>26.28</v>
      </c>
      <c r="AE1624">
        <v>253</v>
      </c>
      <c r="AF1624">
        <v>16</v>
      </c>
      <c r="AG1624">
        <v>63</v>
      </c>
      <c r="AH1624">
        <v>32</v>
      </c>
      <c r="AI1624">
        <v>6.32</v>
      </c>
      <c r="AJ1624">
        <v>24.9</v>
      </c>
      <c r="AK1624">
        <v>12.65</v>
      </c>
      <c r="AL1624">
        <v>-19.56682334999994</v>
      </c>
      <c r="AM1624">
        <v>-43.921453383422516</v>
      </c>
      <c r="AN1624">
        <v>-19.56682334999994</v>
      </c>
      <c r="AO1624">
        <v>-43.921453383422516</v>
      </c>
      <c r="AP1624">
        <v>-19.565729000000001</v>
      </c>
      <c r="AQ1624">
        <v>-43.920665999999997</v>
      </c>
      <c r="AR1624">
        <v>147.17990898184439</v>
      </c>
      <c r="AS1624" t="s">
        <v>65</v>
      </c>
      <c r="AT1624">
        <v>1</v>
      </c>
      <c r="AU1624" t="s">
        <v>703</v>
      </c>
      <c r="AV1624" t="s">
        <v>704</v>
      </c>
      <c r="AW1624" t="s">
        <v>60</v>
      </c>
      <c r="AX1624" t="s">
        <v>68</v>
      </c>
      <c r="AY1624" t="s">
        <v>69</v>
      </c>
      <c r="AZ1624" t="b">
        <v>1</v>
      </c>
    </row>
    <row r="1625" spans="1:52" x14ac:dyDescent="0.3">
      <c r="A1625" t="s">
        <v>52</v>
      </c>
      <c r="B1625" t="s">
        <v>53</v>
      </c>
      <c r="C1625" t="s">
        <v>54</v>
      </c>
      <c r="D1625" t="s">
        <v>55</v>
      </c>
      <c r="E1625" t="s">
        <v>845</v>
      </c>
      <c r="F1625" t="s">
        <v>176</v>
      </c>
      <c r="G1625" t="s">
        <v>438</v>
      </c>
      <c r="H1625" t="s">
        <v>439</v>
      </c>
      <c r="I1625" t="s">
        <v>439</v>
      </c>
      <c r="J1625" t="s">
        <v>60</v>
      </c>
      <c r="K1625" t="s">
        <v>199</v>
      </c>
      <c r="L1625" t="s">
        <v>62</v>
      </c>
      <c r="M1625" t="s">
        <v>199</v>
      </c>
      <c r="N1625" t="s">
        <v>440</v>
      </c>
      <c r="O1625" t="s">
        <v>120</v>
      </c>
      <c r="P1625">
        <v>-19.642907000000001</v>
      </c>
      <c r="Q1625">
        <v>-43.912584000000003</v>
      </c>
      <c r="R1625" s="2" t="str">
        <f>HYPERLINK("https://www.google.com/maps?q=-19.6429070,-43.9125840","Abrir no Google Maps")</f>
        <v>Abrir no Google Maps</v>
      </c>
      <c r="S1625">
        <v>3</v>
      </c>
      <c r="T1625">
        <v>0</v>
      </c>
      <c r="U1625">
        <v>3</v>
      </c>
      <c r="V1625">
        <v>0.14932885906040261</v>
      </c>
      <c r="W1625">
        <v>1</v>
      </c>
      <c r="X1625">
        <v>0.14932885906040261</v>
      </c>
      <c r="Y1625">
        <v>4</v>
      </c>
      <c r="Z1625">
        <v>617.66392653629225</v>
      </c>
      <c r="AA1625">
        <v>2</v>
      </c>
      <c r="AB1625">
        <v>3</v>
      </c>
      <c r="AC1625">
        <v>7</v>
      </c>
      <c r="AD1625">
        <v>26.28</v>
      </c>
      <c r="AE1625">
        <v>253</v>
      </c>
      <c r="AF1625">
        <v>16</v>
      </c>
      <c r="AG1625">
        <v>63</v>
      </c>
      <c r="AH1625">
        <v>32</v>
      </c>
      <c r="AI1625">
        <v>6.32</v>
      </c>
      <c r="AJ1625">
        <v>24.9</v>
      </c>
      <c r="AK1625">
        <v>12.65</v>
      </c>
      <c r="AL1625">
        <v>-19.64265969999996</v>
      </c>
      <c r="AM1625">
        <v>-43.912763285666202</v>
      </c>
      <c r="AN1625">
        <v>-19.64265969999996</v>
      </c>
      <c r="AO1625">
        <v>-43.912763285666202</v>
      </c>
      <c r="AP1625">
        <v>-19.642907000000001</v>
      </c>
      <c r="AQ1625">
        <v>-43.912584000000003</v>
      </c>
      <c r="AR1625">
        <v>33.334435483196202</v>
      </c>
      <c r="AS1625" t="s">
        <v>65</v>
      </c>
      <c r="AT1625">
        <v>1</v>
      </c>
      <c r="AU1625" t="s">
        <v>441</v>
      </c>
      <c r="AV1625" t="s">
        <v>442</v>
      </c>
      <c r="AW1625" t="s">
        <v>60</v>
      </c>
      <c r="AX1625" t="s">
        <v>68</v>
      </c>
      <c r="AY1625" t="s">
        <v>69</v>
      </c>
      <c r="AZ1625" t="b">
        <v>1</v>
      </c>
    </row>
    <row r="1626" spans="1:52" x14ac:dyDescent="0.3">
      <c r="A1626" t="s">
        <v>52</v>
      </c>
      <c r="B1626" t="s">
        <v>53</v>
      </c>
      <c r="C1626" t="s">
        <v>54</v>
      </c>
      <c r="D1626" t="s">
        <v>55</v>
      </c>
      <c r="E1626" t="s">
        <v>845</v>
      </c>
      <c r="F1626" t="s">
        <v>176</v>
      </c>
      <c r="G1626" t="s">
        <v>324</v>
      </c>
      <c r="H1626" t="s">
        <v>325</v>
      </c>
      <c r="I1626" t="s">
        <v>325</v>
      </c>
      <c r="J1626" t="s">
        <v>60</v>
      </c>
      <c r="K1626" t="s">
        <v>326</v>
      </c>
      <c r="L1626" t="s">
        <v>62</v>
      </c>
      <c r="M1626" t="s">
        <v>326</v>
      </c>
      <c r="N1626" t="s">
        <v>327</v>
      </c>
      <c r="O1626" t="s">
        <v>328</v>
      </c>
      <c r="P1626">
        <v>-19.654454000000001</v>
      </c>
      <c r="Q1626">
        <v>-43.874654</v>
      </c>
      <c r="R1626" s="2" t="str">
        <f>HYPERLINK("https://www.google.com/maps?q=-19.6544540,-43.8746540","Abrir no Google Maps")</f>
        <v>Abrir no Google Maps</v>
      </c>
      <c r="S1626">
        <v>3</v>
      </c>
      <c r="T1626">
        <v>461.71515786258828</v>
      </c>
      <c r="U1626">
        <v>3</v>
      </c>
      <c r="V1626">
        <v>0.16816143497757841</v>
      </c>
      <c r="W1626">
        <v>1</v>
      </c>
      <c r="X1626">
        <v>0.16816143497757841</v>
      </c>
      <c r="Y1626">
        <v>3</v>
      </c>
      <c r="Z1626">
        <v>321.42492762576637</v>
      </c>
      <c r="AA1626">
        <v>2</v>
      </c>
      <c r="AB1626">
        <v>3</v>
      </c>
      <c r="AC1626">
        <v>7</v>
      </c>
      <c r="AD1626">
        <v>26.28</v>
      </c>
      <c r="AE1626">
        <v>253</v>
      </c>
      <c r="AF1626">
        <v>16</v>
      </c>
      <c r="AG1626">
        <v>63</v>
      </c>
      <c r="AH1626">
        <v>32</v>
      </c>
      <c r="AI1626">
        <v>6.32</v>
      </c>
      <c r="AJ1626">
        <v>24.9</v>
      </c>
      <c r="AK1626">
        <v>12.65</v>
      </c>
      <c r="AL1626">
        <v>-19.654399599999941</v>
      </c>
      <c r="AM1626">
        <v>-43.87457008070222</v>
      </c>
      <c r="AN1626">
        <v>-19.654399599999941</v>
      </c>
      <c r="AO1626">
        <v>-43.87457008070222</v>
      </c>
      <c r="AP1626">
        <v>-19.654454000000001</v>
      </c>
      <c r="AQ1626">
        <v>-43.874654</v>
      </c>
      <c r="AR1626">
        <v>10.68040226290562</v>
      </c>
      <c r="AS1626" t="s">
        <v>65</v>
      </c>
      <c r="AT1626">
        <v>1</v>
      </c>
      <c r="AU1626" t="s">
        <v>329</v>
      </c>
      <c r="AV1626" t="s">
        <v>330</v>
      </c>
      <c r="AW1626" t="s">
        <v>60</v>
      </c>
      <c r="AX1626" t="s">
        <v>68</v>
      </c>
      <c r="AY1626" t="s">
        <v>69</v>
      </c>
      <c r="AZ1626" t="b">
        <v>1</v>
      </c>
    </row>
    <row r="1627" spans="1:52" x14ac:dyDescent="0.3">
      <c r="A1627" t="s">
        <v>52</v>
      </c>
      <c r="B1627" t="s">
        <v>53</v>
      </c>
      <c r="C1627" t="s">
        <v>54</v>
      </c>
      <c r="D1627" t="s">
        <v>55</v>
      </c>
      <c r="E1627" t="s">
        <v>845</v>
      </c>
      <c r="F1627" t="s">
        <v>176</v>
      </c>
      <c r="G1627" t="s">
        <v>462</v>
      </c>
      <c r="H1627" t="s">
        <v>463</v>
      </c>
      <c r="I1627" t="s">
        <v>463</v>
      </c>
      <c r="J1627" t="s">
        <v>60</v>
      </c>
      <c r="K1627" t="s">
        <v>464</v>
      </c>
      <c r="L1627" t="s">
        <v>62</v>
      </c>
      <c r="M1627" t="s">
        <v>464</v>
      </c>
      <c r="N1627" t="s">
        <v>465</v>
      </c>
      <c r="O1627" t="s">
        <v>414</v>
      </c>
      <c r="P1627">
        <v>-19.655408000000001</v>
      </c>
      <c r="Q1627">
        <v>-43.862772999999997</v>
      </c>
      <c r="R1627" s="2" t="str">
        <f>HYPERLINK("https://www.google.com/maps?q=-19.6554080,-43.8627730","Abrir no Google Maps")</f>
        <v>Abrir no Google Maps</v>
      </c>
      <c r="S1627">
        <v>3</v>
      </c>
      <c r="T1627">
        <v>877.50781603676592</v>
      </c>
      <c r="U1627">
        <v>3</v>
      </c>
      <c r="V1627">
        <v>0.15042372881355931</v>
      </c>
      <c r="W1627">
        <v>1</v>
      </c>
      <c r="X1627">
        <v>0.15042372881355931</v>
      </c>
      <c r="Y1627">
        <v>3</v>
      </c>
      <c r="Z1627">
        <v>1005.9680098732809</v>
      </c>
      <c r="AA1627">
        <v>2</v>
      </c>
      <c r="AB1627">
        <v>3</v>
      </c>
      <c r="AC1627">
        <v>7</v>
      </c>
      <c r="AD1627">
        <v>26.28</v>
      </c>
      <c r="AE1627">
        <v>253</v>
      </c>
      <c r="AF1627">
        <v>16</v>
      </c>
      <c r="AG1627">
        <v>63</v>
      </c>
      <c r="AH1627">
        <v>32</v>
      </c>
      <c r="AI1627">
        <v>6.32</v>
      </c>
      <c r="AJ1627">
        <v>24.9</v>
      </c>
      <c r="AK1627">
        <v>12.65</v>
      </c>
      <c r="AL1627">
        <v>-19.655455099999951</v>
      </c>
      <c r="AM1627">
        <v>-43.863149342001513</v>
      </c>
      <c r="AN1627">
        <v>-19.655455099999951</v>
      </c>
      <c r="AO1627">
        <v>-43.863149342001513</v>
      </c>
      <c r="AP1627">
        <v>-19.655408000000001</v>
      </c>
      <c r="AQ1627">
        <v>-43.862772999999997</v>
      </c>
      <c r="AR1627">
        <v>39.800175805630573</v>
      </c>
      <c r="AS1627" t="s">
        <v>65</v>
      </c>
      <c r="AT1627">
        <v>1</v>
      </c>
      <c r="AU1627" t="s">
        <v>466</v>
      </c>
      <c r="AV1627" t="s">
        <v>467</v>
      </c>
      <c r="AW1627" t="s">
        <v>60</v>
      </c>
      <c r="AX1627" t="s">
        <v>68</v>
      </c>
      <c r="AY1627" t="s">
        <v>69</v>
      </c>
      <c r="AZ1627" t="b">
        <v>1</v>
      </c>
    </row>
    <row r="1628" spans="1:52" x14ac:dyDescent="0.3">
      <c r="A1628" t="s">
        <v>52</v>
      </c>
      <c r="B1628" t="s">
        <v>53</v>
      </c>
      <c r="C1628" t="s">
        <v>54</v>
      </c>
      <c r="D1628" t="s">
        <v>55</v>
      </c>
      <c r="E1628" t="s">
        <v>845</v>
      </c>
      <c r="F1628" t="s">
        <v>176</v>
      </c>
      <c r="G1628" t="s">
        <v>474</v>
      </c>
      <c r="H1628" t="s">
        <v>475</v>
      </c>
      <c r="I1628" t="s">
        <v>475</v>
      </c>
      <c r="J1628" t="s">
        <v>60</v>
      </c>
      <c r="K1628" t="s">
        <v>326</v>
      </c>
      <c r="L1628" t="s">
        <v>62</v>
      </c>
      <c r="M1628" t="s">
        <v>326</v>
      </c>
      <c r="N1628" t="s">
        <v>476</v>
      </c>
      <c r="O1628" t="s">
        <v>477</v>
      </c>
      <c r="P1628">
        <v>-19.658083000000001</v>
      </c>
      <c r="Q1628">
        <v>-43.866957999999997</v>
      </c>
      <c r="R1628" s="2" t="str">
        <f>HYPERLINK("https://www.google.com/maps?q=-19.6580830,-43.8669580","Abrir no Google Maps")</f>
        <v>Abrir no Google Maps</v>
      </c>
      <c r="S1628">
        <v>3</v>
      </c>
      <c r="T1628">
        <v>753.45055811539748</v>
      </c>
      <c r="U1628">
        <v>3</v>
      </c>
      <c r="V1628">
        <v>0.17672413793103439</v>
      </c>
      <c r="W1628">
        <v>1</v>
      </c>
      <c r="X1628">
        <v>0.17672413793103439</v>
      </c>
      <c r="Y1628">
        <v>3</v>
      </c>
      <c r="Z1628">
        <v>808.47816984050394</v>
      </c>
      <c r="AA1628">
        <v>2</v>
      </c>
      <c r="AB1628">
        <v>3</v>
      </c>
      <c r="AC1628">
        <v>7</v>
      </c>
      <c r="AD1628">
        <v>26.28</v>
      </c>
      <c r="AE1628">
        <v>253</v>
      </c>
      <c r="AF1628">
        <v>16</v>
      </c>
      <c r="AG1628">
        <v>63</v>
      </c>
      <c r="AH1628">
        <v>32</v>
      </c>
      <c r="AI1628">
        <v>6.32</v>
      </c>
      <c r="AJ1628">
        <v>24.9</v>
      </c>
      <c r="AK1628">
        <v>12.65</v>
      </c>
      <c r="AL1628">
        <v>-19.658034899999929</v>
      </c>
      <c r="AM1628">
        <v>-43.867024921196148</v>
      </c>
      <c r="AN1628">
        <v>-19.658034899999929</v>
      </c>
      <c r="AO1628">
        <v>-43.867024921196148</v>
      </c>
      <c r="AP1628">
        <v>-19.658083000000001</v>
      </c>
      <c r="AQ1628">
        <v>-43.866957999999997</v>
      </c>
      <c r="AR1628">
        <v>8.8253920204286462</v>
      </c>
      <c r="AS1628" t="s">
        <v>65</v>
      </c>
      <c r="AT1628">
        <v>1</v>
      </c>
      <c r="AU1628" t="s">
        <v>478</v>
      </c>
      <c r="AV1628" t="s">
        <v>349</v>
      </c>
      <c r="AW1628" t="s">
        <v>60</v>
      </c>
      <c r="AX1628" t="s">
        <v>68</v>
      </c>
      <c r="AY1628" t="s">
        <v>69</v>
      </c>
      <c r="AZ1628" t="b">
        <v>1</v>
      </c>
    </row>
    <row r="1629" spans="1:52" x14ac:dyDescent="0.3">
      <c r="A1629" t="s">
        <v>52</v>
      </c>
      <c r="B1629" t="s">
        <v>53</v>
      </c>
      <c r="C1629" t="s">
        <v>54</v>
      </c>
      <c r="D1629" t="s">
        <v>55</v>
      </c>
      <c r="E1629" t="s">
        <v>845</v>
      </c>
      <c r="F1629" t="s">
        <v>176</v>
      </c>
      <c r="G1629" t="s">
        <v>479</v>
      </c>
      <c r="H1629" t="s">
        <v>480</v>
      </c>
      <c r="I1629" t="s">
        <v>480</v>
      </c>
      <c r="J1629" t="s">
        <v>60</v>
      </c>
      <c r="K1629" t="s">
        <v>286</v>
      </c>
      <c r="L1629" t="s">
        <v>62</v>
      </c>
      <c r="M1629" t="s">
        <v>286</v>
      </c>
      <c r="N1629" t="s">
        <v>481</v>
      </c>
      <c r="O1629" t="s">
        <v>159</v>
      </c>
      <c r="P1629">
        <v>-19.635337</v>
      </c>
      <c r="Q1629">
        <v>-43.884400999999997</v>
      </c>
      <c r="R1629" s="2" t="str">
        <f>HYPERLINK("https://www.google.com/maps?q=-19.6353370,-43.8844010","Abrir no Google Maps")</f>
        <v>Abrir no Google Maps</v>
      </c>
      <c r="S1629">
        <v>3</v>
      </c>
      <c r="T1629">
        <v>697.1404216088763</v>
      </c>
      <c r="U1629">
        <v>3</v>
      </c>
      <c r="V1629">
        <v>0.16796875</v>
      </c>
      <c r="W1629">
        <v>1</v>
      </c>
      <c r="X1629">
        <v>0.16796875</v>
      </c>
      <c r="Y1629">
        <v>2</v>
      </c>
      <c r="Z1629">
        <v>178.9017814618079</v>
      </c>
      <c r="AA1629">
        <v>2</v>
      </c>
      <c r="AB1629">
        <v>3</v>
      </c>
      <c r="AC1629">
        <v>7</v>
      </c>
      <c r="AD1629">
        <v>26.28</v>
      </c>
      <c r="AE1629">
        <v>253</v>
      </c>
      <c r="AF1629">
        <v>16</v>
      </c>
      <c r="AG1629">
        <v>63</v>
      </c>
      <c r="AH1629">
        <v>32</v>
      </c>
      <c r="AI1629">
        <v>6.32</v>
      </c>
      <c r="AJ1629">
        <v>24.9</v>
      </c>
      <c r="AK1629">
        <v>12.65</v>
      </c>
      <c r="AL1629">
        <v>-19.635338699999949</v>
      </c>
      <c r="AM1629">
        <v>-43.884486286355838</v>
      </c>
      <c r="AN1629">
        <v>-19.635338699999949</v>
      </c>
      <c r="AO1629">
        <v>-43.884486286355838</v>
      </c>
      <c r="AP1629">
        <v>-19.635337</v>
      </c>
      <c r="AQ1629">
        <v>-43.884400999999997</v>
      </c>
      <c r="AR1629">
        <v>8.9440024153343494</v>
      </c>
      <c r="AS1629" t="s">
        <v>65</v>
      </c>
      <c r="AT1629">
        <v>1</v>
      </c>
      <c r="AU1629" t="s">
        <v>482</v>
      </c>
      <c r="AV1629" t="s">
        <v>483</v>
      </c>
      <c r="AW1629" t="s">
        <v>60</v>
      </c>
      <c r="AX1629" t="s">
        <v>68</v>
      </c>
      <c r="AY1629" t="s">
        <v>69</v>
      </c>
      <c r="AZ1629" t="b">
        <v>1</v>
      </c>
    </row>
    <row r="1630" spans="1:52" x14ac:dyDescent="0.3">
      <c r="A1630" t="s">
        <v>52</v>
      </c>
      <c r="B1630" t="s">
        <v>53</v>
      </c>
      <c r="C1630" t="s">
        <v>54</v>
      </c>
      <c r="D1630" t="s">
        <v>55</v>
      </c>
      <c r="E1630" t="s">
        <v>845</v>
      </c>
      <c r="F1630" t="s">
        <v>176</v>
      </c>
      <c r="G1630" t="s">
        <v>484</v>
      </c>
      <c r="H1630" t="s">
        <v>485</v>
      </c>
      <c r="I1630" t="s">
        <v>485</v>
      </c>
      <c r="J1630" t="s">
        <v>60</v>
      </c>
      <c r="K1630" t="s">
        <v>486</v>
      </c>
      <c r="L1630" t="s">
        <v>62</v>
      </c>
      <c r="M1630" t="s">
        <v>486</v>
      </c>
      <c r="N1630" t="s">
        <v>487</v>
      </c>
      <c r="O1630" t="s">
        <v>488</v>
      </c>
      <c r="P1630">
        <v>-19.599471999999999</v>
      </c>
      <c r="Q1630">
        <v>-43.904423999999999</v>
      </c>
      <c r="R1630" s="2" t="str">
        <f>HYPERLINK("https://www.google.com/maps?q=-19.5994720,-43.9044240","Abrir no Google Maps")</f>
        <v>Abrir no Google Maps</v>
      </c>
      <c r="S1630">
        <v>3</v>
      </c>
      <c r="T1630">
        <v>0</v>
      </c>
      <c r="U1630">
        <v>3</v>
      </c>
      <c r="V1630">
        <v>0.17934782608695651</v>
      </c>
      <c r="W1630">
        <v>1</v>
      </c>
      <c r="X1630">
        <v>0.17934782608695651</v>
      </c>
      <c r="Y1630">
        <v>2</v>
      </c>
      <c r="Z1630">
        <v>112.207711482489</v>
      </c>
      <c r="AA1630">
        <v>2</v>
      </c>
      <c r="AB1630">
        <v>3</v>
      </c>
      <c r="AC1630">
        <v>7</v>
      </c>
      <c r="AD1630">
        <v>26.28</v>
      </c>
      <c r="AE1630">
        <v>253</v>
      </c>
      <c r="AF1630">
        <v>16</v>
      </c>
      <c r="AG1630">
        <v>63</v>
      </c>
      <c r="AH1630">
        <v>32</v>
      </c>
      <c r="AI1630">
        <v>6.32</v>
      </c>
      <c r="AJ1630">
        <v>24.9</v>
      </c>
      <c r="AK1630">
        <v>12.65</v>
      </c>
      <c r="AL1630">
        <v>-19.599417149999969</v>
      </c>
      <c r="AM1630">
        <v>-43.904309145074677</v>
      </c>
      <c r="AN1630">
        <v>-19.599417149999969</v>
      </c>
      <c r="AO1630">
        <v>-43.904309145074677</v>
      </c>
      <c r="AP1630">
        <v>-19.599471999999999</v>
      </c>
      <c r="AQ1630">
        <v>-43.904423999999999</v>
      </c>
      <c r="AR1630">
        <v>13.50409975769734</v>
      </c>
      <c r="AS1630" t="s">
        <v>65</v>
      </c>
      <c r="AT1630">
        <v>1</v>
      </c>
      <c r="AU1630" t="s">
        <v>489</v>
      </c>
      <c r="AV1630" t="s">
        <v>490</v>
      </c>
      <c r="AW1630" t="s">
        <v>60</v>
      </c>
      <c r="AX1630" t="s">
        <v>68</v>
      </c>
      <c r="AY1630" t="s">
        <v>69</v>
      </c>
      <c r="AZ1630" t="b">
        <v>1</v>
      </c>
    </row>
    <row r="1631" spans="1:52" x14ac:dyDescent="0.3">
      <c r="A1631" t="s">
        <v>52</v>
      </c>
      <c r="B1631" t="s">
        <v>53</v>
      </c>
      <c r="C1631" t="s">
        <v>54</v>
      </c>
      <c r="D1631" t="s">
        <v>55</v>
      </c>
      <c r="E1631" t="s">
        <v>845</v>
      </c>
      <c r="F1631" t="s">
        <v>176</v>
      </c>
      <c r="G1631" t="s">
        <v>728</v>
      </c>
      <c r="H1631" t="s">
        <v>729</v>
      </c>
      <c r="I1631" t="s">
        <v>729</v>
      </c>
      <c r="J1631" t="s">
        <v>60</v>
      </c>
      <c r="K1631" t="s">
        <v>730</v>
      </c>
      <c r="L1631" t="s">
        <v>62</v>
      </c>
      <c r="M1631" t="s">
        <v>730</v>
      </c>
      <c r="N1631" t="s">
        <v>731</v>
      </c>
      <c r="O1631" t="s">
        <v>732</v>
      </c>
      <c r="P1631">
        <v>-19.598894999999999</v>
      </c>
      <c r="Q1631">
        <v>-43.907265000000002</v>
      </c>
      <c r="R1631" s="2" t="str">
        <f>HYPERLINK("https://www.google.com/maps?q=-19.5988950,-43.9072650","Abrir no Google Maps")</f>
        <v>Abrir no Google Maps</v>
      </c>
      <c r="S1631">
        <v>3</v>
      </c>
      <c r="T1631">
        <v>308.81161626838701</v>
      </c>
      <c r="U1631">
        <v>3</v>
      </c>
      <c r="V1631">
        <v>0.18351063829787231</v>
      </c>
      <c r="W1631">
        <v>0.85</v>
      </c>
      <c r="X1631">
        <v>0.15598404255319151</v>
      </c>
      <c r="Y1631">
        <v>2</v>
      </c>
      <c r="Z1631">
        <v>305.65808615712928</v>
      </c>
      <c r="AA1631">
        <v>2</v>
      </c>
      <c r="AB1631">
        <v>3</v>
      </c>
      <c r="AC1631">
        <v>7</v>
      </c>
      <c r="AD1631">
        <v>26.28</v>
      </c>
      <c r="AE1631">
        <v>253</v>
      </c>
      <c r="AF1631">
        <v>16</v>
      </c>
      <c r="AG1631">
        <v>63</v>
      </c>
      <c r="AH1631">
        <v>32</v>
      </c>
      <c r="AI1631">
        <v>6.32</v>
      </c>
      <c r="AJ1631">
        <v>24.9</v>
      </c>
      <c r="AK1631">
        <v>12.65</v>
      </c>
      <c r="AL1631">
        <v>-19.598929649999949</v>
      </c>
      <c r="AM1631">
        <v>-43.90720816146667</v>
      </c>
      <c r="AN1631">
        <v>-19.598929649999949</v>
      </c>
      <c r="AO1631">
        <v>-43.90720816146667</v>
      </c>
      <c r="AP1631">
        <v>-19.598894999999999</v>
      </c>
      <c r="AQ1631">
        <v>-43.907265000000002</v>
      </c>
      <c r="AR1631">
        <v>7.099864647387605</v>
      </c>
      <c r="AS1631" t="s">
        <v>65</v>
      </c>
      <c r="AT1631">
        <v>1</v>
      </c>
      <c r="AU1631" t="s">
        <v>733</v>
      </c>
      <c r="AV1631" t="s">
        <v>734</v>
      </c>
      <c r="AW1631" t="s">
        <v>60</v>
      </c>
      <c r="AX1631" t="s">
        <v>68</v>
      </c>
      <c r="AY1631" t="s">
        <v>69</v>
      </c>
      <c r="AZ1631" t="b">
        <v>1</v>
      </c>
    </row>
    <row r="1632" spans="1:52" x14ac:dyDescent="0.3">
      <c r="A1632" t="s">
        <v>52</v>
      </c>
      <c r="B1632" t="s">
        <v>53</v>
      </c>
      <c r="C1632" t="s">
        <v>54</v>
      </c>
      <c r="D1632" t="s">
        <v>55</v>
      </c>
      <c r="E1632" t="s">
        <v>845</v>
      </c>
      <c r="F1632" t="s">
        <v>176</v>
      </c>
      <c r="G1632" t="s">
        <v>350</v>
      </c>
      <c r="H1632" t="s">
        <v>351</v>
      </c>
      <c r="I1632" t="s">
        <v>351</v>
      </c>
      <c r="J1632" t="s">
        <v>60</v>
      </c>
      <c r="K1632" t="s">
        <v>352</v>
      </c>
      <c r="L1632" t="s">
        <v>62</v>
      </c>
      <c r="M1632" t="s">
        <v>352</v>
      </c>
      <c r="N1632" t="s">
        <v>353</v>
      </c>
      <c r="O1632" t="s">
        <v>354</v>
      </c>
      <c r="P1632">
        <v>-19.595734</v>
      </c>
      <c r="Q1632">
        <v>-43.900387000000002</v>
      </c>
      <c r="R1632" s="2" t="str">
        <f>HYPERLINK("https://www.google.com/maps?q=-19.5957340,-43.9003870","Abrir no Google Maps")</f>
        <v>Abrir no Google Maps</v>
      </c>
      <c r="S1632">
        <v>3</v>
      </c>
      <c r="T1632">
        <v>600.67809066127609</v>
      </c>
      <c r="U1632">
        <v>3</v>
      </c>
      <c r="V1632">
        <v>0.17195767195767189</v>
      </c>
      <c r="W1632">
        <v>1</v>
      </c>
      <c r="X1632">
        <v>0.17195767195767189</v>
      </c>
      <c r="Y1632">
        <v>2</v>
      </c>
      <c r="Z1632">
        <v>676.06682548988681</v>
      </c>
      <c r="AA1632">
        <v>2</v>
      </c>
      <c r="AB1632">
        <v>3</v>
      </c>
      <c r="AC1632">
        <v>7</v>
      </c>
      <c r="AD1632">
        <v>26.28</v>
      </c>
      <c r="AE1632">
        <v>253</v>
      </c>
      <c r="AF1632">
        <v>16</v>
      </c>
      <c r="AG1632">
        <v>63</v>
      </c>
      <c r="AH1632">
        <v>32</v>
      </c>
      <c r="AI1632">
        <v>6.32</v>
      </c>
      <c r="AJ1632">
        <v>24.9</v>
      </c>
      <c r="AK1632">
        <v>12.65</v>
      </c>
      <c r="AL1632">
        <v>-19.595574149999951</v>
      </c>
      <c r="AM1632">
        <v>-43.900265035317688</v>
      </c>
      <c r="AN1632">
        <v>-19.595574149999951</v>
      </c>
      <c r="AO1632">
        <v>-43.900265035317688</v>
      </c>
      <c r="AP1632">
        <v>-19.595734</v>
      </c>
      <c r="AQ1632">
        <v>-43.900387000000002</v>
      </c>
      <c r="AR1632">
        <v>21.91456243504582</v>
      </c>
      <c r="AS1632" t="s">
        <v>65</v>
      </c>
      <c r="AT1632">
        <v>1</v>
      </c>
      <c r="AU1632" t="s">
        <v>355</v>
      </c>
      <c r="AV1632" t="s">
        <v>356</v>
      </c>
      <c r="AW1632" t="s">
        <v>60</v>
      </c>
      <c r="AX1632" t="s">
        <v>68</v>
      </c>
      <c r="AY1632" t="s">
        <v>69</v>
      </c>
      <c r="AZ1632" t="b">
        <v>1</v>
      </c>
    </row>
    <row r="1633" spans="1:52" x14ac:dyDescent="0.3">
      <c r="A1633" t="s">
        <v>52</v>
      </c>
      <c r="B1633" t="s">
        <v>53</v>
      </c>
      <c r="C1633" t="s">
        <v>54</v>
      </c>
      <c r="D1633" t="s">
        <v>55</v>
      </c>
      <c r="E1633" t="s">
        <v>845</v>
      </c>
      <c r="F1633" t="s">
        <v>176</v>
      </c>
      <c r="G1633" t="s">
        <v>350</v>
      </c>
      <c r="H1633" t="s">
        <v>363</v>
      </c>
      <c r="I1633" t="s">
        <v>363</v>
      </c>
      <c r="J1633" t="s">
        <v>60</v>
      </c>
      <c r="K1633" t="s">
        <v>364</v>
      </c>
      <c r="L1633" t="s">
        <v>62</v>
      </c>
      <c r="M1633" t="s">
        <v>364</v>
      </c>
      <c r="N1633" t="s">
        <v>353</v>
      </c>
      <c r="O1633" t="s">
        <v>365</v>
      </c>
      <c r="P1633">
        <v>-19.594657000000002</v>
      </c>
      <c r="Q1633">
        <v>-43.901567</v>
      </c>
      <c r="R1633" s="2" t="str">
        <f>HYPERLINK("https://www.google.com/maps?q=-19.5946570,-43.9015670","Abrir no Google Maps")</f>
        <v>Abrir no Google Maps</v>
      </c>
      <c r="S1633">
        <v>3</v>
      </c>
      <c r="T1633">
        <v>592.43040989358553</v>
      </c>
      <c r="U1633">
        <v>3</v>
      </c>
      <c r="V1633">
        <v>0.15625</v>
      </c>
      <c r="W1633">
        <v>1</v>
      </c>
      <c r="X1633">
        <v>0.15625</v>
      </c>
      <c r="Y1633">
        <v>2</v>
      </c>
      <c r="Z1633">
        <v>597.4493869225131</v>
      </c>
      <c r="AA1633">
        <v>2</v>
      </c>
      <c r="AB1633">
        <v>3</v>
      </c>
      <c r="AC1633">
        <v>7</v>
      </c>
      <c r="AD1633">
        <v>26.28</v>
      </c>
      <c r="AE1633">
        <v>253</v>
      </c>
      <c r="AF1633">
        <v>16</v>
      </c>
      <c r="AG1633">
        <v>63</v>
      </c>
      <c r="AH1633">
        <v>32</v>
      </c>
      <c r="AI1633">
        <v>6.32</v>
      </c>
      <c r="AJ1633">
        <v>24.9</v>
      </c>
      <c r="AK1633">
        <v>12.65</v>
      </c>
      <c r="AL1633">
        <v>-19.59470494999994</v>
      </c>
      <c r="AM1633">
        <v>-43.901629434678291</v>
      </c>
      <c r="AN1633">
        <v>-19.59470494999994</v>
      </c>
      <c r="AO1633">
        <v>-43.901629434678291</v>
      </c>
      <c r="AP1633">
        <v>-19.594657000000002</v>
      </c>
      <c r="AQ1633">
        <v>-43.901567</v>
      </c>
      <c r="AR1633">
        <v>8.4477696105165858</v>
      </c>
      <c r="AS1633" t="s">
        <v>65</v>
      </c>
      <c r="AT1633">
        <v>1</v>
      </c>
      <c r="AU1633" t="s">
        <v>366</v>
      </c>
      <c r="AV1633" t="s">
        <v>367</v>
      </c>
      <c r="AW1633" t="s">
        <v>60</v>
      </c>
      <c r="AX1633" t="s">
        <v>68</v>
      </c>
      <c r="AY1633" t="s">
        <v>69</v>
      </c>
      <c r="AZ1633" t="b">
        <v>1</v>
      </c>
    </row>
    <row r="1634" spans="1:52" x14ac:dyDescent="0.3">
      <c r="A1634" t="s">
        <v>52</v>
      </c>
      <c r="B1634" t="s">
        <v>53</v>
      </c>
      <c r="C1634" t="s">
        <v>54</v>
      </c>
      <c r="D1634" t="s">
        <v>55</v>
      </c>
      <c r="E1634" t="s">
        <v>845</v>
      </c>
      <c r="F1634" t="s">
        <v>176</v>
      </c>
      <c r="G1634" t="s">
        <v>350</v>
      </c>
      <c r="H1634" t="s">
        <v>368</v>
      </c>
      <c r="I1634" t="s">
        <v>368</v>
      </c>
      <c r="J1634" t="s">
        <v>60</v>
      </c>
      <c r="K1634" t="s">
        <v>364</v>
      </c>
      <c r="L1634" t="s">
        <v>62</v>
      </c>
      <c r="M1634" t="s">
        <v>364</v>
      </c>
      <c r="N1634" t="s">
        <v>353</v>
      </c>
      <c r="O1634" t="s">
        <v>365</v>
      </c>
      <c r="P1634">
        <v>-19.593221</v>
      </c>
      <c r="Q1634">
        <v>-43.901839000000002</v>
      </c>
      <c r="R1634" s="2" t="str">
        <f>HYPERLINK("https://www.google.com/maps?q=-19.5932210,-43.9018390","Abrir no Google Maps")</f>
        <v>Abrir no Google Maps</v>
      </c>
      <c r="S1634">
        <v>3</v>
      </c>
      <c r="T1634">
        <v>741.77482535005606</v>
      </c>
      <c r="U1634">
        <v>3</v>
      </c>
      <c r="V1634">
        <v>0.18640350877192979</v>
      </c>
      <c r="W1634">
        <v>0.85</v>
      </c>
      <c r="X1634">
        <v>0.1584429824561403</v>
      </c>
      <c r="Y1634">
        <v>2</v>
      </c>
      <c r="Z1634">
        <v>790.59331647558088</v>
      </c>
      <c r="AA1634">
        <v>2</v>
      </c>
      <c r="AB1634">
        <v>3</v>
      </c>
      <c r="AC1634">
        <v>7</v>
      </c>
      <c r="AD1634">
        <v>26.28</v>
      </c>
      <c r="AE1634">
        <v>253</v>
      </c>
      <c r="AF1634">
        <v>16</v>
      </c>
      <c r="AG1634">
        <v>63</v>
      </c>
      <c r="AH1634">
        <v>32</v>
      </c>
      <c r="AI1634">
        <v>6.32</v>
      </c>
      <c r="AJ1634">
        <v>24.9</v>
      </c>
      <c r="AK1634">
        <v>12.65</v>
      </c>
      <c r="AL1634">
        <v>-19.593187449999959</v>
      </c>
      <c r="AM1634">
        <v>-43.901700308057322</v>
      </c>
      <c r="AN1634">
        <v>-19.593187449999959</v>
      </c>
      <c r="AO1634">
        <v>-43.901700308057322</v>
      </c>
      <c r="AP1634">
        <v>-19.593221</v>
      </c>
      <c r="AQ1634">
        <v>-43.901839000000002</v>
      </c>
      <c r="AR1634">
        <v>15.017055708279431</v>
      </c>
      <c r="AS1634" t="s">
        <v>65</v>
      </c>
      <c r="AT1634">
        <v>1</v>
      </c>
      <c r="AU1634" t="s">
        <v>369</v>
      </c>
      <c r="AV1634" t="s">
        <v>370</v>
      </c>
      <c r="AW1634" t="s">
        <v>60</v>
      </c>
      <c r="AX1634" t="s">
        <v>68</v>
      </c>
      <c r="AY1634" t="s">
        <v>69</v>
      </c>
      <c r="AZ1634" t="b">
        <v>1</v>
      </c>
    </row>
    <row r="1635" spans="1:52" x14ac:dyDescent="0.3">
      <c r="A1635" t="s">
        <v>52</v>
      </c>
      <c r="B1635" t="s">
        <v>53</v>
      </c>
      <c r="C1635" t="s">
        <v>54</v>
      </c>
      <c r="D1635" t="s">
        <v>55</v>
      </c>
      <c r="E1635" t="s">
        <v>845</v>
      </c>
      <c r="F1635" t="s">
        <v>176</v>
      </c>
      <c r="G1635" t="s">
        <v>376</v>
      </c>
      <c r="H1635" t="s">
        <v>377</v>
      </c>
      <c r="I1635" t="s">
        <v>377</v>
      </c>
      <c r="J1635" t="s">
        <v>60</v>
      </c>
      <c r="K1635" t="s">
        <v>352</v>
      </c>
      <c r="L1635" t="s">
        <v>62</v>
      </c>
      <c r="M1635" t="s">
        <v>352</v>
      </c>
      <c r="N1635" t="s">
        <v>378</v>
      </c>
      <c r="O1635" t="s">
        <v>379</v>
      </c>
      <c r="P1635">
        <v>-19.596966999999999</v>
      </c>
      <c r="Q1635">
        <v>-43.90155</v>
      </c>
      <c r="R1635" s="2" t="str">
        <f>HYPERLINK("https://www.google.com/maps?q=-19.5969670,-43.9015500","Abrir no Google Maps")</f>
        <v>Abrir no Google Maps</v>
      </c>
      <c r="S1635">
        <v>3</v>
      </c>
      <c r="T1635">
        <v>366.5160120865408</v>
      </c>
      <c r="U1635">
        <v>3</v>
      </c>
      <c r="V1635">
        <v>0.1586826347305389</v>
      </c>
      <c r="W1635">
        <v>1</v>
      </c>
      <c r="X1635">
        <v>0.1586826347305389</v>
      </c>
      <c r="Y1635">
        <v>2</v>
      </c>
      <c r="Z1635">
        <v>437.88042928493138</v>
      </c>
      <c r="AA1635">
        <v>2</v>
      </c>
      <c r="AB1635">
        <v>3</v>
      </c>
      <c r="AC1635">
        <v>7</v>
      </c>
      <c r="AD1635">
        <v>26.28</v>
      </c>
      <c r="AE1635">
        <v>253</v>
      </c>
      <c r="AF1635">
        <v>16</v>
      </c>
      <c r="AG1635">
        <v>63</v>
      </c>
      <c r="AH1635">
        <v>32</v>
      </c>
      <c r="AI1635">
        <v>6.32</v>
      </c>
      <c r="AJ1635">
        <v>24.9</v>
      </c>
      <c r="AK1635">
        <v>12.65</v>
      </c>
      <c r="AL1635">
        <v>-19.597188549999942</v>
      </c>
      <c r="AM1635">
        <v>-43.901724335633787</v>
      </c>
      <c r="AN1635">
        <v>-19.597188549999942</v>
      </c>
      <c r="AO1635">
        <v>-43.901724335633787</v>
      </c>
      <c r="AP1635">
        <v>-19.596966999999999</v>
      </c>
      <c r="AQ1635">
        <v>-43.90155</v>
      </c>
      <c r="AR1635">
        <v>30.700556875456439</v>
      </c>
      <c r="AS1635" t="s">
        <v>65</v>
      </c>
      <c r="AT1635">
        <v>1</v>
      </c>
      <c r="AU1635" t="s">
        <v>380</v>
      </c>
      <c r="AV1635" t="s">
        <v>381</v>
      </c>
      <c r="AW1635" t="s">
        <v>60</v>
      </c>
      <c r="AX1635" t="s">
        <v>68</v>
      </c>
      <c r="AY1635" t="s">
        <v>69</v>
      </c>
      <c r="AZ1635" t="b">
        <v>1</v>
      </c>
    </row>
    <row r="1636" spans="1:52" x14ac:dyDescent="0.3">
      <c r="A1636" t="s">
        <v>52</v>
      </c>
      <c r="B1636" t="s">
        <v>53</v>
      </c>
      <c r="C1636" t="s">
        <v>54</v>
      </c>
      <c r="D1636" t="s">
        <v>55</v>
      </c>
      <c r="E1636" t="s">
        <v>845</v>
      </c>
      <c r="F1636" t="s">
        <v>176</v>
      </c>
      <c r="G1636" t="s">
        <v>681</v>
      </c>
      <c r="H1636" t="s">
        <v>747</v>
      </c>
      <c r="I1636" t="s">
        <v>747</v>
      </c>
      <c r="J1636" t="s">
        <v>60</v>
      </c>
      <c r="K1636" t="s">
        <v>683</v>
      </c>
      <c r="L1636" t="s">
        <v>62</v>
      </c>
      <c r="M1636" t="s">
        <v>683</v>
      </c>
      <c r="N1636" t="s">
        <v>419</v>
      </c>
      <c r="O1636" t="s">
        <v>748</v>
      </c>
      <c r="P1636">
        <v>-19.570823000000001</v>
      </c>
      <c r="Q1636">
        <v>-43.958823000000002</v>
      </c>
      <c r="R1636" s="2" t="str">
        <f>HYPERLINK("https://www.google.com/maps?q=-19.5708230,-43.9588230","Abrir no Google Maps")</f>
        <v>Abrir no Google Maps</v>
      </c>
      <c r="S1636">
        <v>3</v>
      </c>
      <c r="T1636">
        <v>670.58325756855618</v>
      </c>
      <c r="U1636">
        <v>3</v>
      </c>
      <c r="V1636">
        <v>0.20833333333333329</v>
      </c>
      <c r="W1636">
        <v>0.85</v>
      </c>
      <c r="X1636">
        <v>0.17708333333333329</v>
      </c>
      <c r="Y1636">
        <v>1</v>
      </c>
      <c r="Z1636">
        <v>731.63796944770115</v>
      </c>
      <c r="AA1636">
        <v>2</v>
      </c>
      <c r="AB1636">
        <v>3</v>
      </c>
      <c r="AC1636">
        <v>7</v>
      </c>
      <c r="AD1636">
        <v>26.28</v>
      </c>
      <c r="AE1636">
        <v>253</v>
      </c>
      <c r="AF1636">
        <v>16</v>
      </c>
      <c r="AG1636">
        <v>63</v>
      </c>
      <c r="AH1636">
        <v>32</v>
      </c>
      <c r="AI1636">
        <v>6.32</v>
      </c>
      <c r="AJ1636">
        <v>24.9</v>
      </c>
      <c r="AK1636">
        <v>12.65</v>
      </c>
      <c r="AL1636">
        <v>-19.567904999999939</v>
      </c>
      <c r="AM1636">
        <v>-43.959992321285412</v>
      </c>
      <c r="AN1636">
        <v>-19.567904999999939</v>
      </c>
      <c r="AO1636">
        <v>-43.959992321285412</v>
      </c>
      <c r="AP1636">
        <v>-19.570823000000001</v>
      </c>
      <c r="AQ1636">
        <v>-43.958823000000002</v>
      </c>
      <c r="AR1636">
        <v>347.21597474783073</v>
      </c>
      <c r="AS1636" t="s">
        <v>65</v>
      </c>
      <c r="AT1636">
        <v>1</v>
      </c>
      <c r="AU1636" t="s">
        <v>749</v>
      </c>
      <c r="AV1636" t="s">
        <v>750</v>
      </c>
      <c r="AW1636" t="s">
        <v>60</v>
      </c>
      <c r="AX1636" t="s">
        <v>68</v>
      </c>
      <c r="AY1636" t="s">
        <v>69</v>
      </c>
      <c r="AZ1636" t="b">
        <v>1</v>
      </c>
    </row>
    <row r="1637" spans="1:52" x14ac:dyDescent="0.3">
      <c r="A1637" t="s">
        <v>52</v>
      </c>
      <c r="B1637" t="s">
        <v>53</v>
      </c>
      <c r="C1637" t="s">
        <v>54</v>
      </c>
      <c r="D1637" t="s">
        <v>55</v>
      </c>
      <c r="E1637" t="s">
        <v>845</v>
      </c>
      <c r="F1637" t="s">
        <v>176</v>
      </c>
      <c r="G1637" t="s">
        <v>382</v>
      </c>
      <c r="H1637" t="s">
        <v>383</v>
      </c>
      <c r="I1637" t="s">
        <v>383</v>
      </c>
      <c r="J1637" t="s">
        <v>60</v>
      </c>
      <c r="K1637" t="s">
        <v>185</v>
      </c>
      <c r="L1637" t="s">
        <v>62</v>
      </c>
      <c r="M1637" t="s">
        <v>185</v>
      </c>
      <c r="N1637" t="s">
        <v>384</v>
      </c>
      <c r="O1637" t="s">
        <v>385</v>
      </c>
      <c r="P1637">
        <v>-19.623774000000001</v>
      </c>
      <c r="Q1637">
        <v>-43.886352000000002</v>
      </c>
      <c r="R1637" s="2" t="str">
        <f>HYPERLINK("https://www.google.com/maps?q=-19.6237740,-43.8863520","Abrir no Google Maps")</f>
        <v>Abrir no Google Maps</v>
      </c>
      <c r="S1637">
        <v>3</v>
      </c>
      <c r="T1637">
        <v>818.17252856383368</v>
      </c>
      <c r="U1637">
        <v>3</v>
      </c>
      <c r="V1637">
        <v>0.1626016260162601</v>
      </c>
      <c r="W1637">
        <v>1</v>
      </c>
      <c r="X1637">
        <v>0.1626016260162601</v>
      </c>
      <c r="Y1637">
        <v>0</v>
      </c>
      <c r="Z1637">
        <v>327.32213182525902</v>
      </c>
      <c r="AA1637">
        <v>2</v>
      </c>
      <c r="AB1637">
        <v>3</v>
      </c>
      <c r="AC1637">
        <v>7</v>
      </c>
      <c r="AD1637">
        <v>26.28</v>
      </c>
      <c r="AE1637">
        <v>253</v>
      </c>
      <c r="AF1637">
        <v>16</v>
      </c>
      <c r="AG1637">
        <v>63</v>
      </c>
      <c r="AH1637">
        <v>32</v>
      </c>
      <c r="AI1637">
        <v>6.32</v>
      </c>
      <c r="AJ1637">
        <v>24.9</v>
      </c>
      <c r="AK1637">
        <v>12.65</v>
      </c>
      <c r="AL1637">
        <v>-19.623056299999941</v>
      </c>
      <c r="AM1637">
        <v>-43.886837120297002</v>
      </c>
      <c r="AN1637">
        <v>-19.623056299999941</v>
      </c>
      <c r="AO1637">
        <v>-43.886837120297002</v>
      </c>
      <c r="AP1637">
        <v>-19.623774000000001</v>
      </c>
      <c r="AQ1637">
        <v>-43.886352000000002</v>
      </c>
      <c r="AR1637">
        <v>94.713149059175393</v>
      </c>
      <c r="AS1637" t="s">
        <v>65</v>
      </c>
      <c r="AT1637">
        <v>1</v>
      </c>
      <c r="AU1637" t="s">
        <v>386</v>
      </c>
      <c r="AV1637" t="s">
        <v>387</v>
      </c>
      <c r="AW1637" t="s">
        <v>60</v>
      </c>
      <c r="AX1637" t="s">
        <v>68</v>
      </c>
      <c r="AY1637" t="s">
        <v>69</v>
      </c>
      <c r="AZ1637" t="b">
        <v>1</v>
      </c>
    </row>
    <row r="1638" spans="1:52" x14ac:dyDescent="0.3">
      <c r="A1638" t="s">
        <v>52</v>
      </c>
      <c r="B1638" t="s">
        <v>53</v>
      </c>
      <c r="C1638" t="s">
        <v>54</v>
      </c>
      <c r="D1638" t="s">
        <v>55</v>
      </c>
      <c r="E1638" t="s">
        <v>845</v>
      </c>
      <c r="F1638" t="s">
        <v>512</v>
      </c>
      <c r="G1638" t="s">
        <v>84</v>
      </c>
      <c r="H1638" t="s">
        <v>85</v>
      </c>
      <c r="I1638" t="s">
        <v>85</v>
      </c>
      <c r="J1638" t="s">
        <v>60</v>
      </c>
      <c r="K1638" t="s">
        <v>86</v>
      </c>
      <c r="L1638" t="s">
        <v>62</v>
      </c>
      <c r="M1638" t="s">
        <v>86</v>
      </c>
      <c r="N1638" t="s">
        <v>87</v>
      </c>
      <c r="O1638" t="s">
        <v>88</v>
      </c>
      <c r="P1638">
        <v>-19.629436999999999</v>
      </c>
      <c r="Q1638">
        <v>-43.910398999999998</v>
      </c>
      <c r="R1638" s="2" t="str">
        <f>HYPERLINK("https://www.google.com/maps?q=-19.6294370,-43.9103990","Abrir no Google Maps")</f>
        <v>Abrir no Google Maps</v>
      </c>
      <c r="S1638">
        <v>4</v>
      </c>
      <c r="T1638">
        <v>888.82060643108082</v>
      </c>
      <c r="U1638">
        <v>4</v>
      </c>
      <c r="V1638">
        <v>0.1858407079646017</v>
      </c>
      <c r="W1638">
        <v>1</v>
      </c>
      <c r="X1638">
        <v>0.1858407079646017</v>
      </c>
      <c r="Y1638">
        <v>10</v>
      </c>
      <c r="Z1638">
        <v>867.42797341651737</v>
      </c>
      <c r="AA1638">
        <v>2</v>
      </c>
      <c r="AB1638">
        <v>3</v>
      </c>
      <c r="AC1638">
        <v>7</v>
      </c>
      <c r="AD1638">
        <v>26.28</v>
      </c>
      <c r="AE1638">
        <v>253</v>
      </c>
      <c r="AF1638">
        <v>16</v>
      </c>
      <c r="AG1638">
        <v>63</v>
      </c>
      <c r="AH1638">
        <v>32</v>
      </c>
      <c r="AI1638">
        <v>6.32</v>
      </c>
      <c r="AJ1638">
        <v>24.9</v>
      </c>
      <c r="AK1638">
        <v>12.65</v>
      </c>
      <c r="AL1638">
        <v>-19.62934694999996</v>
      </c>
      <c r="AM1638">
        <v>-43.910344699357317</v>
      </c>
      <c r="AN1638">
        <v>-19.62934694999996</v>
      </c>
      <c r="AO1638">
        <v>-43.910344699357331</v>
      </c>
      <c r="AP1638">
        <v>-19.629436999999999</v>
      </c>
      <c r="AQ1638">
        <v>-43.910398999999998</v>
      </c>
      <c r="AR1638">
        <v>11.52837377953678</v>
      </c>
      <c r="AS1638" t="s">
        <v>65</v>
      </c>
      <c r="AT1638">
        <v>1</v>
      </c>
      <c r="AU1638" t="s">
        <v>89</v>
      </c>
      <c r="AV1638" t="s">
        <v>90</v>
      </c>
      <c r="AW1638" t="s">
        <v>60</v>
      </c>
      <c r="AX1638" t="s">
        <v>68</v>
      </c>
      <c r="AY1638" t="s">
        <v>69</v>
      </c>
      <c r="AZ1638" t="b">
        <v>1</v>
      </c>
    </row>
    <row r="1639" spans="1:52" x14ac:dyDescent="0.3">
      <c r="A1639" t="s">
        <v>52</v>
      </c>
      <c r="B1639" t="s">
        <v>53</v>
      </c>
      <c r="C1639" t="s">
        <v>54</v>
      </c>
      <c r="D1639" t="s">
        <v>55</v>
      </c>
      <c r="E1639" t="s">
        <v>845</v>
      </c>
      <c r="F1639" t="s">
        <v>512</v>
      </c>
      <c r="G1639" t="s">
        <v>58</v>
      </c>
      <c r="H1639" t="s">
        <v>59</v>
      </c>
      <c r="I1639" t="s">
        <v>59</v>
      </c>
      <c r="J1639" t="s">
        <v>60</v>
      </c>
      <c r="K1639" t="s">
        <v>61</v>
      </c>
      <c r="L1639" t="s">
        <v>62</v>
      </c>
      <c r="M1639" t="s">
        <v>61</v>
      </c>
      <c r="N1639" t="s">
        <v>63</v>
      </c>
      <c r="O1639" t="s">
        <v>64</v>
      </c>
      <c r="P1639">
        <v>-19.631502000000001</v>
      </c>
      <c r="Q1639">
        <v>-43.910241999999997</v>
      </c>
      <c r="R1639" s="2" t="str">
        <f>HYPERLINK("https://www.google.com/maps?q=-19.6315020,-43.9102420","Abrir no Google Maps")</f>
        <v>Abrir no Google Maps</v>
      </c>
      <c r="S1639">
        <v>4</v>
      </c>
      <c r="T1639">
        <v>789.20099406682743</v>
      </c>
      <c r="U1639">
        <v>3</v>
      </c>
      <c r="V1639">
        <v>0.1584645669291338</v>
      </c>
      <c r="W1639">
        <v>1</v>
      </c>
      <c r="X1639">
        <v>0.1584645669291338</v>
      </c>
      <c r="Y1639">
        <v>10</v>
      </c>
      <c r="Z1639">
        <v>691.44930074509864</v>
      </c>
      <c r="AA1639">
        <v>2</v>
      </c>
      <c r="AB1639">
        <v>3</v>
      </c>
      <c r="AC1639">
        <v>7</v>
      </c>
      <c r="AD1639">
        <v>26.28</v>
      </c>
      <c r="AE1639">
        <v>253</v>
      </c>
      <c r="AF1639">
        <v>16</v>
      </c>
      <c r="AG1639">
        <v>63</v>
      </c>
      <c r="AH1639">
        <v>32</v>
      </c>
      <c r="AI1639">
        <v>6.32</v>
      </c>
      <c r="AJ1639">
        <v>24.9</v>
      </c>
      <c r="AK1639">
        <v>12.65</v>
      </c>
      <c r="AL1639">
        <v>-19.631719749999949</v>
      </c>
      <c r="AM1639">
        <v>-43.910102324517517</v>
      </c>
      <c r="AN1639">
        <v>-19.631719749999949</v>
      </c>
      <c r="AO1639">
        <v>-43.910102324517517</v>
      </c>
      <c r="AP1639">
        <v>-19.631502000000001</v>
      </c>
      <c r="AQ1639">
        <v>-43.910241999999997</v>
      </c>
      <c r="AR1639">
        <v>28.320416429206599</v>
      </c>
      <c r="AS1639" t="s">
        <v>65</v>
      </c>
      <c r="AT1639">
        <v>1</v>
      </c>
      <c r="AU1639" t="s">
        <v>66</v>
      </c>
      <c r="AV1639" t="s">
        <v>67</v>
      </c>
      <c r="AW1639" t="s">
        <v>60</v>
      </c>
      <c r="AX1639" t="s">
        <v>68</v>
      </c>
      <c r="AY1639" t="s">
        <v>69</v>
      </c>
      <c r="AZ1639" t="b">
        <v>1</v>
      </c>
    </row>
    <row r="1640" spans="1:52" x14ac:dyDescent="0.3">
      <c r="A1640" t="s">
        <v>52</v>
      </c>
      <c r="B1640" t="s">
        <v>53</v>
      </c>
      <c r="C1640" t="s">
        <v>54</v>
      </c>
      <c r="D1640" t="s">
        <v>55</v>
      </c>
      <c r="E1640" t="s">
        <v>845</v>
      </c>
      <c r="F1640" t="s">
        <v>512</v>
      </c>
      <c r="G1640" t="s">
        <v>91</v>
      </c>
      <c r="H1640" t="s">
        <v>92</v>
      </c>
      <c r="I1640" t="s">
        <v>92</v>
      </c>
      <c r="J1640" t="s">
        <v>60</v>
      </c>
      <c r="K1640" t="s">
        <v>86</v>
      </c>
      <c r="L1640" t="s">
        <v>62</v>
      </c>
      <c r="M1640" t="s">
        <v>86</v>
      </c>
      <c r="N1640" t="s">
        <v>93</v>
      </c>
      <c r="O1640" t="s">
        <v>94</v>
      </c>
      <c r="P1640">
        <v>-19.630676999999999</v>
      </c>
      <c r="Q1640">
        <v>-43.907255999999997</v>
      </c>
      <c r="R1640" s="2" t="str">
        <f>HYPERLINK("https://www.google.com/maps?q=-19.6306770,-43.9072560","Abrir no Google Maps")</f>
        <v>Abrir no Google Maps</v>
      </c>
      <c r="S1640">
        <v>4</v>
      </c>
      <c r="T1640">
        <v>545.39374622597825</v>
      </c>
      <c r="U1640">
        <v>3</v>
      </c>
      <c r="V1640">
        <v>0.1666666666666666</v>
      </c>
      <c r="W1640">
        <v>1</v>
      </c>
      <c r="X1640">
        <v>0.1666666666666666</v>
      </c>
      <c r="Y1640">
        <v>10</v>
      </c>
      <c r="Z1640">
        <v>559.94033759457182</v>
      </c>
      <c r="AA1640">
        <v>2</v>
      </c>
      <c r="AB1640">
        <v>3</v>
      </c>
      <c r="AC1640">
        <v>7</v>
      </c>
      <c r="AD1640">
        <v>26.28</v>
      </c>
      <c r="AE1640">
        <v>253</v>
      </c>
      <c r="AF1640">
        <v>16</v>
      </c>
      <c r="AG1640">
        <v>63</v>
      </c>
      <c r="AH1640">
        <v>32</v>
      </c>
      <c r="AI1640">
        <v>6.32</v>
      </c>
      <c r="AJ1640">
        <v>24.9</v>
      </c>
      <c r="AK1640">
        <v>12.65</v>
      </c>
      <c r="AL1640">
        <v>-19.630448649999941</v>
      </c>
      <c r="AM1640">
        <v>-43.907268502495313</v>
      </c>
      <c r="AN1640">
        <v>-19.630448649999941</v>
      </c>
      <c r="AO1640">
        <v>-43.907268502495313</v>
      </c>
      <c r="AP1640">
        <v>-19.630676999999999</v>
      </c>
      <c r="AQ1640">
        <v>-43.907255999999997</v>
      </c>
      <c r="AR1640">
        <v>25.453700276562468</v>
      </c>
      <c r="AS1640" t="s">
        <v>65</v>
      </c>
      <c r="AT1640">
        <v>1</v>
      </c>
      <c r="AU1640" t="s">
        <v>95</v>
      </c>
      <c r="AV1640" t="s">
        <v>96</v>
      </c>
      <c r="AW1640" t="s">
        <v>60</v>
      </c>
      <c r="AX1640" t="s">
        <v>68</v>
      </c>
      <c r="AY1640" t="s">
        <v>69</v>
      </c>
      <c r="AZ1640" t="b">
        <v>1</v>
      </c>
    </row>
    <row r="1641" spans="1:52" x14ac:dyDescent="0.3">
      <c r="A1641" t="s">
        <v>52</v>
      </c>
      <c r="B1641" t="s">
        <v>53</v>
      </c>
      <c r="C1641" t="s">
        <v>54</v>
      </c>
      <c r="D1641" t="s">
        <v>55</v>
      </c>
      <c r="E1641" t="s">
        <v>845</v>
      </c>
      <c r="F1641" t="s">
        <v>512</v>
      </c>
      <c r="G1641" t="s">
        <v>513</v>
      </c>
      <c r="H1641" t="s">
        <v>514</v>
      </c>
      <c r="I1641" t="s">
        <v>514</v>
      </c>
      <c r="J1641" t="s">
        <v>60</v>
      </c>
      <c r="K1641" t="s">
        <v>185</v>
      </c>
      <c r="L1641" t="s">
        <v>62</v>
      </c>
      <c r="M1641" t="s">
        <v>185</v>
      </c>
      <c r="N1641" t="s">
        <v>515</v>
      </c>
      <c r="O1641" t="s">
        <v>516</v>
      </c>
      <c r="P1641">
        <v>-19.63184</v>
      </c>
      <c r="Q1641">
        <v>-43.899625999999998</v>
      </c>
      <c r="R1641" s="2" t="str">
        <f>HYPERLINK("https://www.google.com/maps?q=-19.6318400,-43.8996260","Abrir no Google Maps")</f>
        <v>Abrir no Google Maps</v>
      </c>
      <c r="S1641">
        <v>4</v>
      </c>
      <c r="T1641">
        <v>317.05369638212568</v>
      </c>
      <c r="U1641">
        <v>2</v>
      </c>
      <c r="V1641">
        <v>0.1738095238095238</v>
      </c>
      <c r="W1641">
        <v>0.85</v>
      </c>
      <c r="X1641">
        <v>0.1477380952380952</v>
      </c>
      <c r="Y1641">
        <v>10</v>
      </c>
      <c r="Z1641">
        <v>467.39112963581732</v>
      </c>
      <c r="AA1641">
        <v>2</v>
      </c>
      <c r="AB1641">
        <v>3</v>
      </c>
      <c r="AC1641">
        <v>7</v>
      </c>
      <c r="AD1641">
        <v>26.28</v>
      </c>
      <c r="AE1641">
        <v>253</v>
      </c>
      <c r="AF1641">
        <v>16</v>
      </c>
      <c r="AG1641">
        <v>63</v>
      </c>
      <c r="AH1641">
        <v>32</v>
      </c>
      <c r="AI1641">
        <v>6.32</v>
      </c>
      <c r="AJ1641">
        <v>24.9</v>
      </c>
      <c r="AK1641">
        <v>12.65</v>
      </c>
      <c r="AL1641">
        <v>-19.631819699999941</v>
      </c>
      <c r="AM1641">
        <v>-43.89977767057065</v>
      </c>
      <c r="AN1641">
        <v>-19.631819699999941</v>
      </c>
      <c r="AO1641">
        <v>-43.89977767057065</v>
      </c>
      <c r="AP1641">
        <v>-19.63184</v>
      </c>
      <c r="AQ1641">
        <v>-43.899625999999998</v>
      </c>
      <c r="AR1641">
        <v>16.062279375806241</v>
      </c>
      <c r="AS1641" t="s">
        <v>65</v>
      </c>
      <c r="AT1641">
        <v>1</v>
      </c>
      <c r="AU1641" t="s">
        <v>517</v>
      </c>
      <c r="AV1641" t="s">
        <v>518</v>
      </c>
      <c r="AW1641" t="s">
        <v>60</v>
      </c>
      <c r="AX1641" t="s">
        <v>68</v>
      </c>
      <c r="AY1641" t="s">
        <v>69</v>
      </c>
      <c r="AZ1641" t="b">
        <v>1</v>
      </c>
    </row>
    <row r="1642" spans="1:52" x14ac:dyDescent="0.3">
      <c r="A1642" t="s">
        <v>52</v>
      </c>
      <c r="B1642" t="s">
        <v>53</v>
      </c>
      <c r="C1642" t="s">
        <v>54</v>
      </c>
      <c r="D1642" t="s">
        <v>55</v>
      </c>
      <c r="E1642" t="s">
        <v>845</v>
      </c>
      <c r="F1642" t="s">
        <v>512</v>
      </c>
      <c r="G1642" t="s">
        <v>70</v>
      </c>
      <c r="H1642" t="s">
        <v>71</v>
      </c>
      <c r="I1642" t="s">
        <v>71</v>
      </c>
      <c r="J1642" t="s">
        <v>60</v>
      </c>
      <c r="K1642" t="s">
        <v>72</v>
      </c>
      <c r="L1642" t="s">
        <v>62</v>
      </c>
      <c r="M1642" t="s">
        <v>72</v>
      </c>
      <c r="N1642" t="s">
        <v>73</v>
      </c>
      <c r="O1642" t="s">
        <v>74</v>
      </c>
      <c r="P1642">
        <v>-19.632581999999999</v>
      </c>
      <c r="Q1642">
        <v>-43.902416000000002</v>
      </c>
      <c r="R1642" s="2" t="str">
        <f>HYPERLINK("https://www.google.com/maps?q=-19.6325820,-43.9024160","Abrir no Google Maps")</f>
        <v>Abrir no Google Maps</v>
      </c>
      <c r="S1642">
        <v>4</v>
      </c>
      <c r="T1642">
        <v>0</v>
      </c>
      <c r="U1642">
        <v>2</v>
      </c>
      <c r="V1642">
        <v>0.1223404255319149</v>
      </c>
      <c r="W1642">
        <v>1</v>
      </c>
      <c r="X1642">
        <v>0.1223404255319149</v>
      </c>
      <c r="Y1642">
        <v>10</v>
      </c>
      <c r="Z1642">
        <v>146.6968158874696</v>
      </c>
      <c r="AA1642">
        <v>2</v>
      </c>
      <c r="AB1642">
        <v>3</v>
      </c>
      <c r="AC1642">
        <v>7</v>
      </c>
      <c r="AD1642">
        <v>26.28</v>
      </c>
      <c r="AE1642">
        <v>253</v>
      </c>
      <c r="AF1642">
        <v>16</v>
      </c>
      <c r="AG1642">
        <v>63</v>
      </c>
      <c r="AH1642">
        <v>32</v>
      </c>
      <c r="AI1642">
        <v>6.32</v>
      </c>
      <c r="AJ1642">
        <v>24.9</v>
      </c>
      <c r="AK1642">
        <v>12.65</v>
      </c>
      <c r="AL1642">
        <v>-19.63271449999996</v>
      </c>
      <c r="AM1642">
        <v>-43.902649897389402</v>
      </c>
      <c r="AN1642">
        <v>-19.63271449999996</v>
      </c>
      <c r="AO1642">
        <v>-43.902649897389402</v>
      </c>
      <c r="AP1642">
        <v>-19.632581999999999</v>
      </c>
      <c r="AQ1642">
        <v>-43.902416000000002</v>
      </c>
      <c r="AR1642">
        <v>28.617753432996459</v>
      </c>
      <c r="AS1642" t="s">
        <v>65</v>
      </c>
      <c r="AT1642">
        <v>1</v>
      </c>
      <c r="AU1642" t="s">
        <v>75</v>
      </c>
      <c r="AV1642" t="s">
        <v>76</v>
      </c>
      <c r="AW1642" t="s">
        <v>60</v>
      </c>
      <c r="AX1642" t="s">
        <v>68</v>
      </c>
      <c r="AY1642" t="s">
        <v>69</v>
      </c>
      <c r="AZ1642" t="b">
        <v>1</v>
      </c>
    </row>
    <row r="1643" spans="1:52" x14ac:dyDescent="0.3">
      <c r="A1643" t="s">
        <v>52</v>
      </c>
      <c r="B1643" t="s">
        <v>53</v>
      </c>
      <c r="C1643" t="s">
        <v>54</v>
      </c>
      <c r="D1643" t="s">
        <v>55</v>
      </c>
      <c r="E1643" t="s">
        <v>845</v>
      </c>
      <c r="F1643" t="s">
        <v>512</v>
      </c>
      <c r="G1643" t="s">
        <v>97</v>
      </c>
      <c r="H1643" t="s">
        <v>98</v>
      </c>
      <c r="I1643" t="s">
        <v>98</v>
      </c>
      <c r="J1643" t="s">
        <v>60</v>
      </c>
      <c r="K1643" t="s">
        <v>99</v>
      </c>
      <c r="L1643" t="s">
        <v>62</v>
      </c>
      <c r="M1643" t="s">
        <v>99</v>
      </c>
      <c r="N1643" t="s">
        <v>100</v>
      </c>
      <c r="O1643" t="s">
        <v>101</v>
      </c>
      <c r="P1643">
        <v>-19.629822000000001</v>
      </c>
      <c r="Q1643">
        <v>-43.905341</v>
      </c>
      <c r="R1643" s="2" t="str">
        <f>HYPERLINK("https://www.google.com/maps?q=-19.6298220,-43.9053410","Abrir no Google Maps")</f>
        <v>Abrir no Google Maps</v>
      </c>
      <c r="S1643">
        <v>4</v>
      </c>
      <c r="T1643">
        <v>441.30597341744129</v>
      </c>
      <c r="U1643">
        <v>2</v>
      </c>
      <c r="V1643">
        <v>0.1461864406779661</v>
      </c>
      <c r="W1643">
        <v>1</v>
      </c>
      <c r="X1643">
        <v>0.1461864406779661</v>
      </c>
      <c r="Y1643">
        <v>10</v>
      </c>
      <c r="Z1643">
        <v>513.56493751010987</v>
      </c>
      <c r="AA1643">
        <v>2</v>
      </c>
      <c r="AB1643">
        <v>3</v>
      </c>
      <c r="AC1643">
        <v>7</v>
      </c>
      <c r="AD1643">
        <v>26.28</v>
      </c>
      <c r="AE1643">
        <v>253</v>
      </c>
      <c r="AF1643">
        <v>16</v>
      </c>
      <c r="AG1643">
        <v>63</v>
      </c>
      <c r="AH1643">
        <v>32</v>
      </c>
      <c r="AI1643">
        <v>6.32</v>
      </c>
      <c r="AJ1643">
        <v>24.9</v>
      </c>
      <c r="AK1643">
        <v>12.65</v>
      </c>
      <c r="AL1643">
        <v>-19.629671599999941</v>
      </c>
      <c r="AM1643">
        <v>-43.905369597920988</v>
      </c>
      <c r="AN1643">
        <v>-19.629671599999931</v>
      </c>
      <c r="AO1643">
        <v>-43.905369597920988</v>
      </c>
      <c r="AP1643">
        <v>-19.629822000000001</v>
      </c>
      <c r="AQ1643">
        <v>-43.905341</v>
      </c>
      <c r="AR1643">
        <v>17.008917699186132</v>
      </c>
      <c r="AS1643" t="s">
        <v>65</v>
      </c>
      <c r="AT1643">
        <v>1</v>
      </c>
      <c r="AU1643" t="s">
        <v>102</v>
      </c>
      <c r="AV1643" t="s">
        <v>103</v>
      </c>
      <c r="AW1643" t="s">
        <v>60</v>
      </c>
      <c r="AX1643" t="s">
        <v>68</v>
      </c>
      <c r="AY1643" t="s">
        <v>69</v>
      </c>
      <c r="AZ1643" t="b">
        <v>1</v>
      </c>
    </row>
    <row r="1644" spans="1:52" x14ac:dyDescent="0.3">
      <c r="A1644" t="s">
        <v>52</v>
      </c>
      <c r="B1644" t="s">
        <v>53</v>
      </c>
      <c r="C1644" t="s">
        <v>54</v>
      </c>
      <c r="D1644" t="s">
        <v>55</v>
      </c>
      <c r="E1644" t="s">
        <v>845</v>
      </c>
      <c r="F1644" t="s">
        <v>512</v>
      </c>
      <c r="G1644" t="s">
        <v>77</v>
      </c>
      <c r="H1644" t="s">
        <v>78</v>
      </c>
      <c r="I1644" t="s">
        <v>78</v>
      </c>
      <c r="J1644" t="s">
        <v>60</v>
      </c>
      <c r="K1644" t="s">
        <v>79</v>
      </c>
      <c r="L1644" t="s">
        <v>62</v>
      </c>
      <c r="M1644" t="s">
        <v>79</v>
      </c>
      <c r="N1644" t="s">
        <v>80</v>
      </c>
      <c r="O1644" t="s">
        <v>81</v>
      </c>
      <c r="P1644">
        <v>-19.632463999999999</v>
      </c>
      <c r="Q1644">
        <v>-43.904927999999998</v>
      </c>
      <c r="R1644" s="2" t="str">
        <f>HYPERLINK("https://www.google.com/maps?q=-19.6324640,-43.9049280","Abrir no Google Maps")</f>
        <v>Abrir no Google Maps</v>
      </c>
      <c r="S1644">
        <v>4</v>
      </c>
      <c r="T1644">
        <v>244.1735197453369</v>
      </c>
      <c r="U1644">
        <v>1</v>
      </c>
      <c r="V1644">
        <v>0.10256410256410251</v>
      </c>
      <c r="W1644">
        <v>1</v>
      </c>
      <c r="X1644">
        <v>0.10256410256410251</v>
      </c>
      <c r="Y1644">
        <v>10</v>
      </c>
      <c r="Z1644">
        <v>287.26068152447448</v>
      </c>
      <c r="AA1644">
        <v>2</v>
      </c>
      <c r="AB1644">
        <v>3</v>
      </c>
      <c r="AC1644">
        <v>7</v>
      </c>
      <c r="AD1644">
        <v>26.28</v>
      </c>
      <c r="AE1644">
        <v>253</v>
      </c>
      <c r="AF1644">
        <v>16</v>
      </c>
      <c r="AG1644">
        <v>63</v>
      </c>
      <c r="AH1644">
        <v>32</v>
      </c>
      <c r="AI1644">
        <v>6.32</v>
      </c>
      <c r="AJ1644">
        <v>24.9</v>
      </c>
      <c r="AK1644">
        <v>12.65</v>
      </c>
      <c r="AL1644">
        <v>-19.63247099999996</v>
      </c>
      <c r="AM1644">
        <v>-43.904964174285787</v>
      </c>
      <c r="AN1644">
        <v>-19.63247099999996</v>
      </c>
      <c r="AO1644">
        <v>-43.904964174285787</v>
      </c>
      <c r="AP1644">
        <v>-19.632463999999999</v>
      </c>
      <c r="AQ1644">
        <v>-43.904927999999998</v>
      </c>
      <c r="AR1644">
        <v>3.8720457500200469</v>
      </c>
      <c r="AS1644" t="s">
        <v>65</v>
      </c>
      <c r="AT1644">
        <v>1</v>
      </c>
      <c r="AU1644" t="s">
        <v>82</v>
      </c>
      <c r="AV1644" t="s">
        <v>83</v>
      </c>
      <c r="AW1644" t="s">
        <v>60</v>
      </c>
      <c r="AX1644" t="s">
        <v>68</v>
      </c>
      <c r="AY1644" t="s">
        <v>69</v>
      </c>
      <c r="AZ1644" t="b">
        <v>1</v>
      </c>
    </row>
    <row r="1645" spans="1:52" x14ac:dyDescent="0.3">
      <c r="A1645" t="s">
        <v>52</v>
      </c>
      <c r="B1645" t="s">
        <v>53</v>
      </c>
      <c r="C1645" t="s">
        <v>54</v>
      </c>
      <c r="D1645" t="s">
        <v>55</v>
      </c>
      <c r="E1645" t="s">
        <v>845</v>
      </c>
      <c r="F1645" t="s">
        <v>512</v>
      </c>
      <c r="G1645" t="s">
        <v>519</v>
      </c>
      <c r="H1645" t="s">
        <v>520</v>
      </c>
      <c r="I1645" t="s">
        <v>520</v>
      </c>
      <c r="J1645" t="s">
        <v>60</v>
      </c>
      <c r="K1645" t="s">
        <v>72</v>
      </c>
      <c r="L1645" t="s">
        <v>62</v>
      </c>
      <c r="M1645" t="s">
        <v>72</v>
      </c>
      <c r="N1645" t="s">
        <v>521</v>
      </c>
      <c r="O1645" t="s">
        <v>522</v>
      </c>
      <c r="P1645">
        <v>-19.634713000000001</v>
      </c>
      <c r="Q1645">
        <v>-43.908909999999999</v>
      </c>
      <c r="R1645" s="2" t="str">
        <f>HYPERLINK("https://www.google.com/maps?q=-19.6347130,-43.9089100","Abrir no Google Maps")</f>
        <v>Abrir no Google Maps</v>
      </c>
      <c r="S1645">
        <v>4</v>
      </c>
      <c r="T1645">
        <v>700.74700083720154</v>
      </c>
      <c r="U1645">
        <v>1</v>
      </c>
      <c r="V1645">
        <v>0.13207547169811321</v>
      </c>
      <c r="W1645">
        <v>0.85</v>
      </c>
      <c r="X1645">
        <v>0.1122641509433962</v>
      </c>
      <c r="Y1645">
        <v>10</v>
      </c>
      <c r="Z1645">
        <v>557.86159429038207</v>
      </c>
      <c r="AA1645">
        <v>2</v>
      </c>
      <c r="AB1645">
        <v>3</v>
      </c>
      <c r="AC1645">
        <v>7</v>
      </c>
      <c r="AD1645">
        <v>26.28</v>
      </c>
      <c r="AE1645">
        <v>253</v>
      </c>
      <c r="AF1645">
        <v>16</v>
      </c>
      <c r="AG1645">
        <v>63</v>
      </c>
      <c r="AH1645">
        <v>32</v>
      </c>
      <c r="AI1645">
        <v>6.32</v>
      </c>
      <c r="AJ1645">
        <v>24.9</v>
      </c>
      <c r="AK1645">
        <v>12.65</v>
      </c>
      <c r="AL1645">
        <v>-19.634626949999959</v>
      </c>
      <c r="AM1645">
        <v>-43.909020333181857</v>
      </c>
      <c r="AN1645">
        <v>-19.634626949999959</v>
      </c>
      <c r="AO1645">
        <v>-43.909020333181857</v>
      </c>
      <c r="AP1645">
        <v>-19.634713000000001</v>
      </c>
      <c r="AQ1645">
        <v>-43.908909999999999</v>
      </c>
      <c r="AR1645">
        <v>15.01933861967664</v>
      </c>
      <c r="AS1645" t="s">
        <v>65</v>
      </c>
      <c r="AT1645">
        <v>1</v>
      </c>
      <c r="AU1645" t="s">
        <v>523</v>
      </c>
      <c r="AV1645" t="s">
        <v>524</v>
      </c>
      <c r="AW1645" t="s">
        <v>60</v>
      </c>
      <c r="AX1645" t="s">
        <v>68</v>
      </c>
      <c r="AY1645" t="s">
        <v>69</v>
      </c>
      <c r="AZ1645" t="b">
        <v>1</v>
      </c>
    </row>
    <row r="1646" spans="1:52" x14ac:dyDescent="0.3">
      <c r="A1646" t="s">
        <v>52</v>
      </c>
      <c r="B1646" t="s">
        <v>53</v>
      </c>
      <c r="C1646" t="s">
        <v>54</v>
      </c>
      <c r="D1646" t="s">
        <v>55</v>
      </c>
      <c r="E1646" t="s">
        <v>845</v>
      </c>
      <c r="F1646" t="s">
        <v>512</v>
      </c>
      <c r="G1646" t="s">
        <v>394</v>
      </c>
      <c r="H1646" t="s">
        <v>395</v>
      </c>
      <c r="I1646" t="s">
        <v>395</v>
      </c>
      <c r="J1646" t="s">
        <v>60</v>
      </c>
      <c r="K1646" t="s">
        <v>286</v>
      </c>
      <c r="L1646" t="s">
        <v>62</v>
      </c>
      <c r="M1646" t="s">
        <v>286</v>
      </c>
      <c r="N1646" t="s">
        <v>396</v>
      </c>
      <c r="O1646" t="s">
        <v>88</v>
      </c>
      <c r="P1646">
        <v>-19.636932999999999</v>
      </c>
      <c r="Q1646">
        <v>-43.882691999999999</v>
      </c>
      <c r="R1646" s="2" t="str">
        <f>HYPERLINK("https://www.google.com/maps?q=-19.6369330,-43.8826920","Abrir no Google Maps")</f>
        <v>Abrir no Google Maps</v>
      </c>
      <c r="S1646">
        <v>3</v>
      </c>
      <c r="T1646">
        <v>523.52675813688109</v>
      </c>
      <c r="U1646">
        <v>3</v>
      </c>
      <c r="V1646">
        <v>0.1719653179190751</v>
      </c>
      <c r="W1646">
        <v>1</v>
      </c>
      <c r="X1646">
        <v>0.1719653179190751</v>
      </c>
      <c r="Y1646">
        <v>10</v>
      </c>
      <c r="Z1646">
        <v>372.58135532659509</v>
      </c>
      <c r="AA1646">
        <v>2</v>
      </c>
      <c r="AB1646">
        <v>3</v>
      </c>
      <c r="AC1646">
        <v>7</v>
      </c>
      <c r="AD1646">
        <v>26.28</v>
      </c>
      <c r="AE1646">
        <v>253</v>
      </c>
      <c r="AF1646">
        <v>16</v>
      </c>
      <c r="AG1646">
        <v>63</v>
      </c>
      <c r="AH1646">
        <v>32</v>
      </c>
      <c r="AI1646">
        <v>6.32</v>
      </c>
      <c r="AJ1646">
        <v>24.9</v>
      </c>
      <c r="AK1646">
        <v>12.65</v>
      </c>
      <c r="AL1646">
        <v>-19.637159949999951</v>
      </c>
      <c r="AM1646">
        <v>-43.882643289441461</v>
      </c>
      <c r="AN1646">
        <v>-19.637159949999951</v>
      </c>
      <c r="AO1646">
        <v>-43.882643289441461</v>
      </c>
      <c r="AP1646">
        <v>-19.636932999999999</v>
      </c>
      <c r="AQ1646">
        <v>-43.882691999999999</v>
      </c>
      <c r="AR1646">
        <v>25.775099947452478</v>
      </c>
      <c r="AS1646" t="s">
        <v>65</v>
      </c>
      <c r="AT1646">
        <v>1</v>
      </c>
      <c r="AU1646" t="s">
        <v>397</v>
      </c>
      <c r="AV1646" t="s">
        <v>398</v>
      </c>
      <c r="AW1646" t="s">
        <v>60</v>
      </c>
      <c r="AX1646" t="s">
        <v>68</v>
      </c>
      <c r="AY1646" t="s">
        <v>69</v>
      </c>
      <c r="AZ1646" t="b">
        <v>1</v>
      </c>
    </row>
    <row r="1647" spans="1:52" x14ac:dyDescent="0.3">
      <c r="A1647" t="s">
        <v>52</v>
      </c>
      <c r="B1647" t="s">
        <v>53</v>
      </c>
      <c r="C1647" t="s">
        <v>54</v>
      </c>
      <c r="D1647" t="s">
        <v>55</v>
      </c>
      <c r="E1647" t="s">
        <v>845</v>
      </c>
      <c r="F1647" t="s">
        <v>512</v>
      </c>
      <c r="G1647" t="s">
        <v>399</v>
      </c>
      <c r="H1647" t="s">
        <v>400</v>
      </c>
      <c r="I1647" t="s">
        <v>400</v>
      </c>
      <c r="J1647" t="s">
        <v>60</v>
      </c>
      <c r="K1647" t="s">
        <v>286</v>
      </c>
      <c r="L1647" t="s">
        <v>62</v>
      </c>
      <c r="M1647" t="s">
        <v>286</v>
      </c>
      <c r="N1647" t="s">
        <v>401</v>
      </c>
      <c r="O1647" t="s">
        <v>402</v>
      </c>
      <c r="P1647">
        <v>-19.639906</v>
      </c>
      <c r="Q1647">
        <v>-43.886059000000003</v>
      </c>
      <c r="R1647" s="2" t="str">
        <f>HYPERLINK("https://www.google.com/maps?q=-19.6399060,-43.8860590","Abrir no Google Maps")</f>
        <v>Abrir no Google Maps</v>
      </c>
      <c r="S1647">
        <v>3</v>
      </c>
      <c r="T1647">
        <v>256.0748811302048</v>
      </c>
      <c r="U1647">
        <v>3</v>
      </c>
      <c r="V1647">
        <v>0.15869565217391299</v>
      </c>
      <c r="W1647">
        <v>1</v>
      </c>
      <c r="X1647">
        <v>0.15869565217391299</v>
      </c>
      <c r="Y1647">
        <v>10</v>
      </c>
      <c r="Z1647">
        <v>205.06236700857289</v>
      </c>
      <c r="AA1647">
        <v>2</v>
      </c>
      <c r="AB1647">
        <v>3</v>
      </c>
      <c r="AC1647">
        <v>7</v>
      </c>
      <c r="AD1647">
        <v>26.28</v>
      </c>
      <c r="AE1647">
        <v>253</v>
      </c>
      <c r="AF1647">
        <v>16</v>
      </c>
      <c r="AG1647">
        <v>63</v>
      </c>
      <c r="AH1647">
        <v>32</v>
      </c>
      <c r="AI1647">
        <v>6.32</v>
      </c>
      <c r="AJ1647">
        <v>24.9</v>
      </c>
      <c r="AK1647">
        <v>12.65</v>
      </c>
      <c r="AL1647">
        <v>-19.639789499999949</v>
      </c>
      <c r="AM1647">
        <v>-43.885737855031408</v>
      </c>
      <c r="AN1647">
        <v>-19.639789499999949</v>
      </c>
      <c r="AO1647">
        <v>-43.885737855031408</v>
      </c>
      <c r="AP1647">
        <v>-19.639906</v>
      </c>
      <c r="AQ1647">
        <v>-43.886059000000003</v>
      </c>
      <c r="AR1647">
        <v>36.081349702130403</v>
      </c>
      <c r="AS1647" t="s">
        <v>65</v>
      </c>
      <c r="AT1647">
        <v>1</v>
      </c>
      <c r="AU1647" t="s">
        <v>403</v>
      </c>
      <c r="AV1647" t="s">
        <v>404</v>
      </c>
      <c r="AW1647" t="s">
        <v>60</v>
      </c>
      <c r="AX1647" t="s">
        <v>68</v>
      </c>
      <c r="AY1647" t="s">
        <v>69</v>
      </c>
      <c r="AZ1647" t="b">
        <v>1</v>
      </c>
    </row>
    <row r="1648" spans="1:52" x14ac:dyDescent="0.3">
      <c r="A1648" t="s">
        <v>52</v>
      </c>
      <c r="B1648" t="s">
        <v>53</v>
      </c>
      <c r="C1648" t="s">
        <v>54</v>
      </c>
      <c r="D1648" t="s">
        <v>55</v>
      </c>
      <c r="E1648" t="s">
        <v>845</v>
      </c>
      <c r="F1648" t="s">
        <v>512</v>
      </c>
      <c r="G1648" t="s">
        <v>284</v>
      </c>
      <c r="H1648" t="s">
        <v>285</v>
      </c>
      <c r="I1648" t="s">
        <v>285</v>
      </c>
      <c r="J1648" t="s">
        <v>60</v>
      </c>
      <c r="K1648" t="s">
        <v>286</v>
      </c>
      <c r="L1648" t="s">
        <v>62</v>
      </c>
      <c r="M1648" t="s">
        <v>286</v>
      </c>
      <c r="N1648" t="s">
        <v>287</v>
      </c>
      <c r="O1648" t="s">
        <v>288</v>
      </c>
      <c r="P1648">
        <v>-19.639790000000001</v>
      </c>
      <c r="Q1648">
        <v>-43.882798999999999</v>
      </c>
      <c r="R1648" s="2" t="str">
        <f>HYPERLINK("https://www.google.com/maps?q=-19.6397900,-43.8827990","Abrir no Google Maps")</f>
        <v>Abrir no Google Maps</v>
      </c>
      <c r="S1648">
        <v>3</v>
      </c>
      <c r="T1648">
        <v>242.7052058134478</v>
      </c>
      <c r="U1648">
        <v>3</v>
      </c>
      <c r="V1648">
        <v>0.17546583850931671</v>
      </c>
      <c r="W1648">
        <v>1</v>
      </c>
      <c r="X1648">
        <v>0.17546583850931671</v>
      </c>
      <c r="Y1648">
        <v>10</v>
      </c>
      <c r="Z1648">
        <v>187.2088809462339</v>
      </c>
      <c r="AA1648">
        <v>2</v>
      </c>
      <c r="AB1648">
        <v>3</v>
      </c>
      <c r="AC1648">
        <v>7</v>
      </c>
      <c r="AD1648">
        <v>26.28</v>
      </c>
      <c r="AE1648">
        <v>253</v>
      </c>
      <c r="AF1648">
        <v>16</v>
      </c>
      <c r="AG1648">
        <v>63</v>
      </c>
      <c r="AH1648">
        <v>32</v>
      </c>
      <c r="AI1648">
        <v>6.32</v>
      </c>
      <c r="AJ1648">
        <v>24.9</v>
      </c>
      <c r="AK1648">
        <v>12.65</v>
      </c>
      <c r="AL1648">
        <v>-19.639855599999951</v>
      </c>
      <c r="AM1648">
        <v>-43.882909745178452</v>
      </c>
      <c r="AN1648">
        <v>-19.639855599999951</v>
      </c>
      <c r="AO1648">
        <v>-43.882909745178452</v>
      </c>
      <c r="AP1648">
        <v>-19.639790000000001</v>
      </c>
      <c r="AQ1648">
        <v>-43.882798999999999</v>
      </c>
      <c r="AR1648">
        <v>13.716486068571211</v>
      </c>
      <c r="AS1648" t="s">
        <v>65</v>
      </c>
      <c r="AT1648">
        <v>1</v>
      </c>
      <c r="AU1648" t="s">
        <v>289</v>
      </c>
      <c r="AV1648" t="s">
        <v>290</v>
      </c>
      <c r="AW1648" t="s">
        <v>60</v>
      </c>
      <c r="AX1648" t="s">
        <v>68</v>
      </c>
      <c r="AY1648" t="s">
        <v>69</v>
      </c>
      <c r="AZ1648" t="b">
        <v>1</v>
      </c>
    </row>
    <row r="1649" spans="1:52" x14ac:dyDescent="0.3">
      <c r="A1649" t="s">
        <v>52</v>
      </c>
      <c r="B1649" t="s">
        <v>53</v>
      </c>
      <c r="C1649" t="s">
        <v>54</v>
      </c>
      <c r="D1649" t="s">
        <v>55</v>
      </c>
      <c r="E1649" t="s">
        <v>845</v>
      </c>
      <c r="F1649" t="s">
        <v>512</v>
      </c>
      <c r="G1649" t="s">
        <v>291</v>
      </c>
      <c r="H1649" t="s">
        <v>292</v>
      </c>
      <c r="I1649" t="s">
        <v>292</v>
      </c>
      <c r="J1649" t="s">
        <v>60</v>
      </c>
      <c r="K1649" t="s">
        <v>286</v>
      </c>
      <c r="L1649" t="s">
        <v>62</v>
      </c>
      <c r="M1649" t="s">
        <v>286</v>
      </c>
      <c r="N1649" t="s">
        <v>293</v>
      </c>
      <c r="O1649" t="s">
        <v>294</v>
      </c>
      <c r="P1649">
        <v>-19.640333999999999</v>
      </c>
      <c r="Q1649">
        <v>-43.880004999999997</v>
      </c>
      <c r="R1649" s="2" t="str">
        <f>HYPERLINK("https://www.google.com/maps?q=-19.6403340,-43.8800050","Abrir no Google Maps")</f>
        <v>Abrir no Google Maps</v>
      </c>
      <c r="S1649">
        <v>3</v>
      </c>
      <c r="T1649">
        <v>276.80943817309782</v>
      </c>
      <c r="U1649">
        <v>3</v>
      </c>
      <c r="V1649">
        <v>0.15972222222222221</v>
      </c>
      <c r="W1649">
        <v>1</v>
      </c>
      <c r="X1649">
        <v>0.15972222222222221</v>
      </c>
      <c r="Y1649">
        <v>10</v>
      </c>
      <c r="Z1649">
        <v>361.98332038983392</v>
      </c>
      <c r="AA1649">
        <v>2</v>
      </c>
      <c r="AB1649">
        <v>3</v>
      </c>
      <c r="AC1649">
        <v>7</v>
      </c>
      <c r="AD1649">
        <v>26.28</v>
      </c>
      <c r="AE1649">
        <v>253</v>
      </c>
      <c r="AF1649">
        <v>16</v>
      </c>
      <c r="AG1649">
        <v>63</v>
      </c>
      <c r="AH1649">
        <v>32</v>
      </c>
      <c r="AI1649">
        <v>6.32</v>
      </c>
      <c r="AJ1649">
        <v>24.9</v>
      </c>
      <c r="AK1649">
        <v>12.65</v>
      </c>
      <c r="AL1649">
        <v>-19.640260249999951</v>
      </c>
      <c r="AM1649">
        <v>-43.880090474326408</v>
      </c>
      <c r="AN1649">
        <v>-19.640260249999951</v>
      </c>
      <c r="AO1649">
        <v>-43.880090474326408</v>
      </c>
      <c r="AP1649">
        <v>-19.640333999999999</v>
      </c>
      <c r="AQ1649">
        <v>-43.880004999999997</v>
      </c>
      <c r="AR1649">
        <v>12.153556195359609</v>
      </c>
      <c r="AS1649" t="s">
        <v>65</v>
      </c>
      <c r="AT1649">
        <v>1</v>
      </c>
      <c r="AU1649" t="s">
        <v>295</v>
      </c>
      <c r="AV1649" t="s">
        <v>296</v>
      </c>
      <c r="AW1649" t="s">
        <v>60</v>
      </c>
      <c r="AX1649" t="s">
        <v>68</v>
      </c>
      <c r="AY1649" t="s">
        <v>69</v>
      </c>
      <c r="AZ1649" t="b">
        <v>1</v>
      </c>
    </row>
    <row r="1650" spans="1:52" x14ac:dyDescent="0.3">
      <c r="A1650" t="s">
        <v>52</v>
      </c>
      <c r="B1650" t="s">
        <v>53</v>
      </c>
      <c r="C1650" t="s">
        <v>54</v>
      </c>
      <c r="D1650" t="s">
        <v>55</v>
      </c>
      <c r="E1650" t="s">
        <v>845</v>
      </c>
      <c r="F1650" t="s">
        <v>512</v>
      </c>
      <c r="G1650" t="s">
        <v>405</v>
      </c>
      <c r="H1650" t="s">
        <v>406</v>
      </c>
      <c r="I1650" t="s">
        <v>406</v>
      </c>
      <c r="J1650" t="s">
        <v>60</v>
      </c>
      <c r="K1650" t="s">
        <v>286</v>
      </c>
      <c r="L1650" t="s">
        <v>62</v>
      </c>
      <c r="M1650" t="s">
        <v>286</v>
      </c>
      <c r="N1650" t="s">
        <v>407</v>
      </c>
      <c r="O1650" t="s">
        <v>408</v>
      </c>
      <c r="P1650">
        <v>-19.646345</v>
      </c>
      <c r="Q1650">
        <v>-43.882294999999999</v>
      </c>
      <c r="R1650" s="2" t="str">
        <f>HYPERLINK("https://www.google.com/maps?q=-19.6463450,-43.8822950","Abrir no Google Maps")</f>
        <v>Abrir no Google Maps</v>
      </c>
      <c r="S1650">
        <v>3</v>
      </c>
      <c r="T1650">
        <v>450.3180538635894</v>
      </c>
      <c r="U1650">
        <v>3</v>
      </c>
      <c r="V1650">
        <v>0.17258064516129029</v>
      </c>
      <c r="W1650">
        <v>1</v>
      </c>
      <c r="X1650">
        <v>0.17258064516129029</v>
      </c>
      <c r="Y1650">
        <v>10</v>
      </c>
      <c r="Z1650">
        <v>349.23341775902583</v>
      </c>
      <c r="AA1650">
        <v>2</v>
      </c>
      <c r="AB1650">
        <v>3</v>
      </c>
      <c r="AC1650">
        <v>7</v>
      </c>
      <c r="AD1650">
        <v>26.28</v>
      </c>
      <c r="AE1650">
        <v>253</v>
      </c>
      <c r="AF1650">
        <v>16</v>
      </c>
      <c r="AG1650">
        <v>63</v>
      </c>
      <c r="AH1650">
        <v>32</v>
      </c>
      <c r="AI1650">
        <v>6.32</v>
      </c>
      <c r="AJ1650">
        <v>24.9</v>
      </c>
      <c r="AK1650">
        <v>12.65</v>
      </c>
      <c r="AL1650">
        <v>-19.646391649999941</v>
      </c>
      <c r="AM1650">
        <v>-43.882007396993302</v>
      </c>
      <c r="AN1650">
        <v>-19.646391649999941</v>
      </c>
      <c r="AO1650">
        <v>-43.882007396993302</v>
      </c>
      <c r="AP1650">
        <v>-19.646345</v>
      </c>
      <c r="AQ1650">
        <v>-43.882294999999999</v>
      </c>
      <c r="AR1650">
        <v>30.596105513395301</v>
      </c>
      <c r="AS1650" t="s">
        <v>65</v>
      </c>
      <c r="AT1650">
        <v>1</v>
      </c>
      <c r="AU1650" t="s">
        <v>409</v>
      </c>
      <c r="AV1650" t="s">
        <v>410</v>
      </c>
      <c r="AW1650" t="s">
        <v>60</v>
      </c>
      <c r="AX1650" t="s">
        <v>68</v>
      </c>
      <c r="AY1650" t="s">
        <v>69</v>
      </c>
      <c r="AZ1650" t="b">
        <v>1</v>
      </c>
    </row>
    <row r="1651" spans="1:52" x14ac:dyDescent="0.3">
      <c r="A1651" t="s">
        <v>52</v>
      </c>
      <c r="B1651" t="s">
        <v>53</v>
      </c>
      <c r="C1651" t="s">
        <v>54</v>
      </c>
      <c r="D1651" t="s">
        <v>55</v>
      </c>
      <c r="E1651" t="s">
        <v>845</v>
      </c>
      <c r="F1651" t="s">
        <v>512</v>
      </c>
      <c r="G1651" t="s">
        <v>525</v>
      </c>
      <c r="H1651" t="s">
        <v>526</v>
      </c>
      <c r="I1651" t="s">
        <v>526</v>
      </c>
      <c r="J1651" t="s">
        <v>60</v>
      </c>
      <c r="K1651" t="s">
        <v>286</v>
      </c>
      <c r="L1651" t="s">
        <v>62</v>
      </c>
      <c r="M1651" t="s">
        <v>286</v>
      </c>
      <c r="N1651" t="s">
        <v>527</v>
      </c>
      <c r="O1651" t="s">
        <v>113</v>
      </c>
      <c r="P1651">
        <v>-19.629049999999999</v>
      </c>
      <c r="Q1651">
        <v>-43.887543000000001</v>
      </c>
      <c r="R1651" s="2" t="str">
        <f>HYPERLINK("https://www.google.com/maps?q=-19.6290500,-43.8875430","Abrir no Google Maps")</f>
        <v>Abrir no Google Maps</v>
      </c>
      <c r="S1651">
        <v>3</v>
      </c>
      <c r="T1651">
        <v>420.9244758141914</v>
      </c>
      <c r="U1651">
        <v>2</v>
      </c>
      <c r="V1651">
        <v>0.13858695652173911</v>
      </c>
      <c r="W1651">
        <v>0.85</v>
      </c>
      <c r="X1651">
        <v>0.1177989130434782</v>
      </c>
      <c r="Y1651">
        <v>18</v>
      </c>
      <c r="Z1651">
        <v>298.16529694300579</v>
      </c>
      <c r="AA1651">
        <v>2</v>
      </c>
      <c r="AB1651">
        <v>3</v>
      </c>
      <c r="AC1651">
        <v>7</v>
      </c>
      <c r="AD1651">
        <v>26.28</v>
      </c>
      <c r="AE1651">
        <v>253</v>
      </c>
      <c r="AF1651">
        <v>16</v>
      </c>
      <c r="AG1651">
        <v>63</v>
      </c>
      <c r="AH1651">
        <v>32</v>
      </c>
      <c r="AI1651">
        <v>6.32</v>
      </c>
      <c r="AJ1651">
        <v>24.9</v>
      </c>
      <c r="AK1651">
        <v>12.65</v>
      </c>
      <c r="AL1651">
        <v>-19.62914789999996</v>
      </c>
      <c r="AM1651">
        <v>-43.887659532387332</v>
      </c>
      <c r="AN1651">
        <v>-19.62914789999996</v>
      </c>
      <c r="AO1651">
        <v>-43.887659532387332</v>
      </c>
      <c r="AP1651">
        <v>-19.629049999999999</v>
      </c>
      <c r="AQ1651">
        <v>-43.887543000000001</v>
      </c>
      <c r="AR1651">
        <v>16.372645779361299</v>
      </c>
      <c r="AS1651" t="s">
        <v>65</v>
      </c>
      <c r="AT1651">
        <v>1</v>
      </c>
      <c r="AU1651" t="s">
        <v>528</v>
      </c>
      <c r="AV1651" t="s">
        <v>529</v>
      </c>
      <c r="AW1651" t="s">
        <v>60</v>
      </c>
      <c r="AX1651" t="s">
        <v>68</v>
      </c>
      <c r="AY1651" t="s">
        <v>69</v>
      </c>
      <c r="AZ1651" t="b">
        <v>1</v>
      </c>
    </row>
    <row r="1652" spans="1:52" x14ac:dyDescent="0.3">
      <c r="A1652" t="s">
        <v>52</v>
      </c>
      <c r="B1652" t="s">
        <v>53</v>
      </c>
      <c r="C1652" t="s">
        <v>54</v>
      </c>
      <c r="D1652" t="s">
        <v>55</v>
      </c>
      <c r="E1652" t="s">
        <v>845</v>
      </c>
      <c r="F1652" t="s">
        <v>512</v>
      </c>
      <c r="G1652" t="s">
        <v>530</v>
      </c>
      <c r="H1652" t="s">
        <v>531</v>
      </c>
      <c r="I1652" t="s">
        <v>531</v>
      </c>
      <c r="J1652" t="s">
        <v>60</v>
      </c>
      <c r="K1652" t="s">
        <v>185</v>
      </c>
      <c r="L1652" t="s">
        <v>62</v>
      </c>
      <c r="M1652" t="s">
        <v>185</v>
      </c>
      <c r="N1652" t="s">
        <v>532</v>
      </c>
      <c r="O1652" t="s">
        <v>533</v>
      </c>
      <c r="P1652">
        <v>-19.625264000000001</v>
      </c>
      <c r="Q1652">
        <v>-43.889451000000001</v>
      </c>
      <c r="R1652" s="2" t="str">
        <f>HYPERLINK("https://www.google.com/maps?q=-19.6252640,-43.8894510","Abrir no Google Maps")</f>
        <v>Abrir no Google Maps</v>
      </c>
      <c r="S1652">
        <v>3</v>
      </c>
      <c r="T1652">
        <v>466.11340370665903</v>
      </c>
      <c r="U1652">
        <v>2</v>
      </c>
      <c r="V1652">
        <v>0.1461038961038961</v>
      </c>
      <c r="W1652">
        <v>0.85</v>
      </c>
      <c r="X1652">
        <v>0.12418831168831169</v>
      </c>
      <c r="Y1652">
        <v>18</v>
      </c>
      <c r="Z1652">
        <v>320.77337440837812</v>
      </c>
      <c r="AA1652">
        <v>2</v>
      </c>
      <c r="AB1652">
        <v>3</v>
      </c>
      <c r="AC1652">
        <v>7</v>
      </c>
      <c r="AD1652">
        <v>26.28</v>
      </c>
      <c r="AE1652">
        <v>253</v>
      </c>
      <c r="AF1652">
        <v>16</v>
      </c>
      <c r="AG1652">
        <v>63</v>
      </c>
      <c r="AH1652">
        <v>32</v>
      </c>
      <c r="AI1652">
        <v>6.32</v>
      </c>
      <c r="AJ1652">
        <v>24.9</v>
      </c>
      <c r="AK1652">
        <v>12.65</v>
      </c>
      <c r="AL1652">
        <v>-19.62516189999997</v>
      </c>
      <c r="AM1652">
        <v>-43.88954614566876</v>
      </c>
      <c r="AN1652">
        <v>-19.62516189999997</v>
      </c>
      <c r="AO1652">
        <v>-43.88954614566876</v>
      </c>
      <c r="AP1652">
        <v>-19.625264000000001</v>
      </c>
      <c r="AQ1652">
        <v>-43.889451000000001</v>
      </c>
      <c r="AR1652">
        <v>15.12310549834147</v>
      </c>
      <c r="AS1652" t="s">
        <v>65</v>
      </c>
      <c r="AT1652">
        <v>1</v>
      </c>
      <c r="AU1652" t="s">
        <v>534</v>
      </c>
      <c r="AV1652" t="s">
        <v>535</v>
      </c>
      <c r="AW1652" t="s">
        <v>60</v>
      </c>
      <c r="AX1652" t="s">
        <v>68</v>
      </c>
      <c r="AY1652" t="s">
        <v>69</v>
      </c>
      <c r="AZ1652" t="b">
        <v>1</v>
      </c>
    </row>
    <row r="1653" spans="1:52" x14ac:dyDescent="0.3">
      <c r="A1653" t="s">
        <v>52</v>
      </c>
      <c r="B1653" t="s">
        <v>53</v>
      </c>
      <c r="C1653" t="s">
        <v>54</v>
      </c>
      <c r="D1653" t="s">
        <v>55</v>
      </c>
      <c r="E1653" t="s">
        <v>845</v>
      </c>
      <c r="F1653" t="s">
        <v>512</v>
      </c>
      <c r="G1653" t="s">
        <v>546</v>
      </c>
      <c r="H1653" t="s">
        <v>547</v>
      </c>
      <c r="I1653" t="s">
        <v>547</v>
      </c>
      <c r="J1653" t="s">
        <v>60</v>
      </c>
      <c r="K1653" t="s">
        <v>445</v>
      </c>
      <c r="L1653" t="s">
        <v>62</v>
      </c>
      <c r="M1653" t="s">
        <v>445</v>
      </c>
      <c r="N1653" t="s">
        <v>548</v>
      </c>
      <c r="O1653" t="s">
        <v>549</v>
      </c>
      <c r="P1653">
        <v>-19.642752999999999</v>
      </c>
      <c r="Q1653">
        <v>-43.879080999999999</v>
      </c>
      <c r="R1653" s="2" t="str">
        <f>HYPERLINK("https://www.google.com/maps?q=-19.6427530,-43.8790810","Abrir no Google Maps")</f>
        <v>Abrir no Google Maps</v>
      </c>
      <c r="S1653">
        <v>3</v>
      </c>
      <c r="T1653">
        <v>256.19518367376457</v>
      </c>
      <c r="U1653">
        <v>2</v>
      </c>
      <c r="V1653">
        <v>0.14224137931034481</v>
      </c>
      <c r="W1653">
        <v>0.85</v>
      </c>
      <c r="X1653">
        <v>0.1209051724137931</v>
      </c>
      <c r="Y1653">
        <v>10</v>
      </c>
      <c r="Z1653">
        <v>192.73978446408199</v>
      </c>
      <c r="AA1653">
        <v>2</v>
      </c>
      <c r="AB1653">
        <v>3</v>
      </c>
      <c r="AC1653">
        <v>7</v>
      </c>
      <c r="AD1653">
        <v>26.28</v>
      </c>
      <c r="AE1653">
        <v>253</v>
      </c>
      <c r="AF1653">
        <v>16</v>
      </c>
      <c r="AG1653">
        <v>63</v>
      </c>
      <c r="AH1653">
        <v>32</v>
      </c>
      <c r="AI1653">
        <v>6.32</v>
      </c>
      <c r="AJ1653">
        <v>24.9</v>
      </c>
      <c r="AK1653">
        <v>12.65</v>
      </c>
      <c r="AL1653">
        <v>-19.642703749999949</v>
      </c>
      <c r="AM1653">
        <v>-43.879132974738582</v>
      </c>
      <c r="AN1653">
        <v>-19.642703749999949</v>
      </c>
      <c r="AO1653">
        <v>-43.879132974738582</v>
      </c>
      <c r="AP1653">
        <v>-19.642752999999999</v>
      </c>
      <c r="AQ1653">
        <v>-43.879080999999999</v>
      </c>
      <c r="AR1653">
        <v>7.7298757823687696</v>
      </c>
      <c r="AS1653" t="s">
        <v>65</v>
      </c>
      <c r="AT1653">
        <v>1</v>
      </c>
      <c r="AU1653" t="s">
        <v>550</v>
      </c>
      <c r="AV1653" t="s">
        <v>551</v>
      </c>
      <c r="AW1653" t="s">
        <v>60</v>
      </c>
      <c r="AX1653" t="s">
        <v>68</v>
      </c>
      <c r="AY1653" t="s">
        <v>69</v>
      </c>
      <c r="AZ1653" t="b">
        <v>1</v>
      </c>
    </row>
    <row r="1654" spans="1:52" x14ac:dyDescent="0.3">
      <c r="A1654" t="s">
        <v>52</v>
      </c>
      <c r="B1654" t="s">
        <v>53</v>
      </c>
      <c r="C1654" t="s">
        <v>54</v>
      </c>
      <c r="D1654" t="s">
        <v>55</v>
      </c>
      <c r="E1654" t="s">
        <v>845</v>
      </c>
      <c r="F1654" t="s">
        <v>512</v>
      </c>
      <c r="G1654" t="s">
        <v>569</v>
      </c>
      <c r="H1654" t="s">
        <v>570</v>
      </c>
      <c r="I1654" t="s">
        <v>570</v>
      </c>
      <c r="J1654" t="s">
        <v>60</v>
      </c>
      <c r="K1654" t="s">
        <v>445</v>
      </c>
      <c r="L1654" t="s">
        <v>62</v>
      </c>
      <c r="M1654" t="s">
        <v>445</v>
      </c>
      <c r="N1654" t="s">
        <v>571</v>
      </c>
      <c r="O1654" t="s">
        <v>572</v>
      </c>
      <c r="P1654">
        <v>-19.646602999999999</v>
      </c>
      <c r="Q1654">
        <v>-43.879826000000001</v>
      </c>
      <c r="R1654" s="2" t="str">
        <f>HYPERLINK("https://www.google.com/maps?q=-19.6466030,-43.8798260","Abrir no Google Maps")</f>
        <v>Abrir no Google Maps</v>
      </c>
      <c r="S1654">
        <v>3</v>
      </c>
      <c r="T1654">
        <v>497.89126003830972</v>
      </c>
      <c r="U1654">
        <v>2</v>
      </c>
      <c r="V1654">
        <v>0.16095890410958899</v>
      </c>
      <c r="W1654">
        <v>0.85</v>
      </c>
      <c r="X1654">
        <v>0.13681506849315059</v>
      </c>
      <c r="Y1654">
        <v>10</v>
      </c>
      <c r="Z1654">
        <v>228.69190976735251</v>
      </c>
      <c r="AA1654">
        <v>2</v>
      </c>
      <c r="AB1654">
        <v>3</v>
      </c>
      <c r="AC1654">
        <v>7</v>
      </c>
      <c r="AD1654">
        <v>26.28</v>
      </c>
      <c r="AE1654">
        <v>253</v>
      </c>
      <c r="AF1654">
        <v>16</v>
      </c>
      <c r="AG1654">
        <v>63</v>
      </c>
      <c r="AH1654">
        <v>32</v>
      </c>
      <c r="AI1654">
        <v>6.32</v>
      </c>
      <c r="AJ1654">
        <v>24.9</v>
      </c>
      <c r="AK1654">
        <v>12.65</v>
      </c>
      <c r="AL1654">
        <v>-19.646577499999982</v>
      </c>
      <c r="AM1654">
        <v>-43.879934131171261</v>
      </c>
      <c r="AN1654">
        <v>-19.646577499999971</v>
      </c>
      <c r="AO1654">
        <v>-43.879934131171261</v>
      </c>
      <c r="AP1654">
        <v>-19.646602999999999</v>
      </c>
      <c r="AQ1654">
        <v>-43.879826000000001</v>
      </c>
      <c r="AR1654">
        <v>11.68641198848764</v>
      </c>
      <c r="AS1654" t="s">
        <v>65</v>
      </c>
      <c r="AT1654">
        <v>1</v>
      </c>
      <c r="AU1654" t="s">
        <v>573</v>
      </c>
      <c r="AV1654" t="s">
        <v>574</v>
      </c>
      <c r="AW1654" t="s">
        <v>60</v>
      </c>
      <c r="AX1654" t="s">
        <v>68</v>
      </c>
      <c r="AY1654" t="s">
        <v>69</v>
      </c>
      <c r="AZ1654" t="b">
        <v>1</v>
      </c>
    </row>
    <row r="1655" spans="1:52" x14ac:dyDescent="0.3">
      <c r="A1655" t="s">
        <v>52</v>
      </c>
      <c r="B1655" t="s">
        <v>53</v>
      </c>
      <c r="C1655" t="s">
        <v>54</v>
      </c>
      <c r="D1655" t="s">
        <v>55</v>
      </c>
      <c r="E1655" t="s">
        <v>845</v>
      </c>
      <c r="F1655" t="s">
        <v>512</v>
      </c>
      <c r="G1655" t="s">
        <v>580</v>
      </c>
      <c r="H1655" t="s">
        <v>581</v>
      </c>
      <c r="I1655" t="s">
        <v>581</v>
      </c>
      <c r="J1655" t="s">
        <v>60</v>
      </c>
      <c r="K1655" t="s">
        <v>179</v>
      </c>
      <c r="L1655" t="s">
        <v>62</v>
      </c>
      <c r="M1655" t="s">
        <v>179</v>
      </c>
      <c r="N1655" t="s">
        <v>582</v>
      </c>
      <c r="O1655" t="s">
        <v>583</v>
      </c>
      <c r="P1655">
        <v>-19.651917999999998</v>
      </c>
      <c r="Q1655">
        <v>-43.888081</v>
      </c>
      <c r="R1655" s="2" t="str">
        <f>HYPERLINK("https://www.google.com/maps?q=-19.6519180,-43.8880810","Abrir no Google Maps")</f>
        <v>Abrir no Google Maps</v>
      </c>
      <c r="S1655">
        <v>3</v>
      </c>
      <c r="T1655">
        <v>1192.758363020145</v>
      </c>
      <c r="U1655">
        <v>2</v>
      </c>
      <c r="V1655">
        <v>0.14772727272727271</v>
      </c>
      <c r="W1655">
        <v>0.85</v>
      </c>
      <c r="X1655">
        <v>0.1255681818181818</v>
      </c>
      <c r="Y1655">
        <v>10</v>
      </c>
      <c r="Z1655">
        <v>1164.020417046748</v>
      </c>
      <c r="AA1655">
        <v>2</v>
      </c>
      <c r="AB1655">
        <v>3</v>
      </c>
      <c r="AC1655">
        <v>7</v>
      </c>
      <c r="AD1655">
        <v>26.28</v>
      </c>
      <c r="AE1655">
        <v>253</v>
      </c>
      <c r="AF1655">
        <v>16</v>
      </c>
      <c r="AG1655">
        <v>63</v>
      </c>
      <c r="AH1655">
        <v>32</v>
      </c>
      <c r="AI1655">
        <v>6.32</v>
      </c>
      <c r="AJ1655">
        <v>24.9</v>
      </c>
      <c r="AK1655">
        <v>12.65</v>
      </c>
      <c r="AL1655">
        <v>-19.65182809999996</v>
      </c>
      <c r="AM1655">
        <v>-43.887955347266519</v>
      </c>
      <c r="AN1655">
        <v>-19.65182809999996</v>
      </c>
      <c r="AO1655">
        <v>-43.887955347266519</v>
      </c>
      <c r="AP1655">
        <v>-19.651917999999998</v>
      </c>
      <c r="AQ1655">
        <v>-43.888081</v>
      </c>
      <c r="AR1655">
        <v>16.543262936495491</v>
      </c>
      <c r="AS1655" t="s">
        <v>65</v>
      </c>
      <c r="AT1655">
        <v>1</v>
      </c>
      <c r="AU1655" t="s">
        <v>584</v>
      </c>
      <c r="AV1655" t="s">
        <v>585</v>
      </c>
      <c r="AW1655" t="s">
        <v>60</v>
      </c>
      <c r="AX1655" t="s">
        <v>68</v>
      </c>
      <c r="AY1655" t="s">
        <v>69</v>
      </c>
      <c r="AZ1655" t="b">
        <v>1</v>
      </c>
    </row>
    <row r="1656" spans="1:52" x14ac:dyDescent="0.3">
      <c r="A1656" t="s">
        <v>52</v>
      </c>
      <c r="B1656" t="s">
        <v>53</v>
      </c>
      <c r="C1656" t="s">
        <v>54</v>
      </c>
      <c r="D1656" t="s">
        <v>55</v>
      </c>
      <c r="E1656" t="s">
        <v>845</v>
      </c>
      <c r="F1656" t="s">
        <v>512</v>
      </c>
      <c r="G1656" t="s">
        <v>586</v>
      </c>
      <c r="H1656" t="s">
        <v>587</v>
      </c>
      <c r="I1656" t="s">
        <v>587</v>
      </c>
      <c r="J1656" t="s">
        <v>60</v>
      </c>
      <c r="K1656" t="s">
        <v>286</v>
      </c>
      <c r="L1656" t="s">
        <v>62</v>
      </c>
      <c r="M1656" t="s">
        <v>286</v>
      </c>
      <c r="N1656" t="s">
        <v>588</v>
      </c>
      <c r="O1656" t="s">
        <v>589</v>
      </c>
      <c r="P1656">
        <v>-19.638362999999998</v>
      </c>
      <c r="Q1656">
        <v>-43.887081000000002</v>
      </c>
      <c r="R1656" s="2" t="str">
        <f>HYPERLINK("https://www.google.com/maps?q=-19.6383630,-43.8870810","Abrir no Google Maps")</f>
        <v>Abrir no Google Maps</v>
      </c>
      <c r="S1656">
        <v>3</v>
      </c>
      <c r="T1656">
        <v>521.16909902210193</v>
      </c>
      <c r="U1656">
        <v>2</v>
      </c>
      <c r="V1656">
        <v>0.1395348837209302</v>
      </c>
      <c r="W1656">
        <v>0.85</v>
      </c>
      <c r="X1656">
        <v>0.1186046511627907</v>
      </c>
      <c r="Y1656">
        <v>10</v>
      </c>
      <c r="Z1656">
        <v>416.66355243950221</v>
      </c>
      <c r="AA1656">
        <v>2</v>
      </c>
      <c r="AB1656">
        <v>3</v>
      </c>
      <c r="AC1656">
        <v>7</v>
      </c>
      <c r="AD1656">
        <v>26.28</v>
      </c>
      <c r="AE1656">
        <v>253</v>
      </c>
      <c r="AF1656">
        <v>16</v>
      </c>
      <c r="AG1656">
        <v>63</v>
      </c>
      <c r="AH1656">
        <v>32</v>
      </c>
      <c r="AI1656">
        <v>6.32</v>
      </c>
      <c r="AJ1656">
        <v>24.9</v>
      </c>
      <c r="AK1656">
        <v>12.65</v>
      </c>
      <c r="AL1656">
        <v>-19.638074649999961</v>
      </c>
      <c r="AM1656">
        <v>-43.887517684870552</v>
      </c>
      <c r="AN1656">
        <v>-19.638074649999961</v>
      </c>
      <c r="AO1656">
        <v>-43.887517684870552</v>
      </c>
      <c r="AP1656">
        <v>-19.638362999999998</v>
      </c>
      <c r="AQ1656">
        <v>-43.887081000000002</v>
      </c>
      <c r="AR1656">
        <v>55.915550702564907</v>
      </c>
      <c r="AS1656" t="s">
        <v>65</v>
      </c>
      <c r="AT1656">
        <v>1</v>
      </c>
      <c r="AU1656" t="s">
        <v>590</v>
      </c>
      <c r="AV1656" t="s">
        <v>591</v>
      </c>
      <c r="AW1656" t="s">
        <v>60</v>
      </c>
      <c r="AX1656" t="s">
        <v>68</v>
      </c>
      <c r="AY1656" t="s">
        <v>69</v>
      </c>
      <c r="AZ1656" t="b">
        <v>1</v>
      </c>
    </row>
    <row r="1657" spans="1:52" x14ac:dyDescent="0.3">
      <c r="A1657" t="s">
        <v>52</v>
      </c>
      <c r="B1657" t="s">
        <v>53</v>
      </c>
      <c r="C1657" t="s">
        <v>54</v>
      </c>
      <c r="D1657" t="s">
        <v>55</v>
      </c>
      <c r="E1657" t="s">
        <v>845</v>
      </c>
      <c r="F1657" t="s">
        <v>512</v>
      </c>
      <c r="G1657" t="s">
        <v>411</v>
      </c>
      <c r="H1657" t="s">
        <v>412</v>
      </c>
      <c r="I1657" t="s">
        <v>412</v>
      </c>
      <c r="J1657" t="s">
        <v>60</v>
      </c>
      <c r="K1657" t="s">
        <v>179</v>
      </c>
      <c r="L1657" t="s">
        <v>62</v>
      </c>
      <c r="M1657" t="s">
        <v>179</v>
      </c>
      <c r="N1657" t="s">
        <v>413</v>
      </c>
      <c r="O1657" t="s">
        <v>414</v>
      </c>
      <c r="P1657">
        <v>-19.650079000000002</v>
      </c>
      <c r="Q1657">
        <v>-43.884253999999999</v>
      </c>
      <c r="R1657" s="2" t="str">
        <f>HYPERLINK("https://www.google.com/maps?q=-19.6500790,-43.8842540","Abrir no Google Maps")</f>
        <v>Abrir no Google Maps</v>
      </c>
      <c r="S1657">
        <v>3</v>
      </c>
      <c r="T1657">
        <v>797.21430129715498</v>
      </c>
      <c r="U1657">
        <v>2</v>
      </c>
      <c r="V1657">
        <v>0.1184210526315789</v>
      </c>
      <c r="W1657">
        <v>1</v>
      </c>
      <c r="X1657">
        <v>0.1184210526315789</v>
      </c>
      <c r="Y1657">
        <v>10</v>
      </c>
      <c r="Z1657">
        <v>774.04145012702554</v>
      </c>
      <c r="AA1657">
        <v>2</v>
      </c>
      <c r="AB1657">
        <v>3</v>
      </c>
      <c r="AC1657">
        <v>7</v>
      </c>
      <c r="AD1657">
        <v>26.28</v>
      </c>
      <c r="AE1657">
        <v>253</v>
      </c>
      <c r="AF1657">
        <v>16</v>
      </c>
      <c r="AG1657">
        <v>63</v>
      </c>
      <c r="AH1657">
        <v>32</v>
      </c>
      <c r="AI1657">
        <v>6.32</v>
      </c>
      <c r="AJ1657">
        <v>24.9</v>
      </c>
      <c r="AK1657">
        <v>12.65</v>
      </c>
      <c r="AL1657">
        <v>-19.649199399999961</v>
      </c>
      <c r="AM1657">
        <v>-43.883888390043637</v>
      </c>
      <c r="AN1657">
        <v>-19.649199399999961</v>
      </c>
      <c r="AO1657">
        <v>-43.883888390043637</v>
      </c>
      <c r="AP1657">
        <v>-19.650079000000002</v>
      </c>
      <c r="AQ1657">
        <v>-43.884253999999999</v>
      </c>
      <c r="AR1657">
        <v>105.1518915696123</v>
      </c>
      <c r="AS1657" t="s">
        <v>65</v>
      </c>
      <c r="AT1657">
        <v>1</v>
      </c>
      <c r="AU1657" t="s">
        <v>415</v>
      </c>
      <c r="AV1657" t="s">
        <v>416</v>
      </c>
      <c r="AW1657" t="s">
        <v>60</v>
      </c>
      <c r="AX1657" t="s">
        <v>68</v>
      </c>
      <c r="AY1657" t="s">
        <v>69</v>
      </c>
      <c r="AZ1657" t="b">
        <v>1</v>
      </c>
    </row>
    <row r="1658" spans="1:52" x14ac:dyDescent="0.3">
      <c r="A1658" t="s">
        <v>52</v>
      </c>
      <c r="B1658" t="s">
        <v>53</v>
      </c>
      <c r="C1658" t="s">
        <v>54</v>
      </c>
      <c r="D1658" t="s">
        <v>55</v>
      </c>
      <c r="E1658" t="s">
        <v>845</v>
      </c>
      <c r="F1658" t="s">
        <v>512</v>
      </c>
      <c r="G1658" t="s">
        <v>388</v>
      </c>
      <c r="H1658" t="s">
        <v>389</v>
      </c>
      <c r="I1658" t="s">
        <v>389</v>
      </c>
      <c r="J1658" t="s">
        <v>60</v>
      </c>
      <c r="K1658" t="s">
        <v>185</v>
      </c>
      <c r="L1658" t="s">
        <v>62</v>
      </c>
      <c r="M1658" t="s">
        <v>185</v>
      </c>
      <c r="N1658" t="s">
        <v>390</v>
      </c>
      <c r="O1658" t="s">
        <v>391</v>
      </c>
      <c r="P1658">
        <v>-19.628802</v>
      </c>
      <c r="Q1658">
        <v>-43.891649000000001</v>
      </c>
      <c r="R1658" s="2" t="str">
        <f>HYPERLINK("https://www.google.com/maps?q=-19.6288020,-43.8916490","Abrir no Google Maps")</f>
        <v>Abrir no Google Maps</v>
      </c>
      <c r="S1658">
        <v>3</v>
      </c>
      <c r="T1658">
        <v>0</v>
      </c>
      <c r="U1658">
        <v>1</v>
      </c>
      <c r="V1658">
        <v>0.1155913978494623</v>
      </c>
      <c r="W1658">
        <v>0.85</v>
      </c>
      <c r="X1658">
        <v>9.8252688172042954E-2</v>
      </c>
      <c r="Y1658">
        <v>18</v>
      </c>
      <c r="Z1658">
        <v>117.5064585283839</v>
      </c>
      <c r="AA1658">
        <v>2</v>
      </c>
      <c r="AB1658">
        <v>3</v>
      </c>
      <c r="AC1658">
        <v>7</v>
      </c>
      <c r="AD1658">
        <v>26.28</v>
      </c>
      <c r="AE1658">
        <v>253</v>
      </c>
      <c r="AF1658">
        <v>16</v>
      </c>
      <c r="AG1658">
        <v>63</v>
      </c>
      <c r="AH1658">
        <v>32</v>
      </c>
      <c r="AI1658">
        <v>6.32</v>
      </c>
      <c r="AJ1658">
        <v>24.9</v>
      </c>
      <c r="AK1658">
        <v>12.65</v>
      </c>
      <c r="AL1658">
        <v>-19.628865499999961</v>
      </c>
      <c r="AM1658">
        <v>-43.891662391334172</v>
      </c>
      <c r="AN1658">
        <v>-19.628865499999961</v>
      </c>
      <c r="AO1658">
        <v>-43.891662391334172</v>
      </c>
      <c r="AP1658">
        <v>-19.628802</v>
      </c>
      <c r="AQ1658">
        <v>-43.891649000000001</v>
      </c>
      <c r="AR1658">
        <v>7.2069201904448459</v>
      </c>
      <c r="AS1658" t="s">
        <v>65</v>
      </c>
      <c r="AT1658">
        <v>1</v>
      </c>
      <c r="AU1658" t="s">
        <v>392</v>
      </c>
      <c r="AV1658" t="s">
        <v>393</v>
      </c>
      <c r="AW1658" t="s">
        <v>60</v>
      </c>
      <c r="AX1658" t="s">
        <v>68</v>
      </c>
      <c r="AY1658" t="s">
        <v>69</v>
      </c>
      <c r="AZ1658" t="b">
        <v>1</v>
      </c>
    </row>
    <row r="1659" spans="1:52" x14ac:dyDescent="0.3">
      <c r="A1659" t="s">
        <v>52</v>
      </c>
      <c r="B1659" t="s">
        <v>53</v>
      </c>
      <c r="C1659" t="s">
        <v>54</v>
      </c>
      <c r="D1659" t="s">
        <v>55</v>
      </c>
      <c r="E1659" t="s">
        <v>845</v>
      </c>
      <c r="F1659" t="s">
        <v>512</v>
      </c>
      <c r="G1659" t="s">
        <v>536</v>
      </c>
      <c r="H1659" t="s">
        <v>537</v>
      </c>
      <c r="I1659" t="s">
        <v>537</v>
      </c>
      <c r="J1659" t="s">
        <v>60</v>
      </c>
      <c r="K1659" t="s">
        <v>185</v>
      </c>
      <c r="L1659" t="s">
        <v>62</v>
      </c>
      <c r="M1659" t="s">
        <v>185</v>
      </c>
      <c r="N1659" t="s">
        <v>538</v>
      </c>
      <c r="O1659" t="s">
        <v>408</v>
      </c>
      <c r="P1659">
        <v>-19.630147999999998</v>
      </c>
      <c r="Q1659">
        <v>-43.893844000000001</v>
      </c>
      <c r="R1659" s="2" t="str">
        <f>HYPERLINK("https://www.google.com/maps?q=-19.6301480,-43.8938440","Abrir no Google Maps")</f>
        <v>Abrir no Google Maps</v>
      </c>
      <c r="S1659">
        <v>3</v>
      </c>
      <c r="T1659">
        <v>262.94285160220159</v>
      </c>
      <c r="U1659">
        <v>1</v>
      </c>
      <c r="V1659">
        <v>7.85714285714285E-2</v>
      </c>
      <c r="W1659">
        <v>0.85</v>
      </c>
      <c r="X1659">
        <v>6.6785714285714226E-2</v>
      </c>
      <c r="Y1659">
        <v>18</v>
      </c>
      <c r="Z1659">
        <v>351.25774094845309</v>
      </c>
      <c r="AA1659">
        <v>2</v>
      </c>
      <c r="AB1659">
        <v>3</v>
      </c>
      <c r="AC1659">
        <v>7</v>
      </c>
      <c r="AD1659">
        <v>26.28</v>
      </c>
      <c r="AE1659">
        <v>253</v>
      </c>
      <c r="AF1659">
        <v>16</v>
      </c>
      <c r="AG1659">
        <v>63</v>
      </c>
      <c r="AH1659">
        <v>32</v>
      </c>
      <c r="AI1659">
        <v>6.32</v>
      </c>
      <c r="AJ1659">
        <v>24.9</v>
      </c>
      <c r="AK1659">
        <v>12.65</v>
      </c>
      <c r="AL1659">
        <v>-19.630177599999939</v>
      </c>
      <c r="AM1659">
        <v>-43.893752755034278</v>
      </c>
      <c r="AN1659">
        <v>-19.630177599999939</v>
      </c>
      <c r="AO1659">
        <v>-43.893752755034278</v>
      </c>
      <c r="AP1659">
        <v>-19.630147999999998</v>
      </c>
      <c r="AQ1659">
        <v>-43.893844000000001</v>
      </c>
      <c r="AR1659">
        <v>10.1185927114604</v>
      </c>
      <c r="AS1659" t="s">
        <v>65</v>
      </c>
      <c r="AT1659">
        <v>1</v>
      </c>
      <c r="AU1659" t="s">
        <v>539</v>
      </c>
      <c r="AV1659" t="s">
        <v>540</v>
      </c>
      <c r="AW1659" t="s">
        <v>60</v>
      </c>
      <c r="AX1659" t="s">
        <v>68</v>
      </c>
      <c r="AY1659" t="s">
        <v>69</v>
      </c>
      <c r="AZ1659" t="b">
        <v>1</v>
      </c>
    </row>
    <row r="1660" spans="1:52" x14ac:dyDescent="0.3">
      <c r="A1660" t="s">
        <v>52</v>
      </c>
      <c r="B1660" t="s">
        <v>53</v>
      </c>
      <c r="C1660" t="s">
        <v>54</v>
      </c>
      <c r="D1660" t="s">
        <v>55</v>
      </c>
      <c r="E1660" t="s">
        <v>845</v>
      </c>
      <c r="F1660" t="s">
        <v>512</v>
      </c>
      <c r="G1660" t="s">
        <v>541</v>
      </c>
      <c r="H1660" t="s">
        <v>542</v>
      </c>
      <c r="I1660" t="s">
        <v>542</v>
      </c>
      <c r="J1660" t="s">
        <v>60</v>
      </c>
      <c r="K1660" t="s">
        <v>445</v>
      </c>
      <c r="L1660" t="s">
        <v>62</v>
      </c>
      <c r="M1660" t="s">
        <v>445</v>
      </c>
      <c r="N1660" t="s">
        <v>543</v>
      </c>
      <c r="O1660" t="s">
        <v>328</v>
      </c>
      <c r="P1660">
        <v>-19.642263</v>
      </c>
      <c r="Q1660">
        <v>-43.881428999999997</v>
      </c>
      <c r="R1660" s="2" t="str">
        <f>HYPERLINK("https://www.google.com/maps?q=-19.6422630,-43.8814290","Abrir no Google Maps")</f>
        <v>Abrir no Google Maps</v>
      </c>
      <c r="S1660">
        <v>3</v>
      </c>
      <c r="T1660">
        <v>0</v>
      </c>
      <c r="U1660">
        <v>1</v>
      </c>
      <c r="V1660">
        <v>0.1140350877192982</v>
      </c>
      <c r="W1660">
        <v>0.85</v>
      </c>
      <c r="X1660">
        <v>9.6929824561403463E-2</v>
      </c>
      <c r="Y1660">
        <v>10</v>
      </c>
      <c r="Z1660">
        <v>162.4764384685345</v>
      </c>
      <c r="AA1660">
        <v>2</v>
      </c>
      <c r="AB1660">
        <v>3</v>
      </c>
      <c r="AC1660">
        <v>7</v>
      </c>
      <c r="AD1660">
        <v>26.28</v>
      </c>
      <c r="AE1660">
        <v>253</v>
      </c>
      <c r="AF1660">
        <v>16</v>
      </c>
      <c r="AG1660">
        <v>63</v>
      </c>
      <c r="AH1660">
        <v>32</v>
      </c>
      <c r="AI1660">
        <v>6.32</v>
      </c>
      <c r="AJ1660">
        <v>24.9</v>
      </c>
      <c r="AK1660">
        <v>12.65</v>
      </c>
      <c r="AL1660">
        <v>-19.642346249999949</v>
      </c>
      <c r="AM1660">
        <v>-43.881546938715289</v>
      </c>
      <c r="AN1660">
        <v>-19.642346249999939</v>
      </c>
      <c r="AO1660">
        <v>-43.881546938715289</v>
      </c>
      <c r="AP1660">
        <v>-19.642263</v>
      </c>
      <c r="AQ1660">
        <v>-43.881428999999997</v>
      </c>
      <c r="AR1660">
        <v>15.45239906956777</v>
      </c>
      <c r="AS1660" t="s">
        <v>65</v>
      </c>
      <c r="AT1660">
        <v>1</v>
      </c>
      <c r="AU1660" t="s">
        <v>544</v>
      </c>
      <c r="AV1660" t="s">
        <v>545</v>
      </c>
      <c r="AW1660" t="s">
        <v>60</v>
      </c>
      <c r="AX1660" t="s">
        <v>68</v>
      </c>
      <c r="AY1660" t="s">
        <v>69</v>
      </c>
      <c r="AZ1660" t="b">
        <v>1</v>
      </c>
    </row>
    <row r="1661" spans="1:52" x14ac:dyDescent="0.3">
      <c r="A1661" t="s">
        <v>52</v>
      </c>
      <c r="B1661" t="s">
        <v>53</v>
      </c>
      <c r="C1661" t="s">
        <v>54</v>
      </c>
      <c r="D1661" t="s">
        <v>55</v>
      </c>
      <c r="E1661" t="s">
        <v>845</v>
      </c>
      <c r="F1661" t="s">
        <v>512</v>
      </c>
      <c r="G1661" t="s">
        <v>552</v>
      </c>
      <c r="H1661" t="s">
        <v>553</v>
      </c>
      <c r="I1661" t="s">
        <v>553</v>
      </c>
      <c r="J1661" t="s">
        <v>60</v>
      </c>
      <c r="K1661" t="s">
        <v>445</v>
      </c>
      <c r="L1661" t="s">
        <v>62</v>
      </c>
      <c r="M1661" t="s">
        <v>445</v>
      </c>
      <c r="N1661" t="s">
        <v>554</v>
      </c>
      <c r="O1661" t="s">
        <v>207</v>
      </c>
      <c r="P1661">
        <v>-19.641549999999999</v>
      </c>
      <c r="Q1661">
        <v>-43.873263999999999</v>
      </c>
      <c r="R1661" s="2" t="str">
        <f>HYPERLINK("https://www.google.com/maps?q=-19.6415500,-43.8732640","Abrir no Google Maps")</f>
        <v>Abrir no Google Maps</v>
      </c>
      <c r="S1661">
        <v>3</v>
      </c>
      <c r="T1661">
        <v>879.45465995735231</v>
      </c>
      <c r="U1661">
        <v>1</v>
      </c>
      <c r="V1661">
        <v>0.10057471264367809</v>
      </c>
      <c r="W1661">
        <v>0.85</v>
      </c>
      <c r="X1661">
        <v>8.5488505747126381E-2</v>
      </c>
      <c r="Y1661">
        <v>10</v>
      </c>
      <c r="Z1661">
        <v>830.70905214077095</v>
      </c>
      <c r="AA1661">
        <v>2</v>
      </c>
      <c r="AB1661">
        <v>3</v>
      </c>
      <c r="AC1661">
        <v>7</v>
      </c>
      <c r="AD1661">
        <v>26.28</v>
      </c>
      <c r="AE1661">
        <v>253</v>
      </c>
      <c r="AF1661">
        <v>16</v>
      </c>
      <c r="AG1661">
        <v>63</v>
      </c>
      <c r="AH1661">
        <v>32</v>
      </c>
      <c r="AI1661">
        <v>6.32</v>
      </c>
      <c r="AJ1661">
        <v>24.9</v>
      </c>
      <c r="AK1661">
        <v>12.65</v>
      </c>
      <c r="AL1661">
        <v>-19.641459949999959</v>
      </c>
      <c r="AM1661">
        <v>-43.873212145688711</v>
      </c>
      <c r="AN1661">
        <v>-19.641459949999959</v>
      </c>
      <c r="AO1661">
        <v>-43.873212145688711</v>
      </c>
      <c r="AP1661">
        <v>-19.641549999999999</v>
      </c>
      <c r="AQ1661">
        <v>-43.873263999999999</v>
      </c>
      <c r="AR1661">
        <v>11.40368340137019</v>
      </c>
      <c r="AS1661" t="s">
        <v>65</v>
      </c>
      <c r="AT1661">
        <v>1</v>
      </c>
      <c r="AU1661" t="s">
        <v>555</v>
      </c>
      <c r="AV1661" t="s">
        <v>556</v>
      </c>
      <c r="AW1661" t="s">
        <v>60</v>
      </c>
      <c r="AX1661" t="s">
        <v>68</v>
      </c>
      <c r="AY1661" t="s">
        <v>69</v>
      </c>
      <c r="AZ1661" t="b">
        <v>1</v>
      </c>
    </row>
    <row r="1662" spans="1:52" x14ac:dyDescent="0.3">
      <c r="A1662" t="s">
        <v>52</v>
      </c>
      <c r="B1662" t="s">
        <v>53</v>
      </c>
      <c r="C1662" t="s">
        <v>54</v>
      </c>
      <c r="D1662" t="s">
        <v>55</v>
      </c>
      <c r="E1662" t="s">
        <v>845</v>
      </c>
      <c r="F1662" t="s">
        <v>512</v>
      </c>
      <c r="G1662" t="s">
        <v>557</v>
      </c>
      <c r="H1662" t="s">
        <v>558</v>
      </c>
      <c r="I1662" t="s">
        <v>558</v>
      </c>
      <c r="J1662" t="s">
        <v>60</v>
      </c>
      <c r="K1662" t="s">
        <v>445</v>
      </c>
      <c r="L1662" t="s">
        <v>62</v>
      </c>
      <c r="M1662" t="s">
        <v>445</v>
      </c>
      <c r="N1662" t="s">
        <v>559</v>
      </c>
      <c r="O1662" t="s">
        <v>560</v>
      </c>
      <c r="P1662">
        <v>-19.641839000000001</v>
      </c>
      <c r="Q1662">
        <v>-43.876227</v>
      </c>
      <c r="R1662" s="2" t="str">
        <f>HYPERLINK("https://www.google.com/maps?q=-19.6418390,-43.8762270","Abrir no Google Maps")</f>
        <v>Abrir no Google Maps</v>
      </c>
      <c r="S1662">
        <v>3</v>
      </c>
      <c r="T1662">
        <v>564.50471877254449</v>
      </c>
      <c r="U1662">
        <v>1</v>
      </c>
      <c r="V1662">
        <v>0.1059782608695652</v>
      </c>
      <c r="W1662">
        <v>0.85</v>
      </c>
      <c r="X1662">
        <v>9.0081521739130421E-2</v>
      </c>
      <c r="Y1662">
        <v>10</v>
      </c>
      <c r="Z1662">
        <v>490.40238336341412</v>
      </c>
      <c r="AA1662">
        <v>2</v>
      </c>
      <c r="AB1662">
        <v>3</v>
      </c>
      <c r="AC1662">
        <v>7</v>
      </c>
      <c r="AD1662">
        <v>26.28</v>
      </c>
      <c r="AE1662">
        <v>253</v>
      </c>
      <c r="AF1662">
        <v>16</v>
      </c>
      <c r="AG1662">
        <v>63</v>
      </c>
      <c r="AH1662">
        <v>32</v>
      </c>
      <c r="AI1662">
        <v>6.32</v>
      </c>
      <c r="AJ1662">
        <v>24.9</v>
      </c>
      <c r="AK1662">
        <v>12.65</v>
      </c>
      <c r="AL1662">
        <v>-19.641880699999941</v>
      </c>
      <c r="AM1662">
        <v>-43.876185869580858</v>
      </c>
      <c r="AN1662">
        <v>-19.641880699999941</v>
      </c>
      <c r="AO1662">
        <v>-43.876185869580858</v>
      </c>
      <c r="AP1662">
        <v>-19.641839000000001</v>
      </c>
      <c r="AQ1662">
        <v>-43.876227</v>
      </c>
      <c r="AR1662">
        <v>6.3359121862683301</v>
      </c>
      <c r="AS1662" t="s">
        <v>65</v>
      </c>
      <c r="AT1662">
        <v>1</v>
      </c>
      <c r="AU1662" t="s">
        <v>561</v>
      </c>
      <c r="AV1662" t="s">
        <v>562</v>
      </c>
      <c r="AW1662" t="s">
        <v>60</v>
      </c>
      <c r="AX1662" t="s">
        <v>68</v>
      </c>
      <c r="AY1662" t="s">
        <v>69</v>
      </c>
      <c r="AZ1662" t="b">
        <v>1</v>
      </c>
    </row>
    <row r="1663" spans="1:52" x14ac:dyDescent="0.3">
      <c r="A1663" t="s">
        <v>52</v>
      </c>
      <c r="B1663" t="s">
        <v>53</v>
      </c>
      <c r="C1663" t="s">
        <v>54</v>
      </c>
      <c r="D1663" t="s">
        <v>55</v>
      </c>
      <c r="E1663" t="s">
        <v>845</v>
      </c>
      <c r="F1663" t="s">
        <v>512</v>
      </c>
      <c r="G1663" t="s">
        <v>563</v>
      </c>
      <c r="H1663" t="s">
        <v>564</v>
      </c>
      <c r="I1663" t="s">
        <v>564</v>
      </c>
      <c r="J1663" t="s">
        <v>60</v>
      </c>
      <c r="K1663" t="s">
        <v>445</v>
      </c>
      <c r="L1663" t="s">
        <v>62</v>
      </c>
      <c r="M1663" t="s">
        <v>445</v>
      </c>
      <c r="N1663" t="s">
        <v>565</v>
      </c>
      <c r="O1663" t="s">
        <v>566</v>
      </c>
      <c r="P1663">
        <v>-19.645859000000002</v>
      </c>
      <c r="Q1663">
        <v>-43.878008000000001</v>
      </c>
      <c r="R1663" s="2" t="str">
        <f>HYPERLINK("https://www.google.com/maps?q=-19.6458590,-43.8780080","Abrir no Google Maps")</f>
        <v>Abrir no Google Maps</v>
      </c>
      <c r="S1663">
        <v>3</v>
      </c>
      <c r="T1663">
        <v>535.60651658514928</v>
      </c>
      <c r="U1663">
        <v>1</v>
      </c>
      <c r="V1663">
        <v>0.12037037037037029</v>
      </c>
      <c r="W1663">
        <v>0.85</v>
      </c>
      <c r="X1663">
        <v>0.10231481481481471</v>
      </c>
      <c r="Y1663">
        <v>10</v>
      </c>
      <c r="Z1663">
        <v>356.77070476702067</v>
      </c>
      <c r="AA1663">
        <v>2</v>
      </c>
      <c r="AB1663">
        <v>3</v>
      </c>
      <c r="AC1663">
        <v>7</v>
      </c>
      <c r="AD1663">
        <v>26.28</v>
      </c>
      <c r="AE1663">
        <v>253</v>
      </c>
      <c r="AF1663">
        <v>16</v>
      </c>
      <c r="AG1663">
        <v>63</v>
      </c>
      <c r="AH1663">
        <v>32</v>
      </c>
      <c r="AI1663">
        <v>6.32</v>
      </c>
      <c r="AJ1663">
        <v>24.9</v>
      </c>
      <c r="AK1663">
        <v>12.65</v>
      </c>
      <c r="AL1663">
        <v>-19.645894599999959</v>
      </c>
      <c r="AM1663">
        <v>-43.878073476665591</v>
      </c>
      <c r="AN1663">
        <v>-19.645894599999959</v>
      </c>
      <c r="AO1663">
        <v>-43.878073476665591</v>
      </c>
      <c r="AP1663">
        <v>-19.645859000000002</v>
      </c>
      <c r="AQ1663">
        <v>-43.878008000000001</v>
      </c>
      <c r="AR1663">
        <v>7.9263849189726594</v>
      </c>
      <c r="AS1663" t="s">
        <v>65</v>
      </c>
      <c r="AT1663">
        <v>1</v>
      </c>
      <c r="AU1663" t="s">
        <v>567</v>
      </c>
      <c r="AV1663" t="s">
        <v>568</v>
      </c>
      <c r="AW1663" t="s">
        <v>60</v>
      </c>
      <c r="AX1663" t="s">
        <v>68</v>
      </c>
      <c r="AY1663" t="s">
        <v>69</v>
      </c>
      <c r="AZ1663" t="b">
        <v>1</v>
      </c>
    </row>
    <row r="1664" spans="1:52" x14ac:dyDescent="0.3">
      <c r="A1664" t="s">
        <v>52</v>
      </c>
      <c r="B1664" t="s">
        <v>53</v>
      </c>
      <c r="C1664" t="s">
        <v>54</v>
      </c>
      <c r="D1664" t="s">
        <v>55</v>
      </c>
      <c r="E1664" t="s">
        <v>845</v>
      </c>
      <c r="F1664" t="s">
        <v>512</v>
      </c>
      <c r="G1664" t="s">
        <v>575</v>
      </c>
      <c r="H1664" t="s">
        <v>576</v>
      </c>
      <c r="I1664" t="s">
        <v>576</v>
      </c>
      <c r="J1664" t="s">
        <v>60</v>
      </c>
      <c r="K1664" t="s">
        <v>445</v>
      </c>
      <c r="L1664" t="s">
        <v>62</v>
      </c>
      <c r="M1664" t="s">
        <v>445</v>
      </c>
      <c r="N1664" t="s">
        <v>577</v>
      </c>
      <c r="O1664" t="s">
        <v>214</v>
      </c>
      <c r="P1664">
        <v>-19.639865</v>
      </c>
      <c r="Q1664">
        <v>-43.877858000000003</v>
      </c>
      <c r="R1664" s="2" t="str">
        <f>HYPERLINK("https://www.google.com/maps?q=-19.6398650,-43.8778580","Abrir no Google Maps")</f>
        <v>Abrir no Google Maps</v>
      </c>
      <c r="S1664">
        <v>3</v>
      </c>
      <c r="T1664">
        <v>497.47318171010488</v>
      </c>
      <c r="U1664">
        <v>1</v>
      </c>
      <c r="V1664">
        <v>0.13297872340425529</v>
      </c>
      <c r="W1664">
        <v>0.85</v>
      </c>
      <c r="X1664">
        <v>0.113031914893617</v>
      </c>
      <c r="Y1664">
        <v>10</v>
      </c>
      <c r="Z1664">
        <v>547.08184956634818</v>
      </c>
      <c r="AA1664">
        <v>2</v>
      </c>
      <c r="AB1664">
        <v>3</v>
      </c>
      <c r="AC1664">
        <v>7</v>
      </c>
      <c r="AD1664">
        <v>26.28</v>
      </c>
      <c r="AE1664">
        <v>253</v>
      </c>
      <c r="AF1664">
        <v>16</v>
      </c>
      <c r="AG1664">
        <v>63</v>
      </c>
      <c r="AH1664">
        <v>32</v>
      </c>
      <c r="AI1664">
        <v>6.32</v>
      </c>
      <c r="AJ1664">
        <v>24.9</v>
      </c>
      <c r="AK1664">
        <v>12.65</v>
      </c>
      <c r="AL1664">
        <v>-19.639907499999961</v>
      </c>
      <c r="AM1664">
        <v>-43.877561677180587</v>
      </c>
      <c r="AN1664">
        <v>-19.639907499999961</v>
      </c>
      <c r="AO1664">
        <v>-43.877561677180587</v>
      </c>
      <c r="AP1664">
        <v>-19.639865</v>
      </c>
      <c r="AQ1664">
        <v>-43.877858000000003</v>
      </c>
      <c r="AR1664">
        <v>31.4257813556037</v>
      </c>
      <c r="AS1664" t="s">
        <v>65</v>
      </c>
      <c r="AT1664">
        <v>1</v>
      </c>
      <c r="AU1664" t="s">
        <v>578</v>
      </c>
      <c r="AV1664" t="s">
        <v>579</v>
      </c>
      <c r="AW1664" t="s">
        <v>60</v>
      </c>
      <c r="AX1664" t="s">
        <v>68</v>
      </c>
      <c r="AY1664" t="s">
        <v>69</v>
      </c>
      <c r="AZ1664" t="b">
        <v>1</v>
      </c>
    </row>
    <row r="1665" spans="1:52" x14ac:dyDescent="0.3">
      <c r="A1665" t="s">
        <v>52</v>
      </c>
      <c r="B1665" t="s">
        <v>53</v>
      </c>
      <c r="C1665" t="s">
        <v>54</v>
      </c>
      <c r="D1665" t="s">
        <v>55</v>
      </c>
      <c r="E1665" t="s">
        <v>845</v>
      </c>
      <c r="F1665" t="s">
        <v>512</v>
      </c>
      <c r="G1665" t="s">
        <v>592</v>
      </c>
      <c r="H1665" t="s">
        <v>593</v>
      </c>
      <c r="I1665" t="s">
        <v>593</v>
      </c>
      <c r="J1665" t="s">
        <v>60</v>
      </c>
      <c r="K1665" t="s">
        <v>445</v>
      </c>
      <c r="L1665" t="s">
        <v>62</v>
      </c>
      <c r="M1665" t="s">
        <v>445</v>
      </c>
      <c r="N1665" t="s">
        <v>594</v>
      </c>
      <c r="O1665" t="s">
        <v>477</v>
      </c>
      <c r="P1665">
        <v>-19.640709000000001</v>
      </c>
      <c r="Q1665">
        <v>-43.868687999999999</v>
      </c>
      <c r="R1665" s="2" t="str">
        <f>HYPERLINK("https://www.google.com/maps?q=-19.6407090,-43.8686880","Abrir no Google Maps")</f>
        <v>Abrir no Google Maps</v>
      </c>
      <c r="S1665">
        <v>1</v>
      </c>
      <c r="T1665">
        <v>1174.9679995958841</v>
      </c>
      <c r="U1665">
        <v>2</v>
      </c>
      <c r="V1665">
        <v>0.12828947368421051</v>
      </c>
      <c r="W1665">
        <v>1</v>
      </c>
      <c r="X1665">
        <v>0.12828947368421051</v>
      </c>
      <c r="Y1665">
        <v>10</v>
      </c>
      <c r="Z1665">
        <v>1230.8029594060461</v>
      </c>
      <c r="AA1665">
        <v>2</v>
      </c>
      <c r="AB1665">
        <v>3</v>
      </c>
      <c r="AC1665">
        <v>7</v>
      </c>
      <c r="AD1665">
        <v>26.28</v>
      </c>
      <c r="AE1665">
        <v>253</v>
      </c>
      <c r="AF1665">
        <v>16</v>
      </c>
      <c r="AG1665">
        <v>63</v>
      </c>
      <c r="AH1665">
        <v>32</v>
      </c>
      <c r="AI1665">
        <v>6.32</v>
      </c>
      <c r="AJ1665">
        <v>24.9</v>
      </c>
      <c r="AK1665">
        <v>12.65</v>
      </c>
      <c r="AL1665">
        <v>-19.641057949999979</v>
      </c>
      <c r="AM1665">
        <v>-43.868800137485707</v>
      </c>
      <c r="AN1665">
        <v>-19.641057949999979</v>
      </c>
      <c r="AO1665">
        <v>-43.868800137485707</v>
      </c>
      <c r="AP1665">
        <v>-19.640709000000001</v>
      </c>
      <c r="AQ1665">
        <v>-43.868687999999999</v>
      </c>
      <c r="AR1665">
        <v>40.585293798071682</v>
      </c>
      <c r="AS1665" t="s">
        <v>65</v>
      </c>
      <c r="AT1665">
        <v>1</v>
      </c>
      <c r="AU1665" t="s">
        <v>595</v>
      </c>
      <c r="AV1665" t="s">
        <v>596</v>
      </c>
      <c r="AW1665" t="s">
        <v>60</v>
      </c>
      <c r="AX1665" t="s">
        <v>68</v>
      </c>
      <c r="AY1665" t="s">
        <v>69</v>
      </c>
      <c r="AZ1665" t="b">
        <v>1</v>
      </c>
    </row>
    <row r="1666" spans="1:52" x14ac:dyDescent="0.3">
      <c r="A1666" t="s">
        <v>52</v>
      </c>
      <c r="B1666" t="s">
        <v>53</v>
      </c>
      <c r="C1666" t="s">
        <v>54</v>
      </c>
      <c r="D1666" t="s">
        <v>55</v>
      </c>
      <c r="E1666" t="s">
        <v>845</v>
      </c>
      <c r="F1666" t="s">
        <v>512</v>
      </c>
      <c r="G1666" t="s">
        <v>597</v>
      </c>
      <c r="H1666" t="s">
        <v>598</v>
      </c>
      <c r="I1666" t="s">
        <v>598</v>
      </c>
      <c r="J1666" t="s">
        <v>60</v>
      </c>
      <c r="K1666" t="s">
        <v>445</v>
      </c>
      <c r="L1666" t="s">
        <v>62</v>
      </c>
      <c r="M1666" t="s">
        <v>445</v>
      </c>
      <c r="N1666" t="s">
        <v>599</v>
      </c>
      <c r="O1666" t="s">
        <v>391</v>
      </c>
      <c r="P1666">
        <v>-19.637060999999999</v>
      </c>
      <c r="Q1666">
        <v>-43.871026000000001</v>
      </c>
      <c r="R1666" s="2" t="str">
        <f>HYPERLINK("https://www.google.com/maps?q=-19.6370610,-43.8710260","Abrir no Google Maps")</f>
        <v>Abrir no Google Maps</v>
      </c>
      <c r="S1666">
        <v>1</v>
      </c>
      <c r="T1666">
        <v>737.61884389282102</v>
      </c>
      <c r="U1666">
        <v>2</v>
      </c>
      <c r="V1666">
        <v>0.1324786324786324</v>
      </c>
      <c r="W1666">
        <v>1</v>
      </c>
      <c r="X1666">
        <v>0.1324786324786324</v>
      </c>
      <c r="Y1666">
        <v>10</v>
      </c>
      <c r="Z1666">
        <v>1331.4501394006061</v>
      </c>
      <c r="AA1666">
        <v>2</v>
      </c>
      <c r="AB1666">
        <v>3</v>
      </c>
      <c r="AC1666">
        <v>7</v>
      </c>
      <c r="AD1666">
        <v>26.28</v>
      </c>
      <c r="AE1666">
        <v>253</v>
      </c>
      <c r="AF1666">
        <v>16</v>
      </c>
      <c r="AG1666">
        <v>63</v>
      </c>
      <c r="AH1666">
        <v>32</v>
      </c>
      <c r="AI1666">
        <v>6.32</v>
      </c>
      <c r="AJ1666">
        <v>24.9</v>
      </c>
      <c r="AK1666">
        <v>12.65</v>
      </c>
      <c r="AL1666">
        <v>-19.637111899999951</v>
      </c>
      <c r="AM1666">
        <v>-43.870888931681193</v>
      </c>
      <c r="AN1666">
        <v>-19.637111899999951</v>
      </c>
      <c r="AO1666">
        <v>-43.870888931681193</v>
      </c>
      <c r="AP1666">
        <v>-19.637060999999999</v>
      </c>
      <c r="AQ1666">
        <v>-43.871026000000001</v>
      </c>
      <c r="AR1666">
        <v>15.44770924391884</v>
      </c>
      <c r="AS1666" t="s">
        <v>65</v>
      </c>
      <c r="AT1666">
        <v>1</v>
      </c>
      <c r="AU1666" t="s">
        <v>600</v>
      </c>
      <c r="AV1666" t="s">
        <v>601</v>
      </c>
      <c r="AW1666" t="s">
        <v>60</v>
      </c>
      <c r="AX1666" t="s">
        <v>68</v>
      </c>
      <c r="AY1666" t="s">
        <v>69</v>
      </c>
      <c r="AZ1666" t="b">
        <v>1</v>
      </c>
    </row>
    <row r="1667" spans="1:52" x14ac:dyDescent="0.3">
      <c r="A1667" t="s">
        <v>52</v>
      </c>
      <c r="B1667" t="s">
        <v>53</v>
      </c>
      <c r="C1667" t="s">
        <v>54</v>
      </c>
      <c r="D1667" t="s">
        <v>55</v>
      </c>
      <c r="E1667" t="s">
        <v>845</v>
      </c>
      <c r="F1667" t="s">
        <v>512</v>
      </c>
      <c r="G1667" t="s">
        <v>123</v>
      </c>
      <c r="H1667" t="s">
        <v>607</v>
      </c>
      <c r="I1667" t="s">
        <v>607</v>
      </c>
      <c r="J1667" t="s">
        <v>60</v>
      </c>
      <c r="K1667" t="s">
        <v>333</v>
      </c>
      <c r="L1667" t="s">
        <v>62</v>
      </c>
      <c r="M1667" t="s">
        <v>333</v>
      </c>
      <c r="N1667" t="s">
        <v>125</v>
      </c>
      <c r="O1667" t="s">
        <v>608</v>
      </c>
      <c r="P1667">
        <v>-19.636002999999999</v>
      </c>
      <c r="Q1667">
        <v>-43.908445</v>
      </c>
      <c r="R1667" s="2" t="str">
        <f>HYPERLINK("https://www.google.com/maps?q=-19.6360030,-43.9084450","Abrir no Google Maps")</f>
        <v>Abrir no Google Maps</v>
      </c>
      <c r="S1667">
        <v>1</v>
      </c>
      <c r="T1667">
        <v>612.64850802557942</v>
      </c>
      <c r="U1667">
        <v>2</v>
      </c>
      <c r="V1667">
        <v>0.14344262295081961</v>
      </c>
      <c r="W1667">
        <v>0.85</v>
      </c>
      <c r="X1667">
        <v>0.1219262295081967</v>
      </c>
      <c r="Y1667">
        <v>10</v>
      </c>
      <c r="Z1667">
        <v>606.91793961222209</v>
      </c>
      <c r="AA1667">
        <v>2</v>
      </c>
      <c r="AB1667">
        <v>3</v>
      </c>
      <c r="AC1667">
        <v>7</v>
      </c>
      <c r="AD1667">
        <v>26.28</v>
      </c>
      <c r="AE1667">
        <v>253</v>
      </c>
      <c r="AF1667">
        <v>16</v>
      </c>
      <c r="AG1667">
        <v>63</v>
      </c>
      <c r="AH1667">
        <v>32</v>
      </c>
      <c r="AI1667">
        <v>6.32</v>
      </c>
      <c r="AJ1667">
        <v>24.9</v>
      </c>
      <c r="AK1667">
        <v>12.65</v>
      </c>
      <c r="AL1667">
        <v>-19.63618049999997</v>
      </c>
      <c r="AM1667">
        <v>-43.908471095478113</v>
      </c>
      <c r="AN1667">
        <v>-19.63618049999997</v>
      </c>
      <c r="AO1667">
        <v>-43.908471095478113</v>
      </c>
      <c r="AP1667">
        <v>-19.636002999999999</v>
      </c>
      <c r="AQ1667">
        <v>-43.908445</v>
      </c>
      <c r="AR1667">
        <v>19.947824476218141</v>
      </c>
      <c r="AS1667" t="s">
        <v>65</v>
      </c>
      <c r="AT1667">
        <v>1</v>
      </c>
      <c r="AU1667" t="s">
        <v>609</v>
      </c>
      <c r="AV1667" t="s">
        <v>610</v>
      </c>
      <c r="AW1667" t="s">
        <v>60</v>
      </c>
      <c r="AX1667" t="s">
        <v>68</v>
      </c>
      <c r="AY1667" t="s">
        <v>69</v>
      </c>
      <c r="AZ1667" t="b">
        <v>1</v>
      </c>
    </row>
    <row r="1668" spans="1:52" x14ac:dyDescent="0.3">
      <c r="A1668" t="s">
        <v>52</v>
      </c>
      <c r="B1668" t="s">
        <v>53</v>
      </c>
      <c r="C1668" t="s">
        <v>54</v>
      </c>
      <c r="D1668" t="s">
        <v>55</v>
      </c>
      <c r="E1668" t="s">
        <v>845</v>
      </c>
      <c r="F1668" t="s">
        <v>512</v>
      </c>
      <c r="G1668" t="s">
        <v>611</v>
      </c>
      <c r="H1668" t="s">
        <v>612</v>
      </c>
      <c r="I1668" t="s">
        <v>612</v>
      </c>
      <c r="J1668" t="s">
        <v>60</v>
      </c>
      <c r="K1668" t="s">
        <v>445</v>
      </c>
      <c r="L1668" t="s">
        <v>62</v>
      </c>
      <c r="M1668" t="s">
        <v>445</v>
      </c>
      <c r="N1668" t="s">
        <v>613</v>
      </c>
      <c r="O1668" t="s">
        <v>94</v>
      </c>
      <c r="P1668">
        <v>-19.639271999999998</v>
      </c>
      <c r="Q1668">
        <v>-43.875624000000002</v>
      </c>
      <c r="R1668" s="2" t="str">
        <f>HYPERLINK("https://www.google.com/maps?q=-19.6392720,-43.8756240","Abrir no Google Maps")</f>
        <v>Abrir no Google Maps</v>
      </c>
      <c r="S1668">
        <v>1</v>
      </c>
      <c r="T1668">
        <v>618.4798639458262</v>
      </c>
      <c r="U1668">
        <v>2</v>
      </c>
      <c r="V1668">
        <v>0.16015625</v>
      </c>
      <c r="W1668">
        <v>0.85</v>
      </c>
      <c r="X1668">
        <v>0.13613281250000001</v>
      </c>
      <c r="Y1668">
        <v>10</v>
      </c>
      <c r="Z1668">
        <v>724.62991660382431</v>
      </c>
      <c r="AA1668">
        <v>2</v>
      </c>
      <c r="AB1668">
        <v>3</v>
      </c>
      <c r="AC1668">
        <v>7</v>
      </c>
      <c r="AD1668">
        <v>26.28</v>
      </c>
      <c r="AE1668">
        <v>253</v>
      </c>
      <c r="AF1668">
        <v>16</v>
      </c>
      <c r="AG1668">
        <v>63</v>
      </c>
      <c r="AH1668">
        <v>32</v>
      </c>
      <c r="AI1668">
        <v>6.32</v>
      </c>
      <c r="AJ1668">
        <v>24.9</v>
      </c>
      <c r="AK1668">
        <v>12.65</v>
      </c>
      <c r="AL1668">
        <v>-19.639239899999978</v>
      </c>
      <c r="AM1668">
        <v>-43.875497463228079</v>
      </c>
      <c r="AN1668">
        <v>-19.639239899999978</v>
      </c>
      <c r="AO1668">
        <v>-43.875497463228079</v>
      </c>
      <c r="AP1668">
        <v>-19.639271999999998</v>
      </c>
      <c r="AQ1668">
        <v>-43.875624000000002</v>
      </c>
      <c r="AR1668">
        <v>13.73946951590594</v>
      </c>
      <c r="AS1668" t="s">
        <v>65</v>
      </c>
      <c r="AT1668">
        <v>1</v>
      </c>
      <c r="AU1668" t="s">
        <v>614</v>
      </c>
      <c r="AV1668" t="s">
        <v>615</v>
      </c>
      <c r="AW1668" t="s">
        <v>60</v>
      </c>
      <c r="AX1668" t="s">
        <v>68</v>
      </c>
      <c r="AY1668" t="s">
        <v>69</v>
      </c>
      <c r="AZ1668" t="b">
        <v>1</v>
      </c>
    </row>
    <row r="1669" spans="1:52" x14ac:dyDescent="0.3">
      <c r="A1669" t="s">
        <v>52</v>
      </c>
      <c r="B1669" t="s">
        <v>53</v>
      </c>
      <c r="C1669" t="s">
        <v>54</v>
      </c>
      <c r="D1669" t="s">
        <v>55</v>
      </c>
      <c r="E1669" t="s">
        <v>845</v>
      </c>
      <c r="F1669" t="s">
        <v>512</v>
      </c>
      <c r="G1669" t="s">
        <v>602</v>
      </c>
      <c r="H1669" t="s">
        <v>603</v>
      </c>
      <c r="I1669" t="s">
        <v>603</v>
      </c>
      <c r="J1669" t="s">
        <v>60</v>
      </c>
      <c r="K1669" t="s">
        <v>185</v>
      </c>
      <c r="L1669" t="s">
        <v>62</v>
      </c>
      <c r="M1669" t="s">
        <v>185</v>
      </c>
      <c r="N1669" t="s">
        <v>604</v>
      </c>
      <c r="O1669" t="s">
        <v>341</v>
      </c>
      <c r="P1669">
        <v>-19.624801999999999</v>
      </c>
      <c r="Q1669">
        <v>-43.891128999999999</v>
      </c>
      <c r="R1669" s="2" t="str">
        <f>HYPERLINK("https://www.google.com/maps?q=-19.6248020,-43.8911290","Abrir no Google Maps")</f>
        <v>Abrir no Google Maps</v>
      </c>
      <c r="S1669">
        <v>1</v>
      </c>
      <c r="T1669">
        <v>340.53720321500958</v>
      </c>
      <c r="U1669">
        <v>1</v>
      </c>
      <c r="V1669">
        <v>0.1145833333333333</v>
      </c>
      <c r="W1669">
        <v>0.85</v>
      </c>
      <c r="X1669">
        <v>9.7395833333333307E-2</v>
      </c>
      <c r="Y1669">
        <v>18</v>
      </c>
      <c r="Z1669">
        <v>362.68114540183888</v>
      </c>
      <c r="AA1669">
        <v>2</v>
      </c>
      <c r="AB1669">
        <v>3</v>
      </c>
      <c r="AC1669">
        <v>7</v>
      </c>
      <c r="AD1669">
        <v>26.28</v>
      </c>
      <c r="AE1669">
        <v>253</v>
      </c>
      <c r="AF1669">
        <v>16</v>
      </c>
      <c r="AG1669">
        <v>63</v>
      </c>
      <c r="AH1669">
        <v>32</v>
      </c>
      <c r="AI1669">
        <v>6.32</v>
      </c>
      <c r="AJ1669">
        <v>24.9</v>
      </c>
      <c r="AK1669">
        <v>12.65</v>
      </c>
      <c r="AL1669">
        <v>-19.625033299999959</v>
      </c>
      <c r="AM1669">
        <v>-43.891084256403538</v>
      </c>
      <c r="AN1669">
        <v>-19.625033299999959</v>
      </c>
      <c r="AO1669">
        <v>-43.891084256403538</v>
      </c>
      <c r="AP1669">
        <v>-19.624801999999999</v>
      </c>
      <c r="AQ1669">
        <v>-43.891128999999999</v>
      </c>
      <c r="AR1669">
        <v>26.172240371022362</v>
      </c>
      <c r="AS1669" t="s">
        <v>65</v>
      </c>
      <c r="AT1669">
        <v>1</v>
      </c>
      <c r="AU1669" t="s">
        <v>605</v>
      </c>
      <c r="AV1669" t="s">
        <v>606</v>
      </c>
      <c r="AW1669" t="s">
        <v>60</v>
      </c>
      <c r="AX1669" t="s">
        <v>68</v>
      </c>
      <c r="AY1669" t="s">
        <v>69</v>
      </c>
      <c r="AZ1669" t="b">
        <v>1</v>
      </c>
    </row>
    <row r="1670" spans="1:52" x14ac:dyDescent="0.3">
      <c r="A1670" t="s">
        <v>52</v>
      </c>
      <c r="B1670" t="s">
        <v>53</v>
      </c>
      <c r="C1670" t="s">
        <v>54</v>
      </c>
      <c r="D1670" t="s">
        <v>55</v>
      </c>
      <c r="E1670" t="s">
        <v>851</v>
      </c>
      <c r="F1670" t="s">
        <v>57</v>
      </c>
      <c r="G1670" t="s">
        <v>58</v>
      </c>
      <c r="H1670" t="s">
        <v>59</v>
      </c>
      <c r="I1670" t="s">
        <v>59</v>
      </c>
      <c r="J1670" t="s">
        <v>60</v>
      </c>
      <c r="K1670" t="s">
        <v>61</v>
      </c>
      <c r="L1670" t="s">
        <v>62</v>
      </c>
      <c r="M1670" t="s">
        <v>61</v>
      </c>
      <c r="N1670" t="s">
        <v>63</v>
      </c>
      <c r="O1670" t="s">
        <v>64</v>
      </c>
      <c r="P1670">
        <v>-19.631502000000001</v>
      </c>
      <c r="Q1670">
        <v>-43.910241999999997</v>
      </c>
      <c r="R1670" s="2" t="str">
        <f>HYPERLINK("https://www.google.com/maps?q=-19.6315020,-43.9102420","Abrir no Google Maps")</f>
        <v>Abrir no Google Maps</v>
      </c>
      <c r="S1670">
        <v>4</v>
      </c>
      <c r="T1670">
        <v>789.20099406682743</v>
      </c>
      <c r="U1670">
        <v>4</v>
      </c>
      <c r="V1670">
        <v>0.87057086614173229</v>
      </c>
      <c r="W1670">
        <v>1</v>
      </c>
      <c r="X1670">
        <v>0.87057086614173229</v>
      </c>
      <c r="Y1670">
        <v>10</v>
      </c>
      <c r="Z1670">
        <v>691.44930074509864</v>
      </c>
      <c r="AA1670">
        <v>2</v>
      </c>
      <c r="AB1670">
        <v>3</v>
      </c>
      <c r="AC1670">
        <v>7</v>
      </c>
      <c r="AD1670">
        <v>25.18</v>
      </c>
      <c r="AE1670">
        <v>253</v>
      </c>
      <c r="AF1670">
        <v>13</v>
      </c>
      <c r="AG1670">
        <v>65</v>
      </c>
      <c r="AH1670">
        <v>32</v>
      </c>
      <c r="AI1670">
        <v>5.14</v>
      </c>
      <c r="AJ1670">
        <v>25.69</v>
      </c>
      <c r="AK1670">
        <v>12.65</v>
      </c>
      <c r="AL1670">
        <v>-19.631719749999949</v>
      </c>
      <c r="AM1670">
        <v>-43.910102324517517</v>
      </c>
      <c r="AN1670">
        <v>-19.631719749999949</v>
      </c>
      <c r="AO1670">
        <v>-43.910102324517517</v>
      </c>
      <c r="AP1670">
        <v>-19.631502000000001</v>
      </c>
      <c r="AQ1670">
        <v>-43.910241999999997</v>
      </c>
      <c r="AR1670">
        <v>28.320416429206599</v>
      </c>
      <c r="AS1670" t="s">
        <v>65</v>
      </c>
      <c r="AT1670">
        <v>1</v>
      </c>
      <c r="AU1670" t="s">
        <v>66</v>
      </c>
      <c r="AV1670" t="s">
        <v>67</v>
      </c>
      <c r="AW1670" t="s">
        <v>60</v>
      </c>
      <c r="AX1670" t="s">
        <v>68</v>
      </c>
      <c r="AY1670" t="s">
        <v>69</v>
      </c>
      <c r="AZ1670" t="b">
        <v>1</v>
      </c>
    </row>
    <row r="1671" spans="1:52" x14ac:dyDescent="0.3">
      <c r="A1671" t="s">
        <v>52</v>
      </c>
      <c r="B1671" t="s">
        <v>53</v>
      </c>
      <c r="C1671" t="s">
        <v>54</v>
      </c>
      <c r="D1671" t="s">
        <v>55</v>
      </c>
      <c r="E1671" t="s">
        <v>851</v>
      </c>
      <c r="F1671" t="s">
        <v>57</v>
      </c>
      <c r="G1671" t="s">
        <v>70</v>
      </c>
      <c r="H1671" t="s">
        <v>71</v>
      </c>
      <c r="I1671" t="s">
        <v>71</v>
      </c>
      <c r="J1671" t="s">
        <v>60</v>
      </c>
      <c r="K1671" t="s">
        <v>72</v>
      </c>
      <c r="L1671" t="s">
        <v>62</v>
      </c>
      <c r="M1671" t="s">
        <v>72</v>
      </c>
      <c r="N1671" t="s">
        <v>73</v>
      </c>
      <c r="O1671" t="s">
        <v>74</v>
      </c>
      <c r="P1671">
        <v>-19.632581999999999</v>
      </c>
      <c r="Q1671">
        <v>-43.902416000000002</v>
      </c>
      <c r="R1671" s="2" t="str">
        <f>HYPERLINK("https://www.google.com/maps?q=-19.6325820,-43.9024160","Abrir no Google Maps")</f>
        <v>Abrir no Google Maps</v>
      </c>
      <c r="S1671">
        <v>4</v>
      </c>
      <c r="T1671">
        <v>0</v>
      </c>
      <c r="U1671">
        <v>4</v>
      </c>
      <c r="V1671">
        <v>0.88031914893617025</v>
      </c>
      <c r="W1671">
        <v>1</v>
      </c>
      <c r="X1671">
        <v>0.88031914893617025</v>
      </c>
      <c r="Y1671">
        <v>10</v>
      </c>
      <c r="Z1671">
        <v>146.6968158874696</v>
      </c>
      <c r="AA1671">
        <v>2</v>
      </c>
      <c r="AB1671">
        <v>3</v>
      </c>
      <c r="AC1671">
        <v>7</v>
      </c>
      <c r="AD1671">
        <v>25.18</v>
      </c>
      <c r="AE1671">
        <v>253</v>
      </c>
      <c r="AF1671">
        <v>13</v>
      </c>
      <c r="AG1671">
        <v>65</v>
      </c>
      <c r="AH1671">
        <v>32</v>
      </c>
      <c r="AI1671">
        <v>5.14</v>
      </c>
      <c r="AJ1671">
        <v>25.69</v>
      </c>
      <c r="AK1671">
        <v>12.65</v>
      </c>
      <c r="AL1671">
        <v>-19.63271449999996</v>
      </c>
      <c r="AM1671">
        <v>-43.902649897389402</v>
      </c>
      <c r="AN1671">
        <v>-19.63271449999996</v>
      </c>
      <c r="AO1671">
        <v>-43.902649897389402</v>
      </c>
      <c r="AP1671">
        <v>-19.632581999999999</v>
      </c>
      <c r="AQ1671">
        <v>-43.902416000000002</v>
      </c>
      <c r="AR1671">
        <v>28.617753432996459</v>
      </c>
      <c r="AS1671" t="s">
        <v>65</v>
      </c>
      <c r="AT1671">
        <v>1</v>
      </c>
      <c r="AU1671" t="s">
        <v>75</v>
      </c>
      <c r="AV1671" t="s">
        <v>76</v>
      </c>
      <c r="AW1671" t="s">
        <v>60</v>
      </c>
      <c r="AX1671" t="s">
        <v>68</v>
      </c>
      <c r="AY1671" t="s">
        <v>69</v>
      </c>
      <c r="AZ1671" t="b">
        <v>1</v>
      </c>
    </row>
    <row r="1672" spans="1:52" x14ac:dyDescent="0.3">
      <c r="A1672" t="s">
        <v>52</v>
      </c>
      <c r="B1672" t="s">
        <v>53</v>
      </c>
      <c r="C1672" t="s">
        <v>54</v>
      </c>
      <c r="D1672" t="s">
        <v>55</v>
      </c>
      <c r="E1672" t="s">
        <v>851</v>
      </c>
      <c r="F1672" t="s">
        <v>57</v>
      </c>
      <c r="G1672" t="s">
        <v>77</v>
      </c>
      <c r="H1672" t="s">
        <v>78</v>
      </c>
      <c r="I1672" t="s">
        <v>78</v>
      </c>
      <c r="J1672" t="s">
        <v>60</v>
      </c>
      <c r="K1672" t="s">
        <v>79</v>
      </c>
      <c r="L1672" t="s">
        <v>62</v>
      </c>
      <c r="M1672" t="s">
        <v>79</v>
      </c>
      <c r="N1672" t="s">
        <v>80</v>
      </c>
      <c r="O1672" t="s">
        <v>81</v>
      </c>
      <c r="P1672">
        <v>-19.632463999999999</v>
      </c>
      <c r="Q1672">
        <v>-43.904927999999998</v>
      </c>
      <c r="R1672" s="2" t="str">
        <f>HYPERLINK("https://www.google.com/maps?q=-19.6324640,-43.9049280","Abrir no Google Maps")</f>
        <v>Abrir no Google Maps</v>
      </c>
      <c r="S1672">
        <v>4</v>
      </c>
      <c r="T1672">
        <v>244.1735197453369</v>
      </c>
      <c r="U1672">
        <v>4</v>
      </c>
      <c r="V1672">
        <v>0.89583333333333337</v>
      </c>
      <c r="W1672">
        <v>1</v>
      </c>
      <c r="X1672">
        <v>0.89583333333333337</v>
      </c>
      <c r="Y1672">
        <v>10</v>
      </c>
      <c r="Z1672">
        <v>287.26068152447448</v>
      </c>
      <c r="AA1672">
        <v>2</v>
      </c>
      <c r="AB1672">
        <v>3</v>
      </c>
      <c r="AC1672">
        <v>7</v>
      </c>
      <c r="AD1672">
        <v>25.18</v>
      </c>
      <c r="AE1672">
        <v>253</v>
      </c>
      <c r="AF1672">
        <v>13</v>
      </c>
      <c r="AG1672">
        <v>65</v>
      </c>
      <c r="AH1672">
        <v>32</v>
      </c>
      <c r="AI1672">
        <v>5.14</v>
      </c>
      <c r="AJ1672">
        <v>25.69</v>
      </c>
      <c r="AK1672">
        <v>12.65</v>
      </c>
      <c r="AL1672">
        <v>-19.63247099999996</v>
      </c>
      <c r="AM1672">
        <v>-43.904964174285787</v>
      </c>
      <c r="AN1672">
        <v>-19.63247099999996</v>
      </c>
      <c r="AO1672">
        <v>-43.904964174285787</v>
      </c>
      <c r="AP1672">
        <v>-19.632463999999999</v>
      </c>
      <c r="AQ1672">
        <v>-43.904927999999998</v>
      </c>
      <c r="AR1672">
        <v>3.8720457500200469</v>
      </c>
      <c r="AS1672" t="s">
        <v>65</v>
      </c>
      <c r="AT1672">
        <v>1</v>
      </c>
      <c r="AU1672" t="s">
        <v>82</v>
      </c>
      <c r="AV1672" t="s">
        <v>83</v>
      </c>
      <c r="AW1672" t="s">
        <v>60</v>
      </c>
      <c r="AX1672" t="s">
        <v>68</v>
      </c>
      <c r="AY1672" t="s">
        <v>69</v>
      </c>
      <c r="AZ1672" t="b">
        <v>1</v>
      </c>
    </row>
    <row r="1673" spans="1:52" x14ac:dyDescent="0.3">
      <c r="A1673" t="s">
        <v>52</v>
      </c>
      <c r="B1673" t="s">
        <v>53</v>
      </c>
      <c r="C1673" t="s">
        <v>54</v>
      </c>
      <c r="D1673" t="s">
        <v>55</v>
      </c>
      <c r="E1673" t="s">
        <v>851</v>
      </c>
      <c r="F1673" t="s">
        <v>57</v>
      </c>
      <c r="G1673" t="s">
        <v>104</v>
      </c>
      <c r="H1673" t="s">
        <v>105</v>
      </c>
      <c r="I1673" t="s">
        <v>105</v>
      </c>
      <c r="J1673" t="s">
        <v>60</v>
      </c>
      <c r="K1673" t="s">
        <v>99</v>
      </c>
      <c r="L1673" t="s">
        <v>62</v>
      </c>
      <c r="M1673" t="s">
        <v>99</v>
      </c>
      <c r="N1673" t="s">
        <v>106</v>
      </c>
      <c r="O1673" t="s">
        <v>107</v>
      </c>
      <c r="P1673">
        <v>-19.627993</v>
      </c>
      <c r="Q1673">
        <v>-43.904820000000001</v>
      </c>
      <c r="R1673" s="2" t="str">
        <f>HYPERLINK("https://www.google.com/maps?q=-19.6279930,-43.9048200","Abrir no Google Maps")</f>
        <v>Abrir no Google Maps</v>
      </c>
      <c r="S1673">
        <v>4</v>
      </c>
      <c r="T1673">
        <v>573.16526621674666</v>
      </c>
      <c r="U1673">
        <v>4</v>
      </c>
      <c r="V1673">
        <v>0.932247899159664</v>
      </c>
      <c r="W1673">
        <v>1</v>
      </c>
      <c r="X1673">
        <v>0.932247899159664</v>
      </c>
      <c r="Y1673">
        <v>7</v>
      </c>
      <c r="Z1673">
        <v>659.04372306144853</v>
      </c>
      <c r="AA1673">
        <v>2</v>
      </c>
      <c r="AB1673">
        <v>3</v>
      </c>
      <c r="AC1673">
        <v>7</v>
      </c>
      <c r="AD1673">
        <v>25.18</v>
      </c>
      <c r="AE1673">
        <v>253</v>
      </c>
      <c r="AF1673">
        <v>13</v>
      </c>
      <c r="AG1673">
        <v>65</v>
      </c>
      <c r="AH1673">
        <v>32</v>
      </c>
      <c r="AI1673">
        <v>5.14</v>
      </c>
      <c r="AJ1673">
        <v>25.69</v>
      </c>
      <c r="AK1673">
        <v>12.65</v>
      </c>
      <c r="AL1673">
        <v>-19.627956249999951</v>
      </c>
      <c r="AM1673">
        <v>-43.904807634206207</v>
      </c>
      <c r="AN1673">
        <v>-19.627956249999951</v>
      </c>
      <c r="AO1673">
        <v>-43.904807634206207</v>
      </c>
      <c r="AP1673">
        <v>-19.627993</v>
      </c>
      <c r="AQ1673">
        <v>-43.904820000000001</v>
      </c>
      <c r="AR1673">
        <v>4.291557430205998</v>
      </c>
      <c r="AS1673" t="s">
        <v>65</v>
      </c>
      <c r="AT1673">
        <v>1</v>
      </c>
      <c r="AU1673" t="s">
        <v>108</v>
      </c>
      <c r="AV1673" t="s">
        <v>103</v>
      </c>
      <c r="AW1673" t="s">
        <v>60</v>
      </c>
      <c r="AX1673" t="s">
        <v>68</v>
      </c>
      <c r="AY1673" t="s">
        <v>69</v>
      </c>
      <c r="AZ1673" t="b">
        <v>1</v>
      </c>
    </row>
    <row r="1674" spans="1:52" x14ac:dyDescent="0.3">
      <c r="A1674" t="s">
        <v>52</v>
      </c>
      <c r="B1674" t="s">
        <v>53</v>
      </c>
      <c r="C1674" t="s">
        <v>54</v>
      </c>
      <c r="D1674" t="s">
        <v>55</v>
      </c>
      <c r="E1674" t="s">
        <v>851</v>
      </c>
      <c r="F1674" t="s">
        <v>57</v>
      </c>
      <c r="G1674" t="s">
        <v>109</v>
      </c>
      <c r="H1674" t="s">
        <v>110</v>
      </c>
      <c r="I1674" t="s">
        <v>110</v>
      </c>
      <c r="J1674" t="s">
        <v>60</v>
      </c>
      <c r="K1674" t="s">
        <v>111</v>
      </c>
      <c r="L1674" t="s">
        <v>62</v>
      </c>
      <c r="M1674" t="s">
        <v>111</v>
      </c>
      <c r="N1674" t="s">
        <v>112</v>
      </c>
      <c r="O1674" t="s">
        <v>113</v>
      </c>
      <c r="P1674">
        <v>-19.654686000000002</v>
      </c>
      <c r="Q1674">
        <v>-43.907240000000002</v>
      </c>
      <c r="R1674" s="2" t="str">
        <f>HYPERLINK("https://www.google.com/maps?q=-19.6546860,-43.9072400","Abrir no Google Maps")</f>
        <v>Abrir no Google Maps</v>
      </c>
      <c r="S1674">
        <v>4</v>
      </c>
      <c r="T1674">
        <v>824.24450564548704</v>
      </c>
      <c r="U1674">
        <v>4</v>
      </c>
      <c r="V1674">
        <v>0.90706521739130441</v>
      </c>
      <c r="W1674">
        <v>1</v>
      </c>
      <c r="X1674">
        <v>0.90706521739130441</v>
      </c>
      <c r="Y1674">
        <v>4</v>
      </c>
      <c r="Z1674">
        <v>524.70106879290392</v>
      </c>
      <c r="AA1674">
        <v>2</v>
      </c>
      <c r="AB1674">
        <v>3</v>
      </c>
      <c r="AC1674">
        <v>7</v>
      </c>
      <c r="AD1674">
        <v>25.18</v>
      </c>
      <c r="AE1674">
        <v>253</v>
      </c>
      <c r="AF1674">
        <v>13</v>
      </c>
      <c r="AG1674">
        <v>65</v>
      </c>
      <c r="AH1674">
        <v>32</v>
      </c>
      <c r="AI1674">
        <v>5.14</v>
      </c>
      <c r="AJ1674">
        <v>25.69</v>
      </c>
      <c r="AK1674">
        <v>12.65</v>
      </c>
      <c r="AL1674">
        <v>-19.65511684999996</v>
      </c>
      <c r="AM1674">
        <v>-43.905662999837993</v>
      </c>
      <c r="AN1674">
        <v>-19.65511684999996</v>
      </c>
      <c r="AO1674">
        <v>-43.905662999837993</v>
      </c>
      <c r="AP1674">
        <v>-19.654686000000002</v>
      </c>
      <c r="AQ1674">
        <v>-43.907240000000002</v>
      </c>
      <c r="AR1674">
        <v>172.13969981835351</v>
      </c>
      <c r="AS1674" t="s">
        <v>65</v>
      </c>
      <c r="AT1674">
        <v>1</v>
      </c>
      <c r="AU1674" t="s">
        <v>114</v>
      </c>
      <c r="AV1674" t="s">
        <v>115</v>
      </c>
      <c r="AW1674" t="s">
        <v>60</v>
      </c>
      <c r="AX1674" t="s">
        <v>68</v>
      </c>
      <c r="AY1674" t="s">
        <v>69</v>
      </c>
      <c r="AZ1674" t="b">
        <v>1</v>
      </c>
    </row>
    <row r="1675" spans="1:52" x14ac:dyDescent="0.3">
      <c r="A1675" t="s">
        <v>52</v>
      </c>
      <c r="B1675" t="s">
        <v>53</v>
      </c>
      <c r="C1675" t="s">
        <v>54</v>
      </c>
      <c r="D1675" t="s">
        <v>55</v>
      </c>
      <c r="E1675" t="s">
        <v>851</v>
      </c>
      <c r="F1675" t="s">
        <v>57</v>
      </c>
      <c r="G1675" t="s">
        <v>116</v>
      </c>
      <c r="H1675" t="s">
        <v>117</v>
      </c>
      <c r="I1675" t="s">
        <v>117</v>
      </c>
      <c r="J1675" t="s">
        <v>60</v>
      </c>
      <c r="K1675" t="s">
        <v>118</v>
      </c>
      <c r="L1675" t="s">
        <v>62</v>
      </c>
      <c r="M1675" t="s">
        <v>118</v>
      </c>
      <c r="N1675" t="s">
        <v>119</v>
      </c>
      <c r="O1675" t="s">
        <v>120</v>
      </c>
      <c r="P1675">
        <v>-19.663869999999999</v>
      </c>
      <c r="Q1675">
        <v>-43.904916999999998</v>
      </c>
      <c r="R1675" s="2" t="str">
        <f>HYPERLINK("https://www.google.com/maps?q=-19.6638700,-43.9049170","Abrir no Google Maps")</f>
        <v>Abrir no Google Maps</v>
      </c>
      <c r="S1675">
        <v>4</v>
      </c>
      <c r="T1675">
        <v>0</v>
      </c>
      <c r="U1675">
        <v>4</v>
      </c>
      <c r="V1675">
        <v>0.93248456790123457</v>
      </c>
      <c r="W1675">
        <v>1</v>
      </c>
      <c r="X1675">
        <v>0.93248456790123457</v>
      </c>
      <c r="Y1675">
        <v>4</v>
      </c>
      <c r="Z1675">
        <v>1169.476938179705</v>
      </c>
      <c r="AA1675">
        <v>2</v>
      </c>
      <c r="AB1675">
        <v>3</v>
      </c>
      <c r="AC1675">
        <v>7</v>
      </c>
      <c r="AD1675">
        <v>25.18</v>
      </c>
      <c r="AE1675">
        <v>253</v>
      </c>
      <c r="AF1675">
        <v>13</v>
      </c>
      <c r="AG1675">
        <v>65</v>
      </c>
      <c r="AH1675">
        <v>32</v>
      </c>
      <c r="AI1675">
        <v>5.14</v>
      </c>
      <c r="AJ1675">
        <v>25.69</v>
      </c>
      <c r="AK1675">
        <v>12.65</v>
      </c>
      <c r="AL1675">
        <v>-19.657063599999962</v>
      </c>
      <c r="AM1675">
        <v>-43.898074976464507</v>
      </c>
      <c r="AN1675">
        <v>-19.657063599999962</v>
      </c>
      <c r="AO1675">
        <v>-43.898074976464507</v>
      </c>
      <c r="AP1675">
        <v>-19.663869999999999</v>
      </c>
      <c r="AQ1675">
        <v>-43.904916999999998</v>
      </c>
      <c r="AR1675">
        <v>1043.3426220355029</v>
      </c>
      <c r="AS1675" t="s">
        <v>65</v>
      </c>
      <c r="AT1675">
        <v>1</v>
      </c>
      <c r="AU1675" t="s">
        <v>121</v>
      </c>
      <c r="AV1675" t="s">
        <v>122</v>
      </c>
      <c r="AW1675" t="s">
        <v>60</v>
      </c>
      <c r="AX1675" t="s">
        <v>68</v>
      </c>
      <c r="AY1675" t="s">
        <v>69</v>
      </c>
      <c r="AZ1675" t="b">
        <v>1</v>
      </c>
    </row>
    <row r="1676" spans="1:52" x14ac:dyDescent="0.3">
      <c r="A1676" t="s">
        <v>52</v>
      </c>
      <c r="B1676" t="s">
        <v>53</v>
      </c>
      <c r="C1676" t="s">
        <v>54</v>
      </c>
      <c r="D1676" t="s">
        <v>55</v>
      </c>
      <c r="E1676" t="s">
        <v>851</v>
      </c>
      <c r="F1676" t="s">
        <v>57</v>
      </c>
      <c r="G1676" t="s">
        <v>123</v>
      </c>
      <c r="H1676" t="s">
        <v>124</v>
      </c>
      <c r="I1676" t="s">
        <v>124</v>
      </c>
      <c r="J1676" t="s">
        <v>60</v>
      </c>
      <c r="K1676" t="s">
        <v>72</v>
      </c>
      <c r="L1676" t="s">
        <v>62</v>
      </c>
      <c r="M1676" t="s">
        <v>72</v>
      </c>
      <c r="N1676" t="s">
        <v>125</v>
      </c>
      <c r="O1676" t="s">
        <v>126</v>
      </c>
      <c r="P1676">
        <v>-19.634015000000002</v>
      </c>
      <c r="Q1676">
        <v>-43.918776000000001</v>
      </c>
      <c r="R1676" s="2" t="str">
        <f>HYPERLINK("https://www.google.com/maps?q=-19.6340150,-43.9187760","Abrir no Google Maps")</f>
        <v>Abrir no Google Maps</v>
      </c>
      <c r="S1676">
        <v>4</v>
      </c>
      <c r="T1676">
        <v>525.62818365919122</v>
      </c>
      <c r="U1676">
        <v>4</v>
      </c>
      <c r="V1676">
        <v>0.86501141552511407</v>
      </c>
      <c r="W1676">
        <v>1</v>
      </c>
      <c r="X1676">
        <v>0.86501141552511407</v>
      </c>
      <c r="Y1676">
        <v>3</v>
      </c>
      <c r="Z1676">
        <v>474.91441433808131</v>
      </c>
      <c r="AA1676">
        <v>2</v>
      </c>
      <c r="AB1676">
        <v>3</v>
      </c>
      <c r="AC1676">
        <v>7</v>
      </c>
      <c r="AD1676">
        <v>25.18</v>
      </c>
      <c r="AE1676">
        <v>253</v>
      </c>
      <c r="AF1676">
        <v>13</v>
      </c>
      <c r="AG1676">
        <v>65</v>
      </c>
      <c r="AH1676">
        <v>32</v>
      </c>
      <c r="AI1676">
        <v>5.14</v>
      </c>
      <c r="AJ1676">
        <v>25.69</v>
      </c>
      <c r="AK1676">
        <v>12.65</v>
      </c>
      <c r="AL1676">
        <v>-19.63405809999994</v>
      </c>
      <c r="AM1676">
        <v>-43.919666391328043</v>
      </c>
      <c r="AN1676">
        <v>-19.63405809999994</v>
      </c>
      <c r="AO1676">
        <v>-43.919666391328029</v>
      </c>
      <c r="AP1676">
        <v>-19.634015000000002</v>
      </c>
      <c r="AQ1676">
        <v>-43.918776000000001</v>
      </c>
      <c r="AR1676">
        <v>93.478621134470259</v>
      </c>
      <c r="AS1676" t="s">
        <v>65</v>
      </c>
      <c r="AT1676">
        <v>1</v>
      </c>
      <c r="AU1676" t="s">
        <v>127</v>
      </c>
      <c r="AV1676" t="s">
        <v>128</v>
      </c>
      <c r="AW1676" t="s">
        <v>60</v>
      </c>
      <c r="AX1676" t="s">
        <v>68</v>
      </c>
      <c r="AY1676" t="s">
        <v>69</v>
      </c>
      <c r="AZ1676" t="b">
        <v>1</v>
      </c>
    </row>
    <row r="1677" spans="1:52" x14ac:dyDescent="0.3">
      <c r="A1677" t="s">
        <v>52</v>
      </c>
      <c r="B1677" t="s">
        <v>53</v>
      </c>
      <c r="C1677" t="s">
        <v>54</v>
      </c>
      <c r="D1677" t="s">
        <v>55</v>
      </c>
      <c r="E1677" t="s">
        <v>851</v>
      </c>
      <c r="F1677" t="s">
        <v>57</v>
      </c>
      <c r="G1677" t="s">
        <v>129</v>
      </c>
      <c r="H1677" t="s">
        <v>130</v>
      </c>
      <c r="I1677" t="s">
        <v>130</v>
      </c>
      <c r="J1677" t="s">
        <v>60</v>
      </c>
      <c r="K1677" t="s">
        <v>131</v>
      </c>
      <c r="L1677" t="s">
        <v>62</v>
      </c>
      <c r="M1677" t="s">
        <v>131</v>
      </c>
      <c r="N1677" t="s">
        <v>132</v>
      </c>
      <c r="O1677" t="s">
        <v>133</v>
      </c>
      <c r="P1677">
        <v>-19.632088</v>
      </c>
      <c r="Q1677">
        <v>-43.916114999999998</v>
      </c>
      <c r="R1677" s="2" t="str">
        <f>HYPERLINK("https://www.google.com/maps?q=-19.6320880,-43.9161150","Abrir no Google Maps")</f>
        <v>Abrir no Google Maps</v>
      </c>
      <c r="S1677">
        <v>4</v>
      </c>
      <c r="T1677">
        <v>566.5346232632869</v>
      </c>
      <c r="U1677">
        <v>4</v>
      </c>
      <c r="V1677">
        <v>0.89952531645569622</v>
      </c>
      <c r="W1677">
        <v>1</v>
      </c>
      <c r="X1677">
        <v>0.89952531645569622</v>
      </c>
      <c r="Y1677">
        <v>3</v>
      </c>
      <c r="Z1677">
        <v>488.06597434012792</v>
      </c>
      <c r="AA1677">
        <v>2</v>
      </c>
      <c r="AB1677">
        <v>3</v>
      </c>
      <c r="AC1677">
        <v>7</v>
      </c>
      <c r="AD1677">
        <v>25.18</v>
      </c>
      <c r="AE1677">
        <v>253</v>
      </c>
      <c r="AF1677">
        <v>13</v>
      </c>
      <c r="AG1677">
        <v>65</v>
      </c>
      <c r="AH1677">
        <v>32</v>
      </c>
      <c r="AI1677">
        <v>5.14</v>
      </c>
      <c r="AJ1677">
        <v>25.69</v>
      </c>
      <c r="AK1677">
        <v>12.65</v>
      </c>
      <c r="AL1677">
        <v>-19.632034449999939</v>
      </c>
      <c r="AM1677">
        <v>-43.916174776913351</v>
      </c>
      <c r="AN1677">
        <v>-19.632034449999939</v>
      </c>
      <c r="AO1677">
        <v>-43.916174776913351</v>
      </c>
      <c r="AP1677">
        <v>-19.632088</v>
      </c>
      <c r="AQ1677">
        <v>-43.916114999999998</v>
      </c>
      <c r="AR1677">
        <v>8.6497324882263911</v>
      </c>
      <c r="AS1677" t="s">
        <v>65</v>
      </c>
      <c r="AT1677">
        <v>1</v>
      </c>
      <c r="AU1677" t="s">
        <v>134</v>
      </c>
      <c r="AV1677" t="s">
        <v>135</v>
      </c>
      <c r="AW1677" t="s">
        <v>60</v>
      </c>
      <c r="AX1677" t="s">
        <v>68</v>
      </c>
      <c r="AY1677" t="s">
        <v>69</v>
      </c>
      <c r="AZ1677" t="b">
        <v>1</v>
      </c>
    </row>
    <row r="1678" spans="1:52" x14ac:dyDescent="0.3">
      <c r="A1678" t="s">
        <v>52</v>
      </c>
      <c r="B1678" t="s">
        <v>53</v>
      </c>
      <c r="C1678" t="s">
        <v>54</v>
      </c>
      <c r="D1678" t="s">
        <v>55</v>
      </c>
      <c r="E1678" t="s">
        <v>851</v>
      </c>
      <c r="F1678" t="s">
        <v>57</v>
      </c>
      <c r="G1678" t="s">
        <v>129</v>
      </c>
      <c r="H1678" t="s">
        <v>136</v>
      </c>
      <c r="I1678" t="s">
        <v>136</v>
      </c>
      <c r="J1678" t="s">
        <v>60</v>
      </c>
      <c r="K1678" t="s">
        <v>131</v>
      </c>
      <c r="L1678" t="s">
        <v>62</v>
      </c>
      <c r="M1678" t="s">
        <v>131</v>
      </c>
      <c r="N1678" t="s">
        <v>132</v>
      </c>
      <c r="O1678" t="s">
        <v>133</v>
      </c>
      <c r="P1678">
        <v>-19.632290999999999</v>
      </c>
      <c r="Q1678">
        <v>-43.916542999999997</v>
      </c>
      <c r="R1678" s="2" t="str">
        <f>HYPERLINK("https://www.google.com/maps?q=-19.6322910,-43.9165430","Abrir no Google Maps")</f>
        <v>Abrir no Google Maps</v>
      </c>
      <c r="S1678">
        <v>4</v>
      </c>
      <c r="T1678">
        <v>556.95255545673058</v>
      </c>
      <c r="U1678">
        <v>4</v>
      </c>
      <c r="V1678">
        <v>0.90104166666666663</v>
      </c>
      <c r="W1678">
        <v>1</v>
      </c>
      <c r="X1678">
        <v>0.90104166666666663</v>
      </c>
      <c r="Y1678">
        <v>3</v>
      </c>
      <c r="Z1678">
        <v>479.66756878400719</v>
      </c>
      <c r="AA1678">
        <v>2</v>
      </c>
      <c r="AB1678">
        <v>3</v>
      </c>
      <c r="AC1678">
        <v>7</v>
      </c>
      <c r="AD1678">
        <v>25.18</v>
      </c>
      <c r="AE1678">
        <v>253</v>
      </c>
      <c r="AF1678">
        <v>13</v>
      </c>
      <c r="AG1678">
        <v>65</v>
      </c>
      <c r="AH1678">
        <v>32</v>
      </c>
      <c r="AI1678">
        <v>5.14</v>
      </c>
      <c r="AJ1678">
        <v>25.69</v>
      </c>
      <c r="AK1678">
        <v>12.65</v>
      </c>
      <c r="AL1678">
        <v>-19.63215424999996</v>
      </c>
      <c r="AM1678">
        <v>-43.916542189528307</v>
      </c>
      <c r="AN1678">
        <v>-19.63215424999996</v>
      </c>
      <c r="AO1678">
        <v>-43.916542189528307</v>
      </c>
      <c r="AP1678">
        <v>-19.632290999999999</v>
      </c>
      <c r="AQ1678">
        <v>-43.916542999999997</v>
      </c>
      <c r="AR1678">
        <v>15.22324717984722</v>
      </c>
      <c r="AS1678" t="s">
        <v>65</v>
      </c>
      <c r="AT1678">
        <v>1</v>
      </c>
      <c r="AU1678" t="s">
        <v>137</v>
      </c>
      <c r="AV1678" t="s">
        <v>138</v>
      </c>
      <c r="AW1678" t="s">
        <v>60</v>
      </c>
      <c r="AX1678" t="s">
        <v>68</v>
      </c>
      <c r="AY1678" t="s">
        <v>69</v>
      </c>
      <c r="AZ1678" t="b">
        <v>1</v>
      </c>
    </row>
    <row r="1679" spans="1:52" x14ac:dyDescent="0.3">
      <c r="A1679" t="s">
        <v>52</v>
      </c>
      <c r="B1679" t="s">
        <v>53</v>
      </c>
      <c r="C1679" t="s">
        <v>54</v>
      </c>
      <c r="D1679" t="s">
        <v>55</v>
      </c>
      <c r="E1679" t="s">
        <v>851</v>
      </c>
      <c r="F1679" t="s">
        <v>57</v>
      </c>
      <c r="G1679" t="s">
        <v>145</v>
      </c>
      <c r="H1679" t="s">
        <v>146</v>
      </c>
      <c r="I1679" t="s">
        <v>146</v>
      </c>
      <c r="J1679" t="s">
        <v>60</v>
      </c>
      <c r="K1679" t="s">
        <v>147</v>
      </c>
      <c r="L1679" t="s">
        <v>62</v>
      </c>
      <c r="M1679" t="s">
        <v>147</v>
      </c>
      <c r="N1679" t="s">
        <v>148</v>
      </c>
      <c r="O1679" t="s">
        <v>81</v>
      </c>
      <c r="P1679">
        <v>-19.629356999999999</v>
      </c>
      <c r="Q1679">
        <v>-43.916857</v>
      </c>
      <c r="R1679" s="2" t="str">
        <f>HYPERLINK("https://www.google.com/maps?q=-19.6293570,-43.9168570","Abrir no Google Maps")</f>
        <v>Abrir no Google Maps</v>
      </c>
      <c r="S1679">
        <v>4</v>
      </c>
      <c r="T1679">
        <v>834.49898564045827</v>
      </c>
      <c r="U1679">
        <v>4</v>
      </c>
      <c r="V1679">
        <v>0.86111111111111116</v>
      </c>
      <c r="W1679">
        <v>1</v>
      </c>
      <c r="X1679">
        <v>0.86111111111111116</v>
      </c>
      <c r="Y1679">
        <v>3</v>
      </c>
      <c r="Z1679">
        <v>774.2841152512085</v>
      </c>
      <c r="AA1679">
        <v>2</v>
      </c>
      <c r="AB1679">
        <v>3</v>
      </c>
      <c r="AC1679">
        <v>7</v>
      </c>
      <c r="AD1679">
        <v>25.18</v>
      </c>
      <c r="AE1679">
        <v>253</v>
      </c>
      <c r="AF1679">
        <v>13</v>
      </c>
      <c r="AG1679">
        <v>65</v>
      </c>
      <c r="AH1679">
        <v>32</v>
      </c>
      <c r="AI1679">
        <v>5.14</v>
      </c>
      <c r="AJ1679">
        <v>25.69</v>
      </c>
      <c r="AK1679">
        <v>12.65</v>
      </c>
      <c r="AL1679">
        <v>-19.62962324999998</v>
      </c>
      <c r="AM1679">
        <v>-43.916419823634037</v>
      </c>
      <c r="AN1679">
        <v>-19.62962324999998</v>
      </c>
      <c r="AO1679">
        <v>-43.916419823634051</v>
      </c>
      <c r="AP1679">
        <v>-19.629356999999999</v>
      </c>
      <c r="AQ1679">
        <v>-43.916857</v>
      </c>
      <c r="AR1679">
        <v>54.585757388798442</v>
      </c>
      <c r="AS1679" t="s">
        <v>65</v>
      </c>
      <c r="AT1679">
        <v>1</v>
      </c>
      <c r="AU1679" t="s">
        <v>149</v>
      </c>
      <c r="AV1679" t="s">
        <v>150</v>
      </c>
      <c r="AW1679" t="s">
        <v>60</v>
      </c>
      <c r="AX1679" t="s">
        <v>68</v>
      </c>
      <c r="AY1679" t="s">
        <v>69</v>
      </c>
      <c r="AZ1679" t="b">
        <v>1</v>
      </c>
    </row>
    <row r="1680" spans="1:52" x14ac:dyDescent="0.3">
      <c r="A1680" t="s">
        <v>52</v>
      </c>
      <c r="B1680" t="s">
        <v>53</v>
      </c>
      <c r="C1680" t="s">
        <v>54</v>
      </c>
      <c r="D1680" t="s">
        <v>55</v>
      </c>
      <c r="E1680" t="s">
        <v>851</v>
      </c>
      <c r="F1680" t="s">
        <v>57</v>
      </c>
      <c r="G1680" t="s">
        <v>252</v>
      </c>
      <c r="H1680" t="s">
        <v>253</v>
      </c>
      <c r="I1680" t="s">
        <v>253</v>
      </c>
      <c r="J1680" t="s">
        <v>60</v>
      </c>
      <c r="K1680" t="s">
        <v>164</v>
      </c>
      <c r="L1680" t="s">
        <v>62</v>
      </c>
      <c r="M1680" t="s">
        <v>164</v>
      </c>
      <c r="N1680" t="s">
        <v>254</v>
      </c>
      <c r="O1680" t="s">
        <v>255</v>
      </c>
      <c r="P1680">
        <v>-19.652244</v>
      </c>
      <c r="Q1680">
        <v>-43.906869</v>
      </c>
      <c r="R1680" s="2" t="str">
        <f>HYPERLINK("https://www.google.com/maps?q=-19.6522440,-43.9068690","Abrir no Google Maps")</f>
        <v>Abrir no Google Maps</v>
      </c>
      <c r="S1680">
        <v>4</v>
      </c>
      <c r="T1680">
        <v>659.98887289357856</v>
      </c>
      <c r="U1680">
        <v>4</v>
      </c>
      <c r="V1680">
        <v>0.87748756218905477</v>
      </c>
      <c r="W1680">
        <v>1</v>
      </c>
      <c r="X1680">
        <v>0.87748756218905477</v>
      </c>
      <c r="Y1680">
        <v>1</v>
      </c>
      <c r="Z1680">
        <v>607.69009953455907</v>
      </c>
      <c r="AA1680">
        <v>2</v>
      </c>
      <c r="AB1680">
        <v>3</v>
      </c>
      <c r="AC1680">
        <v>7</v>
      </c>
      <c r="AD1680">
        <v>25.18</v>
      </c>
      <c r="AE1680">
        <v>253</v>
      </c>
      <c r="AF1680">
        <v>13</v>
      </c>
      <c r="AG1680">
        <v>65</v>
      </c>
      <c r="AH1680">
        <v>32</v>
      </c>
      <c r="AI1680">
        <v>5.14</v>
      </c>
      <c r="AJ1680">
        <v>25.69</v>
      </c>
      <c r="AK1680">
        <v>12.65</v>
      </c>
      <c r="AL1680">
        <v>-19.65225609999996</v>
      </c>
      <c r="AM1680">
        <v>-43.906862663911163</v>
      </c>
      <c r="AN1680">
        <v>-19.65225609999996</v>
      </c>
      <c r="AO1680">
        <v>-43.906862663911149</v>
      </c>
      <c r="AP1680">
        <v>-19.652244</v>
      </c>
      <c r="AQ1680">
        <v>-43.906869</v>
      </c>
      <c r="AR1680">
        <v>1.501852076897872</v>
      </c>
      <c r="AS1680" t="s">
        <v>65</v>
      </c>
      <c r="AT1680">
        <v>1</v>
      </c>
      <c r="AU1680" t="s">
        <v>256</v>
      </c>
      <c r="AV1680" t="s">
        <v>257</v>
      </c>
      <c r="AW1680" t="s">
        <v>60</v>
      </c>
      <c r="AX1680" t="s">
        <v>68</v>
      </c>
      <c r="AY1680" t="s">
        <v>69</v>
      </c>
      <c r="AZ1680" t="b">
        <v>1</v>
      </c>
    </row>
    <row r="1681" spans="1:52" x14ac:dyDescent="0.3">
      <c r="A1681" t="s">
        <v>52</v>
      </c>
      <c r="B1681" t="s">
        <v>53</v>
      </c>
      <c r="C1681" t="s">
        <v>54</v>
      </c>
      <c r="D1681" t="s">
        <v>55</v>
      </c>
      <c r="E1681" t="s">
        <v>851</v>
      </c>
      <c r="F1681" t="s">
        <v>57</v>
      </c>
      <c r="G1681" t="s">
        <v>268</v>
      </c>
      <c r="H1681" t="s">
        <v>269</v>
      </c>
      <c r="I1681" t="s">
        <v>269</v>
      </c>
      <c r="J1681" t="s">
        <v>60</v>
      </c>
      <c r="K1681" t="s">
        <v>164</v>
      </c>
      <c r="L1681" t="s">
        <v>62</v>
      </c>
      <c r="M1681" t="s">
        <v>164</v>
      </c>
      <c r="N1681" t="s">
        <v>270</v>
      </c>
      <c r="O1681" t="s">
        <v>113</v>
      </c>
      <c r="P1681">
        <v>-19.648771</v>
      </c>
      <c r="Q1681">
        <v>-43.903640000000003</v>
      </c>
      <c r="R1681" s="2" t="str">
        <f>HYPERLINK("https://www.google.com/maps?q=-19.6487710,-43.9036400","Abrir no Google Maps")</f>
        <v>Abrir no Google Maps</v>
      </c>
      <c r="S1681">
        <v>4</v>
      </c>
      <c r="T1681">
        <v>206.63717887005251</v>
      </c>
      <c r="U1681">
        <v>4</v>
      </c>
      <c r="V1681">
        <v>0.87040682414698167</v>
      </c>
      <c r="W1681">
        <v>1</v>
      </c>
      <c r="X1681">
        <v>0.87040682414698167</v>
      </c>
      <c r="Y1681">
        <v>1</v>
      </c>
      <c r="Z1681">
        <v>200.80459056276209</v>
      </c>
      <c r="AA1681">
        <v>2</v>
      </c>
      <c r="AB1681">
        <v>3</v>
      </c>
      <c r="AC1681">
        <v>7</v>
      </c>
      <c r="AD1681">
        <v>25.18</v>
      </c>
      <c r="AE1681">
        <v>253</v>
      </c>
      <c r="AF1681">
        <v>13</v>
      </c>
      <c r="AG1681">
        <v>65</v>
      </c>
      <c r="AH1681">
        <v>32</v>
      </c>
      <c r="AI1681">
        <v>5.14</v>
      </c>
      <c r="AJ1681">
        <v>25.69</v>
      </c>
      <c r="AK1681">
        <v>12.65</v>
      </c>
      <c r="AL1681">
        <v>-19.648938299999969</v>
      </c>
      <c r="AM1681">
        <v>-43.903687287450857</v>
      </c>
      <c r="AN1681">
        <v>-19.648938299999969</v>
      </c>
      <c r="AO1681">
        <v>-43.903687287450857</v>
      </c>
      <c r="AP1681">
        <v>-19.648771</v>
      </c>
      <c r="AQ1681">
        <v>-43.903640000000003</v>
      </c>
      <c r="AR1681">
        <v>19.272369946853829</v>
      </c>
      <c r="AS1681" t="s">
        <v>65</v>
      </c>
      <c r="AT1681">
        <v>1</v>
      </c>
      <c r="AU1681" t="s">
        <v>271</v>
      </c>
      <c r="AV1681" t="s">
        <v>272</v>
      </c>
      <c r="AW1681" t="s">
        <v>60</v>
      </c>
      <c r="AX1681" t="s">
        <v>68</v>
      </c>
      <c r="AY1681" t="s">
        <v>69</v>
      </c>
      <c r="AZ1681" t="b">
        <v>1</v>
      </c>
    </row>
    <row r="1682" spans="1:52" x14ac:dyDescent="0.3">
      <c r="A1682" t="s">
        <v>52</v>
      </c>
      <c r="B1682" t="s">
        <v>53</v>
      </c>
      <c r="C1682" t="s">
        <v>54</v>
      </c>
      <c r="D1682" t="s">
        <v>55</v>
      </c>
      <c r="E1682" t="s">
        <v>851</v>
      </c>
      <c r="F1682" t="s">
        <v>57</v>
      </c>
      <c r="G1682" t="s">
        <v>162</v>
      </c>
      <c r="H1682" t="s">
        <v>163</v>
      </c>
      <c r="I1682" t="s">
        <v>163</v>
      </c>
      <c r="J1682" t="s">
        <v>60</v>
      </c>
      <c r="K1682" t="s">
        <v>164</v>
      </c>
      <c r="L1682" t="s">
        <v>62</v>
      </c>
      <c r="M1682" t="s">
        <v>164</v>
      </c>
      <c r="N1682" t="s">
        <v>165</v>
      </c>
      <c r="O1682" t="s">
        <v>166</v>
      </c>
      <c r="P1682">
        <v>-19.650033000000001</v>
      </c>
      <c r="Q1682">
        <v>-43.904634000000001</v>
      </c>
      <c r="R1682" s="2" t="str">
        <f>HYPERLINK("https://www.google.com/maps?q=-19.6500330,-43.9046340","Abrir no Google Maps")</f>
        <v>Abrir no Google Maps</v>
      </c>
      <c r="S1682">
        <v>4</v>
      </c>
      <c r="T1682">
        <v>343.61469317865811</v>
      </c>
      <c r="U1682">
        <v>4</v>
      </c>
      <c r="V1682">
        <v>0.87108262108262113</v>
      </c>
      <c r="W1682">
        <v>1</v>
      </c>
      <c r="X1682">
        <v>0.87108262108262113</v>
      </c>
      <c r="Y1682">
        <v>1</v>
      </c>
      <c r="Z1682">
        <v>351.81960241626399</v>
      </c>
      <c r="AA1682">
        <v>2</v>
      </c>
      <c r="AB1682">
        <v>3</v>
      </c>
      <c r="AC1682">
        <v>7</v>
      </c>
      <c r="AD1682">
        <v>25.18</v>
      </c>
      <c r="AE1682">
        <v>253</v>
      </c>
      <c r="AF1682">
        <v>13</v>
      </c>
      <c r="AG1682">
        <v>65</v>
      </c>
      <c r="AH1682">
        <v>32</v>
      </c>
      <c r="AI1682">
        <v>5.14</v>
      </c>
      <c r="AJ1682">
        <v>25.69</v>
      </c>
      <c r="AK1682">
        <v>12.65</v>
      </c>
      <c r="AL1682">
        <v>-19.650065899999959</v>
      </c>
      <c r="AM1682">
        <v>-43.904619920569793</v>
      </c>
      <c r="AN1682">
        <v>-19.650065899999959</v>
      </c>
      <c r="AO1682">
        <v>-43.904619920569793</v>
      </c>
      <c r="AP1682">
        <v>-19.650033000000001</v>
      </c>
      <c r="AQ1682">
        <v>-43.904634000000001</v>
      </c>
      <c r="AR1682">
        <v>3.9486827164921792</v>
      </c>
      <c r="AS1682" t="s">
        <v>65</v>
      </c>
      <c r="AT1682">
        <v>1</v>
      </c>
      <c r="AU1682" t="s">
        <v>167</v>
      </c>
      <c r="AV1682" t="s">
        <v>168</v>
      </c>
      <c r="AW1682" t="s">
        <v>60</v>
      </c>
      <c r="AX1682" t="s">
        <v>68</v>
      </c>
      <c r="AY1682" t="s">
        <v>69</v>
      </c>
      <c r="AZ1682" t="b">
        <v>1</v>
      </c>
    </row>
    <row r="1683" spans="1:52" x14ac:dyDescent="0.3">
      <c r="A1683" t="s">
        <v>52</v>
      </c>
      <c r="B1683" t="s">
        <v>53</v>
      </c>
      <c r="C1683" t="s">
        <v>54</v>
      </c>
      <c r="D1683" t="s">
        <v>55</v>
      </c>
      <c r="E1683" t="s">
        <v>851</v>
      </c>
      <c r="F1683" t="s">
        <v>176</v>
      </c>
      <c r="G1683" t="s">
        <v>84</v>
      </c>
      <c r="H1683" t="s">
        <v>85</v>
      </c>
      <c r="I1683" t="s">
        <v>85</v>
      </c>
      <c r="J1683" t="s">
        <v>60</v>
      </c>
      <c r="K1683" t="s">
        <v>86</v>
      </c>
      <c r="L1683" t="s">
        <v>62</v>
      </c>
      <c r="M1683" t="s">
        <v>86</v>
      </c>
      <c r="N1683" t="s">
        <v>87</v>
      </c>
      <c r="O1683" t="s">
        <v>88</v>
      </c>
      <c r="P1683">
        <v>-19.629436999999999</v>
      </c>
      <c r="Q1683">
        <v>-43.910398999999998</v>
      </c>
      <c r="R1683" s="2" t="str">
        <f>HYPERLINK("https://www.google.com/maps?q=-19.6294370,-43.9103990","Abrir no Google Maps")</f>
        <v>Abrir no Google Maps</v>
      </c>
      <c r="S1683">
        <v>4</v>
      </c>
      <c r="T1683">
        <v>888.82060643108082</v>
      </c>
      <c r="U1683">
        <v>3</v>
      </c>
      <c r="V1683">
        <v>0.85398230088495575</v>
      </c>
      <c r="W1683">
        <v>1</v>
      </c>
      <c r="X1683">
        <v>0.85398230088495575</v>
      </c>
      <c r="Y1683">
        <v>10</v>
      </c>
      <c r="Z1683">
        <v>867.42797341651737</v>
      </c>
      <c r="AA1683">
        <v>2</v>
      </c>
      <c r="AB1683">
        <v>3</v>
      </c>
      <c r="AC1683">
        <v>7</v>
      </c>
      <c r="AD1683">
        <v>25.18</v>
      </c>
      <c r="AE1683">
        <v>253</v>
      </c>
      <c r="AF1683">
        <v>13</v>
      </c>
      <c r="AG1683">
        <v>65</v>
      </c>
      <c r="AH1683">
        <v>32</v>
      </c>
      <c r="AI1683">
        <v>5.14</v>
      </c>
      <c r="AJ1683">
        <v>25.69</v>
      </c>
      <c r="AK1683">
        <v>12.65</v>
      </c>
      <c r="AL1683">
        <v>-19.62934694999996</v>
      </c>
      <c r="AM1683">
        <v>-43.910344699357317</v>
      </c>
      <c r="AN1683">
        <v>-19.62934694999996</v>
      </c>
      <c r="AO1683">
        <v>-43.910344699357331</v>
      </c>
      <c r="AP1683">
        <v>-19.629436999999999</v>
      </c>
      <c r="AQ1683">
        <v>-43.910398999999998</v>
      </c>
      <c r="AR1683">
        <v>11.52837377953678</v>
      </c>
      <c r="AS1683" t="s">
        <v>65</v>
      </c>
      <c r="AT1683">
        <v>1</v>
      </c>
      <c r="AU1683" t="s">
        <v>89</v>
      </c>
      <c r="AV1683" t="s">
        <v>90</v>
      </c>
      <c r="AW1683" t="s">
        <v>60</v>
      </c>
      <c r="AX1683" t="s">
        <v>68</v>
      </c>
      <c r="AY1683" t="s">
        <v>69</v>
      </c>
      <c r="AZ1683" t="b">
        <v>1</v>
      </c>
    </row>
    <row r="1684" spans="1:52" x14ac:dyDescent="0.3">
      <c r="A1684" t="s">
        <v>52</v>
      </c>
      <c r="B1684" t="s">
        <v>53</v>
      </c>
      <c r="C1684" t="s">
        <v>54</v>
      </c>
      <c r="D1684" t="s">
        <v>55</v>
      </c>
      <c r="E1684" t="s">
        <v>851</v>
      </c>
      <c r="F1684" t="s">
        <v>176</v>
      </c>
      <c r="G1684" t="s">
        <v>91</v>
      </c>
      <c r="H1684" t="s">
        <v>92</v>
      </c>
      <c r="I1684" t="s">
        <v>92</v>
      </c>
      <c r="J1684" t="s">
        <v>60</v>
      </c>
      <c r="K1684" t="s">
        <v>86</v>
      </c>
      <c r="L1684" t="s">
        <v>62</v>
      </c>
      <c r="M1684" t="s">
        <v>86</v>
      </c>
      <c r="N1684" t="s">
        <v>93</v>
      </c>
      <c r="O1684" t="s">
        <v>94</v>
      </c>
      <c r="P1684">
        <v>-19.630676999999999</v>
      </c>
      <c r="Q1684">
        <v>-43.907255999999997</v>
      </c>
      <c r="R1684" s="2" t="str">
        <f>HYPERLINK("https://www.google.com/maps?q=-19.6306770,-43.9072560","Abrir no Google Maps")</f>
        <v>Abrir no Google Maps</v>
      </c>
      <c r="S1684">
        <v>4</v>
      </c>
      <c r="T1684">
        <v>545.39374622597825</v>
      </c>
      <c r="U1684">
        <v>3</v>
      </c>
      <c r="V1684">
        <v>0.85526315789473673</v>
      </c>
      <c r="W1684">
        <v>1</v>
      </c>
      <c r="X1684">
        <v>0.85526315789473673</v>
      </c>
      <c r="Y1684">
        <v>10</v>
      </c>
      <c r="Z1684">
        <v>559.94033759457182</v>
      </c>
      <c r="AA1684">
        <v>2</v>
      </c>
      <c r="AB1684">
        <v>3</v>
      </c>
      <c r="AC1684">
        <v>7</v>
      </c>
      <c r="AD1684">
        <v>25.18</v>
      </c>
      <c r="AE1684">
        <v>253</v>
      </c>
      <c r="AF1684">
        <v>13</v>
      </c>
      <c r="AG1684">
        <v>65</v>
      </c>
      <c r="AH1684">
        <v>32</v>
      </c>
      <c r="AI1684">
        <v>5.14</v>
      </c>
      <c r="AJ1684">
        <v>25.69</v>
      </c>
      <c r="AK1684">
        <v>12.65</v>
      </c>
      <c r="AL1684">
        <v>-19.630448649999941</v>
      </c>
      <c r="AM1684">
        <v>-43.907268502495313</v>
      </c>
      <c r="AN1684">
        <v>-19.630448649999941</v>
      </c>
      <c r="AO1684">
        <v>-43.907268502495313</v>
      </c>
      <c r="AP1684">
        <v>-19.630676999999999</v>
      </c>
      <c r="AQ1684">
        <v>-43.907255999999997</v>
      </c>
      <c r="AR1684">
        <v>25.453700276562468</v>
      </c>
      <c r="AS1684" t="s">
        <v>65</v>
      </c>
      <c r="AT1684">
        <v>1</v>
      </c>
      <c r="AU1684" t="s">
        <v>95</v>
      </c>
      <c r="AV1684" t="s">
        <v>96</v>
      </c>
      <c r="AW1684" t="s">
        <v>60</v>
      </c>
      <c r="AX1684" t="s">
        <v>68</v>
      </c>
      <c r="AY1684" t="s">
        <v>69</v>
      </c>
      <c r="AZ1684" t="b">
        <v>1</v>
      </c>
    </row>
    <row r="1685" spans="1:52" x14ac:dyDescent="0.3">
      <c r="A1685" t="s">
        <v>52</v>
      </c>
      <c r="B1685" t="s">
        <v>53</v>
      </c>
      <c r="C1685" t="s">
        <v>54</v>
      </c>
      <c r="D1685" t="s">
        <v>55</v>
      </c>
      <c r="E1685" t="s">
        <v>851</v>
      </c>
      <c r="F1685" t="s">
        <v>176</v>
      </c>
      <c r="G1685" t="s">
        <v>97</v>
      </c>
      <c r="H1685" t="s">
        <v>98</v>
      </c>
      <c r="I1685" t="s">
        <v>98</v>
      </c>
      <c r="J1685" t="s">
        <v>60</v>
      </c>
      <c r="K1685" t="s">
        <v>99</v>
      </c>
      <c r="L1685" t="s">
        <v>62</v>
      </c>
      <c r="M1685" t="s">
        <v>99</v>
      </c>
      <c r="N1685" t="s">
        <v>100</v>
      </c>
      <c r="O1685" t="s">
        <v>101</v>
      </c>
      <c r="P1685">
        <v>-19.629822000000001</v>
      </c>
      <c r="Q1685">
        <v>-43.905341</v>
      </c>
      <c r="R1685" s="2" t="str">
        <f>HYPERLINK("https://www.google.com/maps?q=-19.6298220,-43.9053410","Abrir no Google Maps")</f>
        <v>Abrir no Google Maps</v>
      </c>
      <c r="S1685">
        <v>4</v>
      </c>
      <c r="T1685">
        <v>441.30597341744129</v>
      </c>
      <c r="U1685">
        <v>3</v>
      </c>
      <c r="V1685">
        <v>0.8527542372881356</v>
      </c>
      <c r="W1685">
        <v>1</v>
      </c>
      <c r="X1685">
        <v>0.8527542372881356</v>
      </c>
      <c r="Y1685">
        <v>10</v>
      </c>
      <c r="Z1685">
        <v>513.56493751010987</v>
      </c>
      <c r="AA1685">
        <v>2</v>
      </c>
      <c r="AB1685">
        <v>3</v>
      </c>
      <c r="AC1685">
        <v>7</v>
      </c>
      <c r="AD1685">
        <v>25.18</v>
      </c>
      <c r="AE1685">
        <v>253</v>
      </c>
      <c r="AF1685">
        <v>13</v>
      </c>
      <c r="AG1685">
        <v>65</v>
      </c>
      <c r="AH1685">
        <v>32</v>
      </c>
      <c r="AI1685">
        <v>5.14</v>
      </c>
      <c r="AJ1685">
        <v>25.69</v>
      </c>
      <c r="AK1685">
        <v>12.65</v>
      </c>
      <c r="AL1685">
        <v>-19.629671599999941</v>
      </c>
      <c r="AM1685">
        <v>-43.905369597920988</v>
      </c>
      <c r="AN1685">
        <v>-19.629671599999931</v>
      </c>
      <c r="AO1685">
        <v>-43.905369597920988</v>
      </c>
      <c r="AP1685">
        <v>-19.629822000000001</v>
      </c>
      <c r="AQ1685">
        <v>-43.905341</v>
      </c>
      <c r="AR1685">
        <v>17.008917699186132</v>
      </c>
      <c r="AS1685" t="s">
        <v>65</v>
      </c>
      <c r="AT1685">
        <v>1</v>
      </c>
      <c r="AU1685" t="s">
        <v>102</v>
      </c>
      <c r="AV1685" t="s">
        <v>103</v>
      </c>
      <c r="AW1685" t="s">
        <v>60</v>
      </c>
      <c r="AX1685" t="s">
        <v>68</v>
      </c>
      <c r="AY1685" t="s">
        <v>69</v>
      </c>
      <c r="AZ1685" t="b">
        <v>1</v>
      </c>
    </row>
    <row r="1686" spans="1:52" x14ac:dyDescent="0.3">
      <c r="A1686" t="s">
        <v>52</v>
      </c>
      <c r="B1686" t="s">
        <v>53</v>
      </c>
      <c r="C1686" t="s">
        <v>54</v>
      </c>
      <c r="D1686" t="s">
        <v>55</v>
      </c>
      <c r="E1686" t="s">
        <v>851</v>
      </c>
      <c r="F1686" t="s">
        <v>176</v>
      </c>
      <c r="G1686" t="s">
        <v>177</v>
      </c>
      <c r="H1686" t="s">
        <v>178</v>
      </c>
      <c r="I1686" t="s">
        <v>178</v>
      </c>
      <c r="J1686" t="s">
        <v>60</v>
      </c>
      <c r="K1686" t="s">
        <v>179</v>
      </c>
      <c r="L1686" t="s">
        <v>62</v>
      </c>
      <c r="M1686" t="s">
        <v>179</v>
      </c>
      <c r="N1686" t="s">
        <v>180</v>
      </c>
      <c r="O1686" t="s">
        <v>120</v>
      </c>
      <c r="P1686">
        <v>-19.651526</v>
      </c>
      <c r="Q1686">
        <v>-43.891382999999998</v>
      </c>
      <c r="R1686" s="2" t="str">
        <f>HYPERLINK("https://www.google.com/maps?q=-19.6515260,-43.8913830","Abrir no Google Maps")</f>
        <v>Abrir no Google Maps</v>
      </c>
      <c r="S1686">
        <v>4</v>
      </c>
      <c r="T1686">
        <v>925.67779296789433</v>
      </c>
      <c r="U1686">
        <v>3</v>
      </c>
      <c r="V1686">
        <v>0.78645833333333326</v>
      </c>
      <c r="W1686">
        <v>1</v>
      </c>
      <c r="X1686">
        <v>0.78645833333333326</v>
      </c>
      <c r="Y1686">
        <v>7</v>
      </c>
      <c r="Z1686">
        <v>1193.102297436121</v>
      </c>
      <c r="AA1686">
        <v>2</v>
      </c>
      <c r="AB1686">
        <v>3</v>
      </c>
      <c r="AC1686">
        <v>7</v>
      </c>
      <c r="AD1686">
        <v>25.18</v>
      </c>
      <c r="AE1686">
        <v>253</v>
      </c>
      <c r="AF1686">
        <v>13</v>
      </c>
      <c r="AG1686">
        <v>65</v>
      </c>
      <c r="AH1686">
        <v>32</v>
      </c>
      <c r="AI1686">
        <v>5.14</v>
      </c>
      <c r="AJ1686">
        <v>25.69</v>
      </c>
      <c r="AK1686">
        <v>12.65</v>
      </c>
      <c r="AL1686">
        <v>-19.651590199999958</v>
      </c>
      <c r="AM1686">
        <v>-43.891399191449963</v>
      </c>
      <c r="AN1686">
        <v>-19.651590199999958</v>
      </c>
      <c r="AO1686">
        <v>-43.891399191449963</v>
      </c>
      <c r="AP1686">
        <v>-19.651526</v>
      </c>
      <c r="AQ1686">
        <v>-43.891382999999998</v>
      </c>
      <c r="AR1686">
        <v>7.3455622550785931</v>
      </c>
      <c r="AS1686" t="s">
        <v>65</v>
      </c>
      <c r="AT1686">
        <v>1</v>
      </c>
      <c r="AU1686" t="s">
        <v>181</v>
      </c>
      <c r="AV1686" t="s">
        <v>182</v>
      </c>
      <c r="AW1686" t="s">
        <v>60</v>
      </c>
      <c r="AX1686" t="s">
        <v>68</v>
      </c>
      <c r="AY1686" t="s">
        <v>69</v>
      </c>
      <c r="AZ1686" t="b">
        <v>1</v>
      </c>
    </row>
    <row r="1687" spans="1:52" x14ac:dyDescent="0.3">
      <c r="A1687" t="s">
        <v>52</v>
      </c>
      <c r="B1687" t="s">
        <v>53</v>
      </c>
      <c r="C1687" t="s">
        <v>54</v>
      </c>
      <c r="D1687" t="s">
        <v>55</v>
      </c>
      <c r="E1687" t="s">
        <v>851</v>
      </c>
      <c r="F1687" t="s">
        <v>176</v>
      </c>
      <c r="G1687" t="s">
        <v>183</v>
      </c>
      <c r="H1687" t="s">
        <v>184</v>
      </c>
      <c r="I1687" t="s">
        <v>184</v>
      </c>
      <c r="J1687" t="s">
        <v>60</v>
      </c>
      <c r="K1687" t="s">
        <v>185</v>
      </c>
      <c r="L1687" t="s">
        <v>62</v>
      </c>
      <c r="M1687" t="s">
        <v>185</v>
      </c>
      <c r="N1687" t="s">
        <v>186</v>
      </c>
      <c r="O1687" t="s">
        <v>187</v>
      </c>
      <c r="P1687">
        <v>-19.628589000000002</v>
      </c>
      <c r="Q1687">
        <v>-43.900232000000003</v>
      </c>
      <c r="R1687" s="2" t="str">
        <f>HYPERLINK("https://www.google.com/maps?q=-19.6285890,-43.9002320","Abrir no Google Maps")</f>
        <v>Abrir no Google Maps</v>
      </c>
      <c r="S1687">
        <v>4</v>
      </c>
      <c r="T1687">
        <v>479.31588622283061</v>
      </c>
      <c r="U1687">
        <v>3</v>
      </c>
      <c r="V1687">
        <v>0.94015957446808518</v>
      </c>
      <c r="W1687">
        <v>0.85</v>
      </c>
      <c r="X1687">
        <v>0.79913563829787237</v>
      </c>
      <c r="Y1687">
        <v>6</v>
      </c>
      <c r="Z1687">
        <v>383.34726345998263</v>
      </c>
      <c r="AA1687">
        <v>2</v>
      </c>
      <c r="AB1687">
        <v>3</v>
      </c>
      <c r="AC1687">
        <v>7</v>
      </c>
      <c r="AD1687">
        <v>25.18</v>
      </c>
      <c r="AE1687">
        <v>253</v>
      </c>
      <c r="AF1687">
        <v>13</v>
      </c>
      <c r="AG1687">
        <v>65</v>
      </c>
      <c r="AH1687">
        <v>32</v>
      </c>
      <c r="AI1687">
        <v>5.14</v>
      </c>
      <c r="AJ1687">
        <v>25.69</v>
      </c>
      <c r="AK1687">
        <v>12.65</v>
      </c>
      <c r="AL1687">
        <v>-19.628813749999949</v>
      </c>
      <c r="AM1687">
        <v>-43.90066394563523</v>
      </c>
      <c r="AN1687">
        <v>-19.628813749999949</v>
      </c>
      <c r="AO1687">
        <v>-43.90066394563523</v>
      </c>
      <c r="AP1687">
        <v>-19.628589000000002</v>
      </c>
      <c r="AQ1687">
        <v>-43.900232000000003</v>
      </c>
      <c r="AR1687">
        <v>51.741071441894853</v>
      </c>
      <c r="AS1687" t="s">
        <v>65</v>
      </c>
      <c r="AT1687">
        <v>1</v>
      </c>
      <c r="AU1687" t="s">
        <v>188</v>
      </c>
      <c r="AV1687" t="s">
        <v>189</v>
      </c>
      <c r="AW1687" t="s">
        <v>60</v>
      </c>
      <c r="AX1687" t="s">
        <v>68</v>
      </c>
      <c r="AY1687" t="s">
        <v>69</v>
      </c>
      <c r="AZ1687" t="b">
        <v>1</v>
      </c>
    </row>
    <row r="1688" spans="1:52" x14ac:dyDescent="0.3">
      <c r="A1688" t="s">
        <v>52</v>
      </c>
      <c r="B1688" t="s">
        <v>53</v>
      </c>
      <c r="C1688" t="s">
        <v>54</v>
      </c>
      <c r="D1688" t="s">
        <v>55</v>
      </c>
      <c r="E1688" t="s">
        <v>851</v>
      </c>
      <c r="F1688" t="s">
        <v>176</v>
      </c>
      <c r="G1688" t="s">
        <v>190</v>
      </c>
      <c r="H1688" t="s">
        <v>191</v>
      </c>
      <c r="I1688" t="s">
        <v>191</v>
      </c>
      <c r="J1688" t="s">
        <v>60</v>
      </c>
      <c r="K1688" t="s">
        <v>192</v>
      </c>
      <c r="L1688" t="s">
        <v>62</v>
      </c>
      <c r="M1688" t="s">
        <v>192</v>
      </c>
      <c r="N1688" t="s">
        <v>193</v>
      </c>
      <c r="O1688" t="s">
        <v>194</v>
      </c>
      <c r="P1688">
        <v>-19.654112000000001</v>
      </c>
      <c r="Q1688">
        <v>-43.910761999999998</v>
      </c>
      <c r="R1688" s="2" t="str">
        <f>HYPERLINK("https://www.google.com/maps?q=-19.6541120,-43.9107620","Abrir no Google Maps")</f>
        <v>Abrir no Google Maps</v>
      </c>
      <c r="S1688">
        <v>4</v>
      </c>
      <c r="T1688">
        <v>1080.0524626304521</v>
      </c>
      <c r="U1688">
        <v>3</v>
      </c>
      <c r="V1688">
        <v>0.783203125</v>
      </c>
      <c r="W1688">
        <v>1</v>
      </c>
      <c r="X1688">
        <v>0.783203125</v>
      </c>
      <c r="Y1688">
        <v>4</v>
      </c>
      <c r="Z1688">
        <v>666.99022879086885</v>
      </c>
      <c r="AA1688">
        <v>2</v>
      </c>
      <c r="AB1688">
        <v>3</v>
      </c>
      <c r="AC1688">
        <v>7</v>
      </c>
      <c r="AD1688">
        <v>25.18</v>
      </c>
      <c r="AE1688">
        <v>253</v>
      </c>
      <c r="AF1688">
        <v>13</v>
      </c>
      <c r="AG1688">
        <v>65</v>
      </c>
      <c r="AH1688">
        <v>32</v>
      </c>
      <c r="AI1688">
        <v>5.14</v>
      </c>
      <c r="AJ1688">
        <v>25.69</v>
      </c>
      <c r="AK1688">
        <v>12.65</v>
      </c>
      <c r="AL1688">
        <v>-19.653869149999959</v>
      </c>
      <c r="AM1688">
        <v>-43.911142816432779</v>
      </c>
      <c r="AN1688">
        <v>-19.653869149999959</v>
      </c>
      <c r="AO1688">
        <v>-43.911142816432779</v>
      </c>
      <c r="AP1688">
        <v>-19.654112000000001</v>
      </c>
      <c r="AQ1688">
        <v>-43.910761999999998</v>
      </c>
      <c r="AR1688">
        <v>48.214810864237499</v>
      </c>
      <c r="AS1688" t="s">
        <v>65</v>
      </c>
      <c r="AT1688">
        <v>1</v>
      </c>
      <c r="AU1688" t="s">
        <v>195</v>
      </c>
      <c r="AV1688" t="s">
        <v>196</v>
      </c>
      <c r="AW1688" t="s">
        <v>60</v>
      </c>
      <c r="AX1688" t="s">
        <v>68</v>
      </c>
      <c r="AY1688" t="s">
        <v>69</v>
      </c>
      <c r="AZ1688" t="b">
        <v>1</v>
      </c>
    </row>
    <row r="1689" spans="1:52" x14ac:dyDescent="0.3">
      <c r="A1689" t="s">
        <v>52</v>
      </c>
      <c r="B1689" t="s">
        <v>53</v>
      </c>
      <c r="C1689" t="s">
        <v>54</v>
      </c>
      <c r="D1689" t="s">
        <v>55</v>
      </c>
      <c r="E1689" t="s">
        <v>851</v>
      </c>
      <c r="F1689" t="s">
        <v>176</v>
      </c>
      <c r="G1689" t="s">
        <v>197</v>
      </c>
      <c r="H1689" t="s">
        <v>198</v>
      </c>
      <c r="I1689" t="s">
        <v>198</v>
      </c>
      <c r="J1689" t="s">
        <v>60</v>
      </c>
      <c r="K1689" t="s">
        <v>199</v>
      </c>
      <c r="L1689" t="s">
        <v>62</v>
      </c>
      <c r="M1689" t="s">
        <v>199</v>
      </c>
      <c r="N1689" t="s">
        <v>200</v>
      </c>
      <c r="O1689" t="s">
        <v>201</v>
      </c>
      <c r="P1689">
        <v>-19.639250000000001</v>
      </c>
      <c r="Q1689">
        <v>-43.916449999999998</v>
      </c>
      <c r="R1689" s="2" t="str">
        <f>HYPERLINK("https://www.google.com/maps?q=-19.6392500,-43.9164500","Abrir no Google Maps")</f>
        <v>Abrir no Google Maps</v>
      </c>
      <c r="S1689">
        <v>4</v>
      </c>
      <c r="T1689">
        <v>249.46350881074861</v>
      </c>
      <c r="U1689">
        <v>3</v>
      </c>
      <c r="V1689">
        <v>0.7947303921568627</v>
      </c>
      <c r="W1689">
        <v>1</v>
      </c>
      <c r="X1689">
        <v>0.7947303921568627</v>
      </c>
      <c r="Y1689">
        <v>3</v>
      </c>
      <c r="Z1689">
        <v>267.54148787490578</v>
      </c>
      <c r="AA1689">
        <v>2</v>
      </c>
      <c r="AB1689">
        <v>3</v>
      </c>
      <c r="AC1689">
        <v>7</v>
      </c>
      <c r="AD1689">
        <v>25.18</v>
      </c>
      <c r="AE1689">
        <v>253</v>
      </c>
      <c r="AF1689">
        <v>13</v>
      </c>
      <c r="AG1689">
        <v>65</v>
      </c>
      <c r="AH1689">
        <v>32</v>
      </c>
      <c r="AI1689">
        <v>5.14</v>
      </c>
      <c r="AJ1689">
        <v>25.69</v>
      </c>
      <c r="AK1689">
        <v>12.65</v>
      </c>
      <c r="AL1689">
        <v>-19.639331149999951</v>
      </c>
      <c r="AM1689">
        <v>-43.916434187886892</v>
      </c>
      <c r="AN1689">
        <v>-19.639331149999951</v>
      </c>
      <c r="AO1689">
        <v>-43.916434187886892</v>
      </c>
      <c r="AP1689">
        <v>-19.639250000000001</v>
      </c>
      <c r="AQ1689">
        <v>-43.916449999999998</v>
      </c>
      <c r="AR1689">
        <v>9.1844750188843953</v>
      </c>
      <c r="AS1689" t="s">
        <v>65</v>
      </c>
      <c r="AT1689">
        <v>1</v>
      </c>
      <c r="AU1689" t="s">
        <v>202</v>
      </c>
      <c r="AV1689" t="s">
        <v>203</v>
      </c>
      <c r="AW1689" t="s">
        <v>60</v>
      </c>
      <c r="AX1689" t="s">
        <v>68</v>
      </c>
      <c r="AY1689" t="s">
        <v>69</v>
      </c>
      <c r="AZ1689" t="b">
        <v>1</v>
      </c>
    </row>
    <row r="1690" spans="1:52" x14ac:dyDescent="0.3">
      <c r="A1690" t="s">
        <v>52</v>
      </c>
      <c r="B1690" t="s">
        <v>53</v>
      </c>
      <c r="C1690" t="s">
        <v>54</v>
      </c>
      <c r="D1690" t="s">
        <v>55</v>
      </c>
      <c r="E1690" t="s">
        <v>851</v>
      </c>
      <c r="F1690" t="s">
        <v>176</v>
      </c>
      <c r="G1690" t="s">
        <v>204</v>
      </c>
      <c r="H1690" t="s">
        <v>205</v>
      </c>
      <c r="I1690" t="s">
        <v>205</v>
      </c>
      <c r="J1690" t="s">
        <v>60</v>
      </c>
      <c r="K1690" t="s">
        <v>171</v>
      </c>
      <c r="L1690" t="s">
        <v>62</v>
      </c>
      <c r="M1690" t="s">
        <v>171</v>
      </c>
      <c r="N1690" t="s">
        <v>206</v>
      </c>
      <c r="O1690" t="s">
        <v>207</v>
      </c>
      <c r="P1690">
        <v>-19.674109000000001</v>
      </c>
      <c r="Q1690">
        <v>-43.890711000000003</v>
      </c>
      <c r="R1690" s="2" t="str">
        <f>HYPERLINK("https://www.google.com/maps?q=-19.6741090,-43.8907110","Abrir no Google Maps")</f>
        <v>Abrir no Google Maps</v>
      </c>
      <c r="S1690">
        <v>4</v>
      </c>
      <c r="T1690">
        <v>396.53059443764772</v>
      </c>
      <c r="U1690">
        <v>3</v>
      </c>
      <c r="V1690">
        <v>0.81631161236424399</v>
      </c>
      <c r="W1690">
        <v>1</v>
      </c>
      <c r="X1690">
        <v>0.81631161236424399</v>
      </c>
      <c r="Y1690">
        <v>3</v>
      </c>
      <c r="Z1690">
        <v>499.22520255557538</v>
      </c>
      <c r="AA1690">
        <v>2</v>
      </c>
      <c r="AB1690">
        <v>3</v>
      </c>
      <c r="AC1690">
        <v>7</v>
      </c>
      <c r="AD1690">
        <v>25.18</v>
      </c>
      <c r="AE1690">
        <v>253</v>
      </c>
      <c r="AF1690">
        <v>13</v>
      </c>
      <c r="AG1690">
        <v>65</v>
      </c>
      <c r="AH1690">
        <v>32</v>
      </c>
      <c r="AI1690">
        <v>5.14</v>
      </c>
      <c r="AJ1690">
        <v>25.69</v>
      </c>
      <c r="AK1690">
        <v>12.65</v>
      </c>
      <c r="AL1690">
        <v>-19.67362479999997</v>
      </c>
      <c r="AM1690">
        <v>-43.89068378253377</v>
      </c>
      <c r="AN1690">
        <v>-19.67362479999997</v>
      </c>
      <c r="AO1690">
        <v>-43.89068378253377</v>
      </c>
      <c r="AP1690">
        <v>-19.674109000000001</v>
      </c>
      <c r="AQ1690">
        <v>-43.890711000000003</v>
      </c>
      <c r="AR1690">
        <v>53.976595260276227</v>
      </c>
      <c r="AS1690" t="s">
        <v>65</v>
      </c>
      <c r="AT1690">
        <v>1</v>
      </c>
      <c r="AU1690" t="s">
        <v>208</v>
      </c>
      <c r="AV1690" t="s">
        <v>209</v>
      </c>
      <c r="AW1690" t="s">
        <v>60</v>
      </c>
      <c r="AX1690" t="s">
        <v>68</v>
      </c>
      <c r="AY1690" t="s">
        <v>69</v>
      </c>
      <c r="AZ1690" t="b">
        <v>1</v>
      </c>
    </row>
    <row r="1691" spans="1:52" x14ac:dyDescent="0.3">
      <c r="A1691" t="s">
        <v>52</v>
      </c>
      <c r="B1691" t="s">
        <v>53</v>
      </c>
      <c r="C1691" t="s">
        <v>54</v>
      </c>
      <c r="D1691" t="s">
        <v>55</v>
      </c>
      <c r="E1691" t="s">
        <v>851</v>
      </c>
      <c r="F1691" t="s">
        <v>176</v>
      </c>
      <c r="G1691" t="s">
        <v>210</v>
      </c>
      <c r="H1691" t="s">
        <v>211</v>
      </c>
      <c r="I1691" t="s">
        <v>211</v>
      </c>
      <c r="J1691" t="s">
        <v>60</v>
      </c>
      <c r="K1691" t="s">
        <v>212</v>
      </c>
      <c r="L1691" t="s">
        <v>62</v>
      </c>
      <c r="M1691" t="s">
        <v>212</v>
      </c>
      <c r="N1691" t="s">
        <v>213</v>
      </c>
      <c r="O1691" t="s">
        <v>214</v>
      </c>
      <c r="P1691">
        <v>-19.632814</v>
      </c>
      <c r="Q1691">
        <v>-43.930782000000001</v>
      </c>
      <c r="R1691" s="2" t="str">
        <f>HYPERLINK("https://www.google.com/maps?q=-19.6328140,-43.9307820","Abrir no Google Maps")</f>
        <v>Abrir no Google Maps</v>
      </c>
      <c r="S1691">
        <v>4</v>
      </c>
      <c r="T1691">
        <v>1643.2659380538339</v>
      </c>
      <c r="U1691">
        <v>3</v>
      </c>
      <c r="V1691">
        <v>0.76010101010101017</v>
      </c>
      <c r="W1691">
        <v>1</v>
      </c>
      <c r="X1691">
        <v>0.76010101010101017</v>
      </c>
      <c r="Y1691">
        <v>3</v>
      </c>
      <c r="Z1691">
        <v>1661.7410651481421</v>
      </c>
      <c r="AA1691">
        <v>2</v>
      </c>
      <c r="AB1691">
        <v>3</v>
      </c>
      <c r="AC1691">
        <v>7</v>
      </c>
      <c r="AD1691">
        <v>25.18</v>
      </c>
      <c r="AE1691">
        <v>253</v>
      </c>
      <c r="AF1691">
        <v>13</v>
      </c>
      <c r="AG1691">
        <v>65</v>
      </c>
      <c r="AH1691">
        <v>32</v>
      </c>
      <c r="AI1691">
        <v>5.14</v>
      </c>
      <c r="AJ1691">
        <v>25.69</v>
      </c>
      <c r="AK1691">
        <v>12.65</v>
      </c>
      <c r="AL1691">
        <v>-19.633145799999941</v>
      </c>
      <c r="AM1691">
        <v>-43.930948481999309</v>
      </c>
      <c r="AN1691">
        <v>-19.633145799999941</v>
      </c>
      <c r="AO1691">
        <v>-43.930948481999309</v>
      </c>
      <c r="AP1691">
        <v>-19.632814</v>
      </c>
      <c r="AQ1691">
        <v>-43.930782000000001</v>
      </c>
      <c r="AR1691">
        <v>40.852848555758172</v>
      </c>
      <c r="AS1691" t="s">
        <v>65</v>
      </c>
      <c r="AT1691">
        <v>1</v>
      </c>
      <c r="AU1691" t="s">
        <v>215</v>
      </c>
      <c r="AV1691" t="s">
        <v>216</v>
      </c>
      <c r="AW1691" t="s">
        <v>60</v>
      </c>
      <c r="AX1691" t="s">
        <v>68</v>
      </c>
      <c r="AY1691" t="s">
        <v>69</v>
      </c>
      <c r="AZ1691" t="b">
        <v>1</v>
      </c>
    </row>
    <row r="1692" spans="1:52" x14ac:dyDescent="0.3">
      <c r="A1692" t="s">
        <v>52</v>
      </c>
      <c r="B1692" t="s">
        <v>53</v>
      </c>
      <c r="C1692" t="s">
        <v>54</v>
      </c>
      <c r="D1692" t="s">
        <v>55</v>
      </c>
      <c r="E1692" t="s">
        <v>851</v>
      </c>
      <c r="F1692" t="s">
        <v>176</v>
      </c>
      <c r="G1692" t="s">
        <v>139</v>
      </c>
      <c r="H1692" t="s">
        <v>140</v>
      </c>
      <c r="I1692" t="s">
        <v>140</v>
      </c>
      <c r="J1692" t="s">
        <v>60</v>
      </c>
      <c r="K1692" t="s">
        <v>79</v>
      </c>
      <c r="L1692" t="s">
        <v>62</v>
      </c>
      <c r="M1692" t="s">
        <v>79</v>
      </c>
      <c r="N1692" t="s">
        <v>141</v>
      </c>
      <c r="O1692" t="s">
        <v>142</v>
      </c>
      <c r="P1692">
        <v>-19.628888</v>
      </c>
      <c r="Q1692">
        <v>-43.912554</v>
      </c>
      <c r="R1692" s="2" t="str">
        <f>HYPERLINK("https://www.google.com/maps?q=-19.6288880,-43.9125540","Abrir no Google Maps")</f>
        <v>Abrir no Google Maps</v>
      </c>
      <c r="S1692">
        <v>4</v>
      </c>
      <c r="T1692">
        <v>1013.629555558835</v>
      </c>
      <c r="U1692">
        <v>3</v>
      </c>
      <c r="V1692">
        <v>0.97035256410256399</v>
      </c>
      <c r="W1692">
        <v>0.85</v>
      </c>
      <c r="X1692">
        <v>0.82479967948717936</v>
      </c>
      <c r="Y1692">
        <v>3</v>
      </c>
      <c r="Z1692">
        <v>950.42126394515765</v>
      </c>
      <c r="AA1692">
        <v>2</v>
      </c>
      <c r="AB1692">
        <v>3</v>
      </c>
      <c r="AC1692">
        <v>7</v>
      </c>
      <c r="AD1692">
        <v>25.18</v>
      </c>
      <c r="AE1692">
        <v>253</v>
      </c>
      <c r="AF1692">
        <v>13</v>
      </c>
      <c r="AG1692">
        <v>65</v>
      </c>
      <c r="AH1692">
        <v>32</v>
      </c>
      <c r="AI1692">
        <v>5.14</v>
      </c>
      <c r="AJ1692">
        <v>25.69</v>
      </c>
      <c r="AK1692">
        <v>12.65</v>
      </c>
      <c r="AL1692">
        <v>-19.628472899999959</v>
      </c>
      <c r="AM1692">
        <v>-43.912746118821246</v>
      </c>
      <c r="AN1692">
        <v>-19.628472899999959</v>
      </c>
      <c r="AO1692">
        <v>-43.912746118821246</v>
      </c>
      <c r="AP1692">
        <v>-19.628888</v>
      </c>
      <c r="AQ1692">
        <v>-43.912554</v>
      </c>
      <c r="AR1692">
        <v>50.408750888077009</v>
      </c>
      <c r="AS1692" t="s">
        <v>65</v>
      </c>
      <c r="AT1692">
        <v>1</v>
      </c>
      <c r="AU1692" t="s">
        <v>143</v>
      </c>
      <c r="AV1692" t="s">
        <v>144</v>
      </c>
      <c r="AW1692" t="s">
        <v>60</v>
      </c>
      <c r="AX1692" t="s">
        <v>68</v>
      </c>
      <c r="AY1692" t="s">
        <v>69</v>
      </c>
      <c r="AZ1692" t="b">
        <v>1</v>
      </c>
    </row>
    <row r="1693" spans="1:52" x14ac:dyDescent="0.3">
      <c r="A1693" t="s">
        <v>52</v>
      </c>
      <c r="B1693" t="s">
        <v>53</v>
      </c>
      <c r="C1693" t="s">
        <v>54</v>
      </c>
      <c r="D1693" t="s">
        <v>55</v>
      </c>
      <c r="E1693" t="s">
        <v>851</v>
      </c>
      <c r="F1693" t="s">
        <v>176</v>
      </c>
      <c r="G1693" t="s">
        <v>217</v>
      </c>
      <c r="H1693" t="s">
        <v>218</v>
      </c>
      <c r="I1693" t="s">
        <v>218</v>
      </c>
      <c r="J1693" t="s">
        <v>60</v>
      </c>
      <c r="K1693" t="s">
        <v>219</v>
      </c>
      <c r="L1693" t="s">
        <v>62</v>
      </c>
      <c r="M1693" t="s">
        <v>219</v>
      </c>
      <c r="N1693" t="s">
        <v>220</v>
      </c>
      <c r="O1693" t="s">
        <v>221</v>
      </c>
      <c r="P1693">
        <v>-19.668924000000001</v>
      </c>
      <c r="Q1693">
        <v>-43.888824</v>
      </c>
      <c r="R1693" s="2" t="str">
        <f>HYPERLINK("https://www.google.com/maps?q=-19.6689240,-43.8888240","Abrir no Google Maps")</f>
        <v>Abrir no Google Maps</v>
      </c>
      <c r="S1693">
        <v>4</v>
      </c>
      <c r="T1693">
        <v>911.82770913869297</v>
      </c>
      <c r="U1693">
        <v>3</v>
      </c>
      <c r="V1693">
        <v>0.7791950113378685</v>
      </c>
      <c r="W1693">
        <v>1</v>
      </c>
      <c r="X1693">
        <v>0.7791950113378685</v>
      </c>
      <c r="Y1693">
        <v>3</v>
      </c>
      <c r="Z1693">
        <v>306.43809582423751</v>
      </c>
      <c r="AA1693">
        <v>2</v>
      </c>
      <c r="AB1693">
        <v>3</v>
      </c>
      <c r="AC1693">
        <v>7</v>
      </c>
      <c r="AD1693">
        <v>25.18</v>
      </c>
      <c r="AE1693">
        <v>253</v>
      </c>
      <c r="AF1693">
        <v>13</v>
      </c>
      <c r="AG1693">
        <v>65</v>
      </c>
      <c r="AH1693">
        <v>32</v>
      </c>
      <c r="AI1693">
        <v>5.14</v>
      </c>
      <c r="AJ1693">
        <v>25.69</v>
      </c>
      <c r="AK1693">
        <v>12.65</v>
      </c>
      <c r="AL1693">
        <v>-19.669015399999981</v>
      </c>
      <c r="AM1693">
        <v>-43.88883436988452</v>
      </c>
      <c r="AN1693">
        <v>-19.669015399999971</v>
      </c>
      <c r="AO1693">
        <v>-43.88883436988452</v>
      </c>
      <c r="AP1693">
        <v>-19.668924000000001</v>
      </c>
      <c r="AQ1693">
        <v>-43.888824</v>
      </c>
      <c r="AR1693">
        <v>10.23254983885769</v>
      </c>
      <c r="AS1693" t="s">
        <v>65</v>
      </c>
      <c r="AT1693">
        <v>1</v>
      </c>
      <c r="AU1693" t="s">
        <v>222</v>
      </c>
      <c r="AV1693" t="s">
        <v>223</v>
      </c>
      <c r="AW1693" t="s">
        <v>60</v>
      </c>
      <c r="AX1693" t="s">
        <v>68</v>
      </c>
      <c r="AY1693" t="s">
        <v>69</v>
      </c>
      <c r="AZ1693" t="b">
        <v>1</v>
      </c>
    </row>
    <row r="1694" spans="1:52" x14ac:dyDescent="0.3">
      <c r="A1694" t="s">
        <v>52</v>
      </c>
      <c r="B1694" t="s">
        <v>53</v>
      </c>
      <c r="C1694" t="s">
        <v>54</v>
      </c>
      <c r="D1694" t="s">
        <v>55</v>
      </c>
      <c r="E1694" t="s">
        <v>851</v>
      </c>
      <c r="F1694" t="s">
        <v>176</v>
      </c>
      <c r="G1694" t="s">
        <v>197</v>
      </c>
      <c r="H1694" t="s">
        <v>224</v>
      </c>
      <c r="I1694" t="s">
        <v>224</v>
      </c>
      <c r="J1694" t="s">
        <v>60</v>
      </c>
      <c r="K1694" t="s">
        <v>199</v>
      </c>
      <c r="L1694" t="s">
        <v>62</v>
      </c>
      <c r="M1694" t="s">
        <v>199</v>
      </c>
      <c r="N1694" t="s">
        <v>200</v>
      </c>
      <c r="O1694" t="s">
        <v>225</v>
      </c>
      <c r="P1694">
        <v>-19.637217</v>
      </c>
      <c r="Q1694">
        <v>-43.916117</v>
      </c>
      <c r="R1694" s="2" t="str">
        <f>HYPERLINK("https://www.google.com/maps?q=-19.6372170,-43.9161170","Abrir no Google Maps")</f>
        <v>Abrir no Google Maps</v>
      </c>
      <c r="S1694">
        <v>4</v>
      </c>
      <c r="T1694">
        <v>0</v>
      </c>
      <c r="U1694">
        <v>3</v>
      </c>
      <c r="V1694">
        <v>0.80245803357314149</v>
      </c>
      <c r="W1694">
        <v>1</v>
      </c>
      <c r="X1694">
        <v>0.80245803357314149</v>
      </c>
      <c r="Y1694">
        <v>3</v>
      </c>
      <c r="Z1694">
        <v>94.289538231800577</v>
      </c>
      <c r="AA1694">
        <v>2</v>
      </c>
      <c r="AB1694">
        <v>3</v>
      </c>
      <c r="AC1694">
        <v>7</v>
      </c>
      <c r="AD1694">
        <v>25.18</v>
      </c>
      <c r="AE1694">
        <v>253</v>
      </c>
      <c r="AF1694">
        <v>13</v>
      </c>
      <c r="AG1694">
        <v>65</v>
      </c>
      <c r="AH1694">
        <v>32</v>
      </c>
      <c r="AI1694">
        <v>5.14</v>
      </c>
      <c r="AJ1694">
        <v>25.69</v>
      </c>
      <c r="AK1694">
        <v>12.65</v>
      </c>
      <c r="AL1694">
        <v>-19.63714454999996</v>
      </c>
      <c r="AM1694">
        <v>-43.915856532303224</v>
      </c>
      <c r="AN1694">
        <v>-19.63714454999996</v>
      </c>
      <c r="AO1694">
        <v>-43.915856532303224</v>
      </c>
      <c r="AP1694">
        <v>-19.637217</v>
      </c>
      <c r="AQ1694">
        <v>-43.916117</v>
      </c>
      <c r="AR1694">
        <v>28.47493692061667</v>
      </c>
      <c r="AS1694" t="s">
        <v>65</v>
      </c>
      <c r="AT1694">
        <v>1</v>
      </c>
      <c r="AU1694" t="s">
        <v>226</v>
      </c>
      <c r="AV1694" t="s">
        <v>227</v>
      </c>
      <c r="AW1694" t="s">
        <v>60</v>
      </c>
      <c r="AX1694" t="s">
        <v>68</v>
      </c>
      <c r="AY1694" t="s">
        <v>69</v>
      </c>
      <c r="AZ1694" t="b">
        <v>1</v>
      </c>
    </row>
    <row r="1695" spans="1:52" x14ac:dyDescent="0.3">
      <c r="A1695" t="s">
        <v>52</v>
      </c>
      <c r="B1695" t="s">
        <v>53</v>
      </c>
      <c r="C1695" t="s">
        <v>54</v>
      </c>
      <c r="D1695" t="s">
        <v>55</v>
      </c>
      <c r="E1695" t="s">
        <v>851</v>
      </c>
      <c r="F1695" t="s">
        <v>176</v>
      </c>
      <c r="G1695" t="s">
        <v>228</v>
      </c>
      <c r="H1695" t="s">
        <v>229</v>
      </c>
      <c r="I1695" t="s">
        <v>229</v>
      </c>
      <c r="J1695" t="s">
        <v>60</v>
      </c>
      <c r="K1695" t="s">
        <v>199</v>
      </c>
      <c r="L1695" t="s">
        <v>62</v>
      </c>
      <c r="M1695" t="s">
        <v>199</v>
      </c>
      <c r="N1695" t="s">
        <v>230</v>
      </c>
      <c r="O1695" t="s">
        <v>88</v>
      </c>
      <c r="P1695">
        <v>-19.637703999999999</v>
      </c>
      <c r="Q1695">
        <v>-43.913817999999999</v>
      </c>
      <c r="R1695" s="2" t="str">
        <f>HYPERLINK("https://www.google.com/maps?q=-19.6377040,-43.9138180","Abrir no Google Maps")</f>
        <v>Abrir no Google Maps</v>
      </c>
      <c r="S1695">
        <v>4</v>
      </c>
      <c r="T1695">
        <v>216.67225021659709</v>
      </c>
      <c r="U1695">
        <v>3</v>
      </c>
      <c r="V1695">
        <v>0.82014388489208634</v>
      </c>
      <c r="W1695">
        <v>1</v>
      </c>
      <c r="X1695">
        <v>0.82014388489208634</v>
      </c>
      <c r="Y1695">
        <v>3</v>
      </c>
      <c r="Z1695">
        <v>250.25912407368671</v>
      </c>
      <c r="AA1695">
        <v>2</v>
      </c>
      <c r="AB1695">
        <v>3</v>
      </c>
      <c r="AC1695">
        <v>7</v>
      </c>
      <c r="AD1695">
        <v>25.18</v>
      </c>
      <c r="AE1695">
        <v>253</v>
      </c>
      <c r="AF1695">
        <v>13</v>
      </c>
      <c r="AG1695">
        <v>65</v>
      </c>
      <c r="AH1695">
        <v>32</v>
      </c>
      <c r="AI1695">
        <v>5.14</v>
      </c>
      <c r="AJ1695">
        <v>25.69</v>
      </c>
      <c r="AK1695">
        <v>12.65</v>
      </c>
      <c r="AL1695">
        <v>-19.637548049999939</v>
      </c>
      <c r="AM1695">
        <v>-43.91383458447649</v>
      </c>
      <c r="AN1695">
        <v>-19.637548049999939</v>
      </c>
      <c r="AO1695">
        <v>-43.91383458447649</v>
      </c>
      <c r="AP1695">
        <v>-19.637703999999999</v>
      </c>
      <c r="AQ1695">
        <v>-43.913817999999999</v>
      </c>
      <c r="AR1695">
        <v>17.44721566371809</v>
      </c>
      <c r="AS1695" t="s">
        <v>65</v>
      </c>
      <c r="AT1695">
        <v>1</v>
      </c>
      <c r="AU1695" t="s">
        <v>231</v>
      </c>
      <c r="AV1695" t="s">
        <v>232</v>
      </c>
      <c r="AW1695" t="s">
        <v>60</v>
      </c>
      <c r="AX1695" t="s">
        <v>68</v>
      </c>
      <c r="AY1695" t="s">
        <v>69</v>
      </c>
      <c r="AZ1695" t="b">
        <v>1</v>
      </c>
    </row>
    <row r="1696" spans="1:52" x14ac:dyDescent="0.3">
      <c r="A1696" t="s">
        <v>52</v>
      </c>
      <c r="B1696" t="s">
        <v>53</v>
      </c>
      <c r="C1696" t="s">
        <v>54</v>
      </c>
      <c r="D1696" t="s">
        <v>55</v>
      </c>
      <c r="E1696" t="s">
        <v>851</v>
      </c>
      <c r="F1696" t="s">
        <v>176</v>
      </c>
      <c r="G1696" t="s">
        <v>151</v>
      </c>
      <c r="H1696" t="s">
        <v>152</v>
      </c>
      <c r="I1696" t="s">
        <v>152</v>
      </c>
      <c r="J1696" t="s">
        <v>60</v>
      </c>
      <c r="K1696" t="s">
        <v>72</v>
      </c>
      <c r="L1696" t="s">
        <v>62</v>
      </c>
      <c r="M1696" t="s">
        <v>72</v>
      </c>
      <c r="N1696" t="s">
        <v>153</v>
      </c>
      <c r="O1696" t="s">
        <v>81</v>
      </c>
      <c r="P1696">
        <v>-19.635065999999998</v>
      </c>
      <c r="Q1696">
        <v>-43.916640000000001</v>
      </c>
      <c r="R1696" s="2" t="str">
        <f>HYPERLINK("https://www.google.com/maps?q=-19.6350660,-43.9166400","Abrir no Google Maps")</f>
        <v>Abrir no Google Maps</v>
      </c>
      <c r="S1696">
        <v>4</v>
      </c>
      <c r="T1696">
        <v>245.09875796292749</v>
      </c>
      <c r="U1696">
        <v>3</v>
      </c>
      <c r="V1696">
        <v>0.8125</v>
      </c>
      <c r="W1696">
        <v>1</v>
      </c>
      <c r="X1696">
        <v>0.8125</v>
      </c>
      <c r="Y1696">
        <v>3</v>
      </c>
      <c r="Z1696">
        <v>207.74356419317499</v>
      </c>
      <c r="AA1696">
        <v>2</v>
      </c>
      <c r="AB1696">
        <v>3</v>
      </c>
      <c r="AC1696">
        <v>7</v>
      </c>
      <c r="AD1696">
        <v>25.18</v>
      </c>
      <c r="AE1696">
        <v>253</v>
      </c>
      <c r="AF1696">
        <v>13</v>
      </c>
      <c r="AG1696">
        <v>65</v>
      </c>
      <c r="AH1696">
        <v>32</v>
      </c>
      <c r="AI1696">
        <v>5.14</v>
      </c>
      <c r="AJ1696">
        <v>25.69</v>
      </c>
      <c r="AK1696">
        <v>12.65</v>
      </c>
      <c r="AL1696">
        <v>-19.63505579999995</v>
      </c>
      <c r="AM1696">
        <v>-43.916633303072622</v>
      </c>
      <c r="AN1696">
        <v>-19.63505579999995</v>
      </c>
      <c r="AO1696">
        <v>-43.916633303072622</v>
      </c>
      <c r="AP1696">
        <v>-19.635065999999998</v>
      </c>
      <c r="AQ1696">
        <v>-43.916640000000001</v>
      </c>
      <c r="AR1696">
        <v>1.335026849412978</v>
      </c>
      <c r="AS1696" t="s">
        <v>65</v>
      </c>
      <c r="AT1696">
        <v>1</v>
      </c>
      <c r="AU1696" t="s">
        <v>154</v>
      </c>
      <c r="AV1696" t="s">
        <v>155</v>
      </c>
      <c r="AW1696" t="s">
        <v>60</v>
      </c>
      <c r="AX1696" t="s">
        <v>68</v>
      </c>
      <c r="AY1696" t="s">
        <v>69</v>
      </c>
      <c r="AZ1696" t="b">
        <v>1</v>
      </c>
    </row>
    <row r="1697" spans="1:52" x14ac:dyDescent="0.3">
      <c r="A1697" t="s">
        <v>52</v>
      </c>
      <c r="B1697" t="s">
        <v>53</v>
      </c>
      <c r="C1697" t="s">
        <v>54</v>
      </c>
      <c r="D1697" t="s">
        <v>55</v>
      </c>
      <c r="E1697" t="s">
        <v>851</v>
      </c>
      <c r="F1697" t="s">
        <v>176</v>
      </c>
      <c r="G1697" t="s">
        <v>156</v>
      </c>
      <c r="H1697" t="s">
        <v>157</v>
      </c>
      <c r="I1697" t="s">
        <v>157</v>
      </c>
      <c r="J1697" t="s">
        <v>60</v>
      </c>
      <c r="K1697" t="s">
        <v>79</v>
      </c>
      <c r="L1697" t="s">
        <v>62</v>
      </c>
      <c r="M1697" t="s">
        <v>79</v>
      </c>
      <c r="N1697" t="s">
        <v>158</v>
      </c>
      <c r="O1697" t="s">
        <v>159</v>
      </c>
      <c r="P1697">
        <v>-19.634687</v>
      </c>
      <c r="Q1697">
        <v>-43.912925999999999</v>
      </c>
      <c r="R1697" s="2" t="str">
        <f>HYPERLINK("https://www.google.com/maps?q=-19.6346870,-43.9129260","Abrir no Google Maps")</f>
        <v>Abrir no Google Maps</v>
      </c>
      <c r="S1697">
        <v>4</v>
      </c>
      <c r="T1697">
        <v>363.69725005634331</v>
      </c>
      <c r="U1697">
        <v>3</v>
      </c>
      <c r="V1697">
        <v>0.81588669950738912</v>
      </c>
      <c r="W1697">
        <v>1</v>
      </c>
      <c r="X1697">
        <v>0.81588669950738912</v>
      </c>
      <c r="Y1697">
        <v>3</v>
      </c>
      <c r="Z1697">
        <v>343.04088334900467</v>
      </c>
      <c r="AA1697">
        <v>2</v>
      </c>
      <c r="AB1697">
        <v>3</v>
      </c>
      <c r="AC1697">
        <v>7</v>
      </c>
      <c r="AD1697">
        <v>25.18</v>
      </c>
      <c r="AE1697">
        <v>253</v>
      </c>
      <c r="AF1697">
        <v>13</v>
      </c>
      <c r="AG1697">
        <v>65</v>
      </c>
      <c r="AH1697">
        <v>32</v>
      </c>
      <c r="AI1697">
        <v>5.14</v>
      </c>
      <c r="AJ1697">
        <v>25.69</v>
      </c>
      <c r="AK1697">
        <v>12.65</v>
      </c>
      <c r="AL1697">
        <v>-19.635145849999962</v>
      </c>
      <c r="AM1697">
        <v>-43.913103387269381</v>
      </c>
      <c r="AN1697">
        <v>-19.635145849999962</v>
      </c>
      <c r="AO1697">
        <v>-43.913103387269381</v>
      </c>
      <c r="AP1697">
        <v>-19.634687</v>
      </c>
      <c r="AQ1697">
        <v>-43.912925999999999</v>
      </c>
      <c r="AR1697">
        <v>54.359794849827942</v>
      </c>
      <c r="AS1697" t="s">
        <v>65</v>
      </c>
      <c r="AT1697">
        <v>1</v>
      </c>
      <c r="AU1697" t="s">
        <v>160</v>
      </c>
      <c r="AV1697" t="s">
        <v>161</v>
      </c>
      <c r="AW1697" t="s">
        <v>60</v>
      </c>
      <c r="AX1697" t="s">
        <v>68</v>
      </c>
      <c r="AY1697" t="s">
        <v>69</v>
      </c>
      <c r="AZ1697" t="b">
        <v>1</v>
      </c>
    </row>
    <row r="1698" spans="1:52" x14ac:dyDescent="0.3">
      <c r="A1698" t="s">
        <v>52</v>
      </c>
      <c r="B1698" t="s">
        <v>53</v>
      </c>
      <c r="C1698" t="s">
        <v>54</v>
      </c>
      <c r="D1698" t="s">
        <v>55</v>
      </c>
      <c r="E1698" t="s">
        <v>851</v>
      </c>
      <c r="F1698" t="s">
        <v>176</v>
      </c>
      <c r="G1698" t="s">
        <v>239</v>
      </c>
      <c r="H1698" t="s">
        <v>240</v>
      </c>
      <c r="I1698" t="s">
        <v>240</v>
      </c>
      <c r="J1698" t="s">
        <v>60</v>
      </c>
      <c r="K1698" t="s">
        <v>241</v>
      </c>
      <c r="L1698" t="s">
        <v>62</v>
      </c>
      <c r="M1698" t="s">
        <v>241</v>
      </c>
      <c r="N1698" t="s">
        <v>242</v>
      </c>
      <c r="O1698" t="s">
        <v>243</v>
      </c>
      <c r="P1698">
        <v>-19.64987</v>
      </c>
      <c r="Q1698">
        <v>-43.901328999999997</v>
      </c>
      <c r="R1698" s="2" t="str">
        <f>HYPERLINK("https://www.google.com/maps?q=-19.6498700,-43.9013290","Abrir no Google Maps")</f>
        <v>Abrir no Google Maps</v>
      </c>
      <c r="S1698">
        <v>4</v>
      </c>
      <c r="T1698">
        <v>379.88574886534309</v>
      </c>
      <c r="U1698">
        <v>3</v>
      </c>
      <c r="V1698">
        <v>0.8317550505050505</v>
      </c>
      <c r="W1698">
        <v>1</v>
      </c>
      <c r="X1698">
        <v>0.8317550505050505</v>
      </c>
      <c r="Y1698">
        <v>1</v>
      </c>
      <c r="Z1698">
        <v>442.33649591135162</v>
      </c>
      <c r="AA1698">
        <v>2</v>
      </c>
      <c r="AB1698">
        <v>3</v>
      </c>
      <c r="AC1698">
        <v>7</v>
      </c>
      <c r="AD1698">
        <v>25.18</v>
      </c>
      <c r="AE1698">
        <v>253</v>
      </c>
      <c r="AF1698">
        <v>13</v>
      </c>
      <c r="AG1698">
        <v>65</v>
      </c>
      <c r="AH1698">
        <v>32</v>
      </c>
      <c r="AI1698">
        <v>5.14</v>
      </c>
      <c r="AJ1698">
        <v>25.69</v>
      </c>
      <c r="AK1698">
        <v>12.65</v>
      </c>
      <c r="AL1698">
        <v>-19.64971674999995</v>
      </c>
      <c r="AM1698">
        <v>-43.901441574655102</v>
      </c>
      <c r="AN1698">
        <v>-19.64971674999995</v>
      </c>
      <c r="AO1698">
        <v>-43.901441574655102</v>
      </c>
      <c r="AP1698">
        <v>-19.64987</v>
      </c>
      <c r="AQ1698">
        <v>-43.901328999999997</v>
      </c>
      <c r="AR1698">
        <v>20.744262514610401</v>
      </c>
      <c r="AS1698" t="s">
        <v>65</v>
      </c>
      <c r="AT1698">
        <v>1</v>
      </c>
      <c r="AU1698" t="s">
        <v>244</v>
      </c>
      <c r="AV1698" t="s">
        <v>245</v>
      </c>
      <c r="AW1698" t="s">
        <v>60</v>
      </c>
      <c r="AX1698" t="s">
        <v>68</v>
      </c>
      <c r="AY1698" t="s">
        <v>69</v>
      </c>
      <c r="AZ1698" t="b">
        <v>1</v>
      </c>
    </row>
    <row r="1699" spans="1:52" x14ac:dyDescent="0.3">
      <c r="A1699" t="s">
        <v>52</v>
      </c>
      <c r="B1699" t="s">
        <v>53</v>
      </c>
      <c r="C1699" t="s">
        <v>54</v>
      </c>
      <c r="D1699" t="s">
        <v>55</v>
      </c>
      <c r="E1699" t="s">
        <v>851</v>
      </c>
      <c r="F1699" t="s">
        <v>176</v>
      </c>
      <c r="G1699" t="s">
        <v>246</v>
      </c>
      <c r="H1699" t="s">
        <v>247</v>
      </c>
      <c r="I1699" t="s">
        <v>247</v>
      </c>
      <c r="J1699" t="s">
        <v>60</v>
      </c>
      <c r="K1699" t="s">
        <v>164</v>
      </c>
      <c r="L1699" t="s">
        <v>62</v>
      </c>
      <c r="M1699" t="s">
        <v>164</v>
      </c>
      <c r="N1699" t="s">
        <v>248</v>
      </c>
      <c r="O1699" t="s">
        <v>249</v>
      </c>
      <c r="P1699">
        <v>-19.6448</v>
      </c>
      <c r="Q1699">
        <v>-43.901600999999999</v>
      </c>
      <c r="R1699" s="2" t="str">
        <f>HYPERLINK("https://www.google.com/maps?q=-19.6448000,-43.9016010","Abrir no Google Maps")</f>
        <v>Abrir no Google Maps</v>
      </c>
      <c r="S1699">
        <v>4</v>
      </c>
      <c r="T1699">
        <v>317.869447308274</v>
      </c>
      <c r="U1699">
        <v>3</v>
      </c>
      <c r="V1699">
        <v>0.84215328467153283</v>
      </c>
      <c r="W1699">
        <v>1</v>
      </c>
      <c r="X1699">
        <v>0.84215328467153283</v>
      </c>
      <c r="Y1699">
        <v>1</v>
      </c>
      <c r="Z1699">
        <v>349.42631749673592</v>
      </c>
      <c r="AA1699">
        <v>2</v>
      </c>
      <c r="AB1699">
        <v>3</v>
      </c>
      <c r="AC1699">
        <v>7</v>
      </c>
      <c r="AD1699">
        <v>25.18</v>
      </c>
      <c r="AE1699">
        <v>253</v>
      </c>
      <c r="AF1699">
        <v>13</v>
      </c>
      <c r="AG1699">
        <v>65</v>
      </c>
      <c r="AH1699">
        <v>32</v>
      </c>
      <c r="AI1699">
        <v>5.14</v>
      </c>
      <c r="AJ1699">
        <v>25.69</v>
      </c>
      <c r="AK1699">
        <v>12.65</v>
      </c>
      <c r="AL1699">
        <v>-19.644877249999951</v>
      </c>
      <c r="AM1699">
        <v>-43.901796079893373</v>
      </c>
      <c r="AN1699">
        <v>-19.644877249999951</v>
      </c>
      <c r="AO1699">
        <v>-43.901796079893373</v>
      </c>
      <c r="AP1699">
        <v>-19.6448</v>
      </c>
      <c r="AQ1699">
        <v>-43.901600999999999</v>
      </c>
      <c r="AR1699">
        <v>22.186635956426102</v>
      </c>
      <c r="AS1699" t="s">
        <v>65</v>
      </c>
      <c r="AT1699">
        <v>1</v>
      </c>
      <c r="AU1699" t="s">
        <v>250</v>
      </c>
      <c r="AV1699" t="s">
        <v>251</v>
      </c>
      <c r="AW1699" t="s">
        <v>60</v>
      </c>
      <c r="AX1699" t="s">
        <v>68</v>
      </c>
      <c r="AY1699" t="s">
        <v>69</v>
      </c>
      <c r="AZ1699" t="b">
        <v>1</v>
      </c>
    </row>
    <row r="1700" spans="1:52" x14ac:dyDescent="0.3">
      <c r="A1700" t="s">
        <v>52</v>
      </c>
      <c r="B1700" t="s">
        <v>53</v>
      </c>
      <c r="C1700" t="s">
        <v>54</v>
      </c>
      <c r="D1700" t="s">
        <v>55</v>
      </c>
      <c r="E1700" t="s">
        <v>851</v>
      </c>
      <c r="F1700" t="s">
        <v>176</v>
      </c>
      <c r="G1700" t="s">
        <v>258</v>
      </c>
      <c r="H1700" t="s">
        <v>259</v>
      </c>
      <c r="I1700" t="s">
        <v>259</v>
      </c>
      <c r="J1700" t="s">
        <v>60</v>
      </c>
      <c r="K1700" t="s">
        <v>192</v>
      </c>
      <c r="L1700" t="s">
        <v>62</v>
      </c>
      <c r="M1700" t="s">
        <v>192</v>
      </c>
      <c r="N1700" t="s">
        <v>260</v>
      </c>
      <c r="O1700" t="s">
        <v>261</v>
      </c>
      <c r="P1700">
        <v>-19.651322</v>
      </c>
      <c r="Q1700">
        <v>-43.909526999999997</v>
      </c>
      <c r="R1700" s="2" t="str">
        <f>HYPERLINK("https://www.google.com/maps?q=-19.6513220,-43.9095270","Abrir no Google Maps")</f>
        <v>Abrir no Google Maps</v>
      </c>
      <c r="S1700">
        <v>4</v>
      </c>
      <c r="T1700">
        <v>818.75599819160288</v>
      </c>
      <c r="U1700">
        <v>3</v>
      </c>
      <c r="V1700">
        <v>0.77552937158469937</v>
      </c>
      <c r="W1700">
        <v>1</v>
      </c>
      <c r="X1700">
        <v>0.77552937158469937</v>
      </c>
      <c r="Y1700">
        <v>1</v>
      </c>
      <c r="Z1700">
        <v>730.53961508554767</v>
      </c>
      <c r="AA1700">
        <v>2</v>
      </c>
      <c r="AB1700">
        <v>3</v>
      </c>
      <c r="AC1700">
        <v>7</v>
      </c>
      <c r="AD1700">
        <v>25.18</v>
      </c>
      <c r="AE1700">
        <v>253</v>
      </c>
      <c r="AF1700">
        <v>13</v>
      </c>
      <c r="AG1700">
        <v>65</v>
      </c>
      <c r="AH1700">
        <v>32</v>
      </c>
      <c r="AI1700">
        <v>5.14</v>
      </c>
      <c r="AJ1700">
        <v>25.69</v>
      </c>
      <c r="AK1700">
        <v>12.65</v>
      </c>
      <c r="AL1700">
        <v>-19.65143184999997</v>
      </c>
      <c r="AM1700">
        <v>-43.910059983056307</v>
      </c>
      <c r="AN1700">
        <v>-19.65143184999997</v>
      </c>
      <c r="AO1700">
        <v>-43.910059983056307</v>
      </c>
      <c r="AP1700">
        <v>-19.651322</v>
      </c>
      <c r="AQ1700">
        <v>-43.909526999999997</v>
      </c>
      <c r="AR1700">
        <v>57.198416395481701</v>
      </c>
      <c r="AS1700" t="s">
        <v>65</v>
      </c>
      <c r="AT1700">
        <v>1</v>
      </c>
      <c r="AU1700" t="s">
        <v>262</v>
      </c>
      <c r="AV1700" t="s">
        <v>263</v>
      </c>
      <c r="AW1700" t="s">
        <v>60</v>
      </c>
      <c r="AX1700" t="s">
        <v>68</v>
      </c>
      <c r="AY1700" t="s">
        <v>69</v>
      </c>
      <c r="AZ1700" t="b">
        <v>1</v>
      </c>
    </row>
    <row r="1701" spans="1:52" x14ac:dyDescent="0.3">
      <c r="A1701" t="s">
        <v>52</v>
      </c>
      <c r="B1701" t="s">
        <v>53</v>
      </c>
      <c r="C1701" t="s">
        <v>54</v>
      </c>
      <c r="D1701" t="s">
        <v>55</v>
      </c>
      <c r="E1701" t="s">
        <v>851</v>
      </c>
      <c r="F1701" t="s">
        <v>176</v>
      </c>
      <c r="G1701" t="s">
        <v>217</v>
      </c>
      <c r="H1701" t="s">
        <v>264</v>
      </c>
      <c r="I1701" t="s">
        <v>264</v>
      </c>
      <c r="J1701" t="s">
        <v>60</v>
      </c>
      <c r="K1701" t="s">
        <v>219</v>
      </c>
      <c r="L1701" t="s">
        <v>62</v>
      </c>
      <c r="M1701" t="s">
        <v>219</v>
      </c>
      <c r="N1701" t="s">
        <v>220</v>
      </c>
      <c r="O1701" t="s">
        <v>265</v>
      </c>
      <c r="P1701">
        <v>-19.668958</v>
      </c>
      <c r="Q1701">
        <v>-43.890619999999998</v>
      </c>
      <c r="R1701" s="2" t="str">
        <f>HYPERLINK("https://www.google.com/maps?q=-19.6689580,-43.8906200","Abrir no Google Maps")</f>
        <v>Abrir no Google Maps</v>
      </c>
      <c r="S1701">
        <v>4</v>
      </c>
      <c r="T1701">
        <v>893.53138484322108</v>
      </c>
      <c r="U1701">
        <v>3</v>
      </c>
      <c r="V1701">
        <v>0.77746212121212133</v>
      </c>
      <c r="W1701">
        <v>1</v>
      </c>
      <c r="X1701">
        <v>0.77746212121212133</v>
      </c>
      <c r="Y1701">
        <v>1</v>
      </c>
      <c r="Z1701">
        <v>336.68220024294959</v>
      </c>
      <c r="AA1701">
        <v>2</v>
      </c>
      <c r="AB1701">
        <v>3</v>
      </c>
      <c r="AC1701">
        <v>7</v>
      </c>
      <c r="AD1701">
        <v>25.18</v>
      </c>
      <c r="AE1701">
        <v>253</v>
      </c>
      <c r="AF1701">
        <v>13</v>
      </c>
      <c r="AG1701">
        <v>65</v>
      </c>
      <c r="AH1701">
        <v>32</v>
      </c>
      <c r="AI1701">
        <v>5.14</v>
      </c>
      <c r="AJ1701">
        <v>25.69</v>
      </c>
      <c r="AK1701">
        <v>12.65</v>
      </c>
      <c r="AL1701">
        <v>-19.669114549999961</v>
      </c>
      <c r="AM1701">
        <v>-43.890740893526242</v>
      </c>
      <c r="AN1701">
        <v>-19.669114549999961</v>
      </c>
      <c r="AO1701">
        <v>-43.890740893526242</v>
      </c>
      <c r="AP1701">
        <v>-19.668958</v>
      </c>
      <c r="AQ1701">
        <v>-43.890619999999998</v>
      </c>
      <c r="AR1701">
        <v>21.54764375256557</v>
      </c>
      <c r="AS1701" t="s">
        <v>65</v>
      </c>
      <c r="AT1701">
        <v>1</v>
      </c>
      <c r="AU1701" t="s">
        <v>266</v>
      </c>
      <c r="AV1701" t="s">
        <v>267</v>
      </c>
      <c r="AW1701" t="s">
        <v>60</v>
      </c>
      <c r="AX1701" t="s">
        <v>68</v>
      </c>
      <c r="AY1701" t="s">
        <v>69</v>
      </c>
      <c r="AZ1701" t="b">
        <v>1</v>
      </c>
    </row>
    <row r="1702" spans="1:52" x14ac:dyDescent="0.3">
      <c r="A1702" t="s">
        <v>52</v>
      </c>
      <c r="B1702" t="s">
        <v>53</v>
      </c>
      <c r="C1702" t="s">
        <v>54</v>
      </c>
      <c r="D1702" t="s">
        <v>55</v>
      </c>
      <c r="E1702" t="s">
        <v>851</v>
      </c>
      <c r="F1702" t="s">
        <v>176</v>
      </c>
      <c r="G1702" t="s">
        <v>273</v>
      </c>
      <c r="H1702" t="s">
        <v>274</v>
      </c>
      <c r="I1702" t="s">
        <v>274</v>
      </c>
      <c r="J1702" t="s">
        <v>60</v>
      </c>
      <c r="K1702" t="s">
        <v>171</v>
      </c>
      <c r="L1702" t="s">
        <v>62</v>
      </c>
      <c r="M1702" t="s">
        <v>171</v>
      </c>
      <c r="N1702" t="s">
        <v>275</v>
      </c>
      <c r="O1702" t="s">
        <v>276</v>
      </c>
      <c r="P1702">
        <v>-19.679956000000001</v>
      </c>
      <c r="Q1702">
        <v>-43.888520999999997</v>
      </c>
      <c r="R1702" s="2" t="str">
        <f>HYPERLINK("https://www.google.com/maps?q=-19.6799560,-43.8885210","Abrir no Google Maps")</f>
        <v>Abrir no Google Maps</v>
      </c>
      <c r="S1702">
        <v>4</v>
      </c>
      <c r="T1702">
        <v>346.2974251077423</v>
      </c>
      <c r="U1702">
        <v>3</v>
      </c>
      <c r="V1702">
        <v>0.79106280193236722</v>
      </c>
      <c r="W1702">
        <v>1</v>
      </c>
      <c r="X1702">
        <v>0.79106280193236722</v>
      </c>
      <c r="Y1702">
        <v>0</v>
      </c>
      <c r="Z1702">
        <v>223.68420981797229</v>
      </c>
      <c r="AA1702">
        <v>2</v>
      </c>
      <c r="AB1702">
        <v>3</v>
      </c>
      <c r="AC1702">
        <v>7</v>
      </c>
      <c r="AD1702">
        <v>25.18</v>
      </c>
      <c r="AE1702">
        <v>253</v>
      </c>
      <c r="AF1702">
        <v>13</v>
      </c>
      <c r="AG1702">
        <v>65</v>
      </c>
      <c r="AH1702">
        <v>32</v>
      </c>
      <c r="AI1702">
        <v>5.14</v>
      </c>
      <c r="AJ1702">
        <v>25.69</v>
      </c>
      <c r="AK1702">
        <v>12.65</v>
      </c>
      <c r="AL1702">
        <v>-19.67989189999998</v>
      </c>
      <c r="AM1702">
        <v>-43.888485157753777</v>
      </c>
      <c r="AN1702">
        <v>-19.67989189999998</v>
      </c>
      <c r="AO1702">
        <v>-43.888485157753777</v>
      </c>
      <c r="AP1702">
        <v>-19.679956000000001</v>
      </c>
      <c r="AQ1702">
        <v>-43.888520999999997</v>
      </c>
      <c r="AR1702">
        <v>8.0641961934087583</v>
      </c>
      <c r="AS1702" t="s">
        <v>65</v>
      </c>
      <c r="AT1702">
        <v>1</v>
      </c>
      <c r="AU1702" t="s">
        <v>277</v>
      </c>
      <c r="AV1702" t="s">
        <v>278</v>
      </c>
      <c r="AW1702" t="s">
        <v>60</v>
      </c>
      <c r="AX1702" t="s">
        <v>68</v>
      </c>
      <c r="AY1702" t="s">
        <v>69</v>
      </c>
      <c r="AZ1702" t="b">
        <v>1</v>
      </c>
    </row>
    <row r="1703" spans="1:52" x14ac:dyDescent="0.3">
      <c r="A1703" t="s">
        <v>52</v>
      </c>
      <c r="B1703" t="s">
        <v>53</v>
      </c>
      <c r="C1703" t="s">
        <v>54</v>
      </c>
      <c r="D1703" t="s">
        <v>55</v>
      </c>
      <c r="E1703" t="s">
        <v>851</v>
      </c>
      <c r="F1703" t="s">
        <v>176</v>
      </c>
      <c r="G1703" t="s">
        <v>169</v>
      </c>
      <c r="H1703" t="s">
        <v>170</v>
      </c>
      <c r="I1703" t="s">
        <v>170</v>
      </c>
      <c r="J1703" t="s">
        <v>60</v>
      </c>
      <c r="K1703" t="s">
        <v>171</v>
      </c>
      <c r="L1703" t="s">
        <v>62</v>
      </c>
      <c r="M1703" t="s">
        <v>171</v>
      </c>
      <c r="N1703" t="s">
        <v>172</v>
      </c>
      <c r="O1703" t="s">
        <v>173</v>
      </c>
      <c r="P1703">
        <v>-19.676233</v>
      </c>
      <c r="Q1703">
        <v>-43.88861</v>
      </c>
      <c r="R1703" s="2" t="str">
        <f>HYPERLINK("https://www.google.com/maps?q=-19.6762330,-43.8886100","Abrir no Google Maps")</f>
        <v>Abrir no Google Maps</v>
      </c>
      <c r="S1703">
        <v>4</v>
      </c>
      <c r="T1703">
        <v>209.5772620412292</v>
      </c>
      <c r="U1703">
        <v>3</v>
      </c>
      <c r="V1703">
        <v>0.82457983193277318</v>
      </c>
      <c r="W1703">
        <v>1</v>
      </c>
      <c r="X1703">
        <v>0.82457983193277318</v>
      </c>
      <c r="Y1703">
        <v>0</v>
      </c>
      <c r="Z1703">
        <v>194.26571923644971</v>
      </c>
      <c r="AA1703">
        <v>2</v>
      </c>
      <c r="AB1703">
        <v>3</v>
      </c>
      <c r="AC1703">
        <v>7</v>
      </c>
      <c r="AD1703">
        <v>25.18</v>
      </c>
      <c r="AE1703">
        <v>253</v>
      </c>
      <c r="AF1703">
        <v>13</v>
      </c>
      <c r="AG1703">
        <v>65</v>
      </c>
      <c r="AH1703">
        <v>32</v>
      </c>
      <c r="AI1703">
        <v>5.14</v>
      </c>
      <c r="AJ1703">
        <v>25.69</v>
      </c>
      <c r="AK1703">
        <v>12.65</v>
      </c>
      <c r="AL1703">
        <v>-19.676097449999961</v>
      </c>
      <c r="AM1703">
        <v>-43.888455613153738</v>
      </c>
      <c r="AN1703">
        <v>-19.676097449999961</v>
      </c>
      <c r="AO1703">
        <v>-43.888455613153738</v>
      </c>
      <c r="AP1703">
        <v>-19.676233</v>
      </c>
      <c r="AQ1703">
        <v>-43.88861</v>
      </c>
      <c r="AR1703">
        <v>22.126352434234079</v>
      </c>
      <c r="AS1703" t="s">
        <v>65</v>
      </c>
      <c r="AT1703">
        <v>1</v>
      </c>
      <c r="AU1703" t="s">
        <v>174</v>
      </c>
      <c r="AV1703" t="s">
        <v>175</v>
      </c>
      <c r="AW1703" t="s">
        <v>60</v>
      </c>
      <c r="AX1703" t="s">
        <v>68</v>
      </c>
      <c r="AY1703" t="s">
        <v>69</v>
      </c>
      <c r="AZ1703" t="b">
        <v>1</v>
      </c>
    </row>
    <row r="1704" spans="1:52" x14ac:dyDescent="0.3">
      <c r="A1704" t="s">
        <v>52</v>
      </c>
      <c r="B1704" t="s">
        <v>53</v>
      </c>
      <c r="C1704" t="s">
        <v>54</v>
      </c>
      <c r="D1704" t="s">
        <v>55</v>
      </c>
      <c r="E1704" t="s">
        <v>851</v>
      </c>
      <c r="F1704" t="s">
        <v>176</v>
      </c>
      <c r="G1704" t="s">
        <v>279</v>
      </c>
      <c r="H1704" t="s">
        <v>280</v>
      </c>
      <c r="I1704" t="s">
        <v>280</v>
      </c>
      <c r="J1704" t="s">
        <v>60</v>
      </c>
      <c r="K1704" t="s">
        <v>171</v>
      </c>
      <c r="L1704" t="s">
        <v>62</v>
      </c>
      <c r="M1704" t="s">
        <v>171</v>
      </c>
      <c r="N1704" t="s">
        <v>281</v>
      </c>
      <c r="O1704" t="s">
        <v>282</v>
      </c>
      <c r="P1704">
        <v>-19.677088000000001</v>
      </c>
      <c r="Q1704">
        <v>-43.890014000000001</v>
      </c>
      <c r="R1704" s="2" t="str">
        <f>HYPERLINK("https://www.google.com/maps?q=-19.6770880,-43.8900140","Abrir no Google Maps")</f>
        <v>Abrir no Google Maps</v>
      </c>
      <c r="S1704">
        <v>4</v>
      </c>
      <c r="T1704">
        <v>0</v>
      </c>
      <c r="U1704">
        <v>3</v>
      </c>
      <c r="V1704">
        <v>0.80672268907563027</v>
      </c>
      <c r="W1704">
        <v>1</v>
      </c>
      <c r="X1704">
        <v>0.80672268907563027</v>
      </c>
      <c r="Y1704">
        <v>0</v>
      </c>
      <c r="Z1704">
        <v>151.75635194559609</v>
      </c>
      <c r="AA1704">
        <v>2</v>
      </c>
      <c r="AB1704">
        <v>3</v>
      </c>
      <c r="AC1704">
        <v>7</v>
      </c>
      <c r="AD1704">
        <v>25.18</v>
      </c>
      <c r="AE1704">
        <v>253</v>
      </c>
      <c r="AF1704">
        <v>13</v>
      </c>
      <c r="AG1704">
        <v>65</v>
      </c>
      <c r="AH1704">
        <v>32</v>
      </c>
      <c r="AI1704">
        <v>5.14</v>
      </c>
      <c r="AJ1704">
        <v>25.69</v>
      </c>
      <c r="AK1704">
        <v>12.65</v>
      </c>
      <c r="AL1704">
        <v>-19.677165649999949</v>
      </c>
      <c r="AM1704">
        <v>-43.890106299611283</v>
      </c>
      <c r="AN1704">
        <v>-19.677165649999949</v>
      </c>
      <c r="AO1704">
        <v>-43.890106299611283</v>
      </c>
      <c r="AP1704">
        <v>-19.677088000000001</v>
      </c>
      <c r="AQ1704">
        <v>-43.890014000000001</v>
      </c>
      <c r="AR1704">
        <v>12.973833126778279</v>
      </c>
      <c r="AS1704" t="s">
        <v>65</v>
      </c>
      <c r="AT1704">
        <v>1</v>
      </c>
      <c r="AU1704" t="s">
        <v>283</v>
      </c>
      <c r="AV1704" t="s">
        <v>175</v>
      </c>
      <c r="AW1704" t="s">
        <v>60</v>
      </c>
      <c r="AX1704" t="s">
        <v>68</v>
      </c>
      <c r="AY1704" t="s">
        <v>69</v>
      </c>
      <c r="AZ1704" t="b">
        <v>1</v>
      </c>
    </row>
    <row r="1705" spans="1:52" x14ac:dyDescent="0.3">
      <c r="A1705" t="s">
        <v>52</v>
      </c>
      <c r="B1705" t="s">
        <v>53</v>
      </c>
      <c r="C1705" t="s">
        <v>54</v>
      </c>
      <c r="D1705" t="s">
        <v>55</v>
      </c>
      <c r="E1705" t="s">
        <v>851</v>
      </c>
      <c r="F1705" t="s">
        <v>176</v>
      </c>
      <c r="G1705" t="s">
        <v>394</v>
      </c>
      <c r="H1705" t="s">
        <v>395</v>
      </c>
      <c r="I1705" t="s">
        <v>395</v>
      </c>
      <c r="J1705" t="s">
        <v>60</v>
      </c>
      <c r="K1705" t="s">
        <v>286</v>
      </c>
      <c r="L1705" t="s">
        <v>62</v>
      </c>
      <c r="M1705" t="s">
        <v>286</v>
      </c>
      <c r="N1705" t="s">
        <v>396</v>
      </c>
      <c r="O1705" t="s">
        <v>88</v>
      </c>
      <c r="P1705">
        <v>-19.636932999999999</v>
      </c>
      <c r="Q1705">
        <v>-43.882691999999999</v>
      </c>
      <c r="R1705" s="2" t="str">
        <f>HYPERLINK("https://www.google.com/maps?q=-19.6369330,-43.8826920","Abrir no Google Maps")</f>
        <v>Abrir no Google Maps</v>
      </c>
      <c r="S1705">
        <v>3</v>
      </c>
      <c r="T1705">
        <v>523.52675813688109</v>
      </c>
      <c r="U1705">
        <v>4</v>
      </c>
      <c r="V1705">
        <v>0.87644508670520238</v>
      </c>
      <c r="W1705">
        <v>1</v>
      </c>
      <c r="X1705">
        <v>0.87644508670520238</v>
      </c>
      <c r="Y1705">
        <v>10</v>
      </c>
      <c r="Z1705">
        <v>372.58135532659509</v>
      </c>
      <c r="AA1705">
        <v>2</v>
      </c>
      <c r="AB1705">
        <v>3</v>
      </c>
      <c r="AC1705">
        <v>7</v>
      </c>
      <c r="AD1705">
        <v>25.18</v>
      </c>
      <c r="AE1705">
        <v>253</v>
      </c>
      <c r="AF1705">
        <v>13</v>
      </c>
      <c r="AG1705">
        <v>65</v>
      </c>
      <c r="AH1705">
        <v>32</v>
      </c>
      <c r="AI1705">
        <v>5.14</v>
      </c>
      <c r="AJ1705">
        <v>25.69</v>
      </c>
      <c r="AK1705">
        <v>12.65</v>
      </c>
      <c r="AL1705">
        <v>-19.637159949999951</v>
      </c>
      <c r="AM1705">
        <v>-43.882643289441461</v>
      </c>
      <c r="AN1705">
        <v>-19.637159949999951</v>
      </c>
      <c r="AO1705">
        <v>-43.882643289441461</v>
      </c>
      <c r="AP1705">
        <v>-19.636932999999999</v>
      </c>
      <c r="AQ1705">
        <v>-43.882691999999999</v>
      </c>
      <c r="AR1705">
        <v>25.775099947452478</v>
      </c>
      <c r="AS1705" t="s">
        <v>65</v>
      </c>
      <c r="AT1705">
        <v>1</v>
      </c>
      <c r="AU1705" t="s">
        <v>397</v>
      </c>
      <c r="AV1705" t="s">
        <v>398</v>
      </c>
      <c r="AW1705" t="s">
        <v>60</v>
      </c>
      <c r="AX1705" t="s">
        <v>68</v>
      </c>
      <c r="AY1705" t="s">
        <v>69</v>
      </c>
      <c r="AZ1705" t="b">
        <v>1</v>
      </c>
    </row>
    <row r="1706" spans="1:52" x14ac:dyDescent="0.3">
      <c r="A1706" t="s">
        <v>52</v>
      </c>
      <c r="B1706" t="s">
        <v>53</v>
      </c>
      <c r="C1706" t="s">
        <v>54</v>
      </c>
      <c r="D1706" t="s">
        <v>55</v>
      </c>
      <c r="E1706" t="s">
        <v>851</v>
      </c>
      <c r="F1706" t="s">
        <v>176</v>
      </c>
      <c r="G1706" t="s">
        <v>399</v>
      </c>
      <c r="H1706" t="s">
        <v>400</v>
      </c>
      <c r="I1706" t="s">
        <v>400</v>
      </c>
      <c r="J1706" t="s">
        <v>60</v>
      </c>
      <c r="K1706" t="s">
        <v>286</v>
      </c>
      <c r="L1706" t="s">
        <v>62</v>
      </c>
      <c r="M1706" t="s">
        <v>286</v>
      </c>
      <c r="N1706" t="s">
        <v>401</v>
      </c>
      <c r="O1706" t="s">
        <v>402</v>
      </c>
      <c r="P1706">
        <v>-19.639906</v>
      </c>
      <c r="Q1706">
        <v>-43.886059000000003</v>
      </c>
      <c r="R1706" s="2" t="str">
        <f>HYPERLINK("https://www.google.com/maps?q=-19.6399060,-43.8860590","Abrir no Google Maps")</f>
        <v>Abrir no Google Maps</v>
      </c>
      <c r="S1706">
        <v>3</v>
      </c>
      <c r="T1706">
        <v>256.0748811302048</v>
      </c>
      <c r="U1706">
        <v>4</v>
      </c>
      <c r="V1706">
        <v>0.89021739130434785</v>
      </c>
      <c r="W1706">
        <v>1</v>
      </c>
      <c r="X1706">
        <v>0.89021739130434785</v>
      </c>
      <c r="Y1706">
        <v>10</v>
      </c>
      <c r="Z1706">
        <v>205.06236700857289</v>
      </c>
      <c r="AA1706">
        <v>2</v>
      </c>
      <c r="AB1706">
        <v>3</v>
      </c>
      <c r="AC1706">
        <v>7</v>
      </c>
      <c r="AD1706">
        <v>25.18</v>
      </c>
      <c r="AE1706">
        <v>253</v>
      </c>
      <c r="AF1706">
        <v>13</v>
      </c>
      <c r="AG1706">
        <v>65</v>
      </c>
      <c r="AH1706">
        <v>32</v>
      </c>
      <c r="AI1706">
        <v>5.14</v>
      </c>
      <c r="AJ1706">
        <v>25.69</v>
      </c>
      <c r="AK1706">
        <v>12.65</v>
      </c>
      <c r="AL1706">
        <v>-19.639789499999949</v>
      </c>
      <c r="AM1706">
        <v>-43.885737855031408</v>
      </c>
      <c r="AN1706">
        <v>-19.639789499999949</v>
      </c>
      <c r="AO1706">
        <v>-43.885737855031408</v>
      </c>
      <c r="AP1706">
        <v>-19.639906</v>
      </c>
      <c r="AQ1706">
        <v>-43.886059000000003</v>
      </c>
      <c r="AR1706">
        <v>36.081349702130403</v>
      </c>
      <c r="AS1706" t="s">
        <v>65</v>
      </c>
      <c r="AT1706">
        <v>1</v>
      </c>
      <c r="AU1706" t="s">
        <v>403</v>
      </c>
      <c r="AV1706" t="s">
        <v>404</v>
      </c>
      <c r="AW1706" t="s">
        <v>60</v>
      </c>
      <c r="AX1706" t="s">
        <v>68</v>
      </c>
      <c r="AY1706" t="s">
        <v>69</v>
      </c>
      <c r="AZ1706" t="b">
        <v>1</v>
      </c>
    </row>
    <row r="1707" spans="1:52" x14ac:dyDescent="0.3">
      <c r="A1707" t="s">
        <v>52</v>
      </c>
      <c r="B1707" t="s">
        <v>53</v>
      </c>
      <c r="C1707" t="s">
        <v>54</v>
      </c>
      <c r="D1707" t="s">
        <v>55</v>
      </c>
      <c r="E1707" t="s">
        <v>851</v>
      </c>
      <c r="F1707" t="s">
        <v>176</v>
      </c>
      <c r="G1707" t="s">
        <v>284</v>
      </c>
      <c r="H1707" t="s">
        <v>285</v>
      </c>
      <c r="I1707" t="s">
        <v>285</v>
      </c>
      <c r="J1707" t="s">
        <v>60</v>
      </c>
      <c r="K1707" t="s">
        <v>286</v>
      </c>
      <c r="L1707" t="s">
        <v>62</v>
      </c>
      <c r="M1707" t="s">
        <v>286</v>
      </c>
      <c r="N1707" t="s">
        <v>287</v>
      </c>
      <c r="O1707" t="s">
        <v>288</v>
      </c>
      <c r="P1707">
        <v>-19.639790000000001</v>
      </c>
      <c r="Q1707">
        <v>-43.882798999999999</v>
      </c>
      <c r="R1707" s="2" t="str">
        <f>HYPERLINK("https://www.google.com/maps?q=-19.6397900,-43.8827990","Abrir no Google Maps")</f>
        <v>Abrir no Google Maps</v>
      </c>
      <c r="S1707">
        <v>3</v>
      </c>
      <c r="T1707">
        <v>242.7052058134478</v>
      </c>
      <c r="U1707">
        <v>4</v>
      </c>
      <c r="V1707">
        <v>0.88612836438923404</v>
      </c>
      <c r="W1707">
        <v>1</v>
      </c>
      <c r="X1707">
        <v>0.88612836438923404</v>
      </c>
      <c r="Y1707">
        <v>10</v>
      </c>
      <c r="Z1707">
        <v>187.2088809462339</v>
      </c>
      <c r="AA1707">
        <v>2</v>
      </c>
      <c r="AB1707">
        <v>3</v>
      </c>
      <c r="AC1707">
        <v>7</v>
      </c>
      <c r="AD1707">
        <v>25.18</v>
      </c>
      <c r="AE1707">
        <v>253</v>
      </c>
      <c r="AF1707">
        <v>13</v>
      </c>
      <c r="AG1707">
        <v>65</v>
      </c>
      <c r="AH1707">
        <v>32</v>
      </c>
      <c r="AI1707">
        <v>5.14</v>
      </c>
      <c r="AJ1707">
        <v>25.69</v>
      </c>
      <c r="AK1707">
        <v>12.65</v>
      </c>
      <c r="AL1707">
        <v>-19.639855599999951</v>
      </c>
      <c r="AM1707">
        <v>-43.882909745178452</v>
      </c>
      <c r="AN1707">
        <v>-19.639855599999951</v>
      </c>
      <c r="AO1707">
        <v>-43.882909745178452</v>
      </c>
      <c r="AP1707">
        <v>-19.639790000000001</v>
      </c>
      <c r="AQ1707">
        <v>-43.882798999999999</v>
      </c>
      <c r="AR1707">
        <v>13.716486068571211</v>
      </c>
      <c r="AS1707" t="s">
        <v>65</v>
      </c>
      <c r="AT1707">
        <v>1</v>
      </c>
      <c r="AU1707" t="s">
        <v>289</v>
      </c>
      <c r="AV1707" t="s">
        <v>290</v>
      </c>
      <c r="AW1707" t="s">
        <v>60</v>
      </c>
      <c r="AX1707" t="s">
        <v>68</v>
      </c>
      <c r="AY1707" t="s">
        <v>69</v>
      </c>
      <c r="AZ1707" t="b">
        <v>1</v>
      </c>
    </row>
    <row r="1708" spans="1:52" x14ac:dyDescent="0.3">
      <c r="A1708" t="s">
        <v>52</v>
      </c>
      <c r="B1708" t="s">
        <v>53</v>
      </c>
      <c r="C1708" t="s">
        <v>54</v>
      </c>
      <c r="D1708" t="s">
        <v>55</v>
      </c>
      <c r="E1708" t="s">
        <v>851</v>
      </c>
      <c r="F1708" t="s">
        <v>176</v>
      </c>
      <c r="G1708" t="s">
        <v>405</v>
      </c>
      <c r="H1708" t="s">
        <v>406</v>
      </c>
      <c r="I1708" t="s">
        <v>406</v>
      </c>
      <c r="J1708" t="s">
        <v>60</v>
      </c>
      <c r="K1708" t="s">
        <v>286</v>
      </c>
      <c r="L1708" t="s">
        <v>62</v>
      </c>
      <c r="M1708" t="s">
        <v>286</v>
      </c>
      <c r="N1708" t="s">
        <v>407</v>
      </c>
      <c r="O1708" t="s">
        <v>408</v>
      </c>
      <c r="P1708">
        <v>-19.646345</v>
      </c>
      <c r="Q1708">
        <v>-43.882294999999999</v>
      </c>
      <c r="R1708" s="2" t="str">
        <f>HYPERLINK("https://www.google.com/maps?q=-19.6463450,-43.8822950","Abrir no Google Maps")</f>
        <v>Abrir no Google Maps</v>
      </c>
      <c r="S1708">
        <v>3</v>
      </c>
      <c r="T1708">
        <v>450.3180538635894</v>
      </c>
      <c r="U1708">
        <v>4</v>
      </c>
      <c r="V1708">
        <v>0.86854838709677407</v>
      </c>
      <c r="W1708">
        <v>1</v>
      </c>
      <c r="X1708">
        <v>0.86854838709677407</v>
      </c>
      <c r="Y1708">
        <v>10</v>
      </c>
      <c r="Z1708">
        <v>349.23341775902583</v>
      </c>
      <c r="AA1708">
        <v>2</v>
      </c>
      <c r="AB1708">
        <v>3</v>
      </c>
      <c r="AC1708">
        <v>7</v>
      </c>
      <c r="AD1708">
        <v>25.18</v>
      </c>
      <c r="AE1708">
        <v>253</v>
      </c>
      <c r="AF1708">
        <v>13</v>
      </c>
      <c r="AG1708">
        <v>65</v>
      </c>
      <c r="AH1708">
        <v>32</v>
      </c>
      <c r="AI1708">
        <v>5.14</v>
      </c>
      <c r="AJ1708">
        <v>25.69</v>
      </c>
      <c r="AK1708">
        <v>12.65</v>
      </c>
      <c r="AL1708">
        <v>-19.646391649999941</v>
      </c>
      <c r="AM1708">
        <v>-43.882007396993302</v>
      </c>
      <c r="AN1708">
        <v>-19.646391649999941</v>
      </c>
      <c r="AO1708">
        <v>-43.882007396993302</v>
      </c>
      <c r="AP1708">
        <v>-19.646345</v>
      </c>
      <c r="AQ1708">
        <v>-43.882294999999999</v>
      </c>
      <c r="AR1708">
        <v>30.596105513395301</v>
      </c>
      <c r="AS1708" t="s">
        <v>65</v>
      </c>
      <c r="AT1708">
        <v>1</v>
      </c>
      <c r="AU1708" t="s">
        <v>409</v>
      </c>
      <c r="AV1708" t="s">
        <v>410</v>
      </c>
      <c r="AW1708" t="s">
        <v>60</v>
      </c>
      <c r="AX1708" t="s">
        <v>68</v>
      </c>
      <c r="AY1708" t="s">
        <v>69</v>
      </c>
      <c r="AZ1708" t="b">
        <v>1</v>
      </c>
    </row>
    <row r="1709" spans="1:52" x14ac:dyDescent="0.3">
      <c r="A1709" t="s">
        <v>52</v>
      </c>
      <c r="B1709" t="s">
        <v>53</v>
      </c>
      <c r="C1709" t="s">
        <v>54</v>
      </c>
      <c r="D1709" t="s">
        <v>55</v>
      </c>
      <c r="E1709" t="s">
        <v>851</v>
      </c>
      <c r="F1709" t="s">
        <v>176</v>
      </c>
      <c r="G1709" t="s">
        <v>228</v>
      </c>
      <c r="H1709" t="s">
        <v>423</v>
      </c>
      <c r="I1709" t="s">
        <v>423</v>
      </c>
      <c r="J1709" t="s">
        <v>60</v>
      </c>
      <c r="K1709" t="s">
        <v>286</v>
      </c>
      <c r="L1709" t="s">
        <v>62</v>
      </c>
      <c r="M1709" t="s">
        <v>286</v>
      </c>
      <c r="N1709" t="s">
        <v>230</v>
      </c>
      <c r="O1709" t="s">
        <v>424</v>
      </c>
      <c r="P1709">
        <v>-19.641656999999999</v>
      </c>
      <c r="Q1709">
        <v>-43.884228999999998</v>
      </c>
      <c r="R1709" s="2" t="str">
        <f>HYPERLINK("https://www.google.com/maps?q=-19.6416570,-43.8842290","Abrir no Google Maps")</f>
        <v>Abrir no Google Maps</v>
      </c>
      <c r="S1709">
        <v>3</v>
      </c>
      <c r="T1709">
        <v>0</v>
      </c>
      <c r="U1709">
        <v>4</v>
      </c>
      <c r="V1709">
        <v>0.87268518518518512</v>
      </c>
      <c r="W1709">
        <v>1</v>
      </c>
      <c r="X1709">
        <v>0.87268518518518512</v>
      </c>
      <c r="Y1709">
        <v>7</v>
      </c>
      <c r="Z1709">
        <v>67.727401070752876</v>
      </c>
      <c r="AA1709">
        <v>2</v>
      </c>
      <c r="AB1709">
        <v>3</v>
      </c>
      <c r="AC1709">
        <v>7</v>
      </c>
      <c r="AD1709">
        <v>25.18</v>
      </c>
      <c r="AE1709">
        <v>253</v>
      </c>
      <c r="AF1709">
        <v>13</v>
      </c>
      <c r="AG1709">
        <v>65</v>
      </c>
      <c r="AH1709">
        <v>32</v>
      </c>
      <c r="AI1709">
        <v>5.14</v>
      </c>
      <c r="AJ1709">
        <v>25.69</v>
      </c>
      <c r="AK1709">
        <v>12.65</v>
      </c>
      <c r="AL1709">
        <v>-19.641634199999942</v>
      </c>
      <c r="AM1709">
        <v>-43.884263743972831</v>
      </c>
      <c r="AN1709">
        <v>-19.641634199999942</v>
      </c>
      <c r="AO1709">
        <v>-43.884263743972831</v>
      </c>
      <c r="AP1709">
        <v>-19.641656999999999</v>
      </c>
      <c r="AQ1709">
        <v>-43.884228999999998</v>
      </c>
      <c r="AR1709">
        <v>4.4396888961435659</v>
      </c>
      <c r="AS1709" t="s">
        <v>65</v>
      </c>
      <c r="AT1709">
        <v>1</v>
      </c>
      <c r="AU1709" t="s">
        <v>425</v>
      </c>
      <c r="AV1709" t="s">
        <v>426</v>
      </c>
      <c r="AW1709" t="s">
        <v>60</v>
      </c>
      <c r="AX1709" t="s">
        <v>68</v>
      </c>
      <c r="AY1709" t="s">
        <v>69</v>
      </c>
      <c r="AZ1709" t="b">
        <v>1</v>
      </c>
    </row>
    <row r="1710" spans="1:52" x14ac:dyDescent="0.3">
      <c r="A1710" t="s">
        <v>52</v>
      </c>
      <c r="B1710" t="s">
        <v>53</v>
      </c>
      <c r="C1710" t="s">
        <v>54</v>
      </c>
      <c r="D1710" t="s">
        <v>55</v>
      </c>
      <c r="E1710" t="s">
        <v>851</v>
      </c>
      <c r="F1710" t="s">
        <v>176</v>
      </c>
      <c r="G1710" t="s">
        <v>297</v>
      </c>
      <c r="H1710" t="s">
        <v>298</v>
      </c>
      <c r="I1710" t="s">
        <v>298</v>
      </c>
      <c r="J1710" t="s">
        <v>60</v>
      </c>
      <c r="K1710" t="s">
        <v>299</v>
      </c>
      <c r="L1710" t="s">
        <v>62</v>
      </c>
      <c r="M1710" t="s">
        <v>299</v>
      </c>
      <c r="N1710" t="s">
        <v>300</v>
      </c>
      <c r="O1710" t="s">
        <v>301</v>
      </c>
      <c r="P1710">
        <v>-19.679597000000001</v>
      </c>
      <c r="Q1710">
        <v>-43.912095000000001</v>
      </c>
      <c r="R1710" s="2" t="str">
        <f>HYPERLINK("https://www.google.com/maps?q=-19.6795970,-43.9120950","Abrir no Google Maps")</f>
        <v>Abrir no Google Maps</v>
      </c>
      <c r="S1710">
        <v>3</v>
      </c>
      <c r="T1710">
        <v>1581.3368267219889</v>
      </c>
      <c r="U1710">
        <v>4</v>
      </c>
      <c r="V1710">
        <v>0.87279249448123619</v>
      </c>
      <c r="W1710">
        <v>1</v>
      </c>
      <c r="X1710">
        <v>0.87279249448123619</v>
      </c>
      <c r="Y1710">
        <v>5</v>
      </c>
      <c r="Z1710">
        <v>2051.2590436749392</v>
      </c>
      <c r="AA1710">
        <v>2</v>
      </c>
      <c r="AB1710">
        <v>3</v>
      </c>
      <c r="AC1710">
        <v>7</v>
      </c>
      <c r="AD1710">
        <v>25.18</v>
      </c>
      <c r="AE1710">
        <v>253</v>
      </c>
      <c r="AF1710">
        <v>13</v>
      </c>
      <c r="AG1710">
        <v>65</v>
      </c>
      <c r="AH1710">
        <v>32</v>
      </c>
      <c r="AI1710">
        <v>5.14</v>
      </c>
      <c r="AJ1710">
        <v>25.69</v>
      </c>
      <c r="AK1710">
        <v>12.65</v>
      </c>
      <c r="AL1710">
        <v>-19.679572799999931</v>
      </c>
      <c r="AM1710">
        <v>-43.912071775440793</v>
      </c>
      <c r="AN1710">
        <v>-19.679572799999931</v>
      </c>
      <c r="AO1710">
        <v>-43.912071775440793</v>
      </c>
      <c r="AP1710">
        <v>-19.679597000000001</v>
      </c>
      <c r="AQ1710">
        <v>-43.912095000000001</v>
      </c>
      <c r="AR1710">
        <v>3.6308936744190978</v>
      </c>
      <c r="AS1710" t="s">
        <v>65</v>
      </c>
      <c r="AT1710">
        <v>1</v>
      </c>
      <c r="AU1710" t="s">
        <v>302</v>
      </c>
      <c r="AV1710" t="s">
        <v>303</v>
      </c>
      <c r="AW1710" t="s">
        <v>60</v>
      </c>
      <c r="AX1710" t="s">
        <v>68</v>
      </c>
      <c r="AY1710" t="s">
        <v>69</v>
      </c>
      <c r="AZ1710" t="b">
        <v>1</v>
      </c>
    </row>
    <row r="1711" spans="1:52" x14ac:dyDescent="0.3">
      <c r="A1711" t="s">
        <v>52</v>
      </c>
      <c r="B1711" t="s">
        <v>53</v>
      </c>
      <c r="C1711" t="s">
        <v>54</v>
      </c>
      <c r="D1711" t="s">
        <v>55</v>
      </c>
      <c r="E1711" t="s">
        <v>851</v>
      </c>
      <c r="F1711" t="s">
        <v>176</v>
      </c>
      <c r="G1711" t="s">
        <v>304</v>
      </c>
      <c r="H1711" t="s">
        <v>305</v>
      </c>
      <c r="I1711" t="s">
        <v>305</v>
      </c>
      <c r="J1711" t="s">
        <v>60</v>
      </c>
      <c r="K1711" t="s">
        <v>299</v>
      </c>
      <c r="L1711" t="s">
        <v>62</v>
      </c>
      <c r="M1711" t="s">
        <v>299</v>
      </c>
      <c r="N1711" t="s">
        <v>306</v>
      </c>
      <c r="O1711" t="s">
        <v>307</v>
      </c>
      <c r="P1711">
        <v>-19.681051</v>
      </c>
      <c r="Q1711">
        <v>-43.914375</v>
      </c>
      <c r="R1711" s="2" t="str">
        <f>HYPERLINK("https://www.google.com/maps?q=-19.6810510,-43.9143750","Abrir no Google Maps")</f>
        <v>Abrir no Google Maps</v>
      </c>
      <c r="S1711">
        <v>3</v>
      </c>
      <c r="T1711">
        <v>1793.507056919605</v>
      </c>
      <c r="U1711">
        <v>4</v>
      </c>
      <c r="V1711">
        <v>0.87849650349650343</v>
      </c>
      <c r="W1711">
        <v>1</v>
      </c>
      <c r="X1711">
        <v>0.87849650349650343</v>
      </c>
      <c r="Y1711">
        <v>5</v>
      </c>
      <c r="Z1711">
        <v>2183.7125920783069</v>
      </c>
      <c r="AA1711">
        <v>2</v>
      </c>
      <c r="AB1711">
        <v>3</v>
      </c>
      <c r="AC1711">
        <v>7</v>
      </c>
      <c r="AD1711">
        <v>25.18</v>
      </c>
      <c r="AE1711">
        <v>253</v>
      </c>
      <c r="AF1711">
        <v>13</v>
      </c>
      <c r="AG1711">
        <v>65</v>
      </c>
      <c r="AH1711">
        <v>32</v>
      </c>
      <c r="AI1711">
        <v>5.14</v>
      </c>
      <c r="AJ1711">
        <v>25.69</v>
      </c>
      <c r="AK1711">
        <v>12.65</v>
      </c>
      <c r="AL1711">
        <v>-19.680967149999962</v>
      </c>
      <c r="AM1711">
        <v>-43.914383884426663</v>
      </c>
      <c r="AN1711">
        <v>-19.680967149999962</v>
      </c>
      <c r="AO1711">
        <v>-43.914383884426663</v>
      </c>
      <c r="AP1711">
        <v>-19.681051</v>
      </c>
      <c r="AQ1711">
        <v>-43.914375</v>
      </c>
      <c r="AR1711">
        <v>9.3805201894968722</v>
      </c>
      <c r="AS1711" t="s">
        <v>65</v>
      </c>
      <c r="AT1711">
        <v>1</v>
      </c>
      <c r="AU1711" t="s">
        <v>308</v>
      </c>
      <c r="AV1711" t="s">
        <v>303</v>
      </c>
      <c r="AW1711" t="s">
        <v>60</v>
      </c>
      <c r="AX1711" t="s">
        <v>68</v>
      </c>
      <c r="AY1711" t="s">
        <v>69</v>
      </c>
      <c r="AZ1711" t="b">
        <v>1</v>
      </c>
    </row>
    <row r="1712" spans="1:52" x14ac:dyDescent="0.3">
      <c r="A1712" t="s">
        <v>52</v>
      </c>
      <c r="B1712" t="s">
        <v>53</v>
      </c>
      <c r="C1712" t="s">
        <v>54</v>
      </c>
      <c r="D1712" t="s">
        <v>55</v>
      </c>
      <c r="E1712" t="s">
        <v>851</v>
      </c>
      <c r="F1712" t="s">
        <v>176</v>
      </c>
      <c r="G1712" t="s">
        <v>309</v>
      </c>
      <c r="H1712" t="s">
        <v>316</v>
      </c>
      <c r="I1712" t="s">
        <v>316</v>
      </c>
      <c r="J1712" t="s">
        <v>60</v>
      </c>
      <c r="K1712" t="s">
        <v>311</v>
      </c>
      <c r="L1712" t="s">
        <v>62</v>
      </c>
      <c r="M1712" t="s">
        <v>311</v>
      </c>
      <c r="N1712" t="s">
        <v>317</v>
      </c>
      <c r="O1712" t="s">
        <v>313</v>
      </c>
      <c r="P1712">
        <v>-19.580131999999999</v>
      </c>
      <c r="Q1712">
        <v>-43.918303000000002</v>
      </c>
      <c r="R1712" s="2" t="str">
        <f>HYPERLINK("https://www.google.com/maps?q=-19.5801320,-43.9183030","Abrir no Google Maps")</f>
        <v>Abrir no Google Maps</v>
      </c>
      <c r="S1712">
        <v>3</v>
      </c>
      <c r="T1712">
        <v>665.05989403461285</v>
      </c>
      <c r="U1712">
        <v>4</v>
      </c>
      <c r="V1712">
        <v>0.99906716417910435</v>
      </c>
      <c r="W1712">
        <v>1</v>
      </c>
      <c r="X1712">
        <v>0.99906716417910435</v>
      </c>
      <c r="Y1712">
        <v>5</v>
      </c>
      <c r="Z1712">
        <v>743.64474333505098</v>
      </c>
      <c r="AA1712">
        <v>2</v>
      </c>
      <c r="AB1712">
        <v>3</v>
      </c>
      <c r="AC1712">
        <v>7</v>
      </c>
      <c r="AD1712">
        <v>25.18</v>
      </c>
      <c r="AE1712">
        <v>253</v>
      </c>
      <c r="AF1712">
        <v>13</v>
      </c>
      <c r="AG1712">
        <v>65</v>
      </c>
      <c r="AH1712">
        <v>32</v>
      </c>
      <c r="AI1712">
        <v>5.14</v>
      </c>
      <c r="AJ1712">
        <v>25.69</v>
      </c>
      <c r="AK1712">
        <v>12.65</v>
      </c>
      <c r="AL1712">
        <v>-19.58010349999995</v>
      </c>
      <c r="AM1712">
        <v>-43.918363319288602</v>
      </c>
      <c r="AN1712">
        <v>-19.58010349999995</v>
      </c>
      <c r="AO1712">
        <v>-43.918363319288602</v>
      </c>
      <c r="AP1712">
        <v>-19.580131999999999</v>
      </c>
      <c r="AQ1712">
        <v>-43.918303000000002</v>
      </c>
      <c r="AR1712">
        <v>7.0773977790944862</v>
      </c>
      <c r="AS1712" t="s">
        <v>65</v>
      </c>
      <c r="AT1712">
        <v>1</v>
      </c>
      <c r="AU1712" t="s">
        <v>318</v>
      </c>
      <c r="AV1712" t="s">
        <v>319</v>
      </c>
      <c r="AW1712" t="s">
        <v>60</v>
      </c>
      <c r="AX1712" t="s">
        <v>68</v>
      </c>
      <c r="AY1712" t="s">
        <v>69</v>
      </c>
      <c r="AZ1712" t="b">
        <v>1</v>
      </c>
    </row>
    <row r="1713" spans="1:52" x14ac:dyDescent="0.3">
      <c r="A1713" t="s">
        <v>52</v>
      </c>
      <c r="B1713" t="s">
        <v>53</v>
      </c>
      <c r="C1713" t="s">
        <v>54</v>
      </c>
      <c r="D1713" t="s">
        <v>55</v>
      </c>
      <c r="E1713" t="s">
        <v>851</v>
      </c>
      <c r="F1713" t="s">
        <v>176</v>
      </c>
      <c r="G1713" t="s">
        <v>331</v>
      </c>
      <c r="H1713" t="s">
        <v>332</v>
      </c>
      <c r="I1713" t="s">
        <v>332</v>
      </c>
      <c r="J1713" t="s">
        <v>60</v>
      </c>
      <c r="K1713" t="s">
        <v>333</v>
      </c>
      <c r="L1713" t="s">
        <v>62</v>
      </c>
      <c r="M1713" t="s">
        <v>333</v>
      </c>
      <c r="N1713" t="s">
        <v>334</v>
      </c>
      <c r="O1713" t="s">
        <v>335</v>
      </c>
      <c r="P1713">
        <v>-19.638455</v>
      </c>
      <c r="Q1713">
        <v>-43.911239000000002</v>
      </c>
      <c r="R1713" s="2" t="str">
        <f>HYPERLINK("https://www.google.com/maps?q=-19.6384550,-43.9112390","Abrir no Google Maps")</f>
        <v>Abrir no Google Maps</v>
      </c>
      <c r="S1713">
        <v>3</v>
      </c>
      <c r="T1713">
        <v>488.53051432983438</v>
      </c>
      <c r="U1713">
        <v>4</v>
      </c>
      <c r="V1713">
        <v>0.85688405797101452</v>
      </c>
      <c r="W1713">
        <v>1</v>
      </c>
      <c r="X1713">
        <v>0.85688405797101452</v>
      </c>
      <c r="Y1713">
        <v>3</v>
      </c>
      <c r="Z1713">
        <v>503.17412324010428</v>
      </c>
      <c r="AA1713">
        <v>2</v>
      </c>
      <c r="AB1713">
        <v>3</v>
      </c>
      <c r="AC1713">
        <v>7</v>
      </c>
      <c r="AD1713">
        <v>25.18</v>
      </c>
      <c r="AE1713">
        <v>253</v>
      </c>
      <c r="AF1713">
        <v>13</v>
      </c>
      <c r="AG1713">
        <v>65</v>
      </c>
      <c r="AH1713">
        <v>32</v>
      </c>
      <c r="AI1713">
        <v>5.14</v>
      </c>
      <c r="AJ1713">
        <v>25.69</v>
      </c>
      <c r="AK1713">
        <v>12.65</v>
      </c>
      <c r="AL1713">
        <v>-19.63853704999994</v>
      </c>
      <c r="AM1713">
        <v>-43.911098254478723</v>
      </c>
      <c r="AN1713">
        <v>-19.63853704999994</v>
      </c>
      <c r="AO1713">
        <v>-43.911098254478723</v>
      </c>
      <c r="AP1713">
        <v>-19.638455</v>
      </c>
      <c r="AQ1713">
        <v>-43.911239000000002</v>
      </c>
      <c r="AR1713">
        <v>17.354491692685801</v>
      </c>
      <c r="AS1713" t="s">
        <v>65</v>
      </c>
      <c r="AT1713">
        <v>1</v>
      </c>
      <c r="AU1713" t="s">
        <v>336</v>
      </c>
      <c r="AV1713" t="s">
        <v>337</v>
      </c>
      <c r="AW1713" t="s">
        <v>60</v>
      </c>
      <c r="AX1713" t="s">
        <v>68</v>
      </c>
      <c r="AY1713" t="s">
        <v>69</v>
      </c>
      <c r="AZ1713" t="b">
        <v>1</v>
      </c>
    </row>
    <row r="1714" spans="1:52" x14ac:dyDescent="0.3">
      <c r="A1714" t="s">
        <v>52</v>
      </c>
      <c r="B1714" t="s">
        <v>53</v>
      </c>
      <c r="C1714" t="s">
        <v>54</v>
      </c>
      <c r="D1714" t="s">
        <v>55</v>
      </c>
      <c r="E1714" t="s">
        <v>851</v>
      </c>
      <c r="F1714" t="s">
        <v>176</v>
      </c>
      <c r="G1714" t="s">
        <v>479</v>
      </c>
      <c r="H1714" t="s">
        <v>480</v>
      </c>
      <c r="I1714" t="s">
        <v>480</v>
      </c>
      <c r="J1714" t="s">
        <v>60</v>
      </c>
      <c r="K1714" t="s">
        <v>286</v>
      </c>
      <c r="L1714" t="s">
        <v>62</v>
      </c>
      <c r="M1714" t="s">
        <v>286</v>
      </c>
      <c r="N1714" t="s">
        <v>481</v>
      </c>
      <c r="O1714" t="s">
        <v>159</v>
      </c>
      <c r="P1714">
        <v>-19.635337</v>
      </c>
      <c r="Q1714">
        <v>-43.884400999999997</v>
      </c>
      <c r="R1714" s="2" t="str">
        <f>HYPERLINK("https://www.google.com/maps?q=-19.6353370,-43.8844010","Abrir no Google Maps")</f>
        <v>Abrir no Google Maps</v>
      </c>
      <c r="S1714">
        <v>3</v>
      </c>
      <c r="T1714">
        <v>697.1404216088763</v>
      </c>
      <c r="U1714">
        <v>4</v>
      </c>
      <c r="V1714">
        <v>0.88020833333333337</v>
      </c>
      <c r="W1714">
        <v>1</v>
      </c>
      <c r="X1714">
        <v>0.88020833333333337</v>
      </c>
      <c r="Y1714">
        <v>2</v>
      </c>
      <c r="Z1714">
        <v>178.9017814618079</v>
      </c>
      <c r="AA1714">
        <v>2</v>
      </c>
      <c r="AB1714">
        <v>3</v>
      </c>
      <c r="AC1714">
        <v>7</v>
      </c>
      <c r="AD1714">
        <v>25.18</v>
      </c>
      <c r="AE1714">
        <v>253</v>
      </c>
      <c r="AF1714">
        <v>13</v>
      </c>
      <c r="AG1714">
        <v>65</v>
      </c>
      <c r="AH1714">
        <v>32</v>
      </c>
      <c r="AI1714">
        <v>5.14</v>
      </c>
      <c r="AJ1714">
        <v>25.69</v>
      </c>
      <c r="AK1714">
        <v>12.65</v>
      </c>
      <c r="AL1714">
        <v>-19.635338699999949</v>
      </c>
      <c r="AM1714">
        <v>-43.884486286355838</v>
      </c>
      <c r="AN1714">
        <v>-19.635338699999949</v>
      </c>
      <c r="AO1714">
        <v>-43.884486286355838</v>
      </c>
      <c r="AP1714">
        <v>-19.635337</v>
      </c>
      <c r="AQ1714">
        <v>-43.884400999999997</v>
      </c>
      <c r="AR1714">
        <v>8.9440024153343494</v>
      </c>
      <c r="AS1714" t="s">
        <v>65</v>
      </c>
      <c r="AT1714">
        <v>1</v>
      </c>
      <c r="AU1714" t="s">
        <v>482</v>
      </c>
      <c r="AV1714" t="s">
        <v>483</v>
      </c>
      <c r="AW1714" t="s">
        <v>60</v>
      </c>
      <c r="AX1714" t="s">
        <v>68</v>
      </c>
      <c r="AY1714" t="s">
        <v>69</v>
      </c>
      <c r="AZ1714" t="b">
        <v>1</v>
      </c>
    </row>
    <row r="1715" spans="1:52" x14ac:dyDescent="0.3">
      <c r="A1715" t="s">
        <v>52</v>
      </c>
      <c r="B1715" t="s">
        <v>53</v>
      </c>
      <c r="C1715" t="s">
        <v>54</v>
      </c>
      <c r="D1715" t="s">
        <v>55</v>
      </c>
      <c r="E1715" t="s">
        <v>851</v>
      </c>
      <c r="F1715" t="s">
        <v>176</v>
      </c>
      <c r="G1715" t="s">
        <v>484</v>
      </c>
      <c r="H1715" t="s">
        <v>485</v>
      </c>
      <c r="I1715" t="s">
        <v>485</v>
      </c>
      <c r="J1715" t="s">
        <v>60</v>
      </c>
      <c r="K1715" t="s">
        <v>486</v>
      </c>
      <c r="L1715" t="s">
        <v>62</v>
      </c>
      <c r="M1715" t="s">
        <v>486</v>
      </c>
      <c r="N1715" t="s">
        <v>487</v>
      </c>
      <c r="O1715" t="s">
        <v>488</v>
      </c>
      <c r="P1715">
        <v>-19.599471999999999</v>
      </c>
      <c r="Q1715">
        <v>-43.904423999999999</v>
      </c>
      <c r="R1715" s="2" t="str">
        <f>HYPERLINK("https://www.google.com/maps?q=-19.5994720,-43.9044240","Abrir no Google Maps")</f>
        <v>Abrir no Google Maps</v>
      </c>
      <c r="S1715">
        <v>3</v>
      </c>
      <c r="T1715">
        <v>0</v>
      </c>
      <c r="U1715">
        <v>4</v>
      </c>
      <c r="V1715">
        <v>0.86577219202898559</v>
      </c>
      <c r="W1715">
        <v>1</v>
      </c>
      <c r="X1715">
        <v>0.86577219202898559</v>
      </c>
      <c r="Y1715">
        <v>2</v>
      </c>
      <c r="Z1715">
        <v>112.207711482489</v>
      </c>
      <c r="AA1715">
        <v>2</v>
      </c>
      <c r="AB1715">
        <v>3</v>
      </c>
      <c r="AC1715">
        <v>7</v>
      </c>
      <c r="AD1715">
        <v>25.18</v>
      </c>
      <c r="AE1715">
        <v>253</v>
      </c>
      <c r="AF1715">
        <v>13</v>
      </c>
      <c r="AG1715">
        <v>65</v>
      </c>
      <c r="AH1715">
        <v>32</v>
      </c>
      <c r="AI1715">
        <v>5.14</v>
      </c>
      <c r="AJ1715">
        <v>25.69</v>
      </c>
      <c r="AK1715">
        <v>12.65</v>
      </c>
      <c r="AL1715">
        <v>-19.599417149999969</v>
      </c>
      <c r="AM1715">
        <v>-43.904309145074677</v>
      </c>
      <c r="AN1715">
        <v>-19.599417149999969</v>
      </c>
      <c r="AO1715">
        <v>-43.904309145074677</v>
      </c>
      <c r="AP1715">
        <v>-19.599471999999999</v>
      </c>
      <c r="AQ1715">
        <v>-43.904423999999999</v>
      </c>
      <c r="AR1715">
        <v>13.50409975769734</v>
      </c>
      <c r="AS1715" t="s">
        <v>65</v>
      </c>
      <c r="AT1715">
        <v>1</v>
      </c>
      <c r="AU1715" t="s">
        <v>489</v>
      </c>
      <c r="AV1715" t="s">
        <v>490</v>
      </c>
      <c r="AW1715" t="s">
        <v>60</v>
      </c>
      <c r="AX1715" t="s">
        <v>68</v>
      </c>
      <c r="AY1715" t="s">
        <v>69</v>
      </c>
      <c r="AZ1715" t="b">
        <v>1</v>
      </c>
    </row>
    <row r="1716" spans="1:52" x14ac:dyDescent="0.3">
      <c r="A1716" t="s">
        <v>52</v>
      </c>
      <c r="B1716" t="s">
        <v>53</v>
      </c>
      <c r="C1716" t="s">
        <v>54</v>
      </c>
      <c r="D1716" t="s">
        <v>55</v>
      </c>
      <c r="E1716" t="s">
        <v>851</v>
      </c>
      <c r="F1716" t="s">
        <v>176</v>
      </c>
      <c r="G1716" t="s">
        <v>438</v>
      </c>
      <c r="H1716" t="s">
        <v>491</v>
      </c>
      <c r="I1716" t="s">
        <v>491</v>
      </c>
      <c r="J1716" t="s">
        <v>60</v>
      </c>
      <c r="K1716" t="s">
        <v>492</v>
      </c>
      <c r="L1716" t="s">
        <v>62</v>
      </c>
      <c r="M1716" t="s">
        <v>492</v>
      </c>
      <c r="N1716" t="s">
        <v>493</v>
      </c>
      <c r="O1716" t="s">
        <v>81</v>
      </c>
      <c r="P1716">
        <v>-19.599810999999999</v>
      </c>
      <c r="Q1716">
        <v>-43.906267</v>
      </c>
      <c r="R1716" s="2" t="str">
        <f>HYPERLINK("https://www.google.com/maps?q=-19.5998110,-43.9062670","Abrir no Google Maps")</f>
        <v>Abrir no Google Maps</v>
      </c>
      <c r="S1716">
        <v>3</v>
      </c>
      <c r="T1716">
        <v>214.87460546260371</v>
      </c>
      <c r="U1716">
        <v>4</v>
      </c>
      <c r="V1716">
        <v>0.875</v>
      </c>
      <c r="W1716">
        <v>1</v>
      </c>
      <c r="X1716">
        <v>0.875</v>
      </c>
      <c r="Y1716">
        <v>2</v>
      </c>
      <c r="Z1716">
        <v>211.0648412523515</v>
      </c>
      <c r="AA1716">
        <v>2</v>
      </c>
      <c r="AB1716">
        <v>3</v>
      </c>
      <c r="AC1716">
        <v>7</v>
      </c>
      <c r="AD1716">
        <v>25.18</v>
      </c>
      <c r="AE1716">
        <v>253</v>
      </c>
      <c r="AF1716">
        <v>13</v>
      </c>
      <c r="AG1716">
        <v>65</v>
      </c>
      <c r="AH1716">
        <v>32</v>
      </c>
      <c r="AI1716">
        <v>5.14</v>
      </c>
      <c r="AJ1716">
        <v>25.69</v>
      </c>
      <c r="AK1716">
        <v>12.65</v>
      </c>
      <c r="AL1716">
        <v>-19.600032099999961</v>
      </c>
      <c r="AM1716">
        <v>-43.906252350845229</v>
      </c>
      <c r="AN1716">
        <v>-19.600032099999961</v>
      </c>
      <c r="AO1716">
        <v>-43.906252350845229</v>
      </c>
      <c r="AP1716">
        <v>-19.599810999999999</v>
      </c>
      <c r="AQ1716">
        <v>-43.906267</v>
      </c>
      <c r="AR1716">
        <v>24.660749384148179</v>
      </c>
      <c r="AS1716" t="s">
        <v>65</v>
      </c>
      <c r="AT1716">
        <v>1</v>
      </c>
      <c r="AU1716" t="s">
        <v>494</v>
      </c>
      <c r="AV1716" t="s">
        <v>495</v>
      </c>
      <c r="AW1716" t="s">
        <v>60</v>
      </c>
      <c r="AX1716" t="s">
        <v>68</v>
      </c>
      <c r="AY1716" t="s">
        <v>69</v>
      </c>
      <c r="AZ1716" t="b">
        <v>1</v>
      </c>
    </row>
    <row r="1717" spans="1:52" x14ac:dyDescent="0.3">
      <c r="A1717" t="s">
        <v>52</v>
      </c>
      <c r="B1717" t="s">
        <v>53</v>
      </c>
      <c r="C1717" t="s">
        <v>54</v>
      </c>
      <c r="D1717" t="s">
        <v>55</v>
      </c>
      <c r="E1717" t="s">
        <v>851</v>
      </c>
      <c r="F1717" t="s">
        <v>176</v>
      </c>
      <c r="G1717" t="s">
        <v>350</v>
      </c>
      <c r="H1717" t="s">
        <v>351</v>
      </c>
      <c r="I1717" t="s">
        <v>351</v>
      </c>
      <c r="J1717" t="s">
        <v>60</v>
      </c>
      <c r="K1717" t="s">
        <v>352</v>
      </c>
      <c r="L1717" t="s">
        <v>62</v>
      </c>
      <c r="M1717" t="s">
        <v>352</v>
      </c>
      <c r="N1717" t="s">
        <v>353</v>
      </c>
      <c r="O1717" t="s">
        <v>354</v>
      </c>
      <c r="P1717">
        <v>-19.595734</v>
      </c>
      <c r="Q1717">
        <v>-43.900387000000002</v>
      </c>
      <c r="R1717" s="2" t="str">
        <f>HYPERLINK("https://www.google.com/maps?q=-19.5957340,-43.9003870","Abrir no Google Maps")</f>
        <v>Abrir no Google Maps</v>
      </c>
      <c r="S1717">
        <v>3</v>
      </c>
      <c r="T1717">
        <v>600.67809066127609</v>
      </c>
      <c r="U1717">
        <v>4</v>
      </c>
      <c r="V1717">
        <v>0.95877425044091724</v>
      </c>
      <c r="W1717">
        <v>1</v>
      </c>
      <c r="X1717">
        <v>0.95877425044091724</v>
      </c>
      <c r="Y1717">
        <v>2</v>
      </c>
      <c r="Z1717">
        <v>676.06682548988681</v>
      </c>
      <c r="AA1717">
        <v>2</v>
      </c>
      <c r="AB1717">
        <v>3</v>
      </c>
      <c r="AC1717">
        <v>7</v>
      </c>
      <c r="AD1717">
        <v>25.18</v>
      </c>
      <c r="AE1717">
        <v>253</v>
      </c>
      <c r="AF1717">
        <v>13</v>
      </c>
      <c r="AG1717">
        <v>65</v>
      </c>
      <c r="AH1717">
        <v>32</v>
      </c>
      <c r="AI1717">
        <v>5.14</v>
      </c>
      <c r="AJ1717">
        <v>25.69</v>
      </c>
      <c r="AK1717">
        <v>12.65</v>
      </c>
      <c r="AL1717">
        <v>-19.595574149999951</v>
      </c>
      <c r="AM1717">
        <v>-43.900265035317688</v>
      </c>
      <c r="AN1717">
        <v>-19.595574149999951</v>
      </c>
      <c r="AO1717">
        <v>-43.900265035317688</v>
      </c>
      <c r="AP1717">
        <v>-19.595734</v>
      </c>
      <c r="AQ1717">
        <v>-43.900387000000002</v>
      </c>
      <c r="AR1717">
        <v>21.91456243504582</v>
      </c>
      <c r="AS1717" t="s">
        <v>65</v>
      </c>
      <c r="AT1717">
        <v>1</v>
      </c>
      <c r="AU1717" t="s">
        <v>355</v>
      </c>
      <c r="AV1717" t="s">
        <v>356</v>
      </c>
      <c r="AW1717" t="s">
        <v>60</v>
      </c>
      <c r="AX1717" t="s">
        <v>68</v>
      </c>
      <c r="AY1717" t="s">
        <v>69</v>
      </c>
      <c r="AZ1717" t="b">
        <v>1</v>
      </c>
    </row>
    <row r="1718" spans="1:52" x14ac:dyDescent="0.3">
      <c r="A1718" t="s">
        <v>52</v>
      </c>
      <c r="B1718" t="s">
        <v>53</v>
      </c>
      <c r="C1718" t="s">
        <v>54</v>
      </c>
      <c r="D1718" t="s">
        <v>55</v>
      </c>
      <c r="E1718" t="s">
        <v>851</v>
      </c>
      <c r="F1718" t="s">
        <v>176</v>
      </c>
      <c r="G1718" t="s">
        <v>357</v>
      </c>
      <c r="H1718" t="s">
        <v>358</v>
      </c>
      <c r="I1718" t="s">
        <v>358</v>
      </c>
      <c r="J1718" t="s">
        <v>60</v>
      </c>
      <c r="K1718" t="s">
        <v>359</v>
      </c>
      <c r="L1718" t="s">
        <v>62</v>
      </c>
      <c r="M1718" t="s">
        <v>359</v>
      </c>
      <c r="N1718" t="s">
        <v>360</v>
      </c>
      <c r="O1718" t="s">
        <v>201</v>
      </c>
      <c r="P1718">
        <v>-19.601168000000001</v>
      </c>
      <c r="Q1718">
        <v>-43.896143000000002</v>
      </c>
      <c r="R1718" s="2" t="str">
        <f>HYPERLINK("https://www.google.com/maps?q=-19.6011680,-43.8961430","Abrir no Google Maps")</f>
        <v>Abrir no Google Maps</v>
      </c>
      <c r="S1718">
        <v>3</v>
      </c>
      <c r="T1718">
        <v>886.80074895427902</v>
      </c>
      <c r="U1718">
        <v>4</v>
      </c>
      <c r="V1718">
        <v>0.87329931972789121</v>
      </c>
      <c r="W1718">
        <v>1</v>
      </c>
      <c r="X1718">
        <v>0.87329931972789121</v>
      </c>
      <c r="Y1718">
        <v>2</v>
      </c>
      <c r="Z1718">
        <v>807.27931110193254</v>
      </c>
      <c r="AA1718">
        <v>2</v>
      </c>
      <c r="AB1718">
        <v>3</v>
      </c>
      <c r="AC1718">
        <v>7</v>
      </c>
      <c r="AD1718">
        <v>25.18</v>
      </c>
      <c r="AE1718">
        <v>253</v>
      </c>
      <c r="AF1718">
        <v>13</v>
      </c>
      <c r="AG1718">
        <v>65</v>
      </c>
      <c r="AH1718">
        <v>32</v>
      </c>
      <c r="AI1718">
        <v>5.14</v>
      </c>
      <c r="AJ1718">
        <v>25.69</v>
      </c>
      <c r="AK1718">
        <v>12.65</v>
      </c>
      <c r="AL1718">
        <v>-19.60112959999995</v>
      </c>
      <c r="AM1718">
        <v>-43.896049426747439</v>
      </c>
      <c r="AN1718">
        <v>-19.60112959999995</v>
      </c>
      <c r="AO1718">
        <v>-43.896049426747439</v>
      </c>
      <c r="AP1718">
        <v>-19.601168000000001</v>
      </c>
      <c r="AQ1718">
        <v>-43.896143000000002</v>
      </c>
      <c r="AR1718">
        <v>10.703588298793671</v>
      </c>
      <c r="AS1718" t="s">
        <v>65</v>
      </c>
      <c r="AT1718">
        <v>1</v>
      </c>
      <c r="AU1718" t="s">
        <v>361</v>
      </c>
      <c r="AV1718" t="s">
        <v>362</v>
      </c>
      <c r="AW1718" t="s">
        <v>60</v>
      </c>
      <c r="AX1718" t="s">
        <v>68</v>
      </c>
      <c r="AY1718" t="s">
        <v>69</v>
      </c>
      <c r="AZ1718" t="b">
        <v>1</v>
      </c>
    </row>
    <row r="1719" spans="1:52" x14ac:dyDescent="0.3">
      <c r="A1719" t="s">
        <v>52</v>
      </c>
      <c r="B1719" t="s">
        <v>53</v>
      </c>
      <c r="C1719" t="s">
        <v>54</v>
      </c>
      <c r="D1719" t="s">
        <v>55</v>
      </c>
      <c r="E1719" t="s">
        <v>851</v>
      </c>
      <c r="F1719" t="s">
        <v>176</v>
      </c>
      <c r="G1719" t="s">
        <v>350</v>
      </c>
      <c r="H1719" t="s">
        <v>363</v>
      </c>
      <c r="I1719" t="s">
        <v>363</v>
      </c>
      <c r="J1719" t="s">
        <v>60</v>
      </c>
      <c r="K1719" t="s">
        <v>364</v>
      </c>
      <c r="L1719" t="s">
        <v>62</v>
      </c>
      <c r="M1719" t="s">
        <v>364</v>
      </c>
      <c r="N1719" t="s">
        <v>353</v>
      </c>
      <c r="O1719" t="s">
        <v>365</v>
      </c>
      <c r="P1719">
        <v>-19.594657000000002</v>
      </c>
      <c r="Q1719">
        <v>-43.901567</v>
      </c>
      <c r="R1719" s="2" t="str">
        <f>HYPERLINK("https://www.google.com/maps?q=-19.5946570,-43.9015670","Abrir no Google Maps")</f>
        <v>Abrir no Google Maps</v>
      </c>
      <c r="S1719">
        <v>3</v>
      </c>
      <c r="T1719">
        <v>592.43040989358553</v>
      </c>
      <c r="U1719">
        <v>4</v>
      </c>
      <c r="V1719">
        <v>0.94425455729166663</v>
      </c>
      <c r="W1719">
        <v>1</v>
      </c>
      <c r="X1719">
        <v>0.94425455729166663</v>
      </c>
      <c r="Y1719">
        <v>2</v>
      </c>
      <c r="Z1719">
        <v>597.4493869225131</v>
      </c>
      <c r="AA1719">
        <v>2</v>
      </c>
      <c r="AB1719">
        <v>3</v>
      </c>
      <c r="AC1719">
        <v>7</v>
      </c>
      <c r="AD1719">
        <v>25.18</v>
      </c>
      <c r="AE1719">
        <v>253</v>
      </c>
      <c r="AF1719">
        <v>13</v>
      </c>
      <c r="AG1719">
        <v>65</v>
      </c>
      <c r="AH1719">
        <v>32</v>
      </c>
      <c r="AI1719">
        <v>5.14</v>
      </c>
      <c r="AJ1719">
        <v>25.69</v>
      </c>
      <c r="AK1719">
        <v>12.65</v>
      </c>
      <c r="AL1719">
        <v>-19.59470494999994</v>
      </c>
      <c r="AM1719">
        <v>-43.901629434678291</v>
      </c>
      <c r="AN1719">
        <v>-19.59470494999994</v>
      </c>
      <c r="AO1719">
        <v>-43.901629434678291</v>
      </c>
      <c r="AP1719">
        <v>-19.594657000000002</v>
      </c>
      <c r="AQ1719">
        <v>-43.901567</v>
      </c>
      <c r="AR1719">
        <v>8.4477696105165858</v>
      </c>
      <c r="AS1719" t="s">
        <v>65</v>
      </c>
      <c r="AT1719">
        <v>1</v>
      </c>
      <c r="AU1719" t="s">
        <v>366</v>
      </c>
      <c r="AV1719" t="s">
        <v>367</v>
      </c>
      <c r="AW1719" t="s">
        <v>60</v>
      </c>
      <c r="AX1719" t="s">
        <v>68</v>
      </c>
      <c r="AY1719" t="s">
        <v>69</v>
      </c>
      <c r="AZ1719" t="b">
        <v>1</v>
      </c>
    </row>
    <row r="1720" spans="1:52" x14ac:dyDescent="0.3">
      <c r="A1720" t="s">
        <v>52</v>
      </c>
      <c r="B1720" t="s">
        <v>53</v>
      </c>
      <c r="C1720" t="s">
        <v>54</v>
      </c>
      <c r="D1720" t="s">
        <v>55</v>
      </c>
      <c r="E1720" t="s">
        <v>851</v>
      </c>
      <c r="F1720" t="s">
        <v>176</v>
      </c>
      <c r="G1720" t="s">
        <v>371</v>
      </c>
      <c r="H1720" t="s">
        <v>372</v>
      </c>
      <c r="I1720" t="s">
        <v>372</v>
      </c>
      <c r="J1720" t="s">
        <v>60</v>
      </c>
      <c r="K1720" t="s">
        <v>352</v>
      </c>
      <c r="L1720" t="s">
        <v>62</v>
      </c>
      <c r="M1720" t="s">
        <v>352</v>
      </c>
      <c r="N1720" t="s">
        <v>353</v>
      </c>
      <c r="O1720" t="s">
        <v>373</v>
      </c>
      <c r="P1720">
        <v>-19.596541999999999</v>
      </c>
      <c r="Q1720">
        <v>-43.900803000000003</v>
      </c>
      <c r="R1720" s="2" t="str">
        <f>HYPERLINK("https://www.google.com/maps?q=-19.5965420,-43.9008030","Abrir no Google Maps")</f>
        <v>Abrir no Google Maps</v>
      </c>
      <c r="S1720">
        <v>3</v>
      </c>
      <c r="T1720">
        <v>401.18305899095373</v>
      </c>
      <c r="U1720">
        <v>4</v>
      </c>
      <c r="V1720">
        <v>0.98136645962732916</v>
      </c>
      <c r="W1720">
        <v>1</v>
      </c>
      <c r="X1720">
        <v>0.98136645962732916</v>
      </c>
      <c r="Y1720">
        <v>2</v>
      </c>
      <c r="Z1720">
        <v>484.51228510119228</v>
      </c>
      <c r="AA1720">
        <v>2</v>
      </c>
      <c r="AB1720">
        <v>3</v>
      </c>
      <c r="AC1720">
        <v>7</v>
      </c>
      <c r="AD1720">
        <v>25.18</v>
      </c>
      <c r="AE1720">
        <v>253</v>
      </c>
      <c r="AF1720">
        <v>13</v>
      </c>
      <c r="AG1720">
        <v>65</v>
      </c>
      <c r="AH1720">
        <v>32</v>
      </c>
      <c r="AI1720">
        <v>5.14</v>
      </c>
      <c r="AJ1720">
        <v>25.69</v>
      </c>
      <c r="AK1720">
        <v>12.65</v>
      </c>
      <c r="AL1720">
        <v>-19.596464449999932</v>
      </c>
      <c r="AM1720">
        <v>-43.902090320142641</v>
      </c>
      <c r="AN1720">
        <v>-19.596464449999932</v>
      </c>
      <c r="AO1720">
        <v>-43.902090320142641</v>
      </c>
      <c r="AP1720">
        <v>-19.596541999999999</v>
      </c>
      <c r="AQ1720">
        <v>-43.900803000000003</v>
      </c>
      <c r="AR1720">
        <v>135.27975170069479</v>
      </c>
      <c r="AS1720" t="s">
        <v>65</v>
      </c>
      <c r="AT1720">
        <v>1</v>
      </c>
      <c r="AU1720" t="s">
        <v>374</v>
      </c>
      <c r="AV1720" t="s">
        <v>375</v>
      </c>
      <c r="AW1720" t="s">
        <v>60</v>
      </c>
      <c r="AX1720" t="s">
        <v>68</v>
      </c>
      <c r="AY1720" t="s">
        <v>69</v>
      </c>
      <c r="AZ1720" t="b">
        <v>1</v>
      </c>
    </row>
    <row r="1721" spans="1:52" x14ac:dyDescent="0.3">
      <c r="A1721" t="s">
        <v>52</v>
      </c>
      <c r="B1721" t="s">
        <v>53</v>
      </c>
      <c r="C1721" t="s">
        <v>54</v>
      </c>
      <c r="D1721" t="s">
        <v>55</v>
      </c>
      <c r="E1721" t="s">
        <v>851</v>
      </c>
      <c r="F1721" t="s">
        <v>176</v>
      </c>
      <c r="G1721" t="s">
        <v>376</v>
      </c>
      <c r="H1721" t="s">
        <v>377</v>
      </c>
      <c r="I1721" t="s">
        <v>377</v>
      </c>
      <c r="J1721" t="s">
        <v>60</v>
      </c>
      <c r="K1721" t="s">
        <v>352</v>
      </c>
      <c r="L1721" t="s">
        <v>62</v>
      </c>
      <c r="M1721" t="s">
        <v>352</v>
      </c>
      <c r="N1721" t="s">
        <v>378</v>
      </c>
      <c r="O1721" t="s">
        <v>379</v>
      </c>
      <c r="P1721">
        <v>-19.596966999999999</v>
      </c>
      <c r="Q1721">
        <v>-43.90155</v>
      </c>
      <c r="R1721" s="2" t="str">
        <f>HYPERLINK("https://www.google.com/maps?q=-19.5969670,-43.9015500","Abrir no Google Maps")</f>
        <v>Abrir no Google Maps</v>
      </c>
      <c r="S1721">
        <v>3</v>
      </c>
      <c r="T1721">
        <v>366.5160120865408</v>
      </c>
      <c r="U1721">
        <v>4</v>
      </c>
      <c r="V1721">
        <v>0.90625</v>
      </c>
      <c r="W1721">
        <v>1</v>
      </c>
      <c r="X1721">
        <v>0.90625</v>
      </c>
      <c r="Y1721">
        <v>2</v>
      </c>
      <c r="Z1721">
        <v>437.88042928493138</v>
      </c>
      <c r="AA1721">
        <v>2</v>
      </c>
      <c r="AB1721">
        <v>3</v>
      </c>
      <c r="AC1721">
        <v>7</v>
      </c>
      <c r="AD1721">
        <v>25.18</v>
      </c>
      <c r="AE1721">
        <v>253</v>
      </c>
      <c r="AF1721">
        <v>13</v>
      </c>
      <c r="AG1721">
        <v>65</v>
      </c>
      <c r="AH1721">
        <v>32</v>
      </c>
      <c r="AI1721">
        <v>5.14</v>
      </c>
      <c r="AJ1721">
        <v>25.69</v>
      </c>
      <c r="AK1721">
        <v>12.65</v>
      </c>
      <c r="AL1721">
        <v>-19.597188549999942</v>
      </c>
      <c r="AM1721">
        <v>-43.901724335633787</v>
      </c>
      <c r="AN1721">
        <v>-19.597188549999942</v>
      </c>
      <c r="AO1721">
        <v>-43.901724335633787</v>
      </c>
      <c r="AP1721">
        <v>-19.596966999999999</v>
      </c>
      <c r="AQ1721">
        <v>-43.90155</v>
      </c>
      <c r="AR1721">
        <v>30.700556875456439</v>
      </c>
      <c r="AS1721" t="s">
        <v>65</v>
      </c>
      <c r="AT1721">
        <v>1</v>
      </c>
      <c r="AU1721" t="s">
        <v>380</v>
      </c>
      <c r="AV1721" t="s">
        <v>381</v>
      </c>
      <c r="AW1721" t="s">
        <v>60</v>
      </c>
      <c r="AX1721" t="s">
        <v>68</v>
      </c>
      <c r="AY1721" t="s">
        <v>69</v>
      </c>
      <c r="AZ1721" t="b">
        <v>1</v>
      </c>
    </row>
    <row r="1722" spans="1:52" x14ac:dyDescent="0.3">
      <c r="A1722" t="s">
        <v>52</v>
      </c>
      <c r="B1722" t="s">
        <v>53</v>
      </c>
      <c r="C1722" t="s">
        <v>54</v>
      </c>
      <c r="D1722" t="s">
        <v>55</v>
      </c>
      <c r="E1722" t="s">
        <v>851</v>
      </c>
      <c r="F1722" t="s">
        <v>176</v>
      </c>
      <c r="G1722" t="s">
        <v>382</v>
      </c>
      <c r="H1722" t="s">
        <v>383</v>
      </c>
      <c r="I1722" t="s">
        <v>383</v>
      </c>
      <c r="J1722" t="s">
        <v>60</v>
      </c>
      <c r="K1722" t="s">
        <v>185</v>
      </c>
      <c r="L1722" t="s">
        <v>62</v>
      </c>
      <c r="M1722" t="s">
        <v>185</v>
      </c>
      <c r="N1722" t="s">
        <v>384</v>
      </c>
      <c r="O1722" t="s">
        <v>385</v>
      </c>
      <c r="P1722">
        <v>-19.623774000000001</v>
      </c>
      <c r="Q1722">
        <v>-43.886352000000002</v>
      </c>
      <c r="R1722" s="2" t="str">
        <f>HYPERLINK("https://www.google.com/maps?q=-19.6237740,-43.8863520","Abrir no Google Maps")</f>
        <v>Abrir no Google Maps</v>
      </c>
      <c r="S1722">
        <v>3</v>
      </c>
      <c r="T1722">
        <v>818.17252856383368</v>
      </c>
      <c r="U1722">
        <v>4</v>
      </c>
      <c r="V1722">
        <v>0.88414634146341475</v>
      </c>
      <c r="W1722">
        <v>1</v>
      </c>
      <c r="X1722">
        <v>0.88414634146341475</v>
      </c>
      <c r="Y1722">
        <v>0</v>
      </c>
      <c r="Z1722">
        <v>327.32213182525902</v>
      </c>
      <c r="AA1722">
        <v>2</v>
      </c>
      <c r="AB1722">
        <v>3</v>
      </c>
      <c r="AC1722">
        <v>7</v>
      </c>
      <c r="AD1722">
        <v>25.18</v>
      </c>
      <c r="AE1722">
        <v>253</v>
      </c>
      <c r="AF1722">
        <v>13</v>
      </c>
      <c r="AG1722">
        <v>65</v>
      </c>
      <c r="AH1722">
        <v>32</v>
      </c>
      <c r="AI1722">
        <v>5.14</v>
      </c>
      <c r="AJ1722">
        <v>25.69</v>
      </c>
      <c r="AK1722">
        <v>12.65</v>
      </c>
      <c r="AL1722">
        <v>-19.623056299999941</v>
      </c>
      <c r="AM1722">
        <v>-43.886837120297002</v>
      </c>
      <c r="AN1722">
        <v>-19.623056299999941</v>
      </c>
      <c r="AO1722">
        <v>-43.886837120297002</v>
      </c>
      <c r="AP1722">
        <v>-19.623774000000001</v>
      </c>
      <c r="AQ1722">
        <v>-43.886352000000002</v>
      </c>
      <c r="AR1722">
        <v>94.713149059175393</v>
      </c>
      <c r="AS1722" t="s">
        <v>65</v>
      </c>
      <c r="AT1722">
        <v>1</v>
      </c>
      <c r="AU1722" t="s">
        <v>386</v>
      </c>
      <c r="AV1722" t="s">
        <v>387</v>
      </c>
      <c r="AW1722" t="s">
        <v>60</v>
      </c>
      <c r="AX1722" t="s">
        <v>68</v>
      </c>
      <c r="AY1722" t="s">
        <v>69</v>
      </c>
      <c r="AZ1722" t="b">
        <v>1</v>
      </c>
    </row>
    <row r="1723" spans="1:52" x14ac:dyDescent="0.3">
      <c r="A1723" t="s">
        <v>52</v>
      </c>
      <c r="B1723" t="s">
        <v>53</v>
      </c>
      <c r="C1723" t="s">
        <v>54</v>
      </c>
      <c r="D1723" t="s">
        <v>55</v>
      </c>
      <c r="E1723" t="s">
        <v>851</v>
      </c>
      <c r="F1723" t="s">
        <v>176</v>
      </c>
      <c r="G1723" t="s">
        <v>388</v>
      </c>
      <c r="H1723" t="s">
        <v>389</v>
      </c>
      <c r="I1723" t="s">
        <v>389</v>
      </c>
      <c r="J1723" t="s">
        <v>60</v>
      </c>
      <c r="K1723" t="s">
        <v>185</v>
      </c>
      <c r="L1723" t="s">
        <v>62</v>
      </c>
      <c r="M1723" t="s">
        <v>185</v>
      </c>
      <c r="N1723" t="s">
        <v>390</v>
      </c>
      <c r="O1723" t="s">
        <v>391</v>
      </c>
      <c r="P1723">
        <v>-19.628802</v>
      </c>
      <c r="Q1723">
        <v>-43.891649000000001</v>
      </c>
      <c r="R1723" s="2" t="str">
        <f>HYPERLINK("https://www.google.com/maps?q=-19.6288020,-43.8916490","Abrir no Google Maps")</f>
        <v>Abrir no Google Maps</v>
      </c>
      <c r="S1723">
        <v>3</v>
      </c>
      <c r="T1723">
        <v>0</v>
      </c>
      <c r="U1723">
        <v>3</v>
      </c>
      <c r="V1723">
        <v>0.93682795698924715</v>
      </c>
      <c r="W1723">
        <v>0.85</v>
      </c>
      <c r="X1723">
        <v>0.79630376344086007</v>
      </c>
      <c r="Y1723">
        <v>18</v>
      </c>
      <c r="Z1723">
        <v>117.5064585283839</v>
      </c>
      <c r="AA1723">
        <v>2</v>
      </c>
      <c r="AB1723">
        <v>3</v>
      </c>
      <c r="AC1723">
        <v>7</v>
      </c>
      <c r="AD1723">
        <v>25.18</v>
      </c>
      <c r="AE1723">
        <v>253</v>
      </c>
      <c r="AF1723">
        <v>13</v>
      </c>
      <c r="AG1723">
        <v>65</v>
      </c>
      <c r="AH1723">
        <v>32</v>
      </c>
      <c r="AI1723">
        <v>5.14</v>
      </c>
      <c r="AJ1723">
        <v>25.69</v>
      </c>
      <c r="AK1723">
        <v>12.65</v>
      </c>
      <c r="AL1723">
        <v>-19.628865499999961</v>
      </c>
      <c r="AM1723">
        <v>-43.891662391334172</v>
      </c>
      <c r="AN1723">
        <v>-19.628865499999961</v>
      </c>
      <c r="AO1723">
        <v>-43.891662391334172</v>
      </c>
      <c r="AP1723">
        <v>-19.628802</v>
      </c>
      <c r="AQ1723">
        <v>-43.891649000000001</v>
      </c>
      <c r="AR1723">
        <v>7.2069201904448459</v>
      </c>
      <c r="AS1723" t="s">
        <v>65</v>
      </c>
      <c r="AT1723">
        <v>1</v>
      </c>
      <c r="AU1723" t="s">
        <v>392</v>
      </c>
      <c r="AV1723" t="s">
        <v>393</v>
      </c>
      <c r="AW1723" t="s">
        <v>60</v>
      </c>
      <c r="AX1723" t="s">
        <v>68</v>
      </c>
      <c r="AY1723" t="s">
        <v>69</v>
      </c>
      <c r="AZ1723" t="b">
        <v>1</v>
      </c>
    </row>
    <row r="1724" spans="1:52" x14ac:dyDescent="0.3">
      <c r="A1724" t="s">
        <v>52</v>
      </c>
      <c r="B1724" t="s">
        <v>53</v>
      </c>
      <c r="C1724" t="s">
        <v>54</v>
      </c>
      <c r="D1724" t="s">
        <v>55</v>
      </c>
      <c r="E1724" t="s">
        <v>851</v>
      </c>
      <c r="F1724" t="s">
        <v>176</v>
      </c>
      <c r="G1724" t="s">
        <v>530</v>
      </c>
      <c r="H1724" t="s">
        <v>531</v>
      </c>
      <c r="I1724" t="s">
        <v>531</v>
      </c>
      <c r="J1724" t="s">
        <v>60</v>
      </c>
      <c r="K1724" t="s">
        <v>185</v>
      </c>
      <c r="L1724" t="s">
        <v>62</v>
      </c>
      <c r="M1724" t="s">
        <v>185</v>
      </c>
      <c r="N1724" t="s">
        <v>532</v>
      </c>
      <c r="O1724" t="s">
        <v>533</v>
      </c>
      <c r="P1724">
        <v>-19.625264000000001</v>
      </c>
      <c r="Q1724">
        <v>-43.889451000000001</v>
      </c>
      <c r="R1724" s="2" t="str">
        <f>HYPERLINK("https://www.google.com/maps?q=-19.6252640,-43.8894510","Abrir no Google Maps")</f>
        <v>Abrir no Google Maps</v>
      </c>
      <c r="S1724">
        <v>3</v>
      </c>
      <c r="T1724">
        <v>466.11340370665903</v>
      </c>
      <c r="U1724">
        <v>3</v>
      </c>
      <c r="V1724">
        <v>0.91125541125541121</v>
      </c>
      <c r="W1724">
        <v>0.85</v>
      </c>
      <c r="X1724">
        <v>0.77456709956709946</v>
      </c>
      <c r="Y1724">
        <v>18</v>
      </c>
      <c r="Z1724">
        <v>320.77337440837812</v>
      </c>
      <c r="AA1724">
        <v>2</v>
      </c>
      <c r="AB1724">
        <v>3</v>
      </c>
      <c r="AC1724">
        <v>7</v>
      </c>
      <c r="AD1724">
        <v>25.18</v>
      </c>
      <c r="AE1724">
        <v>253</v>
      </c>
      <c r="AF1724">
        <v>13</v>
      </c>
      <c r="AG1724">
        <v>65</v>
      </c>
      <c r="AH1724">
        <v>32</v>
      </c>
      <c r="AI1724">
        <v>5.14</v>
      </c>
      <c r="AJ1724">
        <v>25.69</v>
      </c>
      <c r="AK1724">
        <v>12.65</v>
      </c>
      <c r="AL1724">
        <v>-19.62516189999997</v>
      </c>
      <c r="AM1724">
        <v>-43.88954614566876</v>
      </c>
      <c r="AN1724">
        <v>-19.62516189999997</v>
      </c>
      <c r="AO1724">
        <v>-43.88954614566876</v>
      </c>
      <c r="AP1724">
        <v>-19.625264000000001</v>
      </c>
      <c r="AQ1724">
        <v>-43.889451000000001</v>
      </c>
      <c r="AR1724">
        <v>15.12310549834147</v>
      </c>
      <c r="AS1724" t="s">
        <v>65</v>
      </c>
      <c r="AT1724">
        <v>1</v>
      </c>
      <c r="AU1724" t="s">
        <v>534</v>
      </c>
      <c r="AV1724" t="s">
        <v>535</v>
      </c>
      <c r="AW1724" t="s">
        <v>60</v>
      </c>
      <c r="AX1724" t="s">
        <v>68</v>
      </c>
      <c r="AY1724" t="s">
        <v>69</v>
      </c>
      <c r="AZ1724" t="b">
        <v>1</v>
      </c>
    </row>
    <row r="1725" spans="1:52" x14ac:dyDescent="0.3">
      <c r="A1725" t="s">
        <v>52</v>
      </c>
      <c r="B1725" t="s">
        <v>53</v>
      </c>
      <c r="C1725" t="s">
        <v>54</v>
      </c>
      <c r="D1725" t="s">
        <v>55</v>
      </c>
      <c r="E1725" t="s">
        <v>851</v>
      </c>
      <c r="F1725" t="s">
        <v>176</v>
      </c>
      <c r="G1725" t="s">
        <v>291</v>
      </c>
      <c r="H1725" t="s">
        <v>292</v>
      </c>
      <c r="I1725" t="s">
        <v>292</v>
      </c>
      <c r="J1725" t="s">
        <v>60</v>
      </c>
      <c r="K1725" t="s">
        <v>286</v>
      </c>
      <c r="L1725" t="s">
        <v>62</v>
      </c>
      <c r="M1725" t="s">
        <v>286</v>
      </c>
      <c r="N1725" t="s">
        <v>293</v>
      </c>
      <c r="O1725" t="s">
        <v>294</v>
      </c>
      <c r="P1725">
        <v>-19.640333999999999</v>
      </c>
      <c r="Q1725">
        <v>-43.880004999999997</v>
      </c>
      <c r="R1725" s="2" t="str">
        <f>HYPERLINK("https://www.google.com/maps?q=-19.6403340,-43.8800050","Abrir no Google Maps")</f>
        <v>Abrir no Google Maps</v>
      </c>
      <c r="S1725">
        <v>3</v>
      </c>
      <c r="T1725">
        <v>276.80943817309782</v>
      </c>
      <c r="U1725">
        <v>3</v>
      </c>
      <c r="V1725">
        <v>0.85648148148148151</v>
      </c>
      <c r="W1725">
        <v>1</v>
      </c>
      <c r="X1725">
        <v>0.85648148148148151</v>
      </c>
      <c r="Y1725">
        <v>10</v>
      </c>
      <c r="Z1725">
        <v>361.98332038983392</v>
      </c>
      <c r="AA1725">
        <v>2</v>
      </c>
      <c r="AB1725">
        <v>3</v>
      </c>
      <c r="AC1725">
        <v>7</v>
      </c>
      <c r="AD1725">
        <v>25.18</v>
      </c>
      <c r="AE1725">
        <v>253</v>
      </c>
      <c r="AF1725">
        <v>13</v>
      </c>
      <c r="AG1725">
        <v>65</v>
      </c>
      <c r="AH1725">
        <v>32</v>
      </c>
      <c r="AI1725">
        <v>5.14</v>
      </c>
      <c r="AJ1725">
        <v>25.69</v>
      </c>
      <c r="AK1725">
        <v>12.65</v>
      </c>
      <c r="AL1725">
        <v>-19.640260249999951</v>
      </c>
      <c r="AM1725">
        <v>-43.880090474326408</v>
      </c>
      <c r="AN1725">
        <v>-19.640260249999951</v>
      </c>
      <c r="AO1725">
        <v>-43.880090474326408</v>
      </c>
      <c r="AP1725">
        <v>-19.640333999999999</v>
      </c>
      <c r="AQ1725">
        <v>-43.880004999999997</v>
      </c>
      <c r="AR1725">
        <v>12.153556195359609</v>
      </c>
      <c r="AS1725" t="s">
        <v>65</v>
      </c>
      <c r="AT1725">
        <v>1</v>
      </c>
      <c r="AU1725" t="s">
        <v>295</v>
      </c>
      <c r="AV1725" t="s">
        <v>296</v>
      </c>
      <c r="AW1725" t="s">
        <v>60</v>
      </c>
      <c r="AX1725" t="s">
        <v>68</v>
      </c>
      <c r="AY1725" t="s">
        <v>69</v>
      </c>
      <c r="AZ1725" t="b">
        <v>1</v>
      </c>
    </row>
    <row r="1726" spans="1:52" x14ac:dyDescent="0.3">
      <c r="A1726" t="s">
        <v>52</v>
      </c>
      <c r="B1726" t="s">
        <v>53</v>
      </c>
      <c r="C1726" t="s">
        <v>54</v>
      </c>
      <c r="D1726" t="s">
        <v>55</v>
      </c>
      <c r="E1726" t="s">
        <v>851</v>
      </c>
      <c r="F1726" t="s">
        <v>176</v>
      </c>
      <c r="G1726" t="s">
        <v>411</v>
      </c>
      <c r="H1726" t="s">
        <v>412</v>
      </c>
      <c r="I1726" t="s">
        <v>412</v>
      </c>
      <c r="J1726" t="s">
        <v>60</v>
      </c>
      <c r="K1726" t="s">
        <v>179</v>
      </c>
      <c r="L1726" t="s">
        <v>62</v>
      </c>
      <c r="M1726" t="s">
        <v>179</v>
      </c>
      <c r="N1726" t="s">
        <v>413</v>
      </c>
      <c r="O1726" t="s">
        <v>414</v>
      </c>
      <c r="P1726">
        <v>-19.650079000000002</v>
      </c>
      <c r="Q1726">
        <v>-43.884253999999999</v>
      </c>
      <c r="R1726" s="2" t="str">
        <f>HYPERLINK("https://www.google.com/maps?q=-19.6500790,-43.8842540","Abrir no Google Maps")</f>
        <v>Abrir no Google Maps</v>
      </c>
      <c r="S1726">
        <v>3</v>
      </c>
      <c r="T1726">
        <v>797.21430129715498</v>
      </c>
      <c r="U1726">
        <v>3</v>
      </c>
      <c r="V1726">
        <v>0.79678362573099415</v>
      </c>
      <c r="W1726">
        <v>1</v>
      </c>
      <c r="X1726">
        <v>0.79678362573099415</v>
      </c>
      <c r="Y1726">
        <v>10</v>
      </c>
      <c r="Z1726">
        <v>774.04145012702554</v>
      </c>
      <c r="AA1726">
        <v>2</v>
      </c>
      <c r="AB1726">
        <v>3</v>
      </c>
      <c r="AC1726">
        <v>7</v>
      </c>
      <c r="AD1726">
        <v>25.18</v>
      </c>
      <c r="AE1726">
        <v>253</v>
      </c>
      <c r="AF1726">
        <v>13</v>
      </c>
      <c r="AG1726">
        <v>65</v>
      </c>
      <c r="AH1726">
        <v>32</v>
      </c>
      <c r="AI1726">
        <v>5.14</v>
      </c>
      <c r="AJ1726">
        <v>25.69</v>
      </c>
      <c r="AK1726">
        <v>12.65</v>
      </c>
      <c r="AL1726">
        <v>-19.649199399999961</v>
      </c>
      <c r="AM1726">
        <v>-43.883888390043637</v>
      </c>
      <c r="AN1726">
        <v>-19.649199399999961</v>
      </c>
      <c r="AO1726">
        <v>-43.883888390043637</v>
      </c>
      <c r="AP1726">
        <v>-19.650079000000002</v>
      </c>
      <c r="AQ1726">
        <v>-43.884253999999999</v>
      </c>
      <c r="AR1726">
        <v>105.1518915696123</v>
      </c>
      <c r="AS1726" t="s">
        <v>65</v>
      </c>
      <c r="AT1726">
        <v>1</v>
      </c>
      <c r="AU1726" t="s">
        <v>415</v>
      </c>
      <c r="AV1726" t="s">
        <v>416</v>
      </c>
      <c r="AW1726" t="s">
        <v>60</v>
      </c>
      <c r="AX1726" t="s">
        <v>68</v>
      </c>
      <c r="AY1726" t="s">
        <v>69</v>
      </c>
      <c r="AZ1726" t="b">
        <v>1</v>
      </c>
    </row>
    <row r="1727" spans="1:52" x14ac:dyDescent="0.3">
      <c r="A1727" t="s">
        <v>52</v>
      </c>
      <c r="B1727" t="s">
        <v>53</v>
      </c>
      <c r="C1727" t="s">
        <v>54</v>
      </c>
      <c r="D1727" t="s">
        <v>55</v>
      </c>
      <c r="E1727" t="s">
        <v>851</v>
      </c>
      <c r="F1727" t="s">
        <v>176</v>
      </c>
      <c r="G1727" t="s">
        <v>417</v>
      </c>
      <c r="H1727" t="s">
        <v>418</v>
      </c>
      <c r="I1727" t="s">
        <v>418</v>
      </c>
      <c r="J1727" t="s">
        <v>60</v>
      </c>
      <c r="K1727" t="s">
        <v>179</v>
      </c>
      <c r="L1727" t="s">
        <v>62</v>
      </c>
      <c r="M1727" t="s">
        <v>179</v>
      </c>
      <c r="N1727" t="s">
        <v>419</v>
      </c>
      <c r="O1727" t="s">
        <v>420</v>
      </c>
      <c r="P1727">
        <v>-19.646516999999999</v>
      </c>
      <c r="Q1727">
        <v>-43.889716</v>
      </c>
      <c r="R1727" s="2" t="str">
        <f>HYPERLINK("https://www.google.com/maps?q=-19.6465170,-43.8897160","Abrir no Google Maps")</f>
        <v>Abrir no Google Maps</v>
      </c>
      <c r="S1727">
        <v>3</v>
      </c>
      <c r="T1727">
        <v>796.8355517653099</v>
      </c>
      <c r="U1727">
        <v>3</v>
      </c>
      <c r="V1727">
        <v>0.79630775577557755</v>
      </c>
      <c r="W1727">
        <v>1</v>
      </c>
      <c r="X1727">
        <v>0.79630775577557755</v>
      </c>
      <c r="Y1727">
        <v>7</v>
      </c>
      <c r="Z1727">
        <v>749.72812632947034</v>
      </c>
      <c r="AA1727">
        <v>2</v>
      </c>
      <c r="AB1727">
        <v>3</v>
      </c>
      <c r="AC1727">
        <v>7</v>
      </c>
      <c r="AD1727">
        <v>25.18</v>
      </c>
      <c r="AE1727">
        <v>253</v>
      </c>
      <c r="AF1727">
        <v>13</v>
      </c>
      <c r="AG1727">
        <v>65</v>
      </c>
      <c r="AH1727">
        <v>32</v>
      </c>
      <c r="AI1727">
        <v>5.14</v>
      </c>
      <c r="AJ1727">
        <v>25.69</v>
      </c>
      <c r="AK1727">
        <v>12.65</v>
      </c>
      <c r="AL1727">
        <v>-19.646452649999961</v>
      </c>
      <c r="AM1727">
        <v>-43.88991036523079</v>
      </c>
      <c r="AN1727">
        <v>-19.646452649999961</v>
      </c>
      <c r="AO1727">
        <v>-43.88991036523079</v>
      </c>
      <c r="AP1727">
        <v>-19.646516999999999</v>
      </c>
      <c r="AQ1727">
        <v>-43.889716</v>
      </c>
      <c r="AR1727">
        <v>21.599617922669939</v>
      </c>
      <c r="AS1727" t="s">
        <v>65</v>
      </c>
      <c r="AT1727">
        <v>1</v>
      </c>
      <c r="AU1727" t="s">
        <v>421</v>
      </c>
      <c r="AV1727" t="s">
        <v>422</v>
      </c>
      <c r="AW1727" t="s">
        <v>60</v>
      </c>
      <c r="AX1727" t="s">
        <v>68</v>
      </c>
      <c r="AY1727" t="s">
        <v>69</v>
      </c>
      <c r="AZ1727" t="b">
        <v>1</v>
      </c>
    </row>
    <row r="1728" spans="1:52" x14ac:dyDescent="0.3">
      <c r="A1728" t="s">
        <v>52</v>
      </c>
      <c r="B1728" t="s">
        <v>53</v>
      </c>
      <c r="C1728" t="s">
        <v>54</v>
      </c>
      <c r="D1728" t="s">
        <v>55</v>
      </c>
      <c r="E1728" t="s">
        <v>851</v>
      </c>
      <c r="F1728" t="s">
        <v>176</v>
      </c>
      <c r="G1728" t="s">
        <v>309</v>
      </c>
      <c r="H1728" t="s">
        <v>310</v>
      </c>
      <c r="I1728" t="s">
        <v>310</v>
      </c>
      <c r="J1728" t="s">
        <v>60</v>
      </c>
      <c r="K1728" t="s">
        <v>311</v>
      </c>
      <c r="L1728" t="s">
        <v>62</v>
      </c>
      <c r="M1728" t="s">
        <v>311</v>
      </c>
      <c r="N1728" t="s">
        <v>312</v>
      </c>
      <c r="O1728" t="s">
        <v>313</v>
      </c>
      <c r="P1728">
        <v>-19.576996999999999</v>
      </c>
      <c r="Q1728">
        <v>-43.919024999999998</v>
      </c>
      <c r="R1728" s="2" t="str">
        <f>HYPERLINK("https://www.google.com/maps?q=-19.5769970,-43.9190250","Abrir no Google Maps")</f>
        <v>Abrir no Google Maps</v>
      </c>
      <c r="S1728">
        <v>3</v>
      </c>
      <c r="T1728">
        <v>316.64266747869789</v>
      </c>
      <c r="U1728">
        <v>3</v>
      </c>
      <c r="V1728">
        <v>0.99540441176470584</v>
      </c>
      <c r="W1728">
        <v>0.85</v>
      </c>
      <c r="X1728">
        <v>0.84609374999999998</v>
      </c>
      <c r="Y1728">
        <v>5</v>
      </c>
      <c r="Z1728">
        <v>411.74435151529269</v>
      </c>
      <c r="AA1728">
        <v>2</v>
      </c>
      <c r="AB1728">
        <v>3</v>
      </c>
      <c r="AC1728">
        <v>7</v>
      </c>
      <c r="AD1728">
        <v>25.18</v>
      </c>
      <c r="AE1728">
        <v>253</v>
      </c>
      <c r="AF1728">
        <v>13</v>
      </c>
      <c r="AG1728">
        <v>65</v>
      </c>
      <c r="AH1728">
        <v>32</v>
      </c>
      <c r="AI1728">
        <v>5.14</v>
      </c>
      <c r="AJ1728">
        <v>25.69</v>
      </c>
      <c r="AK1728">
        <v>12.65</v>
      </c>
      <c r="AL1728">
        <v>-19.576964999999941</v>
      </c>
      <c r="AM1728">
        <v>-43.919068241233632</v>
      </c>
      <c r="AN1728">
        <v>-19.576964999999941</v>
      </c>
      <c r="AO1728">
        <v>-43.919068241233632</v>
      </c>
      <c r="AP1728">
        <v>-19.576996999999999</v>
      </c>
      <c r="AQ1728">
        <v>-43.919024999999998</v>
      </c>
      <c r="AR1728">
        <v>5.7670575161946216</v>
      </c>
      <c r="AS1728" t="s">
        <v>65</v>
      </c>
      <c r="AT1728">
        <v>1</v>
      </c>
      <c r="AU1728" t="s">
        <v>314</v>
      </c>
      <c r="AV1728" t="s">
        <v>315</v>
      </c>
      <c r="AW1728" t="s">
        <v>60</v>
      </c>
      <c r="AX1728" t="s">
        <v>68</v>
      </c>
      <c r="AY1728" t="s">
        <v>69</v>
      </c>
      <c r="AZ1728" t="b">
        <v>1</v>
      </c>
    </row>
    <row r="1729" spans="1:52" x14ac:dyDescent="0.3">
      <c r="A1729" t="s">
        <v>52</v>
      </c>
      <c r="B1729" t="s">
        <v>53</v>
      </c>
      <c r="C1729" t="s">
        <v>54</v>
      </c>
      <c r="D1729" t="s">
        <v>55</v>
      </c>
      <c r="E1729" t="s">
        <v>851</v>
      </c>
      <c r="F1729" t="s">
        <v>176</v>
      </c>
      <c r="G1729" t="s">
        <v>309</v>
      </c>
      <c r="H1729" t="s">
        <v>320</v>
      </c>
      <c r="I1729" t="s">
        <v>320</v>
      </c>
      <c r="J1729" t="s">
        <v>60</v>
      </c>
      <c r="K1729" t="s">
        <v>311</v>
      </c>
      <c r="L1729" t="s">
        <v>62</v>
      </c>
      <c r="M1729" t="s">
        <v>311</v>
      </c>
      <c r="N1729" t="s">
        <v>321</v>
      </c>
      <c r="O1729" t="s">
        <v>313</v>
      </c>
      <c r="P1729">
        <v>-19.578469999999999</v>
      </c>
      <c r="Q1729">
        <v>-43.918922000000002</v>
      </c>
      <c r="R1729" s="2" t="str">
        <f>HYPERLINK("https://www.google.com/maps?q=-19.5784700,-43.9189220","Abrir no Google Maps")</f>
        <v>Abrir no Google Maps</v>
      </c>
      <c r="S1729">
        <v>3</v>
      </c>
      <c r="T1729">
        <v>474.92456146278471</v>
      </c>
      <c r="U1729">
        <v>3</v>
      </c>
      <c r="V1729">
        <v>0.99774774774774777</v>
      </c>
      <c r="W1729">
        <v>0.85</v>
      </c>
      <c r="X1729">
        <v>0.84808558558558556</v>
      </c>
      <c r="Y1729">
        <v>5</v>
      </c>
      <c r="Z1729">
        <v>562.61594151292854</v>
      </c>
      <c r="AA1729">
        <v>2</v>
      </c>
      <c r="AB1729">
        <v>3</v>
      </c>
      <c r="AC1729">
        <v>7</v>
      </c>
      <c r="AD1729">
        <v>25.18</v>
      </c>
      <c r="AE1729">
        <v>253</v>
      </c>
      <c r="AF1729">
        <v>13</v>
      </c>
      <c r="AG1729">
        <v>65</v>
      </c>
      <c r="AH1729">
        <v>32</v>
      </c>
      <c r="AI1729">
        <v>5.14</v>
      </c>
      <c r="AJ1729">
        <v>25.69</v>
      </c>
      <c r="AK1729">
        <v>12.65</v>
      </c>
      <c r="AL1729">
        <v>-19.578483899999959</v>
      </c>
      <c r="AM1729">
        <v>-43.918967993509547</v>
      </c>
      <c r="AN1729">
        <v>-19.578483899999959</v>
      </c>
      <c r="AO1729">
        <v>-43.918967993509547</v>
      </c>
      <c r="AP1729">
        <v>-19.578469999999999</v>
      </c>
      <c r="AQ1729">
        <v>-43.918922000000002</v>
      </c>
      <c r="AR1729">
        <v>5.0660669465561501</v>
      </c>
      <c r="AS1729" t="s">
        <v>65</v>
      </c>
      <c r="AT1729">
        <v>1</v>
      </c>
      <c r="AU1729" t="s">
        <v>322</v>
      </c>
      <c r="AV1729" t="s">
        <v>323</v>
      </c>
      <c r="AW1729" t="s">
        <v>60</v>
      </c>
      <c r="AX1729" t="s">
        <v>68</v>
      </c>
      <c r="AY1729" t="s">
        <v>69</v>
      </c>
      <c r="AZ1729" t="b">
        <v>1</v>
      </c>
    </row>
    <row r="1730" spans="1:52" x14ac:dyDescent="0.3">
      <c r="A1730" t="s">
        <v>52</v>
      </c>
      <c r="B1730" t="s">
        <v>53</v>
      </c>
      <c r="C1730" t="s">
        <v>54</v>
      </c>
      <c r="D1730" t="s">
        <v>55</v>
      </c>
      <c r="E1730" t="s">
        <v>851</v>
      </c>
      <c r="F1730" t="s">
        <v>176</v>
      </c>
      <c r="G1730" t="s">
        <v>427</v>
      </c>
      <c r="H1730" t="s">
        <v>428</v>
      </c>
      <c r="I1730" t="s">
        <v>428</v>
      </c>
      <c r="J1730" t="s">
        <v>60</v>
      </c>
      <c r="K1730" t="s">
        <v>311</v>
      </c>
      <c r="L1730" t="s">
        <v>62</v>
      </c>
      <c r="M1730" t="s">
        <v>311</v>
      </c>
      <c r="N1730" t="s">
        <v>429</v>
      </c>
      <c r="O1730" t="s">
        <v>430</v>
      </c>
      <c r="P1730">
        <v>-19.574636999999999</v>
      </c>
      <c r="Q1730">
        <v>-43.919919999999998</v>
      </c>
      <c r="R1730" s="2" t="str">
        <f>HYPERLINK("https://www.google.com/maps?q=-19.5746370,-43.9199200","Abrir no Google Maps")</f>
        <v>Abrir no Google Maps</v>
      </c>
      <c r="S1730">
        <v>3</v>
      </c>
      <c r="T1730">
        <v>0</v>
      </c>
      <c r="U1730">
        <v>3</v>
      </c>
      <c r="V1730">
        <v>0.85306571815718157</v>
      </c>
      <c r="W1730">
        <v>1</v>
      </c>
      <c r="X1730">
        <v>0.85306571815718157</v>
      </c>
      <c r="Y1730">
        <v>5</v>
      </c>
      <c r="Z1730">
        <v>161.2304444692663</v>
      </c>
      <c r="AA1730">
        <v>2</v>
      </c>
      <c r="AB1730">
        <v>3</v>
      </c>
      <c r="AC1730">
        <v>7</v>
      </c>
      <c r="AD1730">
        <v>25.18</v>
      </c>
      <c r="AE1730">
        <v>253</v>
      </c>
      <c r="AF1730">
        <v>13</v>
      </c>
      <c r="AG1730">
        <v>65</v>
      </c>
      <c r="AH1730">
        <v>32</v>
      </c>
      <c r="AI1730">
        <v>5.14</v>
      </c>
      <c r="AJ1730">
        <v>25.69</v>
      </c>
      <c r="AK1730">
        <v>12.65</v>
      </c>
      <c r="AL1730">
        <v>-19.57444484999996</v>
      </c>
      <c r="AM1730">
        <v>-43.920497272225433</v>
      </c>
      <c r="AN1730">
        <v>-19.57444484999996</v>
      </c>
      <c r="AO1730">
        <v>-43.920497272225433</v>
      </c>
      <c r="AP1730">
        <v>-19.574636999999999</v>
      </c>
      <c r="AQ1730">
        <v>-43.919919999999998</v>
      </c>
      <c r="AR1730">
        <v>64.215298992893679</v>
      </c>
      <c r="AS1730" t="s">
        <v>65</v>
      </c>
      <c r="AT1730">
        <v>1</v>
      </c>
      <c r="AU1730" t="s">
        <v>431</v>
      </c>
      <c r="AV1730" t="s">
        <v>432</v>
      </c>
      <c r="AW1730" t="s">
        <v>60</v>
      </c>
      <c r="AX1730" t="s">
        <v>68</v>
      </c>
      <c r="AY1730" t="s">
        <v>69</v>
      </c>
      <c r="AZ1730" t="b">
        <v>1</v>
      </c>
    </row>
    <row r="1731" spans="1:52" x14ac:dyDescent="0.3">
      <c r="A1731" t="s">
        <v>52</v>
      </c>
      <c r="B1731" t="s">
        <v>53</v>
      </c>
      <c r="C1731" t="s">
        <v>54</v>
      </c>
      <c r="D1731" t="s">
        <v>55</v>
      </c>
      <c r="E1731" t="s">
        <v>851</v>
      </c>
      <c r="F1731" t="s">
        <v>176</v>
      </c>
      <c r="G1731" t="s">
        <v>433</v>
      </c>
      <c r="H1731" t="s">
        <v>434</v>
      </c>
      <c r="I1731" t="s">
        <v>434</v>
      </c>
      <c r="J1731" t="s">
        <v>60</v>
      </c>
      <c r="K1731" t="s">
        <v>311</v>
      </c>
      <c r="L1731" t="s">
        <v>62</v>
      </c>
      <c r="M1731" t="s">
        <v>311</v>
      </c>
      <c r="N1731" t="s">
        <v>435</v>
      </c>
      <c r="O1731" t="s">
        <v>120</v>
      </c>
      <c r="P1731">
        <v>-19.563834</v>
      </c>
      <c r="Q1731">
        <v>-43.917617</v>
      </c>
      <c r="R1731" s="2" t="str">
        <f>HYPERLINK("https://www.google.com/maps?q=-19.5638340,-43.9176170","Abrir no Google Maps")</f>
        <v>Abrir no Google Maps</v>
      </c>
      <c r="S1731">
        <v>3</v>
      </c>
      <c r="T1731">
        <v>1208.4380275937069</v>
      </c>
      <c r="U1731">
        <v>3</v>
      </c>
      <c r="V1731">
        <v>0.76391882183908044</v>
      </c>
      <c r="W1731">
        <v>1</v>
      </c>
      <c r="X1731">
        <v>0.76391882183908044</v>
      </c>
      <c r="Y1731">
        <v>5</v>
      </c>
      <c r="Z1731">
        <v>1239.357315084522</v>
      </c>
      <c r="AA1731">
        <v>2</v>
      </c>
      <c r="AB1731">
        <v>3</v>
      </c>
      <c r="AC1731">
        <v>7</v>
      </c>
      <c r="AD1731">
        <v>25.18</v>
      </c>
      <c r="AE1731">
        <v>253</v>
      </c>
      <c r="AF1731">
        <v>13</v>
      </c>
      <c r="AG1731">
        <v>65</v>
      </c>
      <c r="AH1731">
        <v>32</v>
      </c>
      <c r="AI1731">
        <v>5.14</v>
      </c>
      <c r="AJ1731">
        <v>25.69</v>
      </c>
      <c r="AK1731">
        <v>12.65</v>
      </c>
      <c r="AL1731">
        <v>-19.563932349999959</v>
      </c>
      <c r="AM1731">
        <v>-43.917383104532327</v>
      </c>
      <c r="AN1731">
        <v>-19.563932349999959</v>
      </c>
      <c r="AO1731">
        <v>-43.917383104532327</v>
      </c>
      <c r="AP1731">
        <v>-19.563834</v>
      </c>
      <c r="AQ1731">
        <v>-43.917617</v>
      </c>
      <c r="AR1731">
        <v>26.86608405010627</v>
      </c>
      <c r="AS1731" t="s">
        <v>65</v>
      </c>
      <c r="AT1731">
        <v>1</v>
      </c>
      <c r="AU1731" t="s">
        <v>436</v>
      </c>
      <c r="AV1731" t="s">
        <v>437</v>
      </c>
      <c r="AW1731" t="s">
        <v>60</v>
      </c>
      <c r="AX1731" t="s">
        <v>68</v>
      </c>
      <c r="AY1731" t="s">
        <v>69</v>
      </c>
      <c r="AZ1731" t="b">
        <v>1</v>
      </c>
    </row>
    <row r="1732" spans="1:52" x14ac:dyDescent="0.3">
      <c r="A1732" t="s">
        <v>52</v>
      </c>
      <c r="B1732" t="s">
        <v>53</v>
      </c>
      <c r="C1732" t="s">
        <v>54</v>
      </c>
      <c r="D1732" t="s">
        <v>55</v>
      </c>
      <c r="E1732" t="s">
        <v>851</v>
      </c>
      <c r="F1732" t="s">
        <v>176</v>
      </c>
      <c r="G1732" t="s">
        <v>705</v>
      </c>
      <c r="H1732" t="s">
        <v>706</v>
      </c>
      <c r="I1732" t="s">
        <v>706</v>
      </c>
      <c r="J1732" t="s">
        <v>60</v>
      </c>
      <c r="K1732" t="s">
        <v>707</v>
      </c>
      <c r="L1732" t="s">
        <v>62</v>
      </c>
      <c r="M1732" t="s">
        <v>707</v>
      </c>
      <c r="N1732" t="s">
        <v>708</v>
      </c>
      <c r="O1732" t="s">
        <v>709</v>
      </c>
      <c r="P1732">
        <v>-19.649132000000002</v>
      </c>
      <c r="Q1732">
        <v>-43.913184999999999</v>
      </c>
      <c r="R1732" s="2" t="str">
        <f>HYPERLINK("https://www.google.com/maps?q=-19.6491320,-43.9131850","Abrir no Google Maps")</f>
        <v>Abrir no Google Maps</v>
      </c>
      <c r="S1732">
        <v>3</v>
      </c>
      <c r="T1732">
        <v>708.05095277627129</v>
      </c>
      <c r="U1732">
        <v>3</v>
      </c>
      <c r="V1732">
        <v>0.77983870967741931</v>
      </c>
      <c r="W1732">
        <v>1</v>
      </c>
      <c r="X1732">
        <v>0.77983870967741931</v>
      </c>
      <c r="Y1732">
        <v>4</v>
      </c>
      <c r="Z1732">
        <v>786.89435979618963</v>
      </c>
      <c r="AA1732">
        <v>2</v>
      </c>
      <c r="AB1732">
        <v>3</v>
      </c>
      <c r="AC1732">
        <v>7</v>
      </c>
      <c r="AD1732">
        <v>25.18</v>
      </c>
      <c r="AE1732">
        <v>253</v>
      </c>
      <c r="AF1732">
        <v>13</v>
      </c>
      <c r="AG1732">
        <v>65</v>
      </c>
      <c r="AH1732">
        <v>32</v>
      </c>
      <c r="AI1732">
        <v>5.14</v>
      </c>
      <c r="AJ1732">
        <v>25.69</v>
      </c>
      <c r="AK1732">
        <v>12.65</v>
      </c>
      <c r="AL1732">
        <v>-19.649055099999941</v>
      </c>
      <c r="AM1732">
        <v>-43.912942827576757</v>
      </c>
      <c r="AN1732">
        <v>-19.649055099999941</v>
      </c>
      <c r="AO1732">
        <v>-43.912942827576771</v>
      </c>
      <c r="AP1732">
        <v>-19.649132000000002</v>
      </c>
      <c r="AQ1732">
        <v>-43.913184999999999</v>
      </c>
      <c r="AR1732">
        <v>26.793189431239711</v>
      </c>
      <c r="AS1732" t="s">
        <v>65</v>
      </c>
      <c r="AT1732">
        <v>1</v>
      </c>
      <c r="AU1732" t="s">
        <v>710</v>
      </c>
      <c r="AV1732" t="s">
        <v>711</v>
      </c>
      <c r="AW1732" t="s">
        <v>60</v>
      </c>
      <c r="AX1732" t="s">
        <v>68</v>
      </c>
      <c r="AY1732" t="s">
        <v>69</v>
      </c>
      <c r="AZ1732" t="b">
        <v>1</v>
      </c>
    </row>
    <row r="1733" spans="1:52" x14ac:dyDescent="0.3">
      <c r="A1733" t="s">
        <v>52</v>
      </c>
      <c r="B1733" t="s">
        <v>53</v>
      </c>
      <c r="C1733" t="s">
        <v>54</v>
      </c>
      <c r="D1733" t="s">
        <v>55</v>
      </c>
      <c r="E1733" t="s">
        <v>851</v>
      </c>
      <c r="F1733" t="s">
        <v>176</v>
      </c>
      <c r="G1733" t="s">
        <v>712</v>
      </c>
      <c r="H1733" t="s">
        <v>713</v>
      </c>
      <c r="I1733" t="s">
        <v>713</v>
      </c>
      <c r="J1733" t="s">
        <v>60</v>
      </c>
      <c r="K1733" t="s">
        <v>192</v>
      </c>
      <c r="L1733" t="s">
        <v>62</v>
      </c>
      <c r="M1733" t="s">
        <v>192</v>
      </c>
      <c r="N1733" t="s">
        <v>714</v>
      </c>
      <c r="O1733" t="s">
        <v>715</v>
      </c>
      <c r="P1733">
        <v>-19.653379999999999</v>
      </c>
      <c r="Q1733">
        <v>-43.914634999999997</v>
      </c>
      <c r="R1733" s="2" t="str">
        <f>HYPERLINK("https://www.google.com/maps?q=-19.6533800,-43.9146350","Abrir no Google Maps")</f>
        <v>Abrir no Google Maps</v>
      </c>
      <c r="S1733">
        <v>3</v>
      </c>
      <c r="T1733">
        <v>1209.6845317210091</v>
      </c>
      <c r="U1733">
        <v>3</v>
      </c>
      <c r="V1733">
        <v>0.76798561151079137</v>
      </c>
      <c r="W1733">
        <v>1</v>
      </c>
      <c r="X1733">
        <v>0.76798561151079137</v>
      </c>
      <c r="Y1733">
        <v>4</v>
      </c>
      <c r="Z1733">
        <v>948.79528152345983</v>
      </c>
      <c r="AA1733">
        <v>2</v>
      </c>
      <c r="AB1733">
        <v>3</v>
      </c>
      <c r="AC1733">
        <v>7</v>
      </c>
      <c r="AD1733">
        <v>25.18</v>
      </c>
      <c r="AE1733">
        <v>253</v>
      </c>
      <c r="AF1733">
        <v>13</v>
      </c>
      <c r="AG1733">
        <v>65</v>
      </c>
      <c r="AH1733">
        <v>32</v>
      </c>
      <c r="AI1733">
        <v>5.14</v>
      </c>
      <c r="AJ1733">
        <v>25.69</v>
      </c>
      <c r="AK1733">
        <v>12.65</v>
      </c>
      <c r="AL1733">
        <v>-19.653402249999939</v>
      </c>
      <c r="AM1733">
        <v>-43.91489200796137</v>
      </c>
      <c r="AN1733">
        <v>-19.653402249999939</v>
      </c>
      <c r="AO1733">
        <v>-43.91489200796137</v>
      </c>
      <c r="AP1733">
        <v>-19.653379999999999</v>
      </c>
      <c r="AQ1733">
        <v>-43.914634999999997</v>
      </c>
      <c r="AR1733">
        <v>27.0570338493382</v>
      </c>
      <c r="AS1733" t="s">
        <v>65</v>
      </c>
      <c r="AT1733">
        <v>1</v>
      </c>
      <c r="AU1733" t="s">
        <v>716</v>
      </c>
      <c r="AV1733" t="s">
        <v>717</v>
      </c>
      <c r="AW1733" t="s">
        <v>60</v>
      </c>
      <c r="AX1733" t="s">
        <v>68</v>
      </c>
      <c r="AY1733" t="s">
        <v>69</v>
      </c>
      <c r="AZ1733" t="b">
        <v>1</v>
      </c>
    </row>
    <row r="1734" spans="1:52" x14ac:dyDescent="0.3">
      <c r="A1734" t="s">
        <v>52</v>
      </c>
      <c r="B1734" t="s">
        <v>53</v>
      </c>
      <c r="C1734" t="s">
        <v>54</v>
      </c>
      <c r="D1734" t="s">
        <v>55</v>
      </c>
      <c r="E1734" t="s">
        <v>851</v>
      </c>
      <c r="F1734" t="s">
        <v>176</v>
      </c>
      <c r="G1734" t="s">
        <v>438</v>
      </c>
      <c r="H1734" t="s">
        <v>439</v>
      </c>
      <c r="I1734" t="s">
        <v>439</v>
      </c>
      <c r="J1734" t="s">
        <v>60</v>
      </c>
      <c r="K1734" t="s">
        <v>199</v>
      </c>
      <c r="L1734" t="s">
        <v>62</v>
      </c>
      <c r="M1734" t="s">
        <v>199</v>
      </c>
      <c r="N1734" t="s">
        <v>440</v>
      </c>
      <c r="O1734" t="s">
        <v>120</v>
      </c>
      <c r="P1734">
        <v>-19.642907000000001</v>
      </c>
      <c r="Q1734">
        <v>-43.912584000000003</v>
      </c>
      <c r="R1734" s="2" t="str">
        <f>HYPERLINK("https://www.google.com/maps?q=-19.6429070,-43.9125840","Abrir no Google Maps")</f>
        <v>Abrir no Google Maps</v>
      </c>
      <c r="S1734">
        <v>3</v>
      </c>
      <c r="T1734">
        <v>0</v>
      </c>
      <c r="U1734">
        <v>3</v>
      </c>
      <c r="V1734">
        <v>0.8098434004474272</v>
      </c>
      <c r="W1734">
        <v>1</v>
      </c>
      <c r="X1734">
        <v>0.8098434004474272</v>
      </c>
      <c r="Y1734">
        <v>4</v>
      </c>
      <c r="Z1734">
        <v>617.66392653629225</v>
      </c>
      <c r="AA1734">
        <v>2</v>
      </c>
      <c r="AB1734">
        <v>3</v>
      </c>
      <c r="AC1734">
        <v>7</v>
      </c>
      <c r="AD1734">
        <v>25.18</v>
      </c>
      <c r="AE1734">
        <v>253</v>
      </c>
      <c r="AF1734">
        <v>13</v>
      </c>
      <c r="AG1734">
        <v>65</v>
      </c>
      <c r="AH1734">
        <v>32</v>
      </c>
      <c r="AI1734">
        <v>5.14</v>
      </c>
      <c r="AJ1734">
        <v>25.69</v>
      </c>
      <c r="AK1734">
        <v>12.65</v>
      </c>
      <c r="AL1734">
        <v>-19.64265969999996</v>
      </c>
      <c r="AM1734">
        <v>-43.912763285666202</v>
      </c>
      <c r="AN1734">
        <v>-19.64265969999996</v>
      </c>
      <c r="AO1734">
        <v>-43.912763285666202</v>
      </c>
      <c r="AP1734">
        <v>-19.642907000000001</v>
      </c>
      <c r="AQ1734">
        <v>-43.912584000000003</v>
      </c>
      <c r="AR1734">
        <v>33.334435483196202</v>
      </c>
      <c r="AS1734" t="s">
        <v>65</v>
      </c>
      <c r="AT1734">
        <v>1</v>
      </c>
      <c r="AU1734" t="s">
        <v>441</v>
      </c>
      <c r="AV1734" t="s">
        <v>442</v>
      </c>
      <c r="AW1734" t="s">
        <v>60</v>
      </c>
      <c r="AX1734" t="s">
        <v>68</v>
      </c>
      <c r="AY1734" t="s">
        <v>69</v>
      </c>
      <c r="AZ1734" t="b">
        <v>1</v>
      </c>
    </row>
    <row r="1735" spans="1:52" x14ac:dyDescent="0.3">
      <c r="A1735" t="s">
        <v>52</v>
      </c>
      <c r="B1735" t="s">
        <v>53</v>
      </c>
      <c r="C1735" t="s">
        <v>54</v>
      </c>
      <c r="D1735" t="s">
        <v>55</v>
      </c>
      <c r="E1735" t="s">
        <v>851</v>
      </c>
      <c r="F1735" t="s">
        <v>176</v>
      </c>
      <c r="G1735" t="s">
        <v>443</v>
      </c>
      <c r="H1735" t="s">
        <v>444</v>
      </c>
      <c r="I1735" t="s">
        <v>444</v>
      </c>
      <c r="J1735" t="s">
        <v>60</v>
      </c>
      <c r="K1735" t="s">
        <v>445</v>
      </c>
      <c r="L1735" t="s">
        <v>62</v>
      </c>
      <c r="M1735" t="s">
        <v>445</v>
      </c>
      <c r="N1735" t="s">
        <v>446</v>
      </c>
      <c r="O1735" t="s">
        <v>447</v>
      </c>
      <c r="P1735">
        <v>-19.650062999999999</v>
      </c>
      <c r="Q1735">
        <v>-43.878337000000002</v>
      </c>
      <c r="R1735" s="2" t="str">
        <f>HYPERLINK("https://www.google.com/maps?q=-19.6500630,-43.8783370","Abrir no Google Maps")</f>
        <v>Abrir no Google Maps</v>
      </c>
      <c r="S1735">
        <v>3</v>
      </c>
      <c r="T1735">
        <v>839.11860749856135</v>
      </c>
      <c r="U1735">
        <v>3</v>
      </c>
      <c r="V1735">
        <v>0.84457020997375332</v>
      </c>
      <c r="W1735">
        <v>1</v>
      </c>
      <c r="X1735">
        <v>0.84457020997375332</v>
      </c>
      <c r="Y1735">
        <v>3</v>
      </c>
      <c r="Z1735">
        <v>698.86168887476526</v>
      </c>
      <c r="AA1735">
        <v>2</v>
      </c>
      <c r="AB1735">
        <v>3</v>
      </c>
      <c r="AC1735">
        <v>7</v>
      </c>
      <c r="AD1735">
        <v>25.18</v>
      </c>
      <c r="AE1735">
        <v>253</v>
      </c>
      <c r="AF1735">
        <v>13</v>
      </c>
      <c r="AG1735">
        <v>65</v>
      </c>
      <c r="AH1735">
        <v>32</v>
      </c>
      <c r="AI1735">
        <v>5.14</v>
      </c>
      <c r="AJ1735">
        <v>25.69</v>
      </c>
      <c r="AK1735">
        <v>12.65</v>
      </c>
      <c r="AL1735">
        <v>-19.650555399999941</v>
      </c>
      <c r="AM1735">
        <v>-43.878603008553611</v>
      </c>
      <c r="AN1735">
        <v>-19.650555399999941</v>
      </c>
      <c r="AO1735">
        <v>-43.878603008553611</v>
      </c>
      <c r="AP1735">
        <v>-19.650062999999999</v>
      </c>
      <c r="AQ1735">
        <v>-43.878337000000002</v>
      </c>
      <c r="AR1735">
        <v>61.500273251918507</v>
      </c>
      <c r="AS1735" t="s">
        <v>65</v>
      </c>
      <c r="AT1735">
        <v>1</v>
      </c>
      <c r="AU1735" t="s">
        <v>448</v>
      </c>
      <c r="AV1735" t="s">
        <v>449</v>
      </c>
      <c r="AW1735" t="s">
        <v>60</v>
      </c>
      <c r="AX1735" t="s">
        <v>68</v>
      </c>
      <c r="AY1735" t="s">
        <v>69</v>
      </c>
      <c r="AZ1735" t="b">
        <v>1</v>
      </c>
    </row>
    <row r="1736" spans="1:52" x14ac:dyDescent="0.3">
      <c r="A1736" t="s">
        <v>52</v>
      </c>
      <c r="B1736" t="s">
        <v>53</v>
      </c>
      <c r="C1736" t="s">
        <v>54</v>
      </c>
      <c r="D1736" t="s">
        <v>55</v>
      </c>
      <c r="E1736" t="s">
        <v>851</v>
      </c>
      <c r="F1736" t="s">
        <v>176</v>
      </c>
      <c r="G1736" t="s">
        <v>450</v>
      </c>
      <c r="H1736" t="s">
        <v>451</v>
      </c>
      <c r="I1736" t="s">
        <v>451</v>
      </c>
      <c r="J1736" t="s">
        <v>60</v>
      </c>
      <c r="K1736" t="s">
        <v>452</v>
      </c>
      <c r="L1736" t="s">
        <v>62</v>
      </c>
      <c r="M1736" t="s">
        <v>452</v>
      </c>
      <c r="N1736" t="s">
        <v>453</v>
      </c>
      <c r="O1736" t="s">
        <v>454</v>
      </c>
      <c r="P1736">
        <v>-19.649691000000001</v>
      </c>
      <c r="Q1736">
        <v>-43.873970999999997</v>
      </c>
      <c r="R1736" s="2" t="str">
        <f>HYPERLINK("https://www.google.com/maps?q=-19.6496910,-43.8739710","Abrir no Google Maps")</f>
        <v>Abrir no Google Maps</v>
      </c>
      <c r="S1736">
        <v>3</v>
      </c>
      <c r="T1736">
        <v>433.54329587849469</v>
      </c>
      <c r="U1736">
        <v>3</v>
      </c>
      <c r="V1736">
        <v>0.80231353591160215</v>
      </c>
      <c r="W1736">
        <v>1</v>
      </c>
      <c r="X1736">
        <v>0.80231353591160215</v>
      </c>
      <c r="Y1736">
        <v>3</v>
      </c>
      <c r="Z1736">
        <v>298.71042308886041</v>
      </c>
      <c r="AA1736">
        <v>2</v>
      </c>
      <c r="AB1736">
        <v>3</v>
      </c>
      <c r="AC1736">
        <v>7</v>
      </c>
      <c r="AD1736">
        <v>25.18</v>
      </c>
      <c r="AE1736">
        <v>253</v>
      </c>
      <c r="AF1736">
        <v>13</v>
      </c>
      <c r="AG1736">
        <v>65</v>
      </c>
      <c r="AH1736">
        <v>32</v>
      </c>
      <c r="AI1736">
        <v>5.14</v>
      </c>
      <c r="AJ1736">
        <v>25.69</v>
      </c>
      <c r="AK1736">
        <v>12.65</v>
      </c>
      <c r="AL1736">
        <v>-19.64973869999994</v>
      </c>
      <c r="AM1736">
        <v>-43.873980587601103</v>
      </c>
      <c r="AN1736">
        <v>-19.64973869999994</v>
      </c>
      <c r="AO1736">
        <v>-43.873980587601103</v>
      </c>
      <c r="AP1736">
        <v>-19.649691000000001</v>
      </c>
      <c r="AQ1736">
        <v>-43.873970999999997</v>
      </c>
      <c r="AR1736">
        <v>5.4042596125531333</v>
      </c>
      <c r="AS1736" t="s">
        <v>65</v>
      </c>
      <c r="AT1736">
        <v>1</v>
      </c>
      <c r="AU1736" t="s">
        <v>455</v>
      </c>
      <c r="AV1736" t="s">
        <v>456</v>
      </c>
      <c r="AW1736" t="s">
        <v>60</v>
      </c>
      <c r="AX1736" t="s">
        <v>68</v>
      </c>
      <c r="AY1736" t="s">
        <v>69</v>
      </c>
      <c r="AZ1736" t="b">
        <v>1</v>
      </c>
    </row>
    <row r="1737" spans="1:52" x14ac:dyDescent="0.3">
      <c r="A1737" t="s">
        <v>52</v>
      </c>
      <c r="B1737" t="s">
        <v>53</v>
      </c>
      <c r="C1737" t="s">
        <v>54</v>
      </c>
      <c r="D1737" t="s">
        <v>55</v>
      </c>
      <c r="E1737" t="s">
        <v>851</v>
      </c>
      <c r="F1737" t="s">
        <v>176</v>
      </c>
      <c r="G1737" t="s">
        <v>324</v>
      </c>
      <c r="H1737" t="s">
        <v>325</v>
      </c>
      <c r="I1737" t="s">
        <v>325</v>
      </c>
      <c r="J1737" t="s">
        <v>60</v>
      </c>
      <c r="K1737" t="s">
        <v>326</v>
      </c>
      <c r="L1737" t="s">
        <v>62</v>
      </c>
      <c r="M1737" t="s">
        <v>326</v>
      </c>
      <c r="N1737" t="s">
        <v>327</v>
      </c>
      <c r="O1737" t="s">
        <v>328</v>
      </c>
      <c r="P1737">
        <v>-19.654454000000001</v>
      </c>
      <c r="Q1737">
        <v>-43.874654</v>
      </c>
      <c r="R1737" s="2" t="str">
        <f>HYPERLINK("https://www.google.com/maps?q=-19.6544540,-43.8746540","Abrir no Google Maps")</f>
        <v>Abrir no Google Maps</v>
      </c>
      <c r="S1737">
        <v>3</v>
      </c>
      <c r="T1737">
        <v>461.71515786258828</v>
      </c>
      <c r="U1737">
        <v>3</v>
      </c>
      <c r="V1737">
        <v>0.84314275037369213</v>
      </c>
      <c r="W1737">
        <v>1</v>
      </c>
      <c r="X1737">
        <v>0.84314275037369213</v>
      </c>
      <c r="Y1737">
        <v>3</v>
      </c>
      <c r="Z1737">
        <v>321.42492762576637</v>
      </c>
      <c r="AA1737">
        <v>2</v>
      </c>
      <c r="AB1737">
        <v>3</v>
      </c>
      <c r="AC1737">
        <v>7</v>
      </c>
      <c r="AD1737">
        <v>25.18</v>
      </c>
      <c r="AE1737">
        <v>253</v>
      </c>
      <c r="AF1737">
        <v>13</v>
      </c>
      <c r="AG1737">
        <v>65</v>
      </c>
      <c r="AH1737">
        <v>32</v>
      </c>
      <c r="AI1737">
        <v>5.14</v>
      </c>
      <c r="AJ1737">
        <v>25.69</v>
      </c>
      <c r="AK1737">
        <v>12.65</v>
      </c>
      <c r="AL1737">
        <v>-19.654399599999941</v>
      </c>
      <c r="AM1737">
        <v>-43.87457008070222</v>
      </c>
      <c r="AN1737">
        <v>-19.654399599999941</v>
      </c>
      <c r="AO1737">
        <v>-43.87457008070222</v>
      </c>
      <c r="AP1737">
        <v>-19.654454000000001</v>
      </c>
      <c r="AQ1737">
        <v>-43.874654</v>
      </c>
      <c r="AR1737">
        <v>10.68040226290562</v>
      </c>
      <c r="AS1737" t="s">
        <v>65</v>
      </c>
      <c r="AT1737">
        <v>1</v>
      </c>
      <c r="AU1737" t="s">
        <v>329</v>
      </c>
      <c r="AV1737" t="s">
        <v>330</v>
      </c>
      <c r="AW1737" t="s">
        <v>60</v>
      </c>
      <c r="AX1737" t="s">
        <v>68</v>
      </c>
      <c r="AY1737" t="s">
        <v>69</v>
      </c>
      <c r="AZ1737" t="b">
        <v>1</v>
      </c>
    </row>
    <row r="1738" spans="1:52" x14ac:dyDescent="0.3">
      <c r="A1738" t="s">
        <v>52</v>
      </c>
      <c r="B1738" t="s">
        <v>53</v>
      </c>
      <c r="C1738" t="s">
        <v>54</v>
      </c>
      <c r="D1738" t="s">
        <v>55</v>
      </c>
      <c r="E1738" t="s">
        <v>851</v>
      </c>
      <c r="F1738" t="s">
        <v>176</v>
      </c>
      <c r="G1738" t="s">
        <v>457</v>
      </c>
      <c r="H1738" t="s">
        <v>458</v>
      </c>
      <c r="I1738" t="s">
        <v>458</v>
      </c>
      <c r="J1738" t="s">
        <v>60</v>
      </c>
      <c r="K1738" t="s">
        <v>286</v>
      </c>
      <c r="L1738" t="s">
        <v>62</v>
      </c>
      <c r="M1738" t="s">
        <v>286</v>
      </c>
      <c r="N1738" t="s">
        <v>459</v>
      </c>
      <c r="O1738" t="s">
        <v>408</v>
      </c>
      <c r="P1738">
        <v>-19.648675000000001</v>
      </c>
      <c r="Q1738">
        <v>-43.876176999999998</v>
      </c>
      <c r="R1738" s="2" t="str">
        <f>HYPERLINK("https://www.google.com/maps?q=-19.6486750,-43.8761770","Abrir no Google Maps")</f>
        <v>Abrir no Google Maps</v>
      </c>
      <c r="S1738">
        <v>3</v>
      </c>
      <c r="T1738">
        <v>696.15049931004592</v>
      </c>
      <c r="U1738">
        <v>3</v>
      </c>
      <c r="V1738">
        <v>0.8403307888040713</v>
      </c>
      <c r="W1738">
        <v>1</v>
      </c>
      <c r="X1738">
        <v>0.8403307888040713</v>
      </c>
      <c r="Y1738">
        <v>3</v>
      </c>
      <c r="Z1738">
        <v>617.40976221624703</v>
      </c>
      <c r="AA1738">
        <v>2</v>
      </c>
      <c r="AB1738">
        <v>3</v>
      </c>
      <c r="AC1738">
        <v>7</v>
      </c>
      <c r="AD1738">
        <v>25.18</v>
      </c>
      <c r="AE1738">
        <v>253</v>
      </c>
      <c r="AF1738">
        <v>13</v>
      </c>
      <c r="AG1738">
        <v>65</v>
      </c>
      <c r="AH1738">
        <v>32</v>
      </c>
      <c r="AI1738">
        <v>5.14</v>
      </c>
      <c r="AJ1738">
        <v>25.69</v>
      </c>
      <c r="AK1738">
        <v>12.65</v>
      </c>
      <c r="AL1738">
        <v>-19.648626649999951</v>
      </c>
      <c r="AM1738">
        <v>-43.876233357879343</v>
      </c>
      <c r="AN1738">
        <v>-19.648626649999951</v>
      </c>
      <c r="AO1738">
        <v>-43.876233357879343</v>
      </c>
      <c r="AP1738">
        <v>-19.648675000000001</v>
      </c>
      <c r="AQ1738">
        <v>-43.876176999999998</v>
      </c>
      <c r="AR1738">
        <v>7.9924470956447653</v>
      </c>
      <c r="AS1738" t="s">
        <v>65</v>
      </c>
      <c r="AT1738">
        <v>1</v>
      </c>
      <c r="AU1738" t="s">
        <v>460</v>
      </c>
      <c r="AV1738" t="s">
        <v>461</v>
      </c>
      <c r="AW1738" t="s">
        <v>60</v>
      </c>
      <c r="AX1738" t="s">
        <v>68</v>
      </c>
      <c r="AY1738" t="s">
        <v>69</v>
      </c>
      <c r="AZ1738" t="b">
        <v>1</v>
      </c>
    </row>
    <row r="1739" spans="1:52" x14ac:dyDescent="0.3">
      <c r="A1739" t="s">
        <v>52</v>
      </c>
      <c r="B1739" t="s">
        <v>53</v>
      </c>
      <c r="C1739" t="s">
        <v>54</v>
      </c>
      <c r="D1739" t="s">
        <v>55</v>
      </c>
      <c r="E1739" t="s">
        <v>851</v>
      </c>
      <c r="F1739" t="s">
        <v>176</v>
      </c>
      <c r="G1739" t="s">
        <v>462</v>
      </c>
      <c r="H1739" t="s">
        <v>463</v>
      </c>
      <c r="I1739" t="s">
        <v>463</v>
      </c>
      <c r="J1739" t="s">
        <v>60</v>
      </c>
      <c r="K1739" t="s">
        <v>464</v>
      </c>
      <c r="L1739" t="s">
        <v>62</v>
      </c>
      <c r="M1739" t="s">
        <v>464</v>
      </c>
      <c r="N1739" t="s">
        <v>465</v>
      </c>
      <c r="O1739" t="s">
        <v>414</v>
      </c>
      <c r="P1739">
        <v>-19.655408000000001</v>
      </c>
      <c r="Q1739">
        <v>-43.862772999999997</v>
      </c>
      <c r="R1739" s="2" t="str">
        <f>HYPERLINK("https://www.google.com/maps?q=-19.6554080,-43.8627730","Abrir no Google Maps")</f>
        <v>Abrir no Google Maps</v>
      </c>
      <c r="S1739">
        <v>3</v>
      </c>
      <c r="T1739">
        <v>877.50781603676592</v>
      </c>
      <c r="U1739">
        <v>3</v>
      </c>
      <c r="V1739">
        <v>0.80508474576271183</v>
      </c>
      <c r="W1739">
        <v>1</v>
      </c>
      <c r="X1739">
        <v>0.80508474576271183</v>
      </c>
      <c r="Y1739">
        <v>3</v>
      </c>
      <c r="Z1739">
        <v>1005.9680098732809</v>
      </c>
      <c r="AA1739">
        <v>2</v>
      </c>
      <c r="AB1739">
        <v>3</v>
      </c>
      <c r="AC1739">
        <v>7</v>
      </c>
      <c r="AD1739">
        <v>25.18</v>
      </c>
      <c r="AE1739">
        <v>253</v>
      </c>
      <c r="AF1739">
        <v>13</v>
      </c>
      <c r="AG1739">
        <v>65</v>
      </c>
      <c r="AH1739">
        <v>32</v>
      </c>
      <c r="AI1739">
        <v>5.14</v>
      </c>
      <c r="AJ1739">
        <v>25.69</v>
      </c>
      <c r="AK1739">
        <v>12.65</v>
      </c>
      <c r="AL1739">
        <v>-19.655455099999951</v>
      </c>
      <c r="AM1739">
        <v>-43.863149342001513</v>
      </c>
      <c r="AN1739">
        <v>-19.655455099999951</v>
      </c>
      <c r="AO1739">
        <v>-43.863149342001513</v>
      </c>
      <c r="AP1739">
        <v>-19.655408000000001</v>
      </c>
      <c r="AQ1739">
        <v>-43.862772999999997</v>
      </c>
      <c r="AR1739">
        <v>39.800175805630573</v>
      </c>
      <c r="AS1739" t="s">
        <v>65</v>
      </c>
      <c r="AT1739">
        <v>1</v>
      </c>
      <c r="AU1739" t="s">
        <v>466</v>
      </c>
      <c r="AV1739" t="s">
        <v>467</v>
      </c>
      <c r="AW1739" t="s">
        <v>60</v>
      </c>
      <c r="AX1739" t="s">
        <v>68</v>
      </c>
      <c r="AY1739" t="s">
        <v>69</v>
      </c>
      <c r="AZ1739" t="b">
        <v>1</v>
      </c>
    </row>
    <row r="1740" spans="1:52" x14ac:dyDescent="0.3">
      <c r="A1740" t="s">
        <v>52</v>
      </c>
      <c r="B1740" t="s">
        <v>53</v>
      </c>
      <c r="C1740" t="s">
        <v>54</v>
      </c>
      <c r="D1740" t="s">
        <v>55</v>
      </c>
      <c r="E1740" t="s">
        <v>851</v>
      </c>
      <c r="F1740" t="s">
        <v>176</v>
      </c>
      <c r="G1740" t="s">
        <v>468</v>
      </c>
      <c r="H1740" t="s">
        <v>469</v>
      </c>
      <c r="I1740" t="s">
        <v>469</v>
      </c>
      <c r="J1740" t="s">
        <v>60</v>
      </c>
      <c r="K1740" t="s">
        <v>326</v>
      </c>
      <c r="L1740" t="s">
        <v>62</v>
      </c>
      <c r="M1740" t="s">
        <v>326</v>
      </c>
      <c r="N1740" t="s">
        <v>470</v>
      </c>
      <c r="O1740" t="s">
        <v>471</v>
      </c>
      <c r="P1740">
        <v>-19.655975999999999</v>
      </c>
      <c r="Q1740">
        <v>-43.870057000000003</v>
      </c>
      <c r="R1740" s="2" t="str">
        <f>HYPERLINK("https://www.google.com/maps?q=-19.6559760,-43.8700570","Abrir no Google Maps")</f>
        <v>Abrir no Google Maps</v>
      </c>
      <c r="S1740">
        <v>3</v>
      </c>
      <c r="T1740">
        <v>409.25016374145417</v>
      </c>
      <c r="U1740">
        <v>3</v>
      </c>
      <c r="V1740">
        <v>0.84515008960573479</v>
      </c>
      <c r="W1740">
        <v>1</v>
      </c>
      <c r="X1740">
        <v>0.84515008960573479</v>
      </c>
      <c r="Y1740">
        <v>3</v>
      </c>
      <c r="Z1740">
        <v>484.59511175905197</v>
      </c>
      <c r="AA1740">
        <v>2</v>
      </c>
      <c r="AB1740">
        <v>3</v>
      </c>
      <c r="AC1740">
        <v>7</v>
      </c>
      <c r="AD1740">
        <v>25.18</v>
      </c>
      <c r="AE1740">
        <v>253</v>
      </c>
      <c r="AF1740">
        <v>13</v>
      </c>
      <c r="AG1740">
        <v>65</v>
      </c>
      <c r="AH1740">
        <v>32</v>
      </c>
      <c r="AI1740">
        <v>5.14</v>
      </c>
      <c r="AJ1740">
        <v>25.69</v>
      </c>
      <c r="AK1740">
        <v>12.65</v>
      </c>
      <c r="AL1740">
        <v>-19.655869499999969</v>
      </c>
      <c r="AM1740">
        <v>-43.870040006843681</v>
      </c>
      <c r="AN1740">
        <v>-19.655869499999969</v>
      </c>
      <c r="AO1740">
        <v>-43.870040006843681</v>
      </c>
      <c r="AP1740">
        <v>-19.655975999999999</v>
      </c>
      <c r="AQ1740">
        <v>-43.870057000000003</v>
      </c>
      <c r="AR1740">
        <v>11.98867552929476</v>
      </c>
      <c r="AS1740" t="s">
        <v>65</v>
      </c>
      <c r="AT1740">
        <v>1</v>
      </c>
      <c r="AU1740" t="s">
        <v>472</v>
      </c>
      <c r="AV1740" t="s">
        <v>473</v>
      </c>
      <c r="AW1740" t="s">
        <v>60</v>
      </c>
      <c r="AX1740" t="s">
        <v>68</v>
      </c>
      <c r="AY1740" t="s">
        <v>69</v>
      </c>
      <c r="AZ1740" t="b">
        <v>1</v>
      </c>
    </row>
    <row r="1741" spans="1:52" x14ac:dyDescent="0.3">
      <c r="A1741" t="s">
        <v>52</v>
      </c>
      <c r="B1741" t="s">
        <v>53</v>
      </c>
      <c r="C1741" t="s">
        <v>54</v>
      </c>
      <c r="D1741" t="s">
        <v>55</v>
      </c>
      <c r="E1741" t="s">
        <v>851</v>
      </c>
      <c r="F1741" t="s">
        <v>176</v>
      </c>
      <c r="G1741" t="s">
        <v>338</v>
      </c>
      <c r="H1741" t="s">
        <v>339</v>
      </c>
      <c r="I1741" t="s">
        <v>339</v>
      </c>
      <c r="J1741" t="s">
        <v>60</v>
      </c>
      <c r="K1741" t="s">
        <v>219</v>
      </c>
      <c r="L1741" t="s">
        <v>62</v>
      </c>
      <c r="M1741" t="s">
        <v>219</v>
      </c>
      <c r="N1741" t="s">
        <v>340</v>
      </c>
      <c r="O1741" t="s">
        <v>341</v>
      </c>
      <c r="P1741">
        <v>-19.666964</v>
      </c>
      <c r="Q1741">
        <v>-43.884436999999998</v>
      </c>
      <c r="R1741" s="2" t="str">
        <f>HYPERLINK("https://www.google.com/maps?q=-19.6669640,-43.8844370","Abrir no Google Maps")</f>
        <v>Abrir no Google Maps</v>
      </c>
      <c r="S1741">
        <v>3</v>
      </c>
      <c r="T1741">
        <v>957.0047152726122</v>
      </c>
      <c r="U1741">
        <v>3</v>
      </c>
      <c r="V1741">
        <v>0.81730769230769229</v>
      </c>
      <c r="W1741">
        <v>1</v>
      </c>
      <c r="X1741">
        <v>0.81730769230769229</v>
      </c>
      <c r="Y1741">
        <v>3</v>
      </c>
      <c r="Z1741">
        <v>558.02655966087093</v>
      </c>
      <c r="AA1741">
        <v>2</v>
      </c>
      <c r="AB1741">
        <v>3</v>
      </c>
      <c r="AC1741">
        <v>7</v>
      </c>
      <c r="AD1741">
        <v>25.18</v>
      </c>
      <c r="AE1741">
        <v>253</v>
      </c>
      <c r="AF1741">
        <v>13</v>
      </c>
      <c r="AG1741">
        <v>65</v>
      </c>
      <c r="AH1741">
        <v>32</v>
      </c>
      <c r="AI1741">
        <v>5.14</v>
      </c>
      <c r="AJ1741">
        <v>25.69</v>
      </c>
      <c r="AK1741">
        <v>12.65</v>
      </c>
      <c r="AL1741">
        <v>-19.66693374999997</v>
      </c>
      <c r="AM1741">
        <v>-43.884551162820181</v>
      </c>
      <c r="AN1741">
        <v>-19.66693374999997</v>
      </c>
      <c r="AO1741">
        <v>-43.884551162820181</v>
      </c>
      <c r="AP1741">
        <v>-19.666964</v>
      </c>
      <c r="AQ1741">
        <v>-43.884436999999998</v>
      </c>
      <c r="AR1741">
        <v>12.43199920714442</v>
      </c>
      <c r="AS1741" t="s">
        <v>65</v>
      </c>
      <c r="AT1741">
        <v>1</v>
      </c>
      <c r="AU1741" t="s">
        <v>342</v>
      </c>
      <c r="AV1741" t="s">
        <v>343</v>
      </c>
      <c r="AW1741" t="s">
        <v>60</v>
      </c>
      <c r="AX1741" t="s">
        <v>68</v>
      </c>
      <c r="AY1741" t="s">
        <v>69</v>
      </c>
      <c r="AZ1741" t="b">
        <v>1</v>
      </c>
    </row>
    <row r="1742" spans="1:52" x14ac:dyDescent="0.3">
      <c r="A1742" t="s">
        <v>52</v>
      </c>
      <c r="B1742" t="s">
        <v>53</v>
      </c>
      <c r="C1742" t="s">
        <v>54</v>
      </c>
      <c r="D1742" t="s">
        <v>55</v>
      </c>
      <c r="E1742" t="s">
        <v>851</v>
      </c>
      <c r="F1742" t="s">
        <v>176</v>
      </c>
      <c r="G1742" t="s">
        <v>344</v>
      </c>
      <c r="H1742" t="s">
        <v>345</v>
      </c>
      <c r="I1742" t="s">
        <v>345</v>
      </c>
      <c r="J1742" t="s">
        <v>60</v>
      </c>
      <c r="K1742" t="s">
        <v>326</v>
      </c>
      <c r="L1742" t="s">
        <v>62</v>
      </c>
      <c r="M1742" t="s">
        <v>326</v>
      </c>
      <c r="N1742" t="s">
        <v>346</v>
      </c>
      <c r="O1742" t="s">
        <v>347</v>
      </c>
      <c r="P1742">
        <v>-19.659784999999999</v>
      </c>
      <c r="Q1742">
        <v>-43.868257999999997</v>
      </c>
      <c r="R1742" s="2" t="str">
        <f>HYPERLINK("https://www.google.com/maps?q=-19.6597850,-43.8682580","Abrir no Google Maps")</f>
        <v>Abrir no Google Maps</v>
      </c>
      <c r="S1742">
        <v>3</v>
      </c>
      <c r="T1742">
        <v>887.40196140413514</v>
      </c>
      <c r="U1742">
        <v>3</v>
      </c>
      <c r="V1742">
        <v>0.80614406779661008</v>
      </c>
      <c r="W1742">
        <v>1</v>
      </c>
      <c r="X1742">
        <v>0.80614406779661008</v>
      </c>
      <c r="Y1742">
        <v>3</v>
      </c>
      <c r="Z1742">
        <v>951.67106090939239</v>
      </c>
      <c r="AA1742">
        <v>2</v>
      </c>
      <c r="AB1742">
        <v>3</v>
      </c>
      <c r="AC1742">
        <v>7</v>
      </c>
      <c r="AD1742">
        <v>25.18</v>
      </c>
      <c r="AE1742">
        <v>253</v>
      </c>
      <c r="AF1742">
        <v>13</v>
      </c>
      <c r="AG1742">
        <v>65</v>
      </c>
      <c r="AH1742">
        <v>32</v>
      </c>
      <c r="AI1742">
        <v>5.14</v>
      </c>
      <c r="AJ1742">
        <v>25.69</v>
      </c>
      <c r="AK1742">
        <v>12.65</v>
      </c>
      <c r="AL1742">
        <v>-19.659938849999971</v>
      </c>
      <c r="AM1742">
        <v>-43.868426732971933</v>
      </c>
      <c r="AN1742">
        <v>-19.659938849999971</v>
      </c>
      <c r="AO1742">
        <v>-43.868426732971933</v>
      </c>
      <c r="AP1742">
        <v>-19.659784999999999</v>
      </c>
      <c r="AQ1742">
        <v>-43.868257999999997</v>
      </c>
      <c r="AR1742">
        <v>24.621113441172451</v>
      </c>
      <c r="AS1742" t="s">
        <v>65</v>
      </c>
      <c r="AT1742">
        <v>1</v>
      </c>
      <c r="AU1742" t="s">
        <v>348</v>
      </c>
      <c r="AV1742" t="s">
        <v>349</v>
      </c>
      <c r="AW1742" t="s">
        <v>60</v>
      </c>
      <c r="AX1742" t="s">
        <v>68</v>
      </c>
      <c r="AY1742" t="s">
        <v>69</v>
      </c>
      <c r="AZ1742" t="b">
        <v>1</v>
      </c>
    </row>
    <row r="1743" spans="1:52" x14ac:dyDescent="0.3">
      <c r="A1743" t="s">
        <v>52</v>
      </c>
      <c r="B1743" t="s">
        <v>53</v>
      </c>
      <c r="C1743" t="s">
        <v>54</v>
      </c>
      <c r="D1743" t="s">
        <v>55</v>
      </c>
      <c r="E1743" t="s">
        <v>851</v>
      </c>
      <c r="F1743" t="s">
        <v>176</v>
      </c>
      <c r="G1743" t="s">
        <v>474</v>
      </c>
      <c r="H1743" t="s">
        <v>475</v>
      </c>
      <c r="I1743" t="s">
        <v>475</v>
      </c>
      <c r="J1743" t="s">
        <v>60</v>
      </c>
      <c r="K1743" t="s">
        <v>326</v>
      </c>
      <c r="L1743" t="s">
        <v>62</v>
      </c>
      <c r="M1743" t="s">
        <v>326</v>
      </c>
      <c r="N1743" t="s">
        <v>476</v>
      </c>
      <c r="O1743" t="s">
        <v>477</v>
      </c>
      <c r="P1743">
        <v>-19.658083000000001</v>
      </c>
      <c r="Q1743">
        <v>-43.866957999999997</v>
      </c>
      <c r="R1743" s="2" t="str">
        <f>HYPERLINK("https://www.google.com/maps?q=-19.6580830,-43.8669580","Abrir no Google Maps")</f>
        <v>Abrir no Google Maps</v>
      </c>
      <c r="S1743">
        <v>3</v>
      </c>
      <c r="T1743">
        <v>753.45055811539748</v>
      </c>
      <c r="U1743">
        <v>3</v>
      </c>
      <c r="V1743">
        <v>0.8512931034482758</v>
      </c>
      <c r="W1743">
        <v>1</v>
      </c>
      <c r="X1743">
        <v>0.8512931034482758</v>
      </c>
      <c r="Y1743">
        <v>3</v>
      </c>
      <c r="Z1743">
        <v>808.47816984050394</v>
      </c>
      <c r="AA1743">
        <v>2</v>
      </c>
      <c r="AB1743">
        <v>3</v>
      </c>
      <c r="AC1743">
        <v>7</v>
      </c>
      <c r="AD1743">
        <v>25.18</v>
      </c>
      <c r="AE1743">
        <v>253</v>
      </c>
      <c r="AF1743">
        <v>13</v>
      </c>
      <c r="AG1743">
        <v>65</v>
      </c>
      <c r="AH1743">
        <v>32</v>
      </c>
      <c r="AI1743">
        <v>5.14</v>
      </c>
      <c r="AJ1743">
        <v>25.69</v>
      </c>
      <c r="AK1743">
        <v>12.65</v>
      </c>
      <c r="AL1743">
        <v>-19.658034899999929</v>
      </c>
      <c r="AM1743">
        <v>-43.867024921196148</v>
      </c>
      <c r="AN1743">
        <v>-19.658034899999929</v>
      </c>
      <c r="AO1743">
        <v>-43.867024921196148</v>
      </c>
      <c r="AP1743">
        <v>-19.658083000000001</v>
      </c>
      <c r="AQ1743">
        <v>-43.866957999999997</v>
      </c>
      <c r="AR1743">
        <v>8.8253920204286462</v>
      </c>
      <c r="AS1743" t="s">
        <v>65</v>
      </c>
      <c r="AT1743">
        <v>1</v>
      </c>
      <c r="AU1743" t="s">
        <v>478</v>
      </c>
      <c r="AV1743" t="s">
        <v>349</v>
      </c>
      <c r="AW1743" t="s">
        <v>60</v>
      </c>
      <c r="AX1743" t="s">
        <v>68</v>
      </c>
      <c r="AY1743" t="s">
        <v>69</v>
      </c>
      <c r="AZ1743" t="b">
        <v>1</v>
      </c>
    </row>
    <row r="1744" spans="1:52" x14ac:dyDescent="0.3">
      <c r="A1744" t="s">
        <v>52</v>
      </c>
      <c r="B1744" t="s">
        <v>53</v>
      </c>
      <c r="C1744" t="s">
        <v>54</v>
      </c>
      <c r="D1744" t="s">
        <v>55</v>
      </c>
      <c r="E1744" t="s">
        <v>851</v>
      </c>
      <c r="F1744" t="s">
        <v>176</v>
      </c>
      <c r="G1744" t="s">
        <v>371</v>
      </c>
      <c r="H1744" t="s">
        <v>496</v>
      </c>
      <c r="I1744" t="s">
        <v>496</v>
      </c>
      <c r="J1744" t="s">
        <v>60</v>
      </c>
      <c r="K1744" t="s">
        <v>352</v>
      </c>
      <c r="L1744" t="s">
        <v>62</v>
      </c>
      <c r="M1744" t="s">
        <v>352</v>
      </c>
      <c r="N1744" t="s">
        <v>497</v>
      </c>
      <c r="O1744" t="s">
        <v>120</v>
      </c>
      <c r="P1744">
        <v>-19.599603999999999</v>
      </c>
      <c r="Q1744">
        <v>-43.899650000000001</v>
      </c>
      <c r="R1744" s="2" t="str">
        <f>HYPERLINK("https://www.google.com/maps?q=-19.5996040,-43.8996500","Abrir no Google Maps")</f>
        <v>Abrir no Google Maps</v>
      </c>
      <c r="S1744">
        <v>3</v>
      </c>
      <c r="T1744">
        <v>381.13553853255752</v>
      </c>
      <c r="U1744">
        <v>3</v>
      </c>
      <c r="V1744">
        <v>0.89485981308411222</v>
      </c>
      <c r="W1744">
        <v>0.85</v>
      </c>
      <c r="X1744">
        <v>0.76063084112149537</v>
      </c>
      <c r="Y1744">
        <v>2</v>
      </c>
      <c r="Z1744">
        <v>445.30611048306139</v>
      </c>
      <c r="AA1744">
        <v>2</v>
      </c>
      <c r="AB1744">
        <v>3</v>
      </c>
      <c r="AC1744">
        <v>7</v>
      </c>
      <c r="AD1744">
        <v>25.18</v>
      </c>
      <c r="AE1744">
        <v>253</v>
      </c>
      <c r="AF1744">
        <v>13</v>
      </c>
      <c r="AG1744">
        <v>65</v>
      </c>
      <c r="AH1744">
        <v>32</v>
      </c>
      <c r="AI1744">
        <v>5.14</v>
      </c>
      <c r="AJ1744">
        <v>25.69</v>
      </c>
      <c r="AK1744">
        <v>12.65</v>
      </c>
      <c r="AL1744">
        <v>-19.59984999999995</v>
      </c>
      <c r="AM1744">
        <v>-43.90070409772008</v>
      </c>
      <c r="AN1744">
        <v>-19.59984999999995</v>
      </c>
      <c r="AO1744">
        <v>-43.90070409772008</v>
      </c>
      <c r="AP1744">
        <v>-19.599603999999999</v>
      </c>
      <c r="AQ1744">
        <v>-43.899650000000001</v>
      </c>
      <c r="AR1744">
        <v>113.8846460473157</v>
      </c>
      <c r="AS1744" t="s">
        <v>65</v>
      </c>
      <c r="AT1744">
        <v>1</v>
      </c>
      <c r="AU1744" t="s">
        <v>498</v>
      </c>
      <c r="AV1744" t="s">
        <v>499</v>
      </c>
      <c r="AW1744" t="s">
        <v>60</v>
      </c>
      <c r="AX1744" t="s">
        <v>68</v>
      </c>
      <c r="AY1744" t="s">
        <v>69</v>
      </c>
      <c r="AZ1744" t="b">
        <v>1</v>
      </c>
    </row>
    <row r="1745" spans="1:52" x14ac:dyDescent="0.3">
      <c r="A1745" t="s">
        <v>52</v>
      </c>
      <c r="B1745" t="s">
        <v>53</v>
      </c>
      <c r="C1745" t="s">
        <v>54</v>
      </c>
      <c r="D1745" t="s">
        <v>55</v>
      </c>
      <c r="E1745" t="s">
        <v>851</v>
      </c>
      <c r="F1745" t="s">
        <v>176</v>
      </c>
      <c r="G1745" t="s">
        <v>350</v>
      </c>
      <c r="H1745" t="s">
        <v>368</v>
      </c>
      <c r="I1745" t="s">
        <v>368</v>
      </c>
      <c r="J1745" t="s">
        <v>60</v>
      </c>
      <c r="K1745" t="s">
        <v>364</v>
      </c>
      <c r="L1745" t="s">
        <v>62</v>
      </c>
      <c r="M1745" t="s">
        <v>364</v>
      </c>
      <c r="N1745" t="s">
        <v>353</v>
      </c>
      <c r="O1745" t="s">
        <v>365</v>
      </c>
      <c r="P1745">
        <v>-19.593221</v>
      </c>
      <c r="Q1745">
        <v>-43.901839000000002</v>
      </c>
      <c r="R1745" s="2" t="str">
        <f>HYPERLINK("https://www.google.com/maps?q=-19.5932210,-43.9018390","Abrir no Google Maps")</f>
        <v>Abrir no Google Maps</v>
      </c>
      <c r="S1745">
        <v>3</v>
      </c>
      <c r="T1745">
        <v>741.77482535005606</v>
      </c>
      <c r="U1745">
        <v>3</v>
      </c>
      <c r="V1745">
        <v>0.96162280701754399</v>
      </c>
      <c r="W1745">
        <v>0.85</v>
      </c>
      <c r="X1745">
        <v>0.81737938596491233</v>
      </c>
      <c r="Y1745">
        <v>2</v>
      </c>
      <c r="Z1745">
        <v>790.59331647558088</v>
      </c>
      <c r="AA1745">
        <v>2</v>
      </c>
      <c r="AB1745">
        <v>3</v>
      </c>
      <c r="AC1745">
        <v>7</v>
      </c>
      <c r="AD1745">
        <v>25.18</v>
      </c>
      <c r="AE1745">
        <v>253</v>
      </c>
      <c r="AF1745">
        <v>13</v>
      </c>
      <c r="AG1745">
        <v>65</v>
      </c>
      <c r="AH1745">
        <v>32</v>
      </c>
      <c r="AI1745">
        <v>5.14</v>
      </c>
      <c r="AJ1745">
        <v>25.69</v>
      </c>
      <c r="AK1745">
        <v>12.65</v>
      </c>
      <c r="AL1745">
        <v>-19.593187449999959</v>
      </c>
      <c r="AM1745">
        <v>-43.901700308057322</v>
      </c>
      <c r="AN1745">
        <v>-19.593187449999959</v>
      </c>
      <c r="AO1745">
        <v>-43.901700308057322</v>
      </c>
      <c r="AP1745">
        <v>-19.593221</v>
      </c>
      <c r="AQ1745">
        <v>-43.901839000000002</v>
      </c>
      <c r="AR1745">
        <v>15.017055708279431</v>
      </c>
      <c r="AS1745" t="s">
        <v>65</v>
      </c>
      <c r="AT1745">
        <v>1</v>
      </c>
      <c r="AU1745" t="s">
        <v>369</v>
      </c>
      <c r="AV1745" t="s">
        <v>370</v>
      </c>
      <c r="AW1745" t="s">
        <v>60</v>
      </c>
      <c r="AX1745" t="s">
        <v>68</v>
      </c>
      <c r="AY1745" t="s">
        <v>69</v>
      </c>
      <c r="AZ1745" t="b">
        <v>1</v>
      </c>
    </row>
    <row r="1746" spans="1:52" x14ac:dyDescent="0.3">
      <c r="A1746" t="s">
        <v>52</v>
      </c>
      <c r="B1746" t="s">
        <v>53</v>
      </c>
      <c r="C1746" t="s">
        <v>54</v>
      </c>
      <c r="D1746" t="s">
        <v>55</v>
      </c>
      <c r="E1746" t="s">
        <v>851</v>
      </c>
      <c r="F1746" t="s">
        <v>176</v>
      </c>
      <c r="G1746" t="s">
        <v>500</v>
      </c>
      <c r="H1746" t="s">
        <v>501</v>
      </c>
      <c r="I1746" t="s">
        <v>501</v>
      </c>
      <c r="J1746" t="s">
        <v>60</v>
      </c>
      <c r="K1746" t="s">
        <v>164</v>
      </c>
      <c r="L1746" t="s">
        <v>62</v>
      </c>
      <c r="M1746" t="s">
        <v>164</v>
      </c>
      <c r="N1746" t="s">
        <v>502</v>
      </c>
      <c r="O1746" t="s">
        <v>503</v>
      </c>
      <c r="P1746">
        <v>-19.665816</v>
      </c>
      <c r="Q1746">
        <v>-43.886322999999997</v>
      </c>
      <c r="R1746" s="2" t="str">
        <f>HYPERLINK("https://www.google.com/maps?q=-19.6658160,-43.8863230","Abrir no Google Maps")</f>
        <v>Abrir no Google Maps</v>
      </c>
      <c r="S1746">
        <v>3</v>
      </c>
      <c r="T1746">
        <v>1149.957610345353</v>
      </c>
      <c r="U1746">
        <v>3</v>
      </c>
      <c r="V1746">
        <v>0.76344086021505375</v>
      </c>
      <c r="W1746">
        <v>1</v>
      </c>
      <c r="X1746">
        <v>0.76344086021505375</v>
      </c>
      <c r="Y1746">
        <v>1</v>
      </c>
      <c r="Z1746">
        <v>381.605286477493</v>
      </c>
      <c r="AA1746">
        <v>2</v>
      </c>
      <c r="AB1746">
        <v>3</v>
      </c>
      <c r="AC1746">
        <v>7</v>
      </c>
      <c r="AD1746">
        <v>25.18</v>
      </c>
      <c r="AE1746">
        <v>253</v>
      </c>
      <c r="AF1746">
        <v>13</v>
      </c>
      <c r="AG1746">
        <v>65</v>
      </c>
      <c r="AH1746">
        <v>32</v>
      </c>
      <c r="AI1746">
        <v>5.14</v>
      </c>
      <c r="AJ1746">
        <v>25.69</v>
      </c>
      <c r="AK1746">
        <v>12.65</v>
      </c>
      <c r="AL1746">
        <v>-19.665844049999951</v>
      </c>
      <c r="AM1746">
        <v>-43.886344205728712</v>
      </c>
      <c r="AN1746">
        <v>-19.665844049999951</v>
      </c>
      <c r="AO1746">
        <v>-43.886344205728712</v>
      </c>
      <c r="AP1746">
        <v>-19.665816</v>
      </c>
      <c r="AQ1746">
        <v>-43.886322999999997</v>
      </c>
      <c r="AR1746">
        <v>3.8329604058735098</v>
      </c>
      <c r="AS1746" t="s">
        <v>65</v>
      </c>
      <c r="AT1746">
        <v>1</v>
      </c>
      <c r="AU1746" t="s">
        <v>504</v>
      </c>
      <c r="AV1746" t="s">
        <v>505</v>
      </c>
      <c r="AW1746" t="s">
        <v>60</v>
      </c>
      <c r="AX1746" t="s">
        <v>68</v>
      </c>
      <c r="AY1746" t="s">
        <v>69</v>
      </c>
      <c r="AZ1746" t="b">
        <v>1</v>
      </c>
    </row>
    <row r="1747" spans="1:52" x14ac:dyDescent="0.3">
      <c r="A1747" t="s">
        <v>52</v>
      </c>
      <c r="B1747" t="s">
        <v>53</v>
      </c>
      <c r="C1747" t="s">
        <v>54</v>
      </c>
      <c r="D1747" t="s">
        <v>55</v>
      </c>
      <c r="E1747" t="s">
        <v>851</v>
      </c>
      <c r="F1747" t="s">
        <v>176</v>
      </c>
      <c r="G1747" t="s">
        <v>506</v>
      </c>
      <c r="H1747" t="s">
        <v>507</v>
      </c>
      <c r="I1747" t="s">
        <v>507</v>
      </c>
      <c r="J1747" t="s">
        <v>60</v>
      </c>
      <c r="K1747" t="s">
        <v>219</v>
      </c>
      <c r="L1747" t="s">
        <v>62</v>
      </c>
      <c r="M1747" t="s">
        <v>219</v>
      </c>
      <c r="N1747" t="s">
        <v>508</v>
      </c>
      <c r="O1747" t="s">
        <v>509</v>
      </c>
      <c r="P1747">
        <v>-19.663573</v>
      </c>
      <c r="Q1747">
        <v>-43.884306000000002</v>
      </c>
      <c r="R1747" s="2" t="str">
        <f>HYPERLINK("https://www.google.com/maps?q=-19.6635730,-43.8843060","Abrir no Google Maps")</f>
        <v>Abrir no Google Maps</v>
      </c>
      <c r="S1747">
        <v>3</v>
      </c>
      <c r="T1747">
        <v>1293.040666597964</v>
      </c>
      <c r="U1747">
        <v>3</v>
      </c>
      <c r="V1747">
        <v>0.78743734335839599</v>
      </c>
      <c r="W1747">
        <v>1</v>
      </c>
      <c r="X1747">
        <v>0.78743734335839599</v>
      </c>
      <c r="Y1747">
        <v>1</v>
      </c>
      <c r="Z1747">
        <v>649.69199246551727</v>
      </c>
      <c r="AA1747">
        <v>2</v>
      </c>
      <c r="AB1747">
        <v>3</v>
      </c>
      <c r="AC1747">
        <v>7</v>
      </c>
      <c r="AD1747">
        <v>25.18</v>
      </c>
      <c r="AE1747">
        <v>253</v>
      </c>
      <c r="AF1747">
        <v>13</v>
      </c>
      <c r="AG1747">
        <v>65</v>
      </c>
      <c r="AH1747">
        <v>32</v>
      </c>
      <c r="AI1747">
        <v>5.14</v>
      </c>
      <c r="AJ1747">
        <v>25.69</v>
      </c>
      <c r="AK1747">
        <v>12.65</v>
      </c>
      <c r="AL1747">
        <v>-19.663616899999969</v>
      </c>
      <c r="AM1747">
        <v>-43.884279937960187</v>
      </c>
      <c r="AN1747">
        <v>-19.663616899999969</v>
      </c>
      <c r="AO1747">
        <v>-43.884279937960187</v>
      </c>
      <c r="AP1747">
        <v>-19.663573</v>
      </c>
      <c r="AQ1747">
        <v>-43.884306000000002</v>
      </c>
      <c r="AR1747">
        <v>5.5987767285658263</v>
      </c>
      <c r="AS1747" t="s">
        <v>65</v>
      </c>
      <c r="AT1747">
        <v>1</v>
      </c>
      <c r="AU1747" t="s">
        <v>510</v>
      </c>
      <c r="AV1747" t="s">
        <v>511</v>
      </c>
      <c r="AW1747" t="s">
        <v>60</v>
      </c>
      <c r="AX1747" t="s">
        <v>68</v>
      </c>
      <c r="AY1747" t="s">
        <v>69</v>
      </c>
      <c r="AZ1747" t="b">
        <v>1</v>
      </c>
    </row>
    <row r="1748" spans="1:52" x14ac:dyDescent="0.3">
      <c r="A1748" t="s">
        <v>52</v>
      </c>
      <c r="B1748" t="s">
        <v>53</v>
      </c>
      <c r="C1748" t="s">
        <v>54</v>
      </c>
      <c r="D1748" t="s">
        <v>55</v>
      </c>
      <c r="E1748" t="s">
        <v>851</v>
      </c>
      <c r="F1748" t="s">
        <v>512</v>
      </c>
      <c r="G1748" t="s">
        <v>58</v>
      </c>
      <c r="H1748" t="s">
        <v>59</v>
      </c>
      <c r="I1748" t="s">
        <v>59</v>
      </c>
      <c r="J1748" t="s">
        <v>60</v>
      </c>
      <c r="K1748" t="s">
        <v>61</v>
      </c>
      <c r="L1748" t="s">
        <v>62</v>
      </c>
      <c r="M1748" t="s">
        <v>61</v>
      </c>
      <c r="N1748" t="s">
        <v>63</v>
      </c>
      <c r="O1748" t="s">
        <v>64</v>
      </c>
      <c r="P1748">
        <v>-19.631502000000001</v>
      </c>
      <c r="Q1748">
        <v>-43.910241999999997</v>
      </c>
      <c r="R1748" s="2" t="str">
        <f>HYPERLINK("https://www.google.com/maps?q=-19.6315020,-43.9102420","Abrir no Google Maps")</f>
        <v>Abrir no Google Maps</v>
      </c>
      <c r="S1748">
        <v>4</v>
      </c>
      <c r="T1748">
        <v>789.20099406682743</v>
      </c>
      <c r="U1748">
        <v>4</v>
      </c>
      <c r="V1748">
        <v>0.87057086614173229</v>
      </c>
      <c r="W1748">
        <v>1</v>
      </c>
      <c r="X1748">
        <v>0.87057086614173229</v>
      </c>
      <c r="Y1748">
        <v>10</v>
      </c>
      <c r="Z1748">
        <v>691.44930074509864</v>
      </c>
      <c r="AA1748">
        <v>2</v>
      </c>
      <c r="AB1748">
        <v>3</v>
      </c>
      <c r="AC1748">
        <v>7</v>
      </c>
      <c r="AD1748">
        <v>25.18</v>
      </c>
      <c r="AE1748">
        <v>253</v>
      </c>
      <c r="AF1748">
        <v>13</v>
      </c>
      <c r="AG1748">
        <v>65</v>
      </c>
      <c r="AH1748">
        <v>32</v>
      </c>
      <c r="AI1748">
        <v>5.14</v>
      </c>
      <c r="AJ1748">
        <v>25.69</v>
      </c>
      <c r="AK1748">
        <v>12.65</v>
      </c>
      <c r="AL1748">
        <v>-19.631719749999949</v>
      </c>
      <c r="AM1748">
        <v>-43.910102324517517</v>
      </c>
      <c r="AN1748">
        <v>-19.631719749999949</v>
      </c>
      <c r="AO1748">
        <v>-43.910102324517517</v>
      </c>
      <c r="AP1748">
        <v>-19.631502000000001</v>
      </c>
      <c r="AQ1748">
        <v>-43.910241999999997</v>
      </c>
      <c r="AR1748">
        <v>28.320416429206599</v>
      </c>
      <c r="AS1748" t="s">
        <v>65</v>
      </c>
      <c r="AT1748">
        <v>1</v>
      </c>
      <c r="AU1748" t="s">
        <v>66</v>
      </c>
      <c r="AV1748" t="s">
        <v>67</v>
      </c>
      <c r="AW1748" t="s">
        <v>60</v>
      </c>
      <c r="AX1748" t="s">
        <v>68</v>
      </c>
      <c r="AY1748" t="s">
        <v>69</v>
      </c>
      <c r="AZ1748" t="b">
        <v>1</v>
      </c>
    </row>
    <row r="1749" spans="1:52" x14ac:dyDescent="0.3">
      <c r="A1749" t="s">
        <v>52</v>
      </c>
      <c r="B1749" t="s">
        <v>53</v>
      </c>
      <c r="C1749" t="s">
        <v>54</v>
      </c>
      <c r="D1749" t="s">
        <v>55</v>
      </c>
      <c r="E1749" t="s">
        <v>851</v>
      </c>
      <c r="F1749" t="s">
        <v>512</v>
      </c>
      <c r="G1749" t="s">
        <v>70</v>
      </c>
      <c r="H1749" t="s">
        <v>71</v>
      </c>
      <c r="I1749" t="s">
        <v>71</v>
      </c>
      <c r="J1749" t="s">
        <v>60</v>
      </c>
      <c r="K1749" t="s">
        <v>72</v>
      </c>
      <c r="L1749" t="s">
        <v>62</v>
      </c>
      <c r="M1749" t="s">
        <v>72</v>
      </c>
      <c r="N1749" t="s">
        <v>73</v>
      </c>
      <c r="O1749" t="s">
        <v>74</v>
      </c>
      <c r="P1749">
        <v>-19.632581999999999</v>
      </c>
      <c r="Q1749">
        <v>-43.902416000000002</v>
      </c>
      <c r="R1749" s="2" t="str">
        <f>HYPERLINK("https://www.google.com/maps?q=-19.6325820,-43.9024160","Abrir no Google Maps")</f>
        <v>Abrir no Google Maps</v>
      </c>
      <c r="S1749">
        <v>4</v>
      </c>
      <c r="T1749">
        <v>0</v>
      </c>
      <c r="U1749">
        <v>4</v>
      </c>
      <c r="V1749">
        <v>0.88031914893617025</v>
      </c>
      <c r="W1749">
        <v>1</v>
      </c>
      <c r="X1749">
        <v>0.88031914893617025</v>
      </c>
      <c r="Y1749">
        <v>10</v>
      </c>
      <c r="Z1749">
        <v>146.6968158874696</v>
      </c>
      <c r="AA1749">
        <v>2</v>
      </c>
      <c r="AB1749">
        <v>3</v>
      </c>
      <c r="AC1749">
        <v>7</v>
      </c>
      <c r="AD1749">
        <v>25.18</v>
      </c>
      <c r="AE1749">
        <v>253</v>
      </c>
      <c r="AF1749">
        <v>13</v>
      </c>
      <c r="AG1749">
        <v>65</v>
      </c>
      <c r="AH1749">
        <v>32</v>
      </c>
      <c r="AI1749">
        <v>5.14</v>
      </c>
      <c r="AJ1749">
        <v>25.69</v>
      </c>
      <c r="AK1749">
        <v>12.65</v>
      </c>
      <c r="AL1749">
        <v>-19.63271449999996</v>
      </c>
      <c r="AM1749">
        <v>-43.902649897389402</v>
      </c>
      <c r="AN1749">
        <v>-19.63271449999996</v>
      </c>
      <c r="AO1749">
        <v>-43.902649897389402</v>
      </c>
      <c r="AP1749">
        <v>-19.632581999999999</v>
      </c>
      <c r="AQ1749">
        <v>-43.902416000000002</v>
      </c>
      <c r="AR1749">
        <v>28.617753432996459</v>
      </c>
      <c r="AS1749" t="s">
        <v>65</v>
      </c>
      <c r="AT1749">
        <v>1</v>
      </c>
      <c r="AU1749" t="s">
        <v>75</v>
      </c>
      <c r="AV1749" t="s">
        <v>76</v>
      </c>
      <c r="AW1749" t="s">
        <v>60</v>
      </c>
      <c r="AX1749" t="s">
        <v>68</v>
      </c>
      <c r="AY1749" t="s">
        <v>69</v>
      </c>
      <c r="AZ1749" t="b">
        <v>1</v>
      </c>
    </row>
    <row r="1750" spans="1:52" x14ac:dyDescent="0.3">
      <c r="A1750" t="s">
        <v>52</v>
      </c>
      <c r="B1750" t="s">
        <v>53</v>
      </c>
      <c r="C1750" t="s">
        <v>54</v>
      </c>
      <c r="D1750" t="s">
        <v>55</v>
      </c>
      <c r="E1750" t="s">
        <v>851</v>
      </c>
      <c r="F1750" t="s">
        <v>512</v>
      </c>
      <c r="G1750" t="s">
        <v>77</v>
      </c>
      <c r="H1750" t="s">
        <v>78</v>
      </c>
      <c r="I1750" t="s">
        <v>78</v>
      </c>
      <c r="J1750" t="s">
        <v>60</v>
      </c>
      <c r="K1750" t="s">
        <v>79</v>
      </c>
      <c r="L1750" t="s">
        <v>62</v>
      </c>
      <c r="M1750" t="s">
        <v>79</v>
      </c>
      <c r="N1750" t="s">
        <v>80</v>
      </c>
      <c r="O1750" t="s">
        <v>81</v>
      </c>
      <c r="P1750">
        <v>-19.632463999999999</v>
      </c>
      <c r="Q1750">
        <v>-43.904927999999998</v>
      </c>
      <c r="R1750" s="2" t="str">
        <f>HYPERLINK("https://www.google.com/maps?q=-19.6324640,-43.9049280","Abrir no Google Maps")</f>
        <v>Abrir no Google Maps</v>
      </c>
      <c r="S1750">
        <v>4</v>
      </c>
      <c r="T1750">
        <v>244.1735197453369</v>
      </c>
      <c r="U1750">
        <v>4</v>
      </c>
      <c r="V1750">
        <v>0.89583333333333337</v>
      </c>
      <c r="W1750">
        <v>1</v>
      </c>
      <c r="X1750">
        <v>0.89583333333333337</v>
      </c>
      <c r="Y1750">
        <v>10</v>
      </c>
      <c r="Z1750">
        <v>287.26068152447448</v>
      </c>
      <c r="AA1750">
        <v>2</v>
      </c>
      <c r="AB1750">
        <v>3</v>
      </c>
      <c r="AC1750">
        <v>7</v>
      </c>
      <c r="AD1750">
        <v>25.18</v>
      </c>
      <c r="AE1750">
        <v>253</v>
      </c>
      <c r="AF1750">
        <v>13</v>
      </c>
      <c r="AG1750">
        <v>65</v>
      </c>
      <c r="AH1750">
        <v>32</v>
      </c>
      <c r="AI1750">
        <v>5.14</v>
      </c>
      <c r="AJ1750">
        <v>25.69</v>
      </c>
      <c r="AK1750">
        <v>12.65</v>
      </c>
      <c r="AL1750">
        <v>-19.63247099999996</v>
      </c>
      <c r="AM1750">
        <v>-43.904964174285787</v>
      </c>
      <c r="AN1750">
        <v>-19.63247099999996</v>
      </c>
      <c r="AO1750">
        <v>-43.904964174285787</v>
      </c>
      <c r="AP1750">
        <v>-19.632463999999999</v>
      </c>
      <c r="AQ1750">
        <v>-43.904927999999998</v>
      </c>
      <c r="AR1750">
        <v>3.8720457500200469</v>
      </c>
      <c r="AS1750" t="s">
        <v>65</v>
      </c>
      <c r="AT1750">
        <v>1</v>
      </c>
      <c r="AU1750" t="s">
        <v>82</v>
      </c>
      <c r="AV1750" t="s">
        <v>83</v>
      </c>
      <c r="AW1750" t="s">
        <v>60</v>
      </c>
      <c r="AX1750" t="s">
        <v>68</v>
      </c>
      <c r="AY1750" t="s">
        <v>69</v>
      </c>
      <c r="AZ1750" t="b">
        <v>1</v>
      </c>
    </row>
    <row r="1751" spans="1:52" x14ac:dyDescent="0.3">
      <c r="A1751" t="s">
        <v>52</v>
      </c>
      <c r="B1751" t="s">
        <v>53</v>
      </c>
      <c r="C1751" t="s">
        <v>54</v>
      </c>
      <c r="D1751" t="s">
        <v>55</v>
      </c>
      <c r="E1751" t="s">
        <v>851</v>
      </c>
      <c r="F1751" t="s">
        <v>512</v>
      </c>
      <c r="G1751" t="s">
        <v>84</v>
      </c>
      <c r="H1751" t="s">
        <v>85</v>
      </c>
      <c r="I1751" t="s">
        <v>85</v>
      </c>
      <c r="J1751" t="s">
        <v>60</v>
      </c>
      <c r="K1751" t="s">
        <v>86</v>
      </c>
      <c r="L1751" t="s">
        <v>62</v>
      </c>
      <c r="M1751" t="s">
        <v>86</v>
      </c>
      <c r="N1751" t="s">
        <v>87</v>
      </c>
      <c r="O1751" t="s">
        <v>88</v>
      </c>
      <c r="P1751">
        <v>-19.629436999999999</v>
      </c>
      <c r="Q1751">
        <v>-43.910398999999998</v>
      </c>
      <c r="R1751" s="2" t="str">
        <f>HYPERLINK("https://www.google.com/maps?q=-19.6294370,-43.9103990","Abrir no Google Maps")</f>
        <v>Abrir no Google Maps</v>
      </c>
      <c r="S1751">
        <v>4</v>
      </c>
      <c r="T1751">
        <v>888.82060643108082</v>
      </c>
      <c r="U1751">
        <v>3</v>
      </c>
      <c r="V1751">
        <v>0.85398230088495575</v>
      </c>
      <c r="W1751">
        <v>1</v>
      </c>
      <c r="X1751">
        <v>0.85398230088495575</v>
      </c>
      <c r="Y1751">
        <v>10</v>
      </c>
      <c r="Z1751">
        <v>867.42797341651737</v>
      </c>
      <c r="AA1751">
        <v>2</v>
      </c>
      <c r="AB1751">
        <v>3</v>
      </c>
      <c r="AC1751">
        <v>7</v>
      </c>
      <c r="AD1751">
        <v>25.18</v>
      </c>
      <c r="AE1751">
        <v>253</v>
      </c>
      <c r="AF1751">
        <v>13</v>
      </c>
      <c r="AG1751">
        <v>65</v>
      </c>
      <c r="AH1751">
        <v>32</v>
      </c>
      <c r="AI1751">
        <v>5.14</v>
      </c>
      <c r="AJ1751">
        <v>25.69</v>
      </c>
      <c r="AK1751">
        <v>12.65</v>
      </c>
      <c r="AL1751">
        <v>-19.62934694999996</v>
      </c>
      <c r="AM1751">
        <v>-43.910344699357317</v>
      </c>
      <c r="AN1751">
        <v>-19.62934694999996</v>
      </c>
      <c r="AO1751">
        <v>-43.910344699357331</v>
      </c>
      <c r="AP1751">
        <v>-19.629436999999999</v>
      </c>
      <c r="AQ1751">
        <v>-43.910398999999998</v>
      </c>
      <c r="AR1751">
        <v>11.52837377953678</v>
      </c>
      <c r="AS1751" t="s">
        <v>65</v>
      </c>
      <c r="AT1751">
        <v>1</v>
      </c>
      <c r="AU1751" t="s">
        <v>89</v>
      </c>
      <c r="AV1751" t="s">
        <v>90</v>
      </c>
      <c r="AW1751" t="s">
        <v>60</v>
      </c>
      <c r="AX1751" t="s">
        <v>68</v>
      </c>
      <c r="AY1751" t="s">
        <v>69</v>
      </c>
      <c r="AZ1751" t="b">
        <v>1</v>
      </c>
    </row>
    <row r="1752" spans="1:52" x14ac:dyDescent="0.3">
      <c r="A1752" t="s">
        <v>52</v>
      </c>
      <c r="B1752" t="s">
        <v>53</v>
      </c>
      <c r="C1752" t="s">
        <v>54</v>
      </c>
      <c r="D1752" t="s">
        <v>55</v>
      </c>
      <c r="E1752" t="s">
        <v>851</v>
      </c>
      <c r="F1752" t="s">
        <v>512</v>
      </c>
      <c r="G1752" t="s">
        <v>91</v>
      </c>
      <c r="H1752" t="s">
        <v>92</v>
      </c>
      <c r="I1752" t="s">
        <v>92</v>
      </c>
      <c r="J1752" t="s">
        <v>60</v>
      </c>
      <c r="K1752" t="s">
        <v>86</v>
      </c>
      <c r="L1752" t="s">
        <v>62</v>
      </c>
      <c r="M1752" t="s">
        <v>86</v>
      </c>
      <c r="N1752" t="s">
        <v>93</v>
      </c>
      <c r="O1752" t="s">
        <v>94</v>
      </c>
      <c r="P1752">
        <v>-19.630676999999999</v>
      </c>
      <c r="Q1752">
        <v>-43.907255999999997</v>
      </c>
      <c r="R1752" s="2" t="str">
        <f>HYPERLINK("https://www.google.com/maps?q=-19.6306770,-43.9072560","Abrir no Google Maps")</f>
        <v>Abrir no Google Maps</v>
      </c>
      <c r="S1752">
        <v>4</v>
      </c>
      <c r="T1752">
        <v>545.39374622597825</v>
      </c>
      <c r="U1752">
        <v>3</v>
      </c>
      <c r="V1752">
        <v>0.85526315789473673</v>
      </c>
      <c r="W1752">
        <v>1</v>
      </c>
      <c r="X1752">
        <v>0.85526315789473673</v>
      </c>
      <c r="Y1752">
        <v>10</v>
      </c>
      <c r="Z1752">
        <v>559.94033759457182</v>
      </c>
      <c r="AA1752">
        <v>2</v>
      </c>
      <c r="AB1752">
        <v>3</v>
      </c>
      <c r="AC1752">
        <v>7</v>
      </c>
      <c r="AD1752">
        <v>25.18</v>
      </c>
      <c r="AE1752">
        <v>253</v>
      </c>
      <c r="AF1752">
        <v>13</v>
      </c>
      <c r="AG1752">
        <v>65</v>
      </c>
      <c r="AH1752">
        <v>32</v>
      </c>
      <c r="AI1752">
        <v>5.14</v>
      </c>
      <c r="AJ1752">
        <v>25.69</v>
      </c>
      <c r="AK1752">
        <v>12.65</v>
      </c>
      <c r="AL1752">
        <v>-19.630448649999941</v>
      </c>
      <c r="AM1752">
        <v>-43.907268502495313</v>
      </c>
      <c r="AN1752">
        <v>-19.630448649999941</v>
      </c>
      <c r="AO1752">
        <v>-43.907268502495313</v>
      </c>
      <c r="AP1752">
        <v>-19.630676999999999</v>
      </c>
      <c r="AQ1752">
        <v>-43.907255999999997</v>
      </c>
      <c r="AR1752">
        <v>25.453700276562468</v>
      </c>
      <c r="AS1752" t="s">
        <v>65</v>
      </c>
      <c r="AT1752">
        <v>1</v>
      </c>
      <c r="AU1752" t="s">
        <v>95</v>
      </c>
      <c r="AV1752" t="s">
        <v>96</v>
      </c>
      <c r="AW1752" t="s">
        <v>60</v>
      </c>
      <c r="AX1752" t="s">
        <v>68</v>
      </c>
      <c r="AY1752" t="s">
        <v>69</v>
      </c>
      <c r="AZ1752" t="b">
        <v>1</v>
      </c>
    </row>
    <row r="1753" spans="1:52" x14ac:dyDescent="0.3">
      <c r="A1753" t="s">
        <v>52</v>
      </c>
      <c r="B1753" t="s">
        <v>53</v>
      </c>
      <c r="C1753" t="s">
        <v>54</v>
      </c>
      <c r="D1753" t="s">
        <v>55</v>
      </c>
      <c r="E1753" t="s">
        <v>851</v>
      </c>
      <c r="F1753" t="s">
        <v>512</v>
      </c>
      <c r="G1753" t="s">
        <v>97</v>
      </c>
      <c r="H1753" t="s">
        <v>98</v>
      </c>
      <c r="I1753" t="s">
        <v>98</v>
      </c>
      <c r="J1753" t="s">
        <v>60</v>
      </c>
      <c r="K1753" t="s">
        <v>99</v>
      </c>
      <c r="L1753" t="s">
        <v>62</v>
      </c>
      <c r="M1753" t="s">
        <v>99</v>
      </c>
      <c r="N1753" t="s">
        <v>100</v>
      </c>
      <c r="O1753" t="s">
        <v>101</v>
      </c>
      <c r="P1753">
        <v>-19.629822000000001</v>
      </c>
      <c r="Q1753">
        <v>-43.905341</v>
      </c>
      <c r="R1753" s="2" t="str">
        <f>HYPERLINK("https://www.google.com/maps?q=-19.6298220,-43.9053410","Abrir no Google Maps")</f>
        <v>Abrir no Google Maps</v>
      </c>
      <c r="S1753">
        <v>4</v>
      </c>
      <c r="T1753">
        <v>441.30597341744129</v>
      </c>
      <c r="U1753">
        <v>3</v>
      </c>
      <c r="V1753">
        <v>0.8527542372881356</v>
      </c>
      <c r="W1753">
        <v>1</v>
      </c>
      <c r="X1753">
        <v>0.8527542372881356</v>
      </c>
      <c r="Y1753">
        <v>10</v>
      </c>
      <c r="Z1753">
        <v>513.56493751010987</v>
      </c>
      <c r="AA1753">
        <v>2</v>
      </c>
      <c r="AB1753">
        <v>3</v>
      </c>
      <c r="AC1753">
        <v>7</v>
      </c>
      <c r="AD1753">
        <v>25.18</v>
      </c>
      <c r="AE1753">
        <v>253</v>
      </c>
      <c r="AF1753">
        <v>13</v>
      </c>
      <c r="AG1753">
        <v>65</v>
      </c>
      <c r="AH1753">
        <v>32</v>
      </c>
      <c r="AI1753">
        <v>5.14</v>
      </c>
      <c r="AJ1753">
        <v>25.69</v>
      </c>
      <c r="AK1753">
        <v>12.65</v>
      </c>
      <c r="AL1753">
        <v>-19.629671599999941</v>
      </c>
      <c r="AM1753">
        <v>-43.905369597920988</v>
      </c>
      <c r="AN1753">
        <v>-19.629671599999931</v>
      </c>
      <c r="AO1753">
        <v>-43.905369597920988</v>
      </c>
      <c r="AP1753">
        <v>-19.629822000000001</v>
      </c>
      <c r="AQ1753">
        <v>-43.905341</v>
      </c>
      <c r="AR1753">
        <v>17.008917699186132</v>
      </c>
      <c r="AS1753" t="s">
        <v>65</v>
      </c>
      <c r="AT1753">
        <v>1</v>
      </c>
      <c r="AU1753" t="s">
        <v>102</v>
      </c>
      <c r="AV1753" t="s">
        <v>103</v>
      </c>
      <c r="AW1753" t="s">
        <v>60</v>
      </c>
      <c r="AX1753" t="s">
        <v>68</v>
      </c>
      <c r="AY1753" t="s">
        <v>69</v>
      </c>
      <c r="AZ1753" t="b">
        <v>1</v>
      </c>
    </row>
    <row r="1754" spans="1:52" x14ac:dyDescent="0.3">
      <c r="A1754" t="s">
        <v>52</v>
      </c>
      <c r="B1754" t="s">
        <v>53</v>
      </c>
      <c r="C1754" t="s">
        <v>54</v>
      </c>
      <c r="D1754" t="s">
        <v>55</v>
      </c>
      <c r="E1754" t="s">
        <v>851</v>
      </c>
      <c r="F1754" t="s">
        <v>512</v>
      </c>
      <c r="G1754" t="s">
        <v>513</v>
      </c>
      <c r="H1754" t="s">
        <v>514</v>
      </c>
      <c r="I1754" t="s">
        <v>514</v>
      </c>
      <c r="J1754" t="s">
        <v>60</v>
      </c>
      <c r="K1754" t="s">
        <v>185</v>
      </c>
      <c r="L1754" t="s">
        <v>62</v>
      </c>
      <c r="M1754" t="s">
        <v>185</v>
      </c>
      <c r="N1754" t="s">
        <v>515</v>
      </c>
      <c r="O1754" t="s">
        <v>516</v>
      </c>
      <c r="P1754">
        <v>-19.63184</v>
      </c>
      <c r="Q1754">
        <v>-43.899625999999998</v>
      </c>
      <c r="R1754" s="2" t="str">
        <f>HYPERLINK("https://www.google.com/maps?q=-19.6318400,-43.8996260","Abrir no Google Maps")</f>
        <v>Abrir no Google Maps</v>
      </c>
      <c r="S1754">
        <v>4</v>
      </c>
      <c r="T1754">
        <v>317.05369638212568</v>
      </c>
      <c r="U1754">
        <v>2</v>
      </c>
      <c r="V1754">
        <v>0.88214285714285712</v>
      </c>
      <c r="W1754">
        <v>0.85</v>
      </c>
      <c r="X1754">
        <v>0.74982142857142853</v>
      </c>
      <c r="Y1754">
        <v>10</v>
      </c>
      <c r="Z1754">
        <v>467.39112963581732</v>
      </c>
      <c r="AA1754">
        <v>2</v>
      </c>
      <c r="AB1754">
        <v>3</v>
      </c>
      <c r="AC1754">
        <v>7</v>
      </c>
      <c r="AD1754">
        <v>25.18</v>
      </c>
      <c r="AE1754">
        <v>253</v>
      </c>
      <c r="AF1754">
        <v>13</v>
      </c>
      <c r="AG1754">
        <v>65</v>
      </c>
      <c r="AH1754">
        <v>32</v>
      </c>
      <c r="AI1754">
        <v>5.14</v>
      </c>
      <c r="AJ1754">
        <v>25.69</v>
      </c>
      <c r="AK1754">
        <v>12.65</v>
      </c>
      <c r="AL1754">
        <v>-19.631819699999941</v>
      </c>
      <c r="AM1754">
        <v>-43.89977767057065</v>
      </c>
      <c r="AN1754">
        <v>-19.631819699999941</v>
      </c>
      <c r="AO1754">
        <v>-43.89977767057065</v>
      </c>
      <c r="AP1754">
        <v>-19.63184</v>
      </c>
      <c r="AQ1754">
        <v>-43.899625999999998</v>
      </c>
      <c r="AR1754">
        <v>16.062279375806241</v>
      </c>
      <c r="AS1754" t="s">
        <v>65</v>
      </c>
      <c r="AT1754">
        <v>1</v>
      </c>
      <c r="AU1754" t="s">
        <v>517</v>
      </c>
      <c r="AV1754" t="s">
        <v>518</v>
      </c>
      <c r="AW1754" t="s">
        <v>60</v>
      </c>
      <c r="AX1754" t="s">
        <v>68</v>
      </c>
      <c r="AY1754" t="s">
        <v>69</v>
      </c>
      <c r="AZ1754" t="b">
        <v>1</v>
      </c>
    </row>
    <row r="1755" spans="1:52" x14ac:dyDescent="0.3">
      <c r="A1755" t="s">
        <v>52</v>
      </c>
      <c r="B1755" t="s">
        <v>53</v>
      </c>
      <c r="C1755" t="s">
        <v>54</v>
      </c>
      <c r="D1755" t="s">
        <v>55</v>
      </c>
      <c r="E1755" t="s">
        <v>851</v>
      </c>
      <c r="F1755" t="s">
        <v>512</v>
      </c>
      <c r="G1755" t="s">
        <v>519</v>
      </c>
      <c r="H1755" t="s">
        <v>520</v>
      </c>
      <c r="I1755" t="s">
        <v>520</v>
      </c>
      <c r="J1755" t="s">
        <v>60</v>
      </c>
      <c r="K1755" t="s">
        <v>72</v>
      </c>
      <c r="L1755" t="s">
        <v>62</v>
      </c>
      <c r="M1755" t="s">
        <v>72</v>
      </c>
      <c r="N1755" t="s">
        <v>521</v>
      </c>
      <c r="O1755" t="s">
        <v>522</v>
      </c>
      <c r="P1755">
        <v>-19.634713000000001</v>
      </c>
      <c r="Q1755">
        <v>-43.908909999999999</v>
      </c>
      <c r="R1755" s="2" t="str">
        <f>HYPERLINK("https://www.google.com/maps?q=-19.6347130,-43.9089100","Abrir no Google Maps")</f>
        <v>Abrir no Google Maps</v>
      </c>
      <c r="S1755">
        <v>4</v>
      </c>
      <c r="T1755">
        <v>700.74700083720154</v>
      </c>
      <c r="U1755">
        <v>2</v>
      </c>
      <c r="V1755">
        <v>0.85613207547169812</v>
      </c>
      <c r="W1755">
        <v>0.85</v>
      </c>
      <c r="X1755">
        <v>0.72771226415094337</v>
      </c>
      <c r="Y1755">
        <v>10</v>
      </c>
      <c r="Z1755">
        <v>557.86159429038207</v>
      </c>
      <c r="AA1755">
        <v>2</v>
      </c>
      <c r="AB1755">
        <v>3</v>
      </c>
      <c r="AC1755">
        <v>7</v>
      </c>
      <c r="AD1755">
        <v>25.18</v>
      </c>
      <c r="AE1755">
        <v>253</v>
      </c>
      <c r="AF1755">
        <v>13</v>
      </c>
      <c r="AG1755">
        <v>65</v>
      </c>
      <c r="AH1755">
        <v>32</v>
      </c>
      <c r="AI1755">
        <v>5.14</v>
      </c>
      <c r="AJ1755">
        <v>25.69</v>
      </c>
      <c r="AK1755">
        <v>12.65</v>
      </c>
      <c r="AL1755">
        <v>-19.634626949999959</v>
      </c>
      <c r="AM1755">
        <v>-43.909020333181857</v>
      </c>
      <c r="AN1755">
        <v>-19.634626949999959</v>
      </c>
      <c r="AO1755">
        <v>-43.909020333181857</v>
      </c>
      <c r="AP1755">
        <v>-19.634713000000001</v>
      </c>
      <c r="AQ1755">
        <v>-43.908909999999999</v>
      </c>
      <c r="AR1755">
        <v>15.01933861967664</v>
      </c>
      <c r="AS1755" t="s">
        <v>65</v>
      </c>
      <c r="AT1755">
        <v>1</v>
      </c>
      <c r="AU1755" t="s">
        <v>523</v>
      </c>
      <c r="AV1755" t="s">
        <v>524</v>
      </c>
      <c r="AW1755" t="s">
        <v>60</v>
      </c>
      <c r="AX1755" t="s">
        <v>68</v>
      </c>
      <c r="AY1755" t="s">
        <v>69</v>
      </c>
      <c r="AZ1755" t="b">
        <v>1</v>
      </c>
    </row>
    <row r="1756" spans="1:52" x14ac:dyDescent="0.3">
      <c r="A1756" t="s">
        <v>52</v>
      </c>
      <c r="B1756" t="s">
        <v>53</v>
      </c>
      <c r="C1756" t="s">
        <v>54</v>
      </c>
      <c r="D1756" t="s">
        <v>55</v>
      </c>
      <c r="E1756" t="s">
        <v>851</v>
      </c>
      <c r="F1756" t="s">
        <v>512</v>
      </c>
      <c r="G1756" t="s">
        <v>394</v>
      </c>
      <c r="H1756" t="s">
        <v>395</v>
      </c>
      <c r="I1756" t="s">
        <v>395</v>
      </c>
      <c r="J1756" t="s">
        <v>60</v>
      </c>
      <c r="K1756" t="s">
        <v>286</v>
      </c>
      <c r="L1756" t="s">
        <v>62</v>
      </c>
      <c r="M1756" t="s">
        <v>286</v>
      </c>
      <c r="N1756" t="s">
        <v>396</v>
      </c>
      <c r="O1756" t="s">
        <v>88</v>
      </c>
      <c r="P1756">
        <v>-19.636932999999999</v>
      </c>
      <c r="Q1756">
        <v>-43.882691999999999</v>
      </c>
      <c r="R1756" s="2" t="str">
        <f>HYPERLINK("https://www.google.com/maps?q=-19.6369330,-43.8826920","Abrir no Google Maps")</f>
        <v>Abrir no Google Maps</v>
      </c>
      <c r="S1756">
        <v>3</v>
      </c>
      <c r="T1756">
        <v>523.52675813688109</v>
      </c>
      <c r="U1756">
        <v>4</v>
      </c>
      <c r="V1756">
        <v>0.87644508670520238</v>
      </c>
      <c r="W1756">
        <v>1</v>
      </c>
      <c r="X1756">
        <v>0.87644508670520238</v>
      </c>
      <c r="Y1756">
        <v>10</v>
      </c>
      <c r="Z1756">
        <v>372.58135532659509</v>
      </c>
      <c r="AA1756">
        <v>2</v>
      </c>
      <c r="AB1756">
        <v>3</v>
      </c>
      <c r="AC1756">
        <v>7</v>
      </c>
      <c r="AD1756">
        <v>25.18</v>
      </c>
      <c r="AE1756">
        <v>253</v>
      </c>
      <c r="AF1756">
        <v>13</v>
      </c>
      <c r="AG1756">
        <v>65</v>
      </c>
      <c r="AH1756">
        <v>32</v>
      </c>
      <c r="AI1756">
        <v>5.14</v>
      </c>
      <c r="AJ1756">
        <v>25.69</v>
      </c>
      <c r="AK1756">
        <v>12.65</v>
      </c>
      <c r="AL1756">
        <v>-19.637159949999951</v>
      </c>
      <c r="AM1756">
        <v>-43.882643289441461</v>
      </c>
      <c r="AN1756">
        <v>-19.637159949999951</v>
      </c>
      <c r="AO1756">
        <v>-43.882643289441461</v>
      </c>
      <c r="AP1756">
        <v>-19.636932999999999</v>
      </c>
      <c r="AQ1756">
        <v>-43.882691999999999</v>
      </c>
      <c r="AR1756">
        <v>25.775099947452478</v>
      </c>
      <c r="AS1756" t="s">
        <v>65</v>
      </c>
      <c r="AT1756">
        <v>1</v>
      </c>
      <c r="AU1756" t="s">
        <v>397</v>
      </c>
      <c r="AV1756" t="s">
        <v>398</v>
      </c>
      <c r="AW1756" t="s">
        <v>60</v>
      </c>
      <c r="AX1756" t="s">
        <v>68</v>
      </c>
      <c r="AY1756" t="s">
        <v>69</v>
      </c>
      <c r="AZ1756" t="b">
        <v>1</v>
      </c>
    </row>
    <row r="1757" spans="1:52" x14ac:dyDescent="0.3">
      <c r="A1757" t="s">
        <v>52</v>
      </c>
      <c r="B1757" t="s">
        <v>53</v>
      </c>
      <c r="C1757" t="s">
        <v>54</v>
      </c>
      <c r="D1757" t="s">
        <v>55</v>
      </c>
      <c r="E1757" t="s">
        <v>851</v>
      </c>
      <c r="F1757" t="s">
        <v>512</v>
      </c>
      <c r="G1757" t="s">
        <v>399</v>
      </c>
      <c r="H1757" t="s">
        <v>400</v>
      </c>
      <c r="I1757" t="s">
        <v>400</v>
      </c>
      <c r="J1757" t="s">
        <v>60</v>
      </c>
      <c r="K1757" t="s">
        <v>286</v>
      </c>
      <c r="L1757" t="s">
        <v>62</v>
      </c>
      <c r="M1757" t="s">
        <v>286</v>
      </c>
      <c r="N1757" t="s">
        <v>401</v>
      </c>
      <c r="O1757" t="s">
        <v>402</v>
      </c>
      <c r="P1757">
        <v>-19.639906</v>
      </c>
      <c r="Q1757">
        <v>-43.886059000000003</v>
      </c>
      <c r="R1757" s="2" t="str">
        <f>HYPERLINK("https://www.google.com/maps?q=-19.6399060,-43.8860590","Abrir no Google Maps")</f>
        <v>Abrir no Google Maps</v>
      </c>
      <c r="S1757">
        <v>3</v>
      </c>
      <c r="T1757">
        <v>256.0748811302048</v>
      </c>
      <c r="U1757">
        <v>4</v>
      </c>
      <c r="V1757">
        <v>0.89021739130434785</v>
      </c>
      <c r="W1757">
        <v>1</v>
      </c>
      <c r="X1757">
        <v>0.89021739130434785</v>
      </c>
      <c r="Y1757">
        <v>10</v>
      </c>
      <c r="Z1757">
        <v>205.06236700857289</v>
      </c>
      <c r="AA1757">
        <v>2</v>
      </c>
      <c r="AB1757">
        <v>3</v>
      </c>
      <c r="AC1757">
        <v>7</v>
      </c>
      <c r="AD1757">
        <v>25.18</v>
      </c>
      <c r="AE1757">
        <v>253</v>
      </c>
      <c r="AF1757">
        <v>13</v>
      </c>
      <c r="AG1757">
        <v>65</v>
      </c>
      <c r="AH1757">
        <v>32</v>
      </c>
      <c r="AI1757">
        <v>5.14</v>
      </c>
      <c r="AJ1757">
        <v>25.69</v>
      </c>
      <c r="AK1757">
        <v>12.65</v>
      </c>
      <c r="AL1757">
        <v>-19.639789499999949</v>
      </c>
      <c r="AM1757">
        <v>-43.885737855031408</v>
      </c>
      <c r="AN1757">
        <v>-19.639789499999949</v>
      </c>
      <c r="AO1757">
        <v>-43.885737855031408</v>
      </c>
      <c r="AP1757">
        <v>-19.639906</v>
      </c>
      <c r="AQ1757">
        <v>-43.886059000000003</v>
      </c>
      <c r="AR1757">
        <v>36.081349702130403</v>
      </c>
      <c r="AS1757" t="s">
        <v>65</v>
      </c>
      <c r="AT1757">
        <v>1</v>
      </c>
      <c r="AU1757" t="s">
        <v>403</v>
      </c>
      <c r="AV1757" t="s">
        <v>404</v>
      </c>
      <c r="AW1757" t="s">
        <v>60</v>
      </c>
      <c r="AX1757" t="s">
        <v>68</v>
      </c>
      <c r="AY1757" t="s">
        <v>69</v>
      </c>
      <c r="AZ1757" t="b">
        <v>1</v>
      </c>
    </row>
    <row r="1758" spans="1:52" x14ac:dyDescent="0.3">
      <c r="A1758" t="s">
        <v>52</v>
      </c>
      <c r="B1758" t="s">
        <v>53</v>
      </c>
      <c r="C1758" t="s">
        <v>54</v>
      </c>
      <c r="D1758" t="s">
        <v>55</v>
      </c>
      <c r="E1758" t="s">
        <v>851</v>
      </c>
      <c r="F1758" t="s">
        <v>512</v>
      </c>
      <c r="G1758" t="s">
        <v>284</v>
      </c>
      <c r="H1758" t="s">
        <v>285</v>
      </c>
      <c r="I1758" t="s">
        <v>285</v>
      </c>
      <c r="J1758" t="s">
        <v>60</v>
      </c>
      <c r="K1758" t="s">
        <v>286</v>
      </c>
      <c r="L1758" t="s">
        <v>62</v>
      </c>
      <c r="M1758" t="s">
        <v>286</v>
      </c>
      <c r="N1758" t="s">
        <v>287</v>
      </c>
      <c r="O1758" t="s">
        <v>288</v>
      </c>
      <c r="P1758">
        <v>-19.639790000000001</v>
      </c>
      <c r="Q1758">
        <v>-43.882798999999999</v>
      </c>
      <c r="R1758" s="2" t="str">
        <f>HYPERLINK("https://www.google.com/maps?q=-19.6397900,-43.8827990","Abrir no Google Maps")</f>
        <v>Abrir no Google Maps</v>
      </c>
      <c r="S1758">
        <v>3</v>
      </c>
      <c r="T1758">
        <v>242.7052058134478</v>
      </c>
      <c r="U1758">
        <v>4</v>
      </c>
      <c r="V1758">
        <v>0.88612836438923404</v>
      </c>
      <c r="W1758">
        <v>1</v>
      </c>
      <c r="X1758">
        <v>0.88612836438923404</v>
      </c>
      <c r="Y1758">
        <v>10</v>
      </c>
      <c r="Z1758">
        <v>187.2088809462339</v>
      </c>
      <c r="AA1758">
        <v>2</v>
      </c>
      <c r="AB1758">
        <v>3</v>
      </c>
      <c r="AC1758">
        <v>7</v>
      </c>
      <c r="AD1758">
        <v>25.18</v>
      </c>
      <c r="AE1758">
        <v>253</v>
      </c>
      <c r="AF1758">
        <v>13</v>
      </c>
      <c r="AG1758">
        <v>65</v>
      </c>
      <c r="AH1758">
        <v>32</v>
      </c>
      <c r="AI1758">
        <v>5.14</v>
      </c>
      <c r="AJ1758">
        <v>25.69</v>
      </c>
      <c r="AK1758">
        <v>12.65</v>
      </c>
      <c r="AL1758">
        <v>-19.639855599999951</v>
      </c>
      <c r="AM1758">
        <v>-43.882909745178452</v>
      </c>
      <c r="AN1758">
        <v>-19.639855599999951</v>
      </c>
      <c r="AO1758">
        <v>-43.882909745178452</v>
      </c>
      <c r="AP1758">
        <v>-19.639790000000001</v>
      </c>
      <c r="AQ1758">
        <v>-43.882798999999999</v>
      </c>
      <c r="AR1758">
        <v>13.716486068571211</v>
      </c>
      <c r="AS1758" t="s">
        <v>65</v>
      </c>
      <c r="AT1758">
        <v>1</v>
      </c>
      <c r="AU1758" t="s">
        <v>289</v>
      </c>
      <c r="AV1758" t="s">
        <v>290</v>
      </c>
      <c r="AW1758" t="s">
        <v>60</v>
      </c>
      <c r="AX1758" t="s">
        <v>68</v>
      </c>
      <c r="AY1758" t="s">
        <v>69</v>
      </c>
      <c r="AZ1758" t="b">
        <v>1</v>
      </c>
    </row>
    <row r="1759" spans="1:52" x14ac:dyDescent="0.3">
      <c r="A1759" t="s">
        <v>52</v>
      </c>
      <c r="B1759" t="s">
        <v>53</v>
      </c>
      <c r="C1759" t="s">
        <v>54</v>
      </c>
      <c r="D1759" t="s">
        <v>55</v>
      </c>
      <c r="E1759" t="s">
        <v>851</v>
      </c>
      <c r="F1759" t="s">
        <v>512</v>
      </c>
      <c r="G1759" t="s">
        <v>405</v>
      </c>
      <c r="H1759" t="s">
        <v>406</v>
      </c>
      <c r="I1759" t="s">
        <v>406</v>
      </c>
      <c r="J1759" t="s">
        <v>60</v>
      </c>
      <c r="K1759" t="s">
        <v>286</v>
      </c>
      <c r="L1759" t="s">
        <v>62</v>
      </c>
      <c r="M1759" t="s">
        <v>286</v>
      </c>
      <c r="N1759" t="s">
        <v>407</v>
      </c>
      <c r="O1759" t="s">
        <v>408</v>
      </c>
      <c r="P1759">
        <v>-19.646345</v>
      </c>
      <c r="Q1759">
        <v>-43.882294999999999</v>
      </c>
      <c r="R1759" s="2" t="str">
        <f>HYPERLINK("https://www.google.com/maps?q=-19.6463450,-43.8822950","Abrir no Google Maps")</f>
        <v>Abrir no Google Maps</v>
      </c>
      <c r="S1759">
        <v>3</v>
      </c>
      <c r="T1759">
        <v>450.3180538635894</v>
      </c>
      <c r="U1759">
        <v>4</v>
      </c>
      <c r="V1759">
        <v>0.86854838709677407</v>
      </c>
      <c r="W1759">
        <v>1</v>
      </c>
      <c r="X1759">
        <v>0.86854838709677407</v>
      </c>
      <c r="Y1759">
        <v>10</v>
      </c>
      <c r="Z1759">
        <v>349.23341775902583</v>
      </c>
      <c r="AA1759">
        <v>2</v>
      </c>
      <c r="AB1759">
        <v>3</v>
      </c>
      <c r="AC1759">
        <v>7</v>
      </c>
      <c r="AD1759">
        <v>25.18</v>
      </c>
      <c r="AE1759">
        <v>253</v>
      </c>
      <c r="AF1759">
        <v>13</v>
      </c>
      <c r="AG1759">
        <v>65</v>
      </c>
      <c r="AH1759">
        <v>32</v>
      </c>
      <c r="AI1759">
        <v>5.14</v>
      </c>
      <c r="AJ1759">
        <v>25.69</v>
      </c>
      <c r="AK1759">
        <v>12.65</v>
      </c>
      <c r="AL1759">
        <v>-19.646391649999941</v>
      </c>
      <c r="AM1759">
        <v>-43.882007396993302</v>
      </c>
      <c r="AN1759">
        <v>-19.646391649999941</v>
      </c>
      <c r="AO1759">
        <v>-43.882007396993302</v>
      </c>
      <c r="AP1759">
        <v>-19.646345</v>
      </c>
      <c r="AQ1759">
        <v>-43.882294999999999</v>
      </c>
      <c r="AR1759">
        <v>30.596105513395301</v>
      </c>
      <c r="AS1759" t="s">
        <v>65</v>
      </c>
      <c r="AT1759">
        <v>1</v>
      </c>
      <c r="AU1759" t="s">
        <v>409</v>
      </c>
      <c r="AV1759" t="s">
        <v>410</v>
      </c>
      <c r="AW1759" t="s">
        <v>60</v>
      </c>
      <c r="AX1759" t="s">
        <v>68</v>
      </c>
      <c r="AY1759" t="s">
        <v>69</v>
      </c>
      <c r="AZ1759" t="b">
        <v>1</v>
      </c>
    </row>
    <row r="1760" spans="1:52" x14ac:dyDescent="0.3">
      <c r="A1760" t="s">
        <v>52</v>
      </c>
      <c r="B1760" t="s">
        <v>53</v>
      </c>
      <c r="C1760" t="s">
        <v>54</v>
      </c>
      <c r="D1760" t="s">
        <v>55</v>
      </c>
      <c r="E1760" t="s">
        <v>851</v>
      </c>
      <c r="F1760" t="s">
        <v>512</v>
      </c>
      <c r="G1760" t="s">
        <v>388</v>
      </c>
      <c r="H1760" t="s">
        <v>389</v>
      </c>
      <c r="I1760" t="s">
        <v>389</v>
      </c>
      <c r="J1760" t="s">
        <v>60</v>
      </c>
      <c r="K1760" t="s">
        <v>185</v>
      </c>
      <c r="L1760" t="s">
        <v>62</v>
      </c>
      <c r="M1760" t="s">
        <v>185</v>
      </c>
      <c r="N1760" t="s">
        <v>390</v>
      </c>
      <c r="O1760" t="s">
        <v>391</v>
      </c>
      <c r="P1760">
        <v>-19.628802</v>
      </c>
      <c r="Q1760">
        <v>-43.891649000000001</v>
      </c>
      <c r="R1760" s="2" t="str">
        <f>HYPERLINK("https://www.google.com/maps?q=-19.6288020,-43.8916490","Abrir no Google Maps")</f>
        <v>Abrir no Google Maps</v>
      </c>
      <c r="S1760">
        <v>3</v>
      </c>
      <c r="T1760">
        <v>0</v>
      </c>
      <c r="U1760">
        <v>3</v>
      </c>
      <c r="V1760">
        <v>0.93682795698924715</v>
      </c>
      <c r="W1760">
        <v>0.85</v>
      </c>
      <c r="X1760">
        <v>0.79630376344086007</v>
      </c>
      <c r="Y1760">
        <v>18</v>
      </c>
      <c r="Z1760">
        <v>117.5064585283839</v>
      </c>
      <c r="AA1760">
        <v>2</v>
      </c>
      <c r="AB1760">
        <v>3</v>
      </c>
      <c r="AC1760">
        <v>7</v>
      </c>
      <c r="AD1760">
        <v>25.18</v>
      </c>
      <c r="AE1760">
        <v>253</v>
      </c>
      <c r="AF1760">
        <v>13</v>
      </c>
      <c r="AG1760">
        <v>65</v>
      </c>
      <c r="AH1760">
        <v>32</v>
      </c>
      <c r="AI1760">
        <v>5.14</v>
      </c>
      <c r="AJ1760">
        <v>25.69</v>
      </c>
      <c r="AK1760">
        <v>12.65</v>
      </c>
      <c r="AL1760">
        <v>-19.628865499999961</v>
      </c>
      <c r="AM1760">
        <v>-43.891662391334172</v>
      </c>
      <c r="AN1760">
        <v>-19.628865499999961</v>
      </c>
      <c r="AO1760">
        <v>-43.891662391334172</v>
      </c>
      <c r="AP1760">
        <v>-19.628802</v>
      </c>
      <c r="AQ1760">
        <v>-43.891649000000001</v>
      </c>
      <c r="AR1760">
        <v>7.2069201904448459</v>
      </c>
      <c r="AS1760" t="s">
        <v>65</v>
      </c>
      <c r="AT1760">
        <v>1</v>
      </c>
      <c r="AU1760" t="s">
        <v>392</v>
      </c>
      <c r="AV1760" t="s">
        <v>393</v>
      </c>
      <c r="AW1760" t="s">
        <v>60</v>
      </c>
      <c r="AX1760" t="s">
        <v>68</v>
      </c>
      <c r="AY1760" t="s">
        <v>69</v>
      </c>
      <c r="AZ1760" t="b">
        <v>1</v>
      </c>
    </row>
    <row r="1761" spans="1:52" x14ac:dyDescent="0.3">
      <c r="A1761" t="s">
        <v>52</v>
      </c>
      <c r="B1761" t="s">
        <v>53</v>
      </c>
      <c r="C1761" t="s">
        <v>54</v>
      </c>
      <c r="D1761" t="s">
        <v>55</v>
      </c>
      <c r="E1761" t="s">
        <v>851</v>
      </c>
      <c r="F1761" t="s">
        <v>512</v>
      </c>
      <c r="G1761" t="s">
        <v>530</v>
      </c>
      <c r="H1761" t="s">
        <v>531</v>
      </c>
      <c r="I1761" t="s">
        <v>531</v>
      </c>
      <c r="J1761" t="s">
        <v>60</v>
      </c>
      <c r="K1761" t="s">
        <v>185</v>
      </c>
      <c r="L1761" t="s">
        <v>62</v>
      </c>
      <c r="M1761" t="s">
        <v>185</v>
      </c>
      <c r="N1761" t="s">
        <v>532</v>
      </c>
      <c r="O1761" t="s">
        <v>533</v>
      </c>
      <c r="P1761">
        <v>-19.625264000000001</v>
      </c>
      <c r="Q1761">
        <v>-43.889451000000001</v>
      </c>
      <c r="R1761" s="2" t="str">
        <f>HYPERLINK("https://www.google.com/maps?q=-19.6252640,-43.8894510","Abrir no Google Maps")</f>
        <v>Abrir no Google Maps</v>
      </c>
      <c r="S1761">
        <v>3</v>
      </c>
      <c r="T1761">
        <v>466.11340370665903</v>
      </c>
      <c r="U1761">
        <v>3</v>
      </c>
      <c r="V1761">
        <v>0.91125541125541121</v>
      </c>
      <c r="W1761">
        <v>0.85</v>
      </c>
      <c r="X1761">
        <v>0.77456709956709946</v>
      </c>
      <c r="Y1761">
        <v>18</v>
      </c>
      <c r="Z1761">
        <v>320.77337440837812</v>
      </c>
      <c r="AA1761">
        <v>2</v>
      </c>
      <c r="AB1761">
        <v>3</v>
      </c>
      <c r="AC1761">
        <v>7</v>
      </c>
      <c r="AD1761">
        <v>25.18</v>
      </c>
      <c r="AE1761">
        <v>253</v>
      </c>
      <c r="AF1761">
        <v>13</v>
      </c>
      <c r="AG1761">
        <v>65</v>
      </c>
      <c r="AH1761">
        <v>32</v>
      </c>
      <c r="AI1761">
        <v>5.14</v>
      </c>
      <c r="AJ1761">
        <v>25.69</v>
      </c>
      <c r="AK1761">
        <v>12.65</v>
      </c>
      <c r="AL1761">
        <v>-19.62516189999997</v>
      </c>
      <c r="AM1761">
        <v>-43.88954614566876</v>
      </c>
      <c r="AN1761">
        <v>-19.62516189999997</v>
      </c>
      <c r="AO1761">
        <v>-43.88954614566876</v>
      </c>
      <c r="AP1761">
        <v>-19.625264000000001</v>
      </c>
      <c r="AQ1761">
        <v>-43.889451000000001</v>
      </c>
      <c r="AR1761">
        <v>15.12310549834147</v>
      </c>
      <c r="AS1761" t="s">
        <v>65</v>
      </c>
      <c r="AT1761">
        <v>1</v>
      </c>
      <c r="AU1761" t="s">
        <v>534</v>
      </c>
      <c r="AV1761" t="s">
        <v>535</v>
      </c>
      <c r="AW1761" t="s">
        <v>60</v>
      </c>
      <c r="AX1761" t="s">
        <v>68</v>
      </c>
      <c r="AY1761" t="s">
        <v>69</v>
      </c>
      <c r="AZ1761" t="b">
        <v>1</v>
      </c>
    </row>
    <row r="1762" spans="1:52" x14ac:dyDescent="0.3">
      <c r="A1762" t="s">
        <v>52</v>
      </c>
      <c r="B1762" t="s">
        <v>53</v>
      </c>
      <c r="C1762" t="s">
        <v>54</v>
      </c>
      <c r="D1762" t="s">
        <v>55</v>
      </c>
      <c r="E1762" t="s">
        <v>851</v>
      </c>
      <c r="F1762" t="s">
        <v>512</v>
      </c>
      <c r="G1762" t="s">
        <v>291</v>
      </c>
      <c r="H1762" t="s">
        <v>292</v>
      </c>
      <c r="I1762" t="s">
        <v>292</v>
      </c>
      <c r="J1762" t="s">
        <v>60</v>
      </c>
      <c r="K1762" t="s">
        <v>286</v>
      </c>
      <c r="L1762" t="s">
        <v>62</v>
      </c>
      <c r="M1762" t="s">
        <v>286</v>
      </c>
      <c r="N1762" t="s">
        <v>293</v>
      </c>
      <c r="O1762" t="s">
        <v>294</v>
      </c>
      <c r="P1762">
        <v>-19.640333999999999</v>
      </c>
      <c r="Q1762">
        <v>-43.880004999999997</v>
      </c>
      <c r="R1762" s="2" t="str">
        <f>HYPERLINK("https://www.google.com/maps?q=-19.6403340,-43.8800050","Abrir no Google Maps")</f>
        <v>Abrir no Google Maps</v>
      </c>
      <c r="S1762">
        <v>3</v>
      </c>
      <c r="T1762">
        <v>276.80943817309782</v>
      </c>
      <c r="U1762">
        <v>3</v>
      </c>
      <c r="V1762">
        <v>0.85648148148148151</v>
      </c>
      <c r="W1762">
        <v>1</v>
      </c>
      <c r="X1762">
        <v>0.85648148148148151</v>
      </c>
      <c r="Y1762">
        <v>10</v>
      </c>
      <c r="Z1762">
        <v>361.98332038983392</v>
      </c>
      <c r="AA1762">
        <v>2</v>
      </c>
      <c r="AB1762">
        <v>3</v>
      </c>
      <c r="AC1762">
        <v>7</v>
      </c>
      <c r="AD1762">
        <v>25.18</v>
      </c>
      <c r="AE1762">
        <v>253</v>
      </c>
      <c r="AF1762">
        <v>13</v>
      </c>
      <c r="AG1762">
        <v>65</v>
      </c>
      <c r="AH1762">
        <v>32</v>
      </c>
      <c r="AI1762">
        <v>5.14</v>
      </c>
      <c r="AJ1762">
        <v>25.69</v>
      </c>
      <c r="AK1762">
        <v>12.65</v>
      </c>
      <c r="AL1762">
        <v>-19.640260249999951</v>
      </c>
      <c r="AM1762">
        <v>-43.880090474326408</v>
      </c>
      <c r="AN1762">
        <v>-19.640260249999951</v>
      </c>
      <c r="AO1762">
        <v>-43.880090474326408</v>
      </c>
      <c r="AP1762">
        <v>-19.640333999999999</v>
      </c>
      <c r="AQ1762">
        <v>-43.880004999999997</v>
      </c>
      <c r="AR1762">
        <v>12.153556195359609</v>
      </c>
      <c r="AS1762" t="s">
        <v>65</v>
      </c>
      <c r="AT1762">
        <v>1</v>
      </c>
      <c r="AU1762" t="s">
        <v>295</v>
      </c>
      <c r="AV1762" t="s">
        <v>296</v>
      </c>
      <c r="AW1762" t="s">
        <v>60</v>
      </c>
      <c r="AX1762" t="s">
        <v>68</v>
      </c>
      <c r="AY1762" t="s">
        <v>69</v>
      </c>
      <c r="AZ1762" t="b">
        <v>1</v>
      </c>
    </row>
    <row r="1763" spans="1:52" x14ac:dyDescent="0.3">
      <c r="A1763" t="s">
        <v>52</v>
      </c>
      <c r="B1763" t="s">
        <v>53</v>
      </c>
      <c r="C1763" t="s">
        <v>54</v>
      </c>
      <c r="D1763" t="s">
        <v>55</v>
      </c>
      <c r="E1763" t="s">
        <v>851</v>
      </c>
      <c r="F1763" t="s">
        <v>512</v>
      </c>
      <c r="G1763" t="s">
        <v>411</v>
      </c>
      <c r="H1763" t="s">
        <v>412</v>
      </c>
      <c r="I1763" t="s">
        <v>412</v>
      </c>
      <c r="J1763" t="s">
        <v>60</v>
      </c>
      <c r="K1763" t="s">
        <v>179</v>
      </c>
      <c r="L1763" t="s">
        <v>62</v>
      </c>
      <c r="M1763" t="s">
        <v>179</v>
      </c>
      <c r="N1763" t="s">
        <v>413</v>
      </c>
      <c r="O1763" t="s">
        <v>414</v>
      </c>
      <c r="P1763">
        <v>-19.650079000000002</v>
      </c>
      <c r="Q1763">
        <v>-43.884253999999999</v>
      </c>
      <c r="R1763" s="2" t="str">
        <f>HYPERLINK("https://www.google.com/maps?q=-19.6500790,-43.8842540","Abrir no Google Maps")</f>
        <v>Abrir no Google Maps</v>
      </c>
      <c r="S1763">
        <v>3</v>
      </c>
      <c r="T1763">
        <v>797.21430129715498</v>
      </c>
      <c r="U1763">
        <v>3</v>
      </c>
      <c r="V1763">
        <v>0.79678362573099415</v>
      </c>
      <c r="W1763">
        <v>1</v>
      </c>
      <c r="X1763">
        <v>0.79678362573099415</v>
      </c>
      <c r="Y1763">
        <v>10</v>
      </c>
      <c r="Z1763">
        <v>774.04145012702554</v>
      </c>
      <c r="AA1763">
        <v>2</v>
      </c>
      <c r="AB1763">
        <v>3</v>
      </c>
      <c r="AC1763">
        <v>7</v>
      </c>
      <c r="AD1763">
        <v>25.18</v>
      </c>
      <c r="AE1763">
        <v>253</v>
      </c>
      <c r="AF1763">
        <v>13</v>
      </c>
      <c r="AG1763">
        <v>65</v>
      </c>
      <c r="AH1763">
        <v>32</v>
      </c>
      <c r="AI1763">
        <v>5.14</v>
      </c>
      <c r="AJ1763">
        <v>25.69</v>
      </c>
      <c r="AK1763">
        <v>12.65</v>
      </c>
      <c r="AL1763">
        <v>-19.649199399999961</v>
      </c>
      <c r="AM1763">
        <v>-43.883888390043637</v>
      </c>
      <c r="AN1763">
        <v>-19.649199399999961</v>
      </c>
      <c r="AO1763">
        <v>-43.883888390043637</v>
      </c>
      <c r="AP1763">
        <v>-19.650079000000002</v>
      </c>
      <c r="AQ1763">
        <v>-43.884253999999999</v>
      </c>
      <c r="AR1763">
        <v>105.1518915696123</v>
      </c>
      <c r="AS1763" t="s">
        <v>65</v>
      </c>
      <c r="AT1763">
        <v>1</v>
      </c>
      <c r="AU1763" t="s">
        <v>415</v>
      </c>
      <c r="AV1763" t="s">
        <v>416</v>
      </c>
      <c r="AW1763" t="s">
        <v>60</v>
      </c>
      <c r="AX1763" t="s">
        <v>68</v>
      </c>
      <c r="AY1763" t="s">
        <v>69</v>
      </c>
      <c r="AZ1763" t="b">
        <v>1</v>
      </c>
    </row>
    <row r="1764" spans="1:52" x14ac:dyDescent="0.3">
      <c r="A1764" t="s">
        <v>52</v>
      </c>
      <c r="B1764" t="s">
        <v>53</v>
      </c>
      <c r="C1764" t="s">
        <v>54</v>
      </c>
      <c r="D1764" t="s">
        <v>55</v>
      </c>
      <c r="E1764" t="s">
        <v>851</v>
      </c>
      <c r="F1764" t="s">
        <v>512</v>
      </c>
      <c r="G1764" t="s">
        <v>525</v>
      </c>
      <c r="H1764" t="s">
        <v>526</v>
      </c>
      <c r="I1764" t="s">
        <v>526</v>
      </c>
      <c r="J1764" t="s">
        <v>60</v>
      </c>
      <c r="K1764" t="s">
        <v>286</v>
      </c>
      <c r="L1764" t="s">
        <v>62</v>
      </c>
      <c r="M1764" t="s">
        <v>286</v>
      </c>
      <c r="N1764" t="s">
        <v>527</v>
      </c>
      <c r="O1764" t="s">
        <v>113</v>
      </c>
      <c r="P1764">
        <v>-19.629049999999999</v>
      </c>
      <c r="Q1764">
        <v>-43.887543000000001</v>
      </c>
      <c r="R1764" s="2" t="str">
        <f>HYPERLINK("https://www.google.com/maps?q=-19.6290500,-43.8875430","Abrir no Google Maps")</f>
        <v>Abrir no Google Maps</v>
      </c>
      <c r="S1764">
        <v>3</v>
      </c>
      <c r="T1764">
        <v>420.9244758141914</v>
      </c>
      <c r="U1764">
        <v>2</v>
      </c>
      <c r="V1764">
        <v>0.87364130434782605</v>
      </c>
      <c r="W1764">
        <v>0.85</v>
      </c>
      <c r="X1764">
        <v>0.74259510869565215</v>
      </c>
      <c r="Y1764">
        <v>18</v>
      </c>
      <c r="Z1764">
        <v>298.16529694300579</v>
      </c>
      <c r="AA1764">
        <v>2</v>
      </c>
      <c r="AB1764">
        <v>3</v>
      </c>
      <c r="AC1764">
        <v>7</v>
      </c>
      <c r="AD1764">
        <v>25.18</v>
      </c>
      <c r="AE1764">
        <v>253</v>
      </c>
      <c r="AF1764">
        <v>13</v>
      </c>
      <c r="AG1764">
        <v>65</v>
      </c>
      <c r="AH1764">
        <v>32</v>
      </c>
      <c r="AI1764">
        <v>5.14</v>
      </c>
      <c r="AJ1764">
        <v>25.69</v>
      </c>
      <c r="AK1764">
        <v>12.65</v>
      </c>
      <c r="AL1764">
        <v>-19.62914789999996</v>
      </c>
      <c r="AM1764">
        <v>-43.887659532387332</v>
      </c>
      <c r="AN1764">
        <v>-19.62914789999996</v>
      </c>
      <c r="AO1764">
        <v>-43.887659532387332</v>
      </c>
      <c r="AP1764">
        <v>-19.629049999999999</v>
      </c>
      <c r="AQ1764">
        <v>-43.887543000000001</v>
      </c>
      <c r="AR1764">
        <v>16.372645779361299</v>
      </c>
      <c r="AS1764" t="s">
        <v>65</v>
      </c>
      <c r="AT1764">
        <v>1</v>
      </c>
      <c r="AU1764" t="s">
        <v>528</v>
      </c>
      <c r="AV1764" t="s">
        <v>529</v>
      </c>
      <c r="AW1764" t="s">
        <v>60</v>
      </c>
      <c r="AX1764" t="s">
        <v>68</v>
      </c>
      <c r="AY1764" t="s">
        <v>69</v>
      </c>
      <c r="AZ1764" t="b">
        <v>1</v>
      </c>
    </row>
    <row r="1765" spans="1:52" x14ac:dyDescent="0.3">
      <c r="A1765" t="s">
        <v>52</v>
      </c>
      <c r="B1765" t="s">
        <v>53</v>
      </c>
      <c r="C1765" t="s">
        <v>54</v>
      </c>
      <c r="D1765" t="s">
        <v>55</v>
      </c>
      <c r="E1765" t="s">
        <v>851</v>
      </c>
      <c r="F1765" t="s">
        <v>512</v>
      </c>
      <c r="G1765" t="s">
        <v>536</v>
      </c>
      <c r="H1765" t="s">
        <v>537</v>
      </c>
      <c r="I1765" t="s">
        <v>537</v>
      </c>
      <c r="J1765" t="s">
        <v>60</v>
      </c>
      <c r="K1765" t="s">
        <v>185</v>
      </c>
      <c r="L1765" t="s">
        <v>62</v>
      </c>
      <c r="M1765" t="s">
        <v>185</v>
      </c>
      <c r="N1765" t="s">
        <v>538</v>
      </c>
      <c r="O1765" t="s">
        <v>408</v>
      </c>
      <c r="P1765">
        <v>-19.630147999999998</v>
      </c>
      <c r="Q1765">
        <v>-43.893844000000001</v>
      </c>
      <c r="R1765" s="2" t="str">
        <f>HYPERLINK("https://www.google.com/maps?q=-19.6301480,-43.8938440","Abrir no Google Maps")</f>
        <v>Abrir no Google Maps</v>
      </c>
      <c r="S1765">
        <v>3</v>
      </c>
      <c r="T1765">
        <v>262.94285160220159</v>
      </c>
      <c r="U1765">
        <v>2</v>
      </c>
      <c r="V1765">
        <v>0.89047619047619053</v>
      </c>
      <c r="W1765">
        <v>0.85</v>
      </c>
      <c r="X1765">
        <v>0.75690476190476197</v>
      </c>
      <c r="Y1765">
        <v>18</v>
      </c>
      <c r="Z1765">
        <v>351.25774094845309</v>
      </c>
      <c r="AA1765">
        <v>2</v>
      </c>
      <c r="AB1765">
        <v>3</v>
      </c>
      <c r="AC1765">
        <v>7</v>
      </c>
      <c r="AD1765">
        <v>25.18</v>
      </c>
      <c r="AE1765">
        <v>253</v>
      </c>
      <c r="AF1765">
        <v>13</v>
      </c>
      <c r="AG1765">
        <v>65</v>
      </c>
      <c r="AH1765">
        <v>32</v>
      </c>
      <c r="AI1765">
        <v>5.14</v>
      </c>
      <c r="AJ1765">
        <v>25.69</v>
      </c>
      <c r="AK1765">
        <v>12.65</v>
      </c>
      <c r="AL1765">
        <v>-19.630177599999939</v>
      </c>
      <c r="AM1765">
        <v>-43.893752755034278</v>
      </c>
      <c r="AN1765">
        <v>-19.630177599999939</v>
      </c>
      <c r="AO1765">
        <v>-43.893752755034278</v>
      </c>
      <c r="AP1765">
        <v>-19.630147999999998</v>
      </c>
      <c r="AQ1765">
        <v>-43.893844000000001</v>
      </c>
      <c r="AR1765">
        <v>10.1185927114604</v>
      </c>
      <c r="AS1765" t="s">
        <v>65</v>
      </c>
      <c r="AT1765">
        <v>1</v>
      </c>
      <c r="AU1765" t="s">
        <v>539</v>
      </c>
      <c r="AV1765" t="s">
        <v>540</v>
      </c>
      <c r="AW1765" t="s">
        <v>60</v>
      </c>
      <c r="AX1765" t="s">
        <v>68</v>
      </c>
      <c r="AY1765" t="s">
        <v>69</v>
      </c>
      <c r="AZ1765" t="b">
        <v>1</v>
      </c>
    </row>
    <row r="1766" spans="1:52" x14ac:dyDescent="0.3">
      <c r="A1766" t="s">
        <v>52</v>
      </c>
      <c r="B1766" t="s">
        <v>53</v>
      </c>
      <c r="C1766" t="s">
        <v>54</v>
      </c>
      <c r="D1766" t="s">
        <v>55</v>
      </c>
      <c r="E1766" t="s">
        <v>851</v>
      </c>
      <c r="F1766" t="s">
        <v>512</v>
      </c>
      <c r="G1766" t="s">
        <v>541</v>
      </c>
      <c r="H1766" t="s">
        <v>542</v>
      </c>
      <c r="I1766" t="s">
        <v>542</v>
      </c>
      <c r="J1766" t="s">
        <v>60</v>
      </c>
      <c r="K1766" t="s">
        <v>445</v>
      </c>
      <c r="L1766" t="s">
        <v>62</v>
      </c>
      <c r="M1766" t="s">
        <v>445</v>
      </c>
      <c r="N1766" t="s">
        <v>543</v>
      </c>
      <c r="O1766" t="s">
        <v>328</v>
      </c>
      <c r="P1766">
        <v>-19.642263</v>
      </c>
      <c r="Q1766">
        <v>-43.881428999999997</v>
      </c>
      <c r="R1766" s="2" t="str">
        <f>HYPERLINK("https://www.google.com/maps?q=-19.6422630,-43.8814290","Abrir no Google Maps")</f>
        <v>Abrir no Google Maps</v>
      </c>
      <c r="S1766">
        <v>3</v>
      </c>
      <c r="T1766">
        <v>0</v>
      </c>
      <c r="U1766">
        <v>2</v>
      </c>
      <c r="V1766">
        <v>0.86184210526315796</v>
      </c>
      <c r="W1766">
        <v>0.85</v>
      </c>
      <c r="X1766">
        <v>0.73256578947368423</v>
      </c>
      <c r="Y1766">
        <v>10</v>
      </c>
      <c r="Z1766">
        <v>162.4764384685345</v>
      </c>
      <c r="AA1766">
        <v>2</v>
      </c>
      <c r="AB1766">
        <v>3</v>
      </c>
      <c r="AC1766">
        <v>7</v>
      </c>
      <c r="AD1766">
        <v>25.18</v>
      </c>
      <c r="AE1766">
        <v>253</v>
      </c>
      <c r="AF1766">
        <v>13</v>
      </c>
      <c r="AG1766">
        <v>65</v>
      </c>
      <c r="AH1766">
        <v>32</v>
      </c>
      <c r="AI1766">
        <v>5.14</v>
      </c>
      <c r="AJ1766">
        <v>25.69</v>
      </c>
      <c r="AK1766">
        <v>12.65</v>
      </c>
      <c r="AL1766">
        <v>-19.642346249999949</v>
      </c>
      <c r="AM1766">
        <v>-43.881546938715289</v>
      </c>
      <c r="AN1766">
        <v>-19.642346249999939</v>
      </c>
      <c r="AO1766">
        <v>-43.881546938715289</v>
      </c>
      <c r="AP1766">
        <v>-19.642263</v>
      </c>
      <c r="AQ1766">
        <v>-43.881428999999997</v>
      </c>
      <c r="AR1766">
        <v>15.45239906956777</v>
      </c>
      <c r="AS1766" t="s">
        <v>65</v>
      </c>
      <c r="AT1766">
        <v>1</v>
      </c>
      <c r="AU1766" t="s">
        <v>544</v>
      </c>
      <c r="AV1766" t="s">
        <v>545</v>
      </c>
      <c r="AW1766" t="s">
        <v>60</v>
      </c>
      <c r="AX1766" t="s">
        <v>68</v>
      </c>
      <c r="AY1766" t="s">
        <v>69</v>
      </c>
      <c r="AZ1766" t="b">
        <v>1</v>
      </c>
    </row>
    <row r="1767" spans="1:52" x14ac:dyDescent="0.3">
      <c r="A1767" t="s">
        <v>52</v>
      </c>
      <c r="B1767" t="s">
        <v>53</v>
      </c>
      <c r="C1767" t="s">
        <v>54</v>
      </c>
      <c r="D1767" t="s">
        <v>55</v>
      </c>
      <c r="E1767" t="s">
        <v>851</v>
      </c>
      <c r="F1767" t="s">
        <v>512</v>
      </c>
      <c r="G1767" t="s">
        <v>546</v>
      </c>
      <c r="H1767" t="s">
        <v>547</v>
      </c>
      <c r="I1767" t="s">
        <v>547</v>
      </c>
      <c r="J1767" t="s">
        <v>60</v>
      </c>
      <c r="K1767" t="s">
        <v>445</v>
      </c>
      <c r="L1767" t="s">
        <v>62</v>
      </c>
      <c r="M1767" t="s">
        <v>445</v>
      </c>
      <c r="N1767" t="s">
        <v>548</v>
      </c>
      <c r="O1767" t="s">
        <v>549</v>
      </c>
      <c r="P1767">
        <v>-19.642752999999999</v>
      </c>
      <c r="Q1767">
        <v>-43.879080999999999</v>
      </c>
      <c r="R1767" s="2" t="str">
        <f>HYPERLINK("https://www.google.com/maps?q=-19.6427530,-43.8790810","Abrir no Google Maps")</f>
        <v>Abrir no Google Maps</v>
      </c>
      <c r="S1767">
        <v>3</v>
      </c>
      <c r="T1767">
        <v>256.19518367376457</v>
      </c>
      <c r="U1767">
        <v>2</v>
      </c>
      <c r="V1767">
        <v>0.86422413793103448</v>
      </c>
      <c r="W1767">
        <v>0.85</v>
      </c>
      <c r="X1767">
        <v>0.73459051724137925</v>
      </c>
      <c r="Y1767">
        <v>10</v>
      </c>
      <c r="Z1767">
        <v>192.73978446408199</v>
      </c>
      <c r="AA1767">
        <v>2</v>
      </c>
      <c r="AB1767">
        <v>3</v>
      </c>
      <c r="AC1767">
        <v>7</v>
      </c>
      <c r="AD1767">
        <v>25.18</v>
      </c>
      <c r="AE1767">
        <v>253</v>
      </c>
      <c r="AF1767">
        <v>13</v>
      </c>
      <c r="AG1767">
        <v>65</v>
      </c>
      <c r="AH1767">
        <v>32</v>
      </c>
      <c r="AI1767">
        <v>5.14</v>
      </c>
      <c r="AJ1767">
        <v>25.69</v>
      </c>
      <c r="AK1767">
        <v>12.65</v>
      </c>
      <c r="AL1767">
        <v>-19.642703749999949</v>
      </c>
      <c r="AM1767">
        <v>-43.879132974738582</v>
      </c>
      <c r="AN1767">
        <v>-19.642703749999949</v>
      </c>
      <c r="AO1767">
        <v>-43.879132974738582</v>
      </c>
      <c r="AP1767">
        <v>-19.642752999999999</v>
      </c>
      <c r="AQ1767">
        <v>-43.879080999999999</v>
      </c>
      <c r="AR1767">
        <v>7.7298757823687696</v>
      </c>
      <c r="AS1767" t="s">
        <v>65</v>
      </c>
      <c r="AT1767">
        <v>1</v>
      </c>
      <c r="AU1767" t="s">
        <v>550</v>
      </c>
      <c r="AV1767" t="s">
        <v>551</v>
      </c>
      <c r="AW1767" t="s">
        <v>60</v>
      </c>
      <c r="AX1767" t="s">
        <v>68</v>
      </c>
      <c r="AY1767" t="s">
        <v>69</v>
      </c>
      <c r="AZ1767" t="b">
        <v>1</v>
      </c>
    </row>
    <row r="1768" spans="1:52" x14ac:dyDescent="0.3">
      <c r="A1768" t="s">
        <v>52</v>
      </c>
      <c r="B1768" t="s">
        <v>53</v>
      </c>
      <c r="C1768" t="s">
        <v>54</v>
      </c>
      <c r="D1768" t="s">
        <v>55</v>
      </c>
      <c r="E1768" t="s">
        <v>851</v>
      </c>
      <c r="F1768" t="s">
        <v>512</v>
      </c>
      <c r="G1768" t="s">
        <v>552</v>
      </c>
      <c r="H1768" t="s">
        <v>553</v>
      </c>
      <c r="I1768" t="s">
        <v>553</v>
      </c>
      <c r="J1768" t="s">
        <v>60</v>
      </c>
      <c r="K1768" t="s">
        <v>445</v>
      </c>
      <c r="L1768" t="s">
        <v>62</v>
      </c>
      <c r="M1768" t="s">
        <v>445</v>
      </c>
      <c r="N1768" t="s">
        <v>554</v>
      </c>
      <c r="O1768" t="s">
        <v>207</v>
      </c>
      <c r="P1768">
        <v>-19.641549999999999</v>
      </c>
      <c r="Q1768">
        <v>-43.873263999999999</v>
      </c>
      <c r="R1768" s="2" t="str">
        <f>HYPERLINK("https://www.google.com/maps?q=-19.6415500,-43.8732640","Abrir no Google Maps")</f>
        <v>Abrir no Google Maps</v>
      </c>
      <c r="S1768">
        <v>3</v>
      </c>
      <c r="T1768">
        <v>879.45465995735231</v>
      </c>
      <c r="U1768">
        <v>2</v>
      </c>
      <c r="V1768">
        <v>0.86206896551724133</v>
      </c>
      <c r="W1768">
        <v>0.85</v>
      </c>
      <c r="X1768">
        <v>0.73275862068965514</v>
      </c>
      <c r="Y1768">
        <v>10</v>
      </c>
      <c r="Z1768">
        <v>830.70905214077095</v>
      </c>
      <c r="AA1768">
        <v>2</v>
      </c>
      <c r="AB1768">
        <v>3</v>
      </c>
      <c r="AC1768">
        <v>7</v>
      </c>
      <c r="AD1768">
        <v>25.18</v>
      </c>
      <c r="AE1768">
        <v>253</v>
      </c>
      <c r="AF1768">
        <v>13</v>
      </c>
      <c r="AG1768">
        <v>65</v>
      </c>
      <c r="AH1768">
        <v>32</v>
      </c>
      <c r="AI1768">
        <v>5.14</v>
      </c>
      <c r="AJ1768">
        <v>25.69</v>
      </c>
      <c r="AK1768">
        <v>12.65</v>
      </c>
      <c r="AL1768">
        <v>-19.641459949999959</v>
      </c>
      <c r="AM1768">
        <v>-43.873212145688711</v>
      </c>
      <c r="AN1768">
        <v>-19.641459949999959</v>
      </c>
      <c r="AO1768">
        <v>-43.873212145688711</v>
      </c>
      <c r="AP1768">
        <v>-19.641549999999999</v>
      </c>
      <c r="AQ1768">
        <v>-43.873263999999999</v>
      </c>
      <c r="AR1768">
        <v>11.40368340137019</v>
      </c>
      <c r="AS1768" t="s">
        <v>65</v>
      </c>
      <c r="AT1768">
        <v>1</v>
      </c>
      <c r="AU1768" t="s">
        <v>555</v>
      </c>
      <c r="AV1768" t="s">
        <v>556</v>
      </c>
      <c r="AW1768" t="s">
        <v>60</v>
      </c>
      <c r="AX1768" t="s">
        <v>68</v>
      </c>
      <c r="AY1768" t="s">
        <v>69</v>
      </c>
      <c r="AZ1768" t="b">
        <v>1</v>
      </c>
    </row>
    <row r="1769" spans="1:52" x14ac:dyDescent="0.3">
      <c r="A1769" t="s">
        <v>52</v>
      </c>
      <c r="B1769" t="s">
        <v>53</v>
      </c>
      <c r="C1769" t="s">
        <v>54</v>
      </c>
      <c r="D1769" t="s">
        <v>55</v>
      </c>
      <c r="E1769" t="s">
        <v>851</v>
      </c>
      <c r="F1769" t="s">
        <v>512</v>
      </c>
      <c r="G1769" t="s">
        <v>557</v>
      </c>
      <c r="H1769" t="s">
        <v>558</v>
      </c>
      <c r="I1769" t="s">
        <v>558</v>
      </c>
      <c r="J1769" t="s">
        <v>60</v>
      </c>
      <c r="K1769" t="s">
        <v>445</v>
      </c>
      <c r="L1769" t="s">
        <v>62</v>
      </c>
      <c r="M1769" t="s">
        <v>445</v>
      </c>
      <c r="N1769" t="s">
        <v>559</v>
      </c>
      <c r="O1769" t="s">
        <v>560</v>
      </c>
      <c r="P1769">
        <v>-19.641839000000001</v>
      </c>
      <c r="Q1769">
        <v>-43.876227</v>
      </c>
      <c r="R1769" s="2" t="str">
        <f>HYPERLINK("https://www.google.com/maps?q=-19.6418390,-43.8762270","Abrir no Google Maps")</f>
        <v>Abrir no Google Maps</v>
      </c>
      <c r="S1769">
        <v>3</v>
      </c>
      <c r="T1769">
        <v>564.50471877254449</v>
      </c>
      <c r="U1769">
        <v>2</v>
      </c>
      <c r="V1769">
        <v>0.86186594202898548</v>
      </c>
      <c r="W1769">
        <v>0.85</v>
      </c>
      <c r="X1769">
        <v>0.73258605072463767</v>
      </c>
      <c r="Y1769">
        <v>10</v>
      </c>
      <c r="Z1769">
        <v>490.40238336341412</v>
      </c>
      <c r="AA1769">
        <v>2</v>
      </c>
      <c r="AB1769">
        <v>3</v>
      </c>
      <c r="AC1769">
        <v>7</v>
      </c>
      <c r="AD1769">
        <v>25.18</v>
      </c>
      <c r="AE1769">
        <v>253</v>
      </c>
      <c r="AF1769">
        <v>13</v>
      </c>
      <c r="AG1769">
        <v>65</v>
      </c>
      <c r="AH1769">
        <v>32</v>
      </c>
      <c r="AI1769">
        <v>5.14</v>
      </c>
      <c r="AJ1769">
        <v>25.69</v>
      </c>
      <c r="AK1769">
        <v>12.65</v>
      </c>
      <c r="AL1769">
        <v>-19.641880699999941</v>
      </c>
      <c r="AM1769">
        <v>-43.876185869580858</v>
      </c>
      <c r="AN1769">
        <v>-19.641880699999941</v>
      </c>
      <c r="AO1769">
        <v>-43.876185869580858</v>
      </c>
      <c r="AP1769">
        <v>-19.641839000000001</v>
      </c>
      <c r="AQ1769">
        <v>-43.876227</v>
      </c>
      <c r="AR1769">
        <v>6.3359121862683301</v>
      </c>
      <c r="AS1769" t="s">
        <v>65</v>
      </c>
      <c r="AT1769">
        <v>1</v>
      </c>
      <c r="AU1769" t="s">
        <v>561</v>
      </c>
      <c r="AV1769" t="s">
        <v>562</v>
      </c>
      <c r="AW1769" t="s">
        <v>60</v>
      </c>
      <c r="AX1769" t="s">
        <v>68</v>
      </c>
      <c r="AY1769" t="s">
        <v>69</v>
      </c>
      <c r="AZ1769" t="b">
        <v>1</v>
      </c>
    </row>
    <row r="1770" spans="1:52" x14ac:dyDescent="0.3">
      <c r="A1770" t="s">
        <v>52</v>
      </c>
      <c r="B1770" t="s">
        <v>53</v>
      </c>
      <c r="C1770" t="s">
        <v>54</v>
      </c>
      <c r="D1770" t="s">
        <v>55</v>
      </c>
      <c r="E1770" t="s">
        <v>851</v>
      </c>
      <c r="F1770" t="s">
        <v>512</v>
      </c>
      <c r="G1770" t="s">
        <v>563</v>
      </c>
      <c r="H1770" t="s">
        <v>564</v>
      </c>
      <c r="I1770" t="s">
        <v>564</v>
      </c>
      <c r="J1770" t="s">
        <v>60</v>
      </c>
      <c r="K1770" t="s">
        <v>445</v>
      </c>
      <c r="L1770" t="s">
        <v>62</v>
      </c>
      <c r="M1770" t="s">
        <v>445</v>
      </c>
      <c r="N1770" t="s">
        <v>565</v>
      </c>
      <c r="O1770" t="s">
        <v>566</v>
      </c>
      <c r="P1770">
        <v>-19.645859000000002</v>
      </c>
      <c r="Q1770">
        <v>-43.878008000000001</v>
      </c>
      <c r="R1770" s="2" t="str">
        <f>HYPERLINK("https://www.google.com/maps?q=-19.6458590,-43.8780080","Abrir no Google Maps")</f>
        <v>Abrir no Google Maps</v>
      </c>
      <c r="S1770">
        <v>3</v>
      </c>
      <c r="T1770">
        <v>535.60651658514928</v>
      </c>
      <c r="U1770">
        <v>2</v>
      </c>
      <c r="V1770">
        <v>0.85185185185185186</v>
      </c>
      <c r="W1770">
        <v>0.85</v>
      </c>
      <c r="X1770">
        <v>0.72407407407407409</v>
      </c>
      <c r="Y1770">
        <v>10</v>
      </c>
      <c r="Z1770">
        <v>356.77070476702067</v>
      </c>
      <c r="AA1770">
        <v>2</v>
      </c>
      <c r="AB1770">
        <v>3</v>
      </c>
      <c r="AC1770">
        <v>7</v>
      </c>
      <c r="AD1770">
        <v>25.18</v>
      </c>
      <c r="AE1770">
        <v>253</v>
      </c>
      <c r="AF1770">
        <v>13</v>
      </c>
      <c r="AG1770">
        <v>65</v>
      </c>
      <c r="AH1770">
        <v>32</v>
      </c>
      <c r="AI1770">
        <v>5.14</v>
      </c>
      <c r="AJ1770">
        <v>25.69</v>
      </c>
      <c r="AK1770">
        <v>12.65</v>
      </c>
      <c r="AL1770">
        <v>-19.645894599999959</v>
      </c>
      <c r="AM1770">
        <v>-43.878073476665591</v>
      </c>
      <c r="AN1770">
        <v>-19.645894599999959</v>
      </c>
      <c r="AO1770">
        <v>-43.878073476665591</v>
      </c>
      <c r="AP1770">
        <v>-19.645859000000002</v>
      </c>
      <c r="AQ1770">
        <v>-43.878008000000001</v>
      </c>
      <c r="AR1770">
        <v>7.9263849189726594</v>
      </c>
      <c r="AS1770" t="s">
        <v>65</v>
      </c>
      <c r="AT1770">
        <v>1</v>
      </c>
      <c r="AU1770" t="s">
        <v>567</v>
      </c>
      <c r="AV1770" t="s">
        <v>568</v>
      </c>
      <c r="AW1770" t="s">
        <v>60</v>
      </c>
      <c r="AX1770" t="s">
        <v>68</v>
      </c>
      <c r="AY1770" t="s">
        <v>69</v>
      </c>
      <c r="AZ1770" t="b">
        <v>1</v>
      </c>
    </row>
    <row r="1771" spans="1:52" x14ac:dyDescent="0.3">
      <c r="A1771" t="s">
        <v>52</v>
      </c>
      <c r="B1771" t="s">
        <v>53</v>
      </c>
      <c r="C1771" t="s">
        <v>54</v>
      </c>
      <c r="D1771" t="s">
        <v>55</v>
      </c>
      <c r="E1771" t="s">
        <v>851</v>
      </c>
      <c r="F1771" t="s">
        <v>512</v>
      </c>
      <c r="G1771" t="s">
        <v>569</v>
      </c>
      <c r="H1771" t="s">
        <v>570</v>
      </c>
      <c r="I1771" t="s">
        <v>570</v>
      </c>
      <c r="J1771" t="s">
        <v>60</v>
      </c>
      <c r="K1771" t="s">
        <v>445</v>
      </c>
      <c r="L1771" t="s">
        <v>62</v>
      </c>
      <c r="M1771" t="s">
        <v>445</v>
      </c>
      <c r="N1771" t="s">
        <v>571</v>
      </c>
      <c r="O1771" t="s">
        <v>572</v>
      </c>
      <c r="P1771">
        <v>-19.646602999999999</v>
      </c>
      <c r="Q1771">
        <v>-43.879826000000001</v>
      </c>
      <c r="R1771" s="2" t="str">
        <f>HYPERLINK("https://www.google.com/maps?q=-19.6466030,-43.8798260","Abrir no Google Maps")</f>
        <v>Abrir no Google Maps</v>
      </c>
      <c r="S1771">
        <v>3</v>
      </c>
      <c r="T1771">
        <v>497.89126003830972</v>
      </c>
      <c r="U1771">
        <v>2</v>
      </c>
      <c r="V1771">
        <v>0.8595890410958904</v>
      </c>
      <c r="W1771">
        <v>0.85</v>
      </c>
      <c r="X1771">
        <v>0.73065068493150687</v>
      </c>
      <c r="Y1771">
        <v>10</v>
      </c>
      <c r="Z1771">
        <v>228.69190976735251</v>
      </c>
      <c r="AA1771">
        <v>2</v>
      </c>
      <c r="AB1771">
        <v>3</v>
      </c>
      <c r="AC1771">
        <v>7</v>
      </c>
      <c r="AD1771">
        <v>25.18</v>
      </c>
      <c r="AE1771">
        <v>253</v>
      </c>
      <c r="AF1771">
        <v>13</v>
      </c>
      <c r="AG1771">
        <v>65</v>
      </c>
      <c r="AH1771">
        <v>32</v>
      </c>
      <c r="AI1771">
        <v>5.14</v>
      </c>
      <c r="AJ1771">
        <v>25.69</v>
      </c>
      <c r="AK1771">
        <v>12.65</v>
      </c>
      <c r="AL1771">
        <v>-19.646577499999982</v>
      </c>
      <c r="AM1771">
        <v>-43.879934131171261</v>
      </c>
      <c r="AN1771">
        <v>-19.646577499999971</v>
      </c>
      <c r="AO1771">
        <v>-43.879934131171261</v>
      </c>
      <c r="AP1771">
        <v>-19.646602999999999</v>
      </c>
      <c r="AQ1771">
        <v>-43.879826000000001</v>
      </c>
      <c r="AR1771">
        <v>11.68641198848764</v>
      </c>
      <c r="AS1771" t="s">
        <v>65</v>
      </c>
      <c r="AT1771">
        <v>1</v>
      </c>
      <c r="AU1771" t="s">
        <v>573</v>
      </c>
      <c r="AV1771" t="s">
        <v>574</v>
      </c>
      <c r="AW1771" t="s">
        <v>60</v>
      </c>
      <c r="AX1771" t="s">
        <v>68</v>
      </c>
      <c r="AY1771" t="s">
        <v>69</v>
      </c>
      <c r="AZ1771" t="b">
        <v>1</v>
      </c>
    </row>
    <row r="1772" spans="1:52" x14ac:dyDescent="0.3">
      <c r="A1772" t="s">
        <v>52</v>
      </c>
      <c r="B1772" t="s">
        <v>53</v>
      </c>
      <c r="C1772" t="s">
        <v>54</v>
      </c>
      <c r="D1772" t="s">
        <v>55</v>
      </c>
      <c r="E1772" t="s">
        <v>851</v>
      </c>
      <c r="F1772" t="s">
        <v>512</v>
      </c>
      <c r="G1772" t="s">
        <v>580</v>
      </c>
      <c r="H1772" t="s">
        <v>581</v>
      </c>
      <c r="I1772" t="s">
        <v>581</v>
      </c>
      <c r="J1772" t="s">
        <v>60</v>
      </c>
      <c r="K1772" t="s">
        <v>179</v>
      </c>
      <c r="L1772" t="s">
        <v>62</v>
      </c>
      <c r="M1772" t="s">
        <v>179</v>
      </c>
      <c r="N1772" t="s">
        <v>582</v>
      </c>
      <c r="O1772" t="s">
        <v>583</v>
      </c>
      <c r="P1772">
        <v>-19.651917999999998</v>
      </c>
      <c r="Q1772">
        <v>-43.888081</v>
      </c>
      <c r="R1772" s="2" t="str">
        <f>HYPERLINK("https://www.google.com/maps?q=-19.6519180,-43.8880810","Abrir no Google Maps")</f>
        <v>Abrir no Google Maps</v>
      </c>
      <c r="S1772">
        <v>3</v>
      </c>
      <c r="T1772">
        <v>1192.758363020145</v>
      </c>
      <c r="U1772">
        <v>2</v>
      </c>
      <c r="V1772">
        <v>0.81313131313131315</v>
      </c>
      <c r="W1772">
        <v>0.85</v>
      </c>
      <c r="X1772">
        <v>0.6911616161616162</v>
      </c>
      <c r="Y1772">
        <v>10</v>
      </c>
      <c r="Z1772">
        <v>1164.020417046748</v>
      </c>
      <c r="AA1772">
        <v>2</v>
      </c>
      <c r="AB1772">
        <v>3</v>
      </c>
      <c r="AC1772">
        <v>7</v>
      </c>
      <c r="AD1772">
        <v>25.18</v>
      </c>
      <c r="AE1772">
        <v>253</v>
      </c>
      <c r="AF1772">
        <v>13</v>
      </c>
      <c r="AG1772">
        <v>65</v>
      </c>
      <c r="AH1772">
        <v>32</v>
      </c>
      <c r="AI1772">
        <v>5.14</v>
      </c>
      <c r="AJ1772">
        <v>25.69</v>
      </c>
      <c r="AK1772">
        <v>12.65</v>
      </c>
      <c r="AL1772">
        <v>-19.65182809999996</v>
      </c>
      <c r="AM1772">
        <v>-43.887955347266519</v>
      </c>
      <c r="AN1772">
        <v>-19.65182809999996</v>
      </c>
      <c r="AO1772">
        <v>-43.887955347266519</v>
      </c>
      <c r="AP1772">
        <v>-19.651917999999998</v>
      </c>
      <c r="AQ1772">
        <v>-43.888081</v>
      </c>
      <c r="AR1772">
        <v>16.543262936495491</v>
      </c>
      <c r="AS1772" t="s">
        <v>65</v>
      </c>
      <c r="AT1772">
        <v>1</v>
      </c>
      <c r="AU1772" t="s">
        <v>584</v>
      </c>
      <c r="AV1772" t="s">
        <v>585</v>
      </c>
      <c r="AW1772" t="s">
        <v>60</v>
      </c>
      <c r="AX1772" t="s">
        <v>68</v>
      </c>
      <c r="AY1772" t="s">
        <v>69</v>
      </c>
      <c r="AZ1772" t="b">
        <v>1</v>
      </c>
    </row>
    <row r="1773" spans="1:52" x14ac:dyDescent="0.3">
      <c r="A1773" t="s">
        <v>52</v>
      </c>
      <c r="B1773" t="s">
        <v>53</v>
      </c>
      <c r="C1773" t="s">
        <v>54</v>
      </c>
      <c r="D1773" t="s">
        <v>55</v>
      </c>
      <c r="E1773" t="s">
        <v>851</v>
      </c>
      <c r="F1773" t="s">
        <v>512</v>
      </c>
      <c r="G1773" t="s">
        <v>586</v>
      </c>
      <c r="H1773" t="s">
        <v>587</v>
      </c>
      <c r="I1773" t="s">
        <v>587</v>
      </c>
      <c r="J1773" t="s">
        <v>60</v>
      </c>
      <c r="K1773" t="s">
        <v>286</v>
      </c>
      <c r="L1773" t="s">
        <v>62</v>
      </c>
      <c r="M1773" t="s">
        <v>286</v>
      </c>
      <c r="N1773" t="s">
        <v>588</v>
      </c>
      <c r="O1773" t="s">
        <v>589</v>
      </c>
      <c r="P1773">
        <v>-19.638362999999998</v>
      </c>
      <c r="Q1773">
        <v>-43.887081000000002</v>
      </c>
      <c r="R1773" s="2" t="str">
        <f>HYPERLINK("https://www.google.com/maps?q=-19.6383630,-43.8870810","Abrir no Google Maps")</f>
        <v>Abrir no Google Maps</v>
      </c>
      <c r="S1773">
        <v>3</v>
      </c>
      <c r="T1773">
        <v>521.16909902210193</v>
      </c>
      <c r="U1773">
        <v>2</v>
      </c>
      <c r="V1773">
        <v>0.87209302325581395</v>
      </c>
      <c r="W1773">
        <v>0.85</v>
      </c>
      <c r="X1773">
        <v>0.74127906976744184</v>
      </c>
      <c r="Y1773">
        <v>10</v>
      </c>
      <c r="Z1773">
        <v>416.66355243950221</v>
      </c>
      <c r="AA1773">
        <v>2</v>
      </c>
      <c r="AB1773">
        <v>3</v>
      </c>
      <c r="AC1773">
        <v>7</v>
      </c>
      <c r="AD1773">
        <v>25.18</v>
      </c>
      <c r="AE1773">
        <v>253</v>
      </c>
      <c r="AF1773">
        <v>13</v>
      </c>
      <c r="AG1773">
        <v>65</v>
      </c>
      <c r="AH1773">
        <v>32</v>
      </c>
      <c r="AI1773">
        <v>5.14</v>
      </c>
      <c r="AJ1773">
        <v>25.69</v>
      </c>
      <c r="AK1773">
        <v>12.65</v>
      </c>
      <c r="AL1773">
        <v>-19.638074649999961</v>
      </c>
      <c r="AM1773">
        <v>-43.887517684870552</v>
      </c>
      <c r="AN1773">
        <v>-19.638074649999961</v>
      </c>
      <c r="AO1773">
        <v>-43.887517684870552</v>
      </c>
      <c r="AP1773">
        <v>-19.638362999999998</v>
      </c>
      <c r="AQ1773">
        <v>-43.887081000000002</v>
      </c>
      <c r="AR1773">
        <v>55.915550702564907</v>
      </c>
      <c r="AS1773" t="s">
        <v>65</v>
      </c>
      <c r="AT1773">
        <v>1</v>
      </c>
      <c r="AU1773" t="s">
        <v>590</v>
      </c>
      <c r="AV1773" t="s">
        <v>591</v>
      </c>
      <c r="AW1773" t="s">
        <v>60</v>
      </c>
      <c r="AX1773" t="s">
        <v>68</v>
      </c>
      <c r="AY1773" t="s">
        <v>69</v>
      </c>
      <c r="AZ1773" t="b">
        <v>1</v>
      </c>
    </row>
    <row r="1774" spans="1:52" x14ac:dyDescent="0.3">
      <c r="A1774" t="s">
        <v>52</v>
      </c>
      <c r="B1774" t="s">
        <v>53</v>
      </c>
      <c r="C1774" t="s">
        <v>54</v>
      </c>
      <c r="D1774" t="s">
        <v>55</v>
      </c>
      <c r="E1774" t="s">
        <v>851</v>
      </c>
      <c r="F1774" t="s">
        <v>512</v>
      </c>
      <c r="G1774" t="s">
        <v>575</v>
      </c>
      <c r="H1774" t="s">
        <v>576</v>
      </c>
      <c r="I1774" t="s">
        <v>576</v>
      </c>
      <c r="J1774" t="s">
        <v>60</v>
      </c>
      <c r="K1774" t="s">
        <v>445</v>
      </c>
      <c r="L1774" t="s">
        <v>62</v>
      </c>
      <c r="M1774" t="s">
        <v>445</v>
      </c>
      <c r="N1774" t="s">
        <v>577</v>
      </c>
      <c r="O1774" t="s">
        <v>214</v>
      </c>
      <c r="P1774">
        <v>-19.639865</v>
      </c>
      <c r="Q1774">
        <v>-43.877858000000003</v>
      </c>
      <c r="R1774" s="2" t="str">
        <f>HYPERLINK("https://www.google.com/maps?q=-19.6398650,-43.8778580","Abrir no Google Maps")</f>
        <v>Abrir no Google Maps</v>
      </c>
      <c r="S1774">
        <v>3</v>
      </c>
      <c r="T1774">
        <v>497.47318171010488</v>
      </c>
      <c r="U1774">
        <v>2</v>
      </c>
      <c r="V1774">
        <v>0.86258865248226946</v>
      </c>
      <c r="W1774">
        <v>0.85</v>
      </c>
      <c r="X1774">
        <v>0.73320035460992905</v>
      </c>
      <c r="Y1774">
        <v>10</v>
      </c>
      <c r="Z1774">
        <v>547.08184956634818</v>
      </c>
      <c r="AA1774">
        <v>2</v>
      </c>
      <c r="AB1774">
        <v>3</v>
      </c>
      <c r="AC1774">
        <v>7</v>
      </c>
      <c r="AD1774">
        <v>25.18</v>
      </c>
      <c r="AE1774">
        <v>253</v>
      </c>
      <c r="AF1774">
        <v>13</v>
      </c>
      <c r="AG1774">
        <v>65</v>
      </c>
      <c r="AH1774">
        <v>32</v>
      </c>
      <c r="AI1774">
        <v>5.14</v>
      </c>
      <c r="AJ1774">
        <v>25.69</v>
      </c>
      <c r="AK1774">
        <v>12.65</v>
      </c>
      <c r="AL1774">
        <v>-19.639907499999961</v>
      </c>
      <c r="AM1774">
        <v>-43.877561677180587</v>
      </c>
      <c r="AN1774">
        <v>-19.639907499999961</v>
      </c>
      <c r="AO1774">
        <v>-43.877561677180587</v>
      </c>
      <c r="AP1774">
        <v>-19.639865</v>
      </c>
      <c r="AQ1774">
        <v>-43.877858000000003</v>
      </c>
      <c r="AR1774">
        <v>31.4257813556037</v>
      </c>
      <c r="AS1774" t="s">
        <v>65</v>
      </c>
      <c r="AT1774">
        <v>1</v>
      </c>
      <c r="AU1774" t="s">
        <v>578</v>
      </c>
      <c r="AV1774" t="s">
        <v>579</v>
      </c>
      <c r="AW1774" t="s">
        <v>60</v>
      </c>
      <c r="AX1774" t="s">
        <v>68</v>
      </c>
      <c r="AY1774" t="s">
        <v>69</v>
      </c>
      <c r="AZ1774" t="b">
        <v>1</v>
      </c>
    </row>
    <row r="1775" spans="1:52" x14ac:dyDescent="0.3">
      <c r="A1775" t="s">
        <v>52</v>
      </c>
      <c r="B1775" t="s">
        <v>53</v>
      </c>
      <c r="C1775" t="s">
        <v>54</v>
      </c>
      <c r="D1775" t="s">
        <v>55</v>
      </c>
      <c r="E1775" t="s">
        <v>851</v>
      </c>
      <c r="F1775" t="s">
        <v>512</v>
      </c>
      <c r="G1775" t="s">
        <v>592</v>
      </c>
      <c r="H1775" t="s">
        <v>593</v>
      </c>
      <c r="I1775" t="s">
        <v>593</v>
      </c>
      <c r="J1775" t="s">
        <v>60</v>
      </c>
      <c r="K1775" t="s">
        <v>445</v>
      </c>
      <c r="L1775" t="s">
        <v>62</v>
      </c>
      <c r="M1775" t="s">
        <v>445</v>
      </c>
      <c r="N1775" t="s">
        <v>594</v>
      </c>
      <c r="O1775" t="s">
        <v>477</v>
      </c>
      <c r="P1775">
        <v>-19.640709000000001</v>
      </c>
      <c r="Q1775">
        <v>-43.868687999999999</v>
      </c>
      <c r="R1775" s="2" t="str">
        <f>HYPERLINK("https://www.google.com/maps?q=-19.6407090,-43.8686880","Abrir no Google Maps")</f>
        <v>Abrir no Google Maps</v>
      </c>
      <c r="S1775">
        <v>1</v>
      </c>
      <c r="T1775">
        <v>1174.9679995958841</v>
      </c>
      <c r="U1775">
        <v>4</v>
      </c>
      <c r="V1775">
        <v>0.8604714912280701</v>
      </c>
      <c r="W1775">
        <v>1</v>
      </c>
      <c r="X1775">
        <v>0.8604714912280701</v>
      </c>
      <c r="Y1775">
        <v>10</v>
      </c>
      <c r="Z1775">
        <v>1230.8029594060461</v>
      </c>
      <c r="AA1775">
        <v>2</v>
      </c>
      <c r="AB1775">
        <v>3</v>
      </c>
      <c r="AC1775">
        <v>7</v>
      </c>
      <c r="AD1775">
        <v>25.18</v>
      </c>
      <c r="AE1775">
        <v>253</v>
      </c>
      <c r="AF1775">
        <v>13</v>
      </c>
      <c r="AG1775">
        <v>65</v>
      </c>
      <c r="AH1775">
        <v>32</v>
      </c>
      <c r="AI1775">
        <v>5.14</v>
      </c>
      <c r="AJ1775">
        <v>25.69</v>
      </c>
      <c r="AK1775">
        <v>12.65</v>
      </c>
      <c r="AL1775">
        <v>-19.641057949999979</v>
      </c>
      <c r="AM1775">
        <v>-43.868800137485707</v>
      </c>
      <c r="AN1775">
        <v>-19.641057949999979</v>
      </c>
      <c r="AO1775">
        <v>-43.868800137485707</v>
      </c>
      <c r="AP1775">
        <v>-19.640709000000001</v>
      </c>
      <c r="AQ1775">
        <v>-43.868687999999999</v>
      </c>
      <c r="AR1775">
        <v>40.585293798071682</v>
      </c>
      <c r="AS1775" t="s">
        <v>65</v>
      </c>
      <c r="AT1775">
        <v>1</v>
      </c>
      <c r="AU1775" t="s">
        <v>595</v>
      </c>
      <c r="AV1775" t="s">
        <v>596</v>
      </c>
      <c r="AW1775" t="s">
        <v>60</v>
      </c>
      <c r="AX1775" t="s">
        <v>68</v>
      </c>
      <c r="AY1775" t="s">
        <v>69</v>
      </c>
      <c r="AZ1775" t="b">
        <v>1</v>
      </c>
    </row>
    <row r="1776" spans="1:52" x14ac:dyDescent="0.3">
      <c r="A1776" t="s">
        <v>52</v>
      </c>
      <c r="B1776" t="s">
        <v>53</v>
      </c>
      <c r="C1776" t="s">
        <v>54</v>
      </c>
      <c r="D1776" t="s">
        <v>55</v>
      </c>
      <c r="E1776" t="s">
        <v>851</v>
      </c>
      <c r="F1776" t="s">
        <v>512</v>
      </c>
      <c r="G1776" t="s">
        <v>597</v>
      </c>
      <c r="H1776" t="s">
        <v>598</v>
      </c>
      <c r="I1776" t="s">
        <v>598</v>
      </c>
      <c r="J1776" t="s">
        <v>60</v>
      </c>
      <c r="K1776" t="s">
        <v>445</v>
      </c>
      <c r="L1776" t="s">
        <v>62</v>
      </c>
      <c r="M1776" t="s">
        <v>445</v>
      </c>
      <c r="N1776" t="s">
        <v>599</v>
      </c>
      <c r="O1776" t="s">
        <v>391</v>
      </c>
      <c r="P1776">
        <v>-19.637060999999999</v>
      </c>
      <c r="Q1776">
        <v>-43.871026000000001</v>
      </c>
      <c r="R1776" s="2" t="str">
        <f>HYPERLINK("https://www.google.com/maps?q=-19.6370610,-43.8710260","Abrir no Google Maps")</f>
        <v>Abrir no Google Maps</v>
      </c>
      <c r="S1776">
        <v>1</v>
      </c>
      <c r="T1776">
        <v>737.61884389282102</v>
      </c>
      <c r="U1776">
        <v>4</v>
      </c>
      <c r="V1776">
        <v>0.86360398860398857</v>
      </c>
      <c r="W1776">
        <v>1</v>
      </c>
      <c r="X1776">
        <v>0.86360398860398857</v>
      </c>
      <c r="Y1776">
        <v>10</v>
      </c>
      <c r="Z1776">
        <v>1331.4501394006061</v>
      </c>
      <c r="AA1776">
        <v>2</v>
      </c>
      <c r="AB1776">
        <v>3</v>
      </c>
      <c r="AC1776">
        <v>7</v>
      </c>
      <c r="AD1776">
        <v>25.18</v>
      </c>
      <c r="AE1776">
        <v>253</v>
      </c>
      <c r="AF1776">
        <v>13</v>
      </c>
      <c r="AG1776">
        <v>65</v>
      </c>
      <c r="AH1776">
        <v>32</v>
      </c>
      <c r="AI1776">
        <v>5.14</v>
      </c>
      <c r="AJ1776">
        <v>25.69</v>
      </c>
      <c r="AK1776">
        <v>12.65</v>
      </c>
      <c r="AL1776">
        <v>-19.637111899999951</v>
      </c>
      <c r="AM1776">
        <v>-43.870888931681193</v>
      </c>
      <c r="AN1776">
        <v>-19.637111899999951</v>
      </c>
      <c r="AO1776">
        <v>-43.870888931681193</v>
      </c>
      <c r="AP1776">
        <v>-19.637060999999999</v>
      </c>
      <c r="AQ1776">
        <v>-43.871026000000001</v>
      </c>
      <c r="AR1776">
        <v>15.44770924391884</v>
      </c>
      <c r="AS1776" t="s">
        <v>65</v>
      </c>
      <c r="AT1776">
        <v>1</v>
      </c>
      <c r="AU1776" t="s">
        <v>600</v>
      </c>
      <c r="AV1776" t="s">
        <v>601</v>
      </c>
      <c r="AW1776" t="s">
        <v>60</v>
      </c>
      <c r="AX1776" t="s">
        <v>68</v>
      </c>
      <c r="AY1776" t="s">
        <v>69</v>
      </c>
      <c r="AZ1776" t="b">
        <v>1</v>
      </c>
    </row>
    <row r="1777" spans="1:52" x14ac:dyDescent="0.3">
      <c r="A1777" t="s">
        <v>52</v>
      </c>
      <c r="B1777" t="s">
        <v>53</v>
      </c>
      <c r="C1777" t="s">
        <v>54</v>
      </c>
      <c r="D1777" t="s">
        <v>55</v>
      </c>
      <c r="E1777" t="s">
        <v>851</v>
      </c>
      <c r="F1777" t="s">
        <v>512</v>
      </c>
      <c r="G1777" t="s">
        <v>602</v>
      </c>
      <c r="H1777" t="s">
        <v>603</v>
      </c>
      <c r="I1777" t="s">
        <v>603</v>
      </c>
      <c r="J1777" t="s">
        <v>60</v>
      </c>
      <c r="K1777" t="s">
        <v>185</v>
      </c>
      <c r="L1777" t="s">
        <v>62</v>
      </c>
      <c r="M1777" t="s">
        <v>185</v>
      </c>
      <c r="N1777" t="s">
        <v>604</v>
      </c>
      <c r="O1777" t="s">
        <v>341</v>
      </c>
      <c r="P1777">
        <v>-19.624801999999999</v>
      </c>
      <c r="Q1777">
        <v>-43.891128999999999</v>
      </c>
      <c r="R1777" s="2" t="str">
        <f>HYPERLINK("https://www.google.com/maps?q=-19.6248020,-43.8911290","Abrir no Google Maps")</f>
        <v>Abrir no Google Maps</v>
      </c>
      <c r="S1777">
        <v>1</v>
      </c>
      <c r="T1777">
        <v>340.53720321500958</v>
      </c>
      <c r="U1777">
        <v>2</v>
      </c>
      <c r="V1777">
        <v>0.89322916666666663</v>
      </c>
      <c r="W1777">
        <v>0.85</v>
      </c>
      <c r="X1777">
        <v>0.75924479166666659</v>
      </c>
      <c r="Y1777">
        <v>18</v>
      </c>
      <c r="Z1777">
        <v>362.68114540183888</v>
      </c>
      <c r="AA1777">
        <v>2</v>
      </c>
      <c r="AB1777">
        <v>3</v>
      </c>
      <c r="AC1777">
        <v>7</v>
      </c>
      <c r="AD1777">
        <v>25.18</v>
      </c>
      <c r="AE1777">
        <v>253</v>
      </c>
      <c r="AF1777">
        <v>13</v>
      </c>
      <c r="AG1777">
        <v>65</v>
      </c>
      <c r="AH1777">
        <v>32</v>
      </c>
      <c r="AI1777">
        <v>5.14</v>
      </c>
      <c r="AJ1777">
        <v>25.69</v>
      </c>
      <c r="AK1777">
        <v>12.65</v>
      </c>
      <c r="AL1777">
        <v>-19.625033299999959</v>
      </c>
      <c r="AM1777">
        <v>-43.891084256403538</v>
      </c>
      <c r="AN1777">
        <v>-19.625033299999959</v>
      </c>
      <c r="AO1777">
        <v>-43.891084256403538</v>
      </c>
      <c r="AP1777">
        <v>-19.624801999999999</v>
      </c>
      <c r="AQ1777">
        <v>-43.891128999999999</v>
      </c>
      <c r="AR1777">
        <v>26.172240371022362</v>
      </c>
      <c r="AS1777" t="s">
        <v>65</v>
      </c>
      <c r="AT1777">
        <v>1</v>
      </c>
      <c r="AU1777" t="s">
        <v>605</v>
      </c>
      <c r="AV1777" t="s">
        <v>606</v>
      </c>
      <c r="AW1777" t="s">
        <v>60</v>
      </c>
      <c r="AX1777" t="s">
        <v>68</v>
      </c>
      <c r="AY1777" t="s">
        <v>69</v>
      </c>
      <c r="AZ1777" t="b">
        <v>1</v>
      </c>
    </row>
    <row r="1778" spans="1:52" x14ac:dyDescent="0.3">
      <c r="A1778" t="s">
        <v>52</v>
      </c>
      <c r="B1778" t="s">
        <v>53</v>
      </c>
      <c r="C1778" t="s">
        <v>54</v>
      </c>
      <c r="D1778" t="s">
        <v>55</v>
      </c>
      <c r="E1778" t="s">
        <v>851</v>
      </c>
      <c r="F1778" t="s">
        <v>512</v>
      </c>
      <c r="G1778" t="s">
        <v>123</v>
      </c>
      <c r="H1778" t="s">
        <v>607</v>
      </c>
      <c r="I1778" t="s">
        <v>607</v>
      </c>
      <c r="J1778" t="s">
        <v>60</v>
      </c>
      <c r="K1778" t="s">
        <v>333</v>
      </c>
      <c r="L1778" t="s">
        <v>62</v>
      </c>
      <c r="M1778" t="s">
        <v>333</v>
      </c>
      <c r="N1778" t="s">
        <v>125</v>
      </c>
      <c r="O1778" t="s">
        <v>608</v>
      </c>
      <c r="P1778">
        <v>-19.636002999999999</v>
      </c>
      <c r="Q1778">
        <v>-43.908445</v>
      </c>
      <c r="R1778" s="2" t="str">
        <f>HYPERLINK("https://www.google.com/maps?q=-19.6360030,-43.9084450","Abrir no Google Maps")</f>
        <v>Abrir no Google Maps</v>
      </c>
      <c r="S1778">
        <v>1</v>
      </c>
      <c r="T1778">
        <v>612.64850802557942</v>
      </c>
      <c r="U1778">
        <v>2</v>
      </c>
      <c r="V1778">
        <v>0.87909836065573776</v>
      </c>
      <c r="W1778">
        <v>0.85</v>
      </c>
      <c r="X1778">
        <v>0.74723360655737703</v>
      </c>
      <c r="Y1778">
        <v>10</v>
      </c>
      <c r="Z1778">
        <v>606.91793961222209</v>
      </c>
      <c r="AA1778">
        <v>2</v>
      </c>
      <c r="AB1778">
        <v>3</v>
      </c>
      <c r="AC1778">
        <v>7</v>
      </c>
      <c r="AD1778">
        <v>25.18</v>
      </c>
      <c r="AE1778">
        <v>253</v>
      </c>
      <c r="AF1778">
        <v>13</v>
      </c>
      <c r="AG1778">
        <v>65</v>
      </c>
      <c r="AH1778">
        <v>32</v>
      </c>
      <c r="AI1778">
        <v>5.14</v>
      </c>
      <c r="AJ1778">
        <v>25.69</v>
      </c>
      <c r="AK1778">
        <v>12.65</v>
      </c>
      <c r="AL1778">
        <v>-19.63618049999997</v>
      </c>
      <c r="AM1778">
        <v>-43.908471095478113</v>
      </c>
      <c r="AN1778">
        <v>-19.63618049999997</v>
      </c>
      <c r="AO1778">
        <v>-43.908471095478113</v>
      </c>
      <c r="AP1778">
        <v>-19.636002999999999</v>
      </c>
      <c r="AQ1778">
        <v>-43.908445</v>
      </c>
      <c r="AR1778">
        <v>19.947824476218141</v>
      </c>
      <c r="AS1778" t="s">
        <v>65</v>
      </c>
      <c r="AT1778">
        <v>1</v>
      </c>
      <c r="AU1778" t="s">
        <v>609</v>
      </c>
      <c r="AV1778" t="s">
        <v>610</v>
      </c>
      <c r="AW1778" t="s">
        <v>60</v>
      </c>
      <c r="AX1778" t="s">
        <v>68</v>
      </c>
      <c r="AY1778" t="s">
        <v>69</v>
      </c>
      <c r="AZ1778" t="b">
        <v>1</v>
      </c>
    </row>
    <row r="1779" spans="1:52" x14ac:dyDescent="0.3">
      <c r="A1779" t="s">
        <v>52</v>
      </c>
      <c r="B1779" t="s">
        <v>53</v>
      </c>
      <c r="C1779" t="s">
        <v>54</v>
      </c>
      <c r="D1779" t="s">
        <v>55</v>
      </c>
      <c r="E1779" t="s">
        <v>851</v>
      </c>
      <c r="F1779" t="s">
        <v>512</v>
      </c>
      <c r="G1779" t="s">
        <v>611</v>
      </c>
      <c r="H1779" t="s">
        <v>612</v>
      </c>
      <c r="I1779" t="s">
        <v>612</v>
      </c>
      <c r="J1779" t="s">
        <v>60</v>
      </c>
      <c r="K1779" t="s">
        <v>445</v>
      </c>
      <c r="L1779" t="s">
        <v>62</v>
      </c>
      <c r="M1779" t="s">
        <v>445</v>
      </c>
      <c r="N1779" t="s">
        <v>613</v>
      </c>
      <c r="O1779" t="s">
        <v>94</v>
      </c>
      <c r="P1779">
        <v>-19.639271999999998</v>
      </c>
      <c r="Q1779">
        <v>-43.875624000000002</v>
      </c>
      <c r="R1779" s="2" t="str">
        <f>HYPERLINK("https://www.google.com/maps?q=-19.6392720,-43.8756240","Abrir no Google Maps")</f>
        <v>Abrir no Google Maps</v>
      </c>
      <c r="S1779">
        <v>1</v>
      </c>
      <c r="T1779">
        <v>618.4798639458262</v>
      </c>
      <c r="U1779">
        <v>2</v>
      </c>
      <c r="V1779">
        <v>0.85546875</v>
      </c>
      <c r="W1779">
        <v>0.85</v>
      </c>
      <c r="X1779">
        <v>0.72714843750000002</v>
      </c>
      <c r="Y1779">
        <v>10</v>
      </c>
      <c r="Z1779">
        <v>724.62991660382431</v>
      </c>
      <c r="AA1779">
        <v>2</v>
      </c>
      <c r="AB1779">
        <v>3</v>
      </c>
      <c r="AC1779">
        <v>7</v>
      </c>
      <c r="AD1779">
        <v>25.18</v>
      </c>
      <c r="AE1779">
        <v>253</v>
      </c>
      <c r="AF1779">
        <v>13</v>
      </c>
      <c r="AG1779">
        <v>65</v>
      </c>
      <c r="AH1779">
        <v>32</v>
      </c>
      <c r="AI1779">
        <v>5.14</v>
      </c>
      <c r="AJ1779">
        <v>25.69</v>
      </c>
      <c r="AK1779">
        <v>12.65</v>
      </c>
      <c r="AL1779">
        <v>-19.639239899999978</v>
      </c>
      <c r="AM1779">
        <v>-43.875497463228079</v>
      </c>
      <c r="AN1779">
        <v>-19.639239899999978</v>
      </c>
      <c r="AO1779">
        <v>-43.875497463228079</v>
      </c>
      <c r="AP1779">
        <v>-19.639271999999998</v>
      </c>
      <c r="AQ1779">
        <v>-43.875624000000002</v>
      </c>
      <c r="AR1779">
        <v>13.73946951590594</v>
      </c>
      <c r="AS1779" t="s">
        <v>65</v>
      </c>
      <c r="AT1779">
        <v>1</v>
      </c>
      <c r="AU1779" t="s">
        <v>614</v>
      </c>
      <c r="AV1779" t="s">
        <v>615</v>
      </c>
      <c r="AW1779" t="s">
        <v>60</v>
      </c>
      <c r="AX1779" t="s">
        <v>68</v>
      </c>
      <c r="AY1779" t="s">
        <v>69</v>
      </c>
      <c r="AZ1779" t="b">
        <v>1</v>
      </c>
    </row>
    <row r="1780" spans="1:52" x14ac:dyDescent="0.3">
      <c r="A1780" t="s">
        <v>52</v>
      </c>
      <c r="B1780" t="s">
        <v>53</v>
      </c>
      <c r="C1780" t="s">
        <v>54</v>
      </c>
      <c r="D1780" t="s">
        <v>55</v>
      </c>
      <c r="E1780" t="s">
        <v>852</v>
      </c>
      <c r="F1780" t="s">
        <v>512</v>
      </c>
      <c r="G1780" t="s">
        <v>58</v>
      </c>
      <c r="H1780" t="s">
        <v>59</v>
      </c>
      <c r="I1780" t="s">
        <v>59</v>
      </c>
      <c r="J1780" t="s">
        <v>60</v>
      </c>
      <c r="K1780" t="s">
        <v>61</v>
      </c>
      <c r="L1780" t="s">
        <v>62</v>
      </c>
      <c r="M1780" t="s">
        <v>61</v>
      </c>
      <c r="N1780" t="s">
        <v>63</v>
      </c>
      <c r="O1780" t="s">
        <v>64</v>
      </c>
      <c r="P1780">
        <v>-19.631502000000001</v>
      </c>
      <c r="Q1780">
        <v>-43.910241999999997</v>
      </c>
      <c r="R1780" s="2" t="str">
        <f>HYPERLINK("https://www.google.com/maps?q=-19.6315020,-43.9102420","Abrir no Google Maps")</f>
        <v>Abrir no Google Maps</v>
      </c>
      <c r="S1780">
        <v>4</v>
      </c>
      <c r="T1780">
        <v>789.20099406682743</v>
      </c>
      <c r="U1780">
        <v>1</v>
      </c>
      <c r="V1780">
        <v>0</v>
      </c>
      <c r="W1780">
        <v>1</v>
      </c>
      <c r="X1780">
        <v>0</v>
      </c>
      <c r="Y1780">
        <v>10</v>
      </c>
      <c r="Z1780">
        <v>691.44930074509864</v>
      </c>
      <c r="AA1780">
        <v>2</v>
      </c>
      <c r="AB1780">
        <v>3</v>
      </c>
      <c r="AC1780">
        <v>7</v>
      </c>
      <c r="AD1780">
        <v>0</v>
      </c>
      <c r="AE1780">
        <v>253</v>
      </c>
      <c r="AF1780">
        <v>0</v>
      </c>
      <c r="AG1780">
        <v>0</v>
      </c>
      <c r="AH1780">
        <v>32</v>
      </c>
      <c r="AI1780">
        <v>0</v>
      </c>
      <c r="AJ1780">
        <v>0</v>
      </c>
      <c r="AK1780">
        <v>12.65</v>
      </c>
      <c r="AL1780">
        <v>-19.631719749999949</v>
      </c>
      <c r="AM1780">
        <v>-43.910102324517517</v>
      </c>
      <c r="AN1780">
        <v>-19.631719749999949</v>
      </c>
      <c r="AO1780">
        <v>-43.910102324517517</v>
      </c>
      <c r="AP1780">
        <v>-19.631502000000001</v>
      </c>
      <c r="AQ1780">
        <v>-43.910241999999997</v>
      </c>
      <c r="AR1780">
        <v>28.320416429206599</v>
      </c>
      <c r="AS1780" t="s">
        <v>65</v>
      </c>
      <c r="AT1780">
        <v>1</v>
      </c>
      <c r="AU1780" t="s">
        <v>66</v>
      </c>
      <c r="AV1780" t="s">
        <v>67</v>
      </c>
      <c r="AW1780" t="s">
        <v>60</v>
      </c>
      <c r="AX1780" t="s">
        <v>68</v>
      </c>
      <c r="AY1780" t="s">
        <v>69</v>
      </c>
      <c r="AZ1780" t="b">
        <v>1</v>
      </c>
    </row>
    <row r="1781" spans="1:52" x14ac:dyDescent="0.3">
      <c r="A1781" t="s">
        <v>52</v>
      </c>
      <c r="B1781" t="s">
        <v>53</v>
      </c>
      <c r="C1781" t="s">
        <v>54</v>
      </c>
      <c r="D1781" t="s">
        <v>55</v>
      </c>
      <c r="E1781" t="s">
        <v>852</v>
      </c>
      <c r="F1781" t="s">
        <v>512</v>
      </c>
      <c r="G1781" t="s">
        <v>513</v>
      </c>
      <c r="H1781" t="s">
        <v>514</v>
      </c>
      <c r="I1781" t="s">
        <v>514</v>
      </c>
      <c r="J1781" t="s">
        <v>60</v>
      </c>
      <c r="K1781" t="s">
        <v>185</v>
      </c>
      <c r="L1781" t="s">
        <v>62</v>
      </c>
      <c r="M1781" t="s">
        <v>185</v>
      </c>
      <c r="N1781" t="s">
        <v>515</v>
      </c>
      <c r="O1781" t="s">
        <v>516</v>
      </c>
      <c r="P1781">
        <v>-19.63184</v>
      </c>
      <c r="Q1781">
        <v>-43.899625999999998</v>
      </c>
      <c r="R1781" s="2" t="str">
        <f>HYPERLINK("https://www.google.com/maps?q=-19.6318400,-43.8996260","Abrir no Google Maps")</f>
        <v>Abrir no Google Maps</v>
      </c>
      <c r="S1781">
        <v>4</v>
      </c>
      <c r="T1781">
        <v>317.05369638212568</v>
      </c>
      <c r="U1781">
        <v>1</v>
      </c>
      <c r="V1781">
        <v>0</v>
      </c>
      <c r="W1781">
        <v>0.85</v>
      </c>
      <c r="X1781">
        <v>0</v>
      </c>
      <c r="Y1781">
        <v>10</v>
      </c>
      <c r="Z1781">
        <v>467.39112963581732</v>
      </c>
      <c r="AA1781">
        <v>2</v>
      </c>
      <c r="AB1781">
        <v>3</v>
      </c>
      <c r="AC1781">
        <v>7</v>
      </c>
      <c r="AD1781">
        <v>0</v>
      </c>
      <c r="AE1781">
        <v>253</v>
      </c>
      <c r="AF1781">
        <v>0</v>
      </c>
      <c r="AG1781">
        <v>0</v>
      </c>
      <c r="AH1781">
        <v>32</v>
      </c>
      <c r="AI1781">
        <v>0</v>
      </c>
      <c r="AJ1781">
        <v>0</v>
      </c>
      <c r="AK1781">
        <v>12.65</v>
      </c>
      <c r="AL1781">
        <v>-19.631819699999941</v>
      </c>
      <c r="AM1781">
        <v>-43.89977767057065</v>
      </c>
      <c r="AN1781">
        <v>-19.631819699999941</v>
      </c>
      <c r="AO1781">
        <v>-43.89977767057065</v>
      </c>
      <c r="AP1781">
        <v>-19.63184</v>
      </c>
      <c r="AQ1781">
        <v>-43.899625999999998</v>
      </c>
      <c r="AR1781">
        <v>16.062279375806241</v>
      </c>
      <c r="AS1781" t="s">
        <v>65</v>
      </c>
      <c r="AT1781">
        <v>1</v>
      </c>
      <c r="AU1781" t="s">
        <v>517</v>
      </c>
      <c r="AV1781" t="s">
        <v>518</v>
      </c>
      <c r="AW1781" t="s">
        <v>60</v>
      </c>
      <c r="AX1781" t="s">
        <v>68</v>
      </c>
      <c r="AY1781" t="s">
        <v>69</v>
      </c>
      <c r="AZ1781" t="b">
        <v>1</v>
      </c>
    </row>
    <row r="1782" spans="1:52" x14ac:dyDescent="0.3">
      <c r="A1782" t="s">
        <v>52</v>
      </c>
      <c r="B1782" t="s">
        <v>53</v>
      </c>
      <c r="C1782" t="s">
        <v>54</v>
      </c>
      <c r="D1782" t="s">
        <v>55</v>
      </c>
      <c r="E1782" t="s">
        <v>852</v>
      </c>
      <c r="F1782" t="s">
        <v>512</v>
      </c>
      <c r="G1782" t="s">
        <v>70</v>
      </c>
      <c r="H1782" t="s">
        <v>71</v>
      </c>
      <c r="I1782" t="s">
        <v>71</v>
      </c>
      <c r="J1782" t="s">
        <v>60</v>
      </c>
      <c r="K1782" t="s">
        <v>72</v>
      </c>
      <c r="L1782" t="s">
        <v>62</v>
      </c>
      <c r="M1782" t="s">
        <v>72</v>
      </c>
      <c r="N1782" t="s">
        <v>73</v>
      </c>
      <c r="O1782" t="s">
        <v>74</v>
      </c>
      <c r="P1782">
        <v>-19.632581999999999</v>
      </c>
      <c r="Q1782">
        <v>-43.902416000000002</v>
      </c>
      <c r="R1782" s="2" t="str">
        <f>HYPERLINK("https://www.google.com/maps?q=-19.6325820,-43.9024160","Abrir no Google Maps")</f>
        <v>Abrir no Google Maps</v>
      </c>
      <c r="S1782">
        <v>4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10</v>
      </c>
      <c r="Z1782">
        <v>146.6968158874696</v>
      </c>
      <c r="AA1782">
        <v>2</v>
      </c>
      <c r="AB1782">
        <v>3</v>
      </c>
      <c r="AC1782">
        <v>7</v>
      </c>
      <c r="AD1782">
        <v>0</v>
      </c>
      <c r="AE1782">
        <v>253</v>
      </c>
      <c r="AF1782">
        <v>0</v>
      </c>
      <c r="AG1782">
        <v>0</v>
      </c>
      <c r="AH1782">
        <v>32</v>
      </c>
      <c r="AI1782">
        <v>0</v>
      </c>
      <c r="AJ1782">
        <v>0</v>
      </c>
      <c r="AK1782">
        <v>12.65</v>
      </c>
      <c r="AL1782">
        <v>-19.63271449999996</v>
      </c>
      <c r="AM1782">
        <v>-43.902649897389402</v>
      </c>
      <c r="AN1782">
        <v>-19.63271449999996</v>
      </c>
      <c r="AO1782">
        <v>-43.902649897389402</v>
      </c>
      <c r="AP1782">
        <v>-19.632581999999999</v>
      </c>
      <c r="AQ1782">
        <v>-43.902416000000002</v>
      </c>
      <c r="AR1782">
        <v>28.617753432996459</v>
      </c>
      <c r="AS1782" t="s">
        <v>65</v>
      </c>
      <c r="AT1782">
        <v>1</v>
      </c>
      <c r="AU1782" t="s">
        <v>75</v>
      </c>
      <c r="AV1782" t="s">
        <v>76</v>
      </c>
      <c r="AW1782" t="s">
        <v>60</v>
      </c>
      <c r="AX1782" t="s">
        <v>68</v>
      </c>
      <c r="AY1782" t="s">
        <v>69</v>
      </c>
      <c r="AZ1782" t="b">
        <v>1</v>
      </c>
    </row>
    <row r="1783" spans="1:52" x14ac:dyDescent="0.3">
      <c r="A1783" t="s">
        <v>52</v>
      </c>
      <c r="B1783" t="s">
        <v>53</v>
      </c>
      <c r="C1783" t="s">
        <v>54</v>
      </c>
      <c r="D1783" t="s">
        <v>55</v>
      </c>
      <c r="E1783" t="s">
        <v>852</v>
      </c>
      <c r="F1783" t="s">
        <v>512</v>
      </c>
      <c r="G1783" t="s">
        <v>77</v>
      </c>
      <c r="H1783" t="s">
        <v>78</v>
      </c>
      <c r="I1783" t="s">
        <v>78</v>
      </c>
      <c r="J1783" t="s">
        <v>60</v>
      </c>
      <c r="K1783" t="s">
        <v>79</v>
      </c>
      <c r="L1783" t="s">
        <v>62</v>
      </c>
      <c r="M1783" t="s">
        <v>79</v>
      </c>
      <c r="N1783" t="s">
        <v>80</v>
      </c>
      <c r="O1783" t="s">
        <v>81</v>
      </c>
      <c r="P1783">
        <v>-19.632463999999999</v>
      </c>
      <c r="Q1783">
        <v>-43.904927999999998</v>
      </c>
      <c r="R1783" s="2" t="str">
        <f>HYPERLINK("https://www.google.com/maps?q=-19.6324640,-43.9049280","Abrir no Google Maps")</f>
        <v>Abrir no Google Maps</v>
      </c>
      <c r="S1783">
        <v>4</v>
      </c>
      <c r="T1783">
        <v>244.1735197453369</v>
      </c>
      <c r="U1783">
        <v>1</v>
      </c>
      <c r="V1783">
        <v>0</v>
      </c>
      <c r="W1783">
        <v>1</v>
      </c>
      <c r="X1783">
        <v>0</v>
      </c>
      <c r="Y1783">
        <v>10</v>
      </c>
      <c r="Z1783">
        <v>287.26068152447448</v>
      </c>
      <c r="AA1783">
        <v>2</v>
      </c>
      <c r="AB1783">
        <v>3</v>
      </c>
      <c r="AC1783">
        <v>7</v>
      </c>
      <c r="AD1783">
        <v>0</v>
      </c>
      <c r="AE1783">
        <v>253</v>
      </c>
      <c r="AF1783">
        <v>0</v>
      </c>
      <c r="AG1783">
        <v>0</v>
      </c>
      <c r="AH1783">
        <v>32</v>
      </c>
      <c r="AI1783">
        <v>0</v>
      </c>
      <c r="AJ1783">
        <v>0</v>
      </c>
      <c r="AK1783">
        <v>12.65</v>
      </c>
      <c r="AL1783">
        <v>-19.63247099999996</v>
      </c>
      <c r="AM1783">
        <v>-43.904964174285787</v>
      </c>
      <c r="AN1783">
        <v>-19.63247099999996</v>
      </c>
      <c r="AO1783">
        <v>-43.904964174285787</v>
      </c>
      <c r="AP1783">
        <v>-19.632463999999999</v>
      </c>
      <c r="AQ1783">
        <v>-43.904927999999998</v>
      </c>
      <c r="AR1783">
        <v>3.8720457500200469</v>
      </c>
      <c r="AS1783" t="s">
        <v>65</v>
      </c>
      <c r="AT1783">
        <v>1</v>
      </c>
      <c r="AU1783" t="s">
        <v>82</v>
      </c>
      <c r="AV1783" t="s">
        <v>83</v>
      </c>
      <c r="AW1783" t="s">
        <v>60</v>
      </c>
      <c r="AX1783" t="s">
        <v>68</v>
      </c>
      <c r="AY1783" t="s">
        <v>69</v>
      </c>
      <c r="AZ1783" t="b">
        <v>1</v>
      </c>
    </row>
    <row r="1784" spans="1:52" x14ac:dyDescent="0.3">
      <c r="A1784" t="s">
        <v>52</v>
      </c>
      <c r="B1784" t="s">
        <v>53</v>
      </c>
      <c r="C1784" t="s">
        <v>54</v>
      </c>
      <c r="D1784" t="s">
        <v>55</v>
      </c>
      <c r="E1784" t="s">
        <v>852</v>
      </c>
      <c r="F1784" t="s">
        <v>512</v>
      </c>
      <c r="G1784" t="s">
        <v>519</v>
      </c>
      <c r="H1784" t="s">
        <v>520</v>
      </c>
      <c r="I1784" t="s">
        <v>520</v>
      </c>
      <c r="J1784" t="s">
        <v>60</v>
      </c>
      <c r="K1784" t="s">
        <v>72</v>
      </c>
      <c r="L1784" t="s">
        <v>62</v>
      </c>
      <c r="M1784" t="s">
        <v>72</v>
      </c>
      <c r="N1784" t="s">
        <v>521</v>
      </c>
      <c r="O1784" t="s">
        <v>522</v>
      </c>
      <c r="P1784">
        <v>-19.634713000000001</v>
      </c>
      <c r="Q1784">
        <v>-43.908909999999999</v>
      </c>
      <c r="R1784" s="2" t="str">
        <f>HYPERLINK("https://www.google.com/maps?q=-19.6347130,-43.9089100","Abrir no Google Maps")</f>
        <v>Abrir no Google Maps</v>
      </c>
      <c r="S1784">
        <v>4</v>
      </c>
      <c r="T1784">
        <v>700.74700083720154</v>
      </c>
      <c r="U1784">
        <v>1</v>
      </c>
      <c r="V1784">
        <v>0</v>
      </c>
      <c r="W1784">
        <v>0.85</v>
      </c>
      <c r="X1784">
        <v>0</v>
      </c>
      <c r="Y1784">
        <v>10</v>
      </c>
      <c r="Z1784">
        <v>557.86159429038207</v>
      </c>
      <c r="AA1784">
        <v>2</v>
      </c>
      <c r="AB1784">
        <v>3</v>
      </c>
      <c r="AC1784">
        <v>7</v>
      </c>
      <c r="AD1784">
        <v>0</v>
      </c>
      <c r="AE1784">
        <v>253</v>
      </c>
      <c r="AF1784">
        <v>0</v>
      </c>
      <c r="AG1784">
        <v>0</v>
      </c>
      <c r="AH1784">
        <v>32</v>
      </c>
      <c r="AI1784">
        <v>0</v>
      </c>
      <c r="AJ1784">
        <v>0</v>
      </c>
      <c r="AK1784">
        <v>12.65</v>
      </c>
      <c r="AL1784">
        <v>-19.634626949999959</v>
      </c>
      <c r="AM1784">
        <v>-43.909020333181857</v>
      </c>
      <c r="AN1784">
        <v>-19.634626949999959</v>
      </c>
      <c r="AO1784">
        <v>-43.909020333181857</v>
      </c>
      <c r="AP1784">
        <v>-19.634713000000001</v>
      </c>
      <c r="AQ1784">
        <v>-43.908909999999999</v>
      </c>
      <c r="AR1784">
        <v>15.01933861967664</v>
      </c>
      <c r="AS1784" t="s">
        <v>65</v>
      </c>
      <c r="AT1784">
        <v>1</v>
      </c>
      <c r="AU1784" t="s">
        <v>523</v>
      </c>
      <c r="AV1784" t="s">
        <v>524</v>
      </c>
      <c r="AW1784" t="s">
        <v>60</v>
      </c>
      <c r="AX1784" t="s">
        <v>68</v>
      </c>
      <c r="AY1784" t="s">
        <v>69</v>
      </c>
      <c r="AZ1784" t="b">
        <v>1</v>
      </c>
    </row>
    <row r="1785" spans="1:52" x14ac:dyDescent="0.3">
      <c r="A1785" t="s">
        <v>52</v>
      </c>
      <c r="B1785" t="s">
        <v>53</v>
      </c>
      <c r="C1785" t="s">
        <v>54</v>
      </c>
      <c r="D1785" t="s">
        <v>55</v>
      </c>
      <c r="E1785" t="s">
        <v>852</v>
      </c>
      <c r="F1785" t="s">
        <v>512</v>
      </c>
      <c r="G1785" t="s">
        <v>84</v>
      </c>
      <c r="H1785" t="s">
        <v>85</v>
      </c>
      <c r="I1785" t="s">
        <v>85</v>
      </c>
      <c r="J1785" t="s">
        <v>60</v>
      </c>
      <c r="K1785" t="s">
        <v>86</v>
      </c>
      <c r="L1785" t="s">
        <v>62</v>
      </c>
      <c r="M1785" t="s">
        <v>86</v>
      </c>
      <c r="N1785" t="s">
        <v>87</v>
      </c>
      <c r="O1785" t="s">
        <v>88</v>
      </c>
      <c r="P1785">
        <v>-19.629436999999999</v>
      </c>
      <c r="Q1785">
        <v>-43.910398999999998</v>
      </c>
      <c r="R1785" s="2" t="str">
        <f>HYPERLINK("https://www.google.com/maps?q=-19.6294370,-43.9103990","Abrir no Google Maps")</f>
        <v>Abrir no Google Maps</v>
      </c>
      <c r="S1785">
        <v>4</v>
      </c>
      <c r="T1785">
        <v>888.82060643108082</v>
      </c>
      <c r="U1785">
        <v>1</v>
      </c>
      <c r="V1785">
        <v>0</v>
      </c>
      <c r="W1785">
        <v>1</v>
      </c>
      <c r="X1785">
        <v>0</v>
      </c>
      <c r="Y1785">
        <v>10</v>
      </c>
      <c r="Z1785">
        <v>867.42797341651737</v>
      </c>
      <c r="AA1785">
        <v>2</v>
      </c>
      <c r="AB1785">
        <v>3</v>
      </c>
      <c r="AC1785">
        <v>7</v>
      </c>
      <c r="AD1785">
        <v>0</v>
      </c>
      <c r="AE1785">
        <v>253</v>
      </c>
      <c r="AF1785">
        <v>0</v>
      </c>
      <c r="AG1785">
        <v>0</v>
      </c>
      <c r="AH1785">
        <v>32</v>
      </c>
      <c r="AI1785">
        <v>0</v>
      </c>
      <c r="AJ1785">
        <v>0</v>
      </c>
      <c r="AK1785">
        <v>12.65</v>
      </c>
      <c r="AL1785">
        <v>-19.62934694999996</v>
      </c>
      <c r="AM1785">
        <v>-43.910344699357317</v>
      </c>
      <c r="AN1785">
        <v>-19.62934694999996</v>
      </c>
      <c r="AO1785">
        <v>-43.910344699357331</v>
      </c>
      <c r="AP1785">
        <v>-19.629436999999999</v>
      </c>
      <c r="AQ1785">
        <v>-43.910398999999998</v>
      </c>
      <c r="AR1785">
        <v>11.52837377953678</v>
      </c>
      <c r="AS1785" t="s">
        <v>65</v>
      </c>
      <c r="AT1785">
        <v>1</v>
      </c>
      <c r="AU1785" t="s">
        <v>89</v>
      </c>
      <c r="AV1785" t="s">
        <v>90</v>
      </c>
      <c r="AW1785" t="s">
        <v>60</v>
      </c>
      <c r="AX1785" t="s">
        <v>68</v>
      </c>
      <c r="AY1785" t="s">
        <v>69</v>
      </c>
      <c r="AZ1785" t="b">
        <v>1</v>
      </c>
    </row>
    <row r="1786" spans="1:52" x14ac:dyDescent="0.3">
      <c r="A1786" t="s">
        <v>52</v>
      </c>
      <c r="B1786" t="s">
        <v>53</v>
      </c>
      <c r="C1786" t="s">
        <v>54</v>
      </c>
      <c r="D1786" t="s">
        <v>55</v>
      </c>
      <c r="E1786" t="s">
        <v>852</v>
      </c>
      <c r="F1786" t="s">
        <v>512</v>
      </c>
      <c r="G1786" t="s">
        <v>91</v>
      </c>
      <c r="H1786" t="s">
        <v>92</v>
      </c>
      <c r="I1786" t="s">
        <v>92</v>
      </c>
      <c r="J1786" t="s">
        <v>60</v>
      </c>
      <c r="K1786" t="s">
        <v>86</v>
      </c>
      <c r="L1786" t="s">
        <v>62</v>
      </c>
      <c r="M1786" t="s">
        <v>86</v>
      </c>
      <c r="N1786" t="s">
        <v>93</v>
      </c>
      <c r="O1786" t="s">
        <v>94</v>
      </c>
      <c r="P1786">
        <v>-19.630676999999999</v>
      </c>
      <c r="Q1786">
        <v>-43.907255999999997</v>
      </c>
      <c r="R1786" s="2" t="str">
        <f>HYPERLINK("https://www.google.com/maps?q=-19.6306770,-43.9072560","Abrir no Google Maps")</f>
        <v>Abrir no Google Maps</v>
      </c>
      <c r="S1786">
        <v>4</v>
      </c>
      <c r="T1786">
        <v>545.39374622597825</v>
      </c>
      <c r="U1786">
        <v>1</v>
      </c>
      <c r="V1786">
        <v>0</v>
      </c>
      <c r="W1786">
        <v>1</v>
      </c>
      <c r="X1786">
        <v>0</v>
      </c>
      <c r="Y1786">
        <v>10</v>
      </c>
      <c r="Z1786">
        <v>559.94033759457182</v>
      </c>
      <c r="AA1786">
        <v>2</v>
      </c>
      <c r="AB1786">
        <v>3</v>
      </c>
      <c r="AC1786">
        <v>7</v>
      </c>
      <c r="AD1786">
        <v>0</v>
      </c>
      <c r="AE1786">
        <v>253</v>
      </c>
      <c r="AF1786">
        <v>0</v>
      </c>
      <c r="AG1786">
        <v>0</v>
      </c>
      <c r="AH1786">
        <v>32</v>
      </c>
      <c r="AI1786">
        <v>0</v>
      </c>
      <c r="AJ1786">
        <v>0</v>
      </c>
      <c r="AK1786">
        <v>12.65</v>
      </c>
      <c r="AL1786">
        <v>-19.630448649999941</v>
      </c>
      <c r="AM1786">
        <v>-43.907268502495313</v>
      </c>
      <c r="AN1786">
        <v>-19.630448649999941</v>
      </c>
      <c r="AO1786">
        <v>-43.907268502495313</v>
      </c>
      <c r="AP1786">
        <v>-19.630676999999999</v>
      </c>
      <c r="AQ1786">
        <v>-43.907255999999997</v>
      </c>
      <c r="AR1786">
        <v>25.453700276562468</v>
      </c>
      <c r="AS1786" t="s">
        <v>65</v>
      </c>
      <c r="AT1786">
        <v>1</v>
      </c>
      <c r="AU1786" t="s">
        <v>95</v>
      </c>
      <c r="AV1786" t="s">
        <v>96</v>
      </c>
      <c r="AW1786" t="s">
        <v>60</v>
      </c>
      <c r="AX1786" t="s">
        <v>68</v>
      </c>
      <c r="AY1786" t="s">
        <v>69</v>
      </c>
      <c r="AZ1786" t="b">
        <v>1</v>
      </c>
    </row>
    <row r="1787" spans="1:52" x14ac:dyDescent="0.3">
      <c r="A1787" t="s">
        <v>52</v>
      </c>
      <c r="B1787" t="s">
        <v>53</v>
      </c>
      <c r="C1787" t="s">
        <v>54</v>
      </c>
      <c r="D1787" t="s">
        <v>55</v>
      </c>
      <c r="E1787" t="s">
        <v>852</v>
      </c>
      <c r="F1787" t="s">
        <v>512</v>
      </c>
      <c r="G1787" t="s">
        <v>97</v>
      </c>
      <c r="H1787" t="s">
        <v>98</v>
      </c>
      <c r="I1787" t="s">
        <v>98</v>
      </c>
      <c r="J1787" t="s">
        <v>60</v>
      </c>
      <c r="K1787" t="s">
        <v>99</v>
      </c>
      <c r="L1787" t="s">
        <v>62</v>
      </c>
      <c r="M1787" t="s">
        <v>99</v>
      </c>
      <c r="N1787" t="s">
        <v>100</v>
      </c>
      <c r="O1787" t="s">
        <v>101</v>
      </c>
      <c r="P1787">
        <v>-19.629822000000001</v>
      </c>
      <c r="Q1787">
        <v>-43.905341</v>
      </c>
      <c r="R1787" s="2" t="str">
        <f>HYPERLINK("https://www.google.com/maps?q=-19.6298220,-43.9053410","Abrir no Google Maps")</f>
        <v>Abrir no Google Maps</v>
      </c>
      <c r="S1787">
        <v>4</v>
      </c>
      <c r="T1787">
        <v>441.30597341744129</v>
      </c>
      <c r="U1787">
        <v>1</v>
      </c>
      <c r="V1787">
        <v>0</v>
      </c>
      <c r="W1787">
        <v>1</v>
      </c>
      <c r="X1787">
        <v>0</v>
      </c>
      <c r="Y1787">
        <v>10</v>
      </c>
      <c r="Z1787">
        <v>513.56493751010987</v>
      </c>
      <c r="AA1787">
        <v>2</v>
      </c>
      <c r="AB1787">
        <v>3</v>
      </c>
      <c r="AC1787">
        <v>7</v>
      </c>
      <c r="AD1787">
        <v>0</v>
      </c>
      <c r="AE1787">
        <v>253</v>
      </c>
      <c r="AF1787">
        <v>0</v>
      </c>
      <c r="AG1787">
        <v>0</v>
      </c>
      <c r="AH1787">
        <v>32</v>
      </c>
      <c r="AI1787">
        <v>0</v>
      </c>
      <c r="AJ1787">
        <v>0</v>
      </c>
      <c r="AK1787">
        <v>12.65</v>
      </c>
      <c r="AL1787">
        <v>-19.629671599999941</v>
      </c>
      <c r="AM1787">
        <v>-43.905369597920988</v>
      </c>
      <c r="AN1787">
        <v>-19.629671599999931</v>
      </c>
      <c r="AO1787">
        <v>-43.905369597920988</v>
      </c>
      <c r="AP1787">
        <v>-19.629822000000001</v>
      </c>
      <c r="AQ1787">
        <v>-43.905341</v>
      </c>
      <c r="AR1787">
        <v>17.008917699186132</v>
      </c>
      <c r="AS1787" t="s">
        <v>65</v>
      </c>
      <c r="AT1787">
        <v>1</v>
      </c>
      <c r="AU1787" t="s">
        <v>102</v>
      </c>
      <c r="AV1787" t="s">
        <v>103</v>
      </c>
      <c r="AW1787" t="s">
        <v>60</v>
      </c>
      <c r="AX1787" t="s">
        <v>68</v>
      </c>
      <c r="AY1787" t="s">
        <v>69</v>
      </c>
      <c r="AZ1787" t="b">
        <v>1</v>
      </c>
    </row>
    <row r="1788" spans="1:52" x14ac:dyDescent="0.3">
      <c r="A1788" t="s">
        <v>52</v>
      </c>
      <c r="B1788" t="s">
        <v>53</v>
      </c>
      <c r="C1788" t="s">
        <v>54</v>
      </c>
      <c r="D1788" t="s">
        <v>55</v>
      </c>
      <c r="E1788" t="s">
        <v>852</v>
      </c>
      <c r="F1788" t="s">
        <v>512</v>
      </c>
      <c r="G1788" t="s">
        <v>525</v>
      </c>
      <c r="H1788" t="s">
        <v>526</v>
      </c>
      <c r="I1788" t="s">
        <v>526</v>
      </c>
      <c r="J1788" t="s">
        <v>60</v>
      </c>
      <c r="K1788" t="s">
        <v>286</v>
      </c>
      <c r="L1788" t="s">
        <v>62</v>
      </c>
      <c r="M1788" t="s">
        <v>286</v>
      </c>
      <c r="N1788" t="s">
        <v>527</v>
      </c>
      <c r="O1788" t="s">
        <v>113</v>
      </c>
      <c r="P1788">
        <v>-19.629049999999999</v>
      </c>
      <c r="Q1788">
        <v>-43.887543000000001</v>
      </c>
      <c r="R1788" s="2" t="str">
        <f>HYPERLINK("https://www.google.com/maps?q=-19.6290500,-43.8875430","Abrir no Google Maps")</f>
        <v>Abrir no Google Maps</v>
      </c>
      <c r="S1788">
        <v>3</v>
      </c>
      <c r="T1788">
        <v>420.9244758141914</v>
      </c>
      <c r="U1788">
        <v>1</v>
      </c>
      <c r="V1788">
        <v>0</v>
      </c>
      <c r="W1788">
        <v>0.85</v>
      </c>
      <c r="X1788">
        <v>0</v>
      </c>
      <c r="Y1788">
        <v>18</v>
      </c>
      <c r="Z1788">
        <v>298.16529694300579</v>
      </c>
      <c r="AA1788">
        <v>2</v>
      </c>
      <c r="AB1788">
        <v>3</v>
      </c>
      <c r="AC1788">
        <v>7</v>
      </c>
      <c r="AD1788">
        <v>0</v>
      </c>
      <c r="AE1788">
        <v>253</v>
      </c>
      <c r="AF1788">
        <v>0</v>
      </c>
      <c r="AG1788">
        <v>0</v>
      </c>
      <c r="AH1788">
        <v>32</v>
      </c>
      <c r="AI1788">
        <v>0</v>
      </c>
      <c r="AJ1788">
        <v>0</v>
      </c>
      <c r="AK1788">
        <v>12.65</v>
      </c>
      <c r="AL1788">
        <v>-19.62914789999996</v>
      </c>
      <c r="AM1788">
        <v>-43.887659532387332</v>
      </c>
      <c r="AN1788">
        <v>-19.62914789999996</v>
      </c>
      <c r="AO1788">
        <v>-43.887659532387332</v>
      </c>
      <c r="AP1788">
        <v>-19.629049999999999</v>
      </c>
      <c r="AQ1788">
        <v>-43.887543000000001</v>
      </c>
      <c r="AR1788">
        <v>16.372645779361299</v>
      </c>
      <c r="AS1788" t="s">
        <v>65</v>
      </c>
      <c r="AT1788">
        <v>1</v>
      </c>
      <c r="AU1788" t="s">
        <v>528</v>
      </c>
      <c r="AV1788" t="s">
        <v>529</v>
      </c>
      <c r="AW1788" t="s">
        <v>60</v>
      </c>
      <c r="AX1788" t="s">
        <v>68</v>
      </c>
      <c r="AY1788" t="s">
        <v>69</v>
      </c>
      <c r="AZ1788" t="b">
        <v>1</v>
      </c>
    </row>
    <row r="1789" spans="1:52" x14ac:dyDescent="0.3">
      <c r="A1789" t="s">
        <v>52</v>
      </c>
      <c r="B1789" t="s">
        <v>53</v>
      </c>
      <c r="C1789" t="s">
        <v>54</v>
      </c>
      <c r="D1789" t="s">
        <v>55</v>
      </c>
      <c r="E1789" t="s">
        <v>852</v>
      </c>
      <c r="F1789" t="s">
        <v>512</v>
      </c>
      <c r="G1789" t="s">
        <v>388</v>
      </c>
      <c r="H1789" t="s">
        <v>389</v>
      </c>
      <c r="I1789" t="s">
        <v>389</v>
      </c>
      <c r="J1789" t="s">
        <v>60</v>
      </c>
      <c r="K1789" t="s">
        <v>185</v>
      </c>
      <c r="L1789" t="s">
        <v>62</v>
      </c>
      <c r="M1789" t="s">
        <v>185</v>
      </c>
      <c r="N1789" t="s">
        <v>390</v>
      </c>
      <c r="O1789" t="s">
        <v>391</v>
      </c>
      <c r="P1789">
        <v>-19.628802</v>
      </c>
      <c r="Q1789">
        <v>-43.891649000000001</v>
      </c>
      <c r="R1789" s="2" t="str">
        <f>HYPERLINK("https://www.google.com/maps?q=-19.6288020,-43.8916490","Abrir no Google Maps")</f>
        <v>Abrir no Google Maps</v>
      </c>
      <c r="S1789">
        <v>3</v>
      </c>
      <c r="T1789">
        <v>0</v>
      </c>
      <c r="U1789">
        <v>1</v>
      </c>
      <c r="V1789">
        <v>0</v>
      </c>
      <c r="W1789">
        <v>0.85</v>
      </c>
      <c r="X1789">
        <v>0</v>
      </c>
      <c r="Y1789">
        <v>18</v>
      </c>
      <c r="Z1789">
        <v>117.5064585283839</v>
      </c>
      <c r="AA1789">
        <v>2</v>
      </c>
      <c r="AB1789">
        <v>3</v>
      </c>
      <c r="AC1789">
        <v>7</v>
      </c>
      <c r="AD1789">
        <v>0</v>
      </c>
      <c r="AE1789">
        <v>253</v>
      </c>
      <c r="AF1789">
        <v>0</v>
      </c>
      <c r="AG1789">
        <v>0</v>
      </c>
      <c r="AH1789">
        <v>32</v>
      </c>
      <c r="AI1789">
        <v>0</v>
      </c>
      <c r="AJ1789">
        <v>0</v>
      </c>
      <c r="AK1789">
        <v>12.65</v>
      </c>
      <c r="AL1789">
        <v>-19.628865499999961</v>
      </c>
      <c r="AM1789">
        <v>-43.891662391334172</v>
      </c>
      <c r="AN1789">
        <v>-19.628865499999961</v>
      </c>
      <c r="AO1789">
        <v>-43.891662391334172</v>
      </c>
      <c r="AP1789">
        <v>-19.628802</v>
      </c>
      <c r="AQ1789">
        <v>-43.891649000000001</v>
      </c>
      <c r="AR1789">
        <v>7.2069201904448459</v>
      </c>
      <c r="AS1789" t="s">
        <v>65</v>
      </c>
      <c r="AT1789">
        <v>1</v>
      </c>
      <c r="AU1789" t="s">
        <v>392</v>
      </c>
      <c r="AV1789" t="s">
        <v>393</v>
      </c>
      <c r="AW1789" t="s">
        <v>60</v>
      </c>
      <c r="AX1789" t="s">
        <v>68</v>
      </c>
      <c r="AY1789" t="s">
        <v>69</v>
      </c>
      <c r="AZ1789" t="b">
        <v>1</v>
      </c>
    </row>
    <row r="1790" spans="1:52" x14ac:dyDescent="0.3">
      <c r="A1790" t="s">
        <v>52</v>
      </c>
      <c r="B1790" t="s">
        <v>53</v>
      </c>
      <c r="C1790" t="s">
        <v>54</v>
      </c>
      <c r="D1790" t="s">
        <v>55</v>
      </c>
      <c r="E1790" t="s">
        <v>852</v>
      </c>
      <c r="F1790" t="s">
        <v>512</v>
      </c>
      <c r="G1790" t="s">
        <v>530</v>
      </c>
      <c r="H1790" t="s">
        <v>531</v>
      </c>
      <c r="I1790" t="s">
        <v>531</v>
      </c>
      <c r="J1790" t="s">
        <v>60</v>
      </c>
      <c r="K1790" t="s">
        <v>185</v>
      </c>
      <c r="L1790" t="s">
        <v>62</v>
      </c>
      <c r="M1790" t="s">
        <v>185</v>
      </c>
      <c r="N1790" t="s">
        <v>532</v>
      </c>
      <c r="O1790" t="s">
        <v>533</v>
      </c>
      <c r="P1790">
        <v>-19.625264000000001</v>
      </c>
      <c r="Q1790">
        <v>-43.889451000000001</v>
      </c>
      <c r="R1790" s="2" t="str">
        <f>HYPERLINK("https://www.google.com/maps?q=-19.6252640,-43.8894510","Abrir no Google Maps")</f>
        <v>Abrir no Google Maps</v>
      </c>
      <c r="S1790">
        <v>3</v>
      </c>
      <c r="T1790">
        <v>466.11340370665903</v>
      </c>
      <c r="U1790">
        <v>1</v>
      </c>
      <c r="V1790">
        <v>0</v>
      </c>
      <c r="W1790">
        <v>0.85</v>
      </c>
      <c r="X1790">
        <v>0</v>
      </c>
      <c r="Y1790">
        <v>18</v>
      </c>
      <c r="Z1790">
        <v>320.77337440837812</v>
      </c>
      <c r="AA1790">
        <v>2</v>
      </c>
      <c r="AB1790">
        <v>3</v>
      </c>
      <c r="AC1790">
        <v>7</v>
      </c>
      <c r="AD1790">
        <v>0</v>
      </c>
      <c r="AE1790">
        <v>253</v>
      </c>
      <c r="AF1790">
        <v>0</v>
      </c>
      <c r="AG1790">
        <v>0</v>
      </c>
      <c r="AH1790">
        <v>32</v>
      </c>
      <c r="AI1790">
        <v>0</v>
      </c>
      <c r="AJ1790">
        <v>0</v>
      </c>
      <c r="AK1790">
        <v>12.65</v>
      </c>
      <c r="AL1790">
        <v>-19.62516189999997</v>
      </c>
      <c r="AM1790">
        <v>-43.88954614566876</v>
      </c>
      <c r="AN1790">
        <v>-19.62516189999997</v>
      </c>
      <c r="AO1790">
        <v>-43.88954614566876</v>
      </c>
      <c r="AP1790">
        <v>-19.625264000000001</v>
      </c>
      <c r="AQ1790">
        <v>-43.889451000000001</v>
      </c>
      <c r="AR1790">
        <v>15.12310549834147</v>
      </c>
      <c r="AS1790" t="s">
        <v>65</v>
      </c>
      <c r="AT1790">
        <v>1</v>
      </c>
      <c r="AU1790" t="s">
        <v>534</v>
      </c>
      <c r="AV1790" t="s">
        <v>535</v>
      </c>
      <c r="AW1790" t="s">
        <v>60</v>
      </c>
      <c r="AX1790" t="s">
        <v>68</v>
      </c>
      <c r="AY1790" t="s">
        <v>69</v>
      </c>
      <c r="AZ1790" t="b">
        <v>1</v>
      </c>
    </row>
    <row r="1791" spans="1:52" x14ac:dyDescent="0.3">
      <c r="A1791" t="s">
        <v>52</v>
      </c>
      <c r="B1791" t="s">
        <v>53</v>
      </c>
      <c r="C1791" t="s">
        <v>54</v>
      </c>
      <c r="D1791" t="s">
        <v>55</v>
      </c>
      <c r="E1791" t="s">
        <v>852</v>
      </c>
      <c r="F1791" t="s">
        <v>512</v>
      </c>
      <c r="G1791" t="s">
        <v>536</v>
      </c>
      <c r="H1791" t="s">
        <v>537</v>
      </c>
      <c r="I1791" t="s">
        <v>537</v>
      </c>
      <c r="J1791" t="s">
        <v>60</v>
      </c>
      <c r="K1791" t="s">
        <v>185</v>
      </c>
      <c r="L1791" t="s">
        <v>62</v>
      </c>
      <c r="M1791" t="s">
        <v>185</v>
      </c>
      <c r="N1791" t="s">
        <v>538</v>
      </c>
      <c r="O1791" t="s">
        <v>408</v>
      </c>
      <c r="P1791">
        <v>-19.630147999999998</v>
      </c>
      <c r="Q1791">
        <v>-43.893844000000001</v>
      </c>
      <c r="R1791" s="2" t="str">
        <f>HYPERLINK("https://www.google.com/maps?q=-19.6301480,-43.8938440","Abrir no Google Maps")</f>
        <v>Abrir no Google Maps</v>
      </c>
      <c r="S1791">
        <v>3</v>
      </c>
      <c r="T1791">
        <v>262.94285160220159</v>
      </c>
      <c r="U1791">
        <v>1</v>
      </c>
      <c r="V1791">
        <v>0</v>
      </c>
      <c r="W1791">
        <v>0.85</v>
      </c>
      <c r="X1791">
        <v>0</v>
      </c>
      <c r="Y1791">
        <v>18</v>
      </c>
      <c r="Z1791">
        <v>351.25774094845309</v>
      </c>
      <c r="AA1791">
        <v>2</v>
      </c>
      <c r="AB1791">
        <v>3</v>
      </c>
      <c r="AC1791">
        <v>7</v>
      </c>
      <c r="AD1791">
        <v>0</v>
      </c>
      <c r="AE1791">
        <v>253</v>
      </c>
      <c r="AF1791">
        <v>0</v>
      </c>
      <c r="AG1791">
        <v>0</v>
      </c>
      <c r="AH1791">
        <v>32</v>
      </c>
      <c r="AI1791">
        <v>0</v>
      </c>
      <c r="AJ1791">
        <v>0</v>
      </c>
      <c r="AK1791">
        <v>12.65</v>
      </c>
      <c r="AL1791">
        <v>-19.630177599999939</v>
      </c>
      <c r="AM1791">
        <v>-43.893752755034278</v>
      </c>
      <c r="AN1791">
        <v>-19.630177599999939</v>
      </c>
      <c r="AO1791">
        <v>-43.893752755034278</v>
      </c>
      <c r="AP1791">
        <v>-19.630147999999998</v>
      </c>
      <c r="AQ1791">
        <v>-43.893844000000001</v>
      </c>
      <c r="AR1791">
        <v>10.1185927114604</v>
      </c>
      <c r="AS1791" t="s">
        <v>65</v>
      </c>
      <c r="AT1791">
        <v>1</v>
      </c>
      <c r="AU1791" t="s">
        <v>539</v>
      </c>
      <c r="AV1791" t="s">
        <v>540</v>
      </c>
      <c r="AW1791" t="s">
        <v>60</v>
      </c>
      <c r="AX1791" t="s">
        <v>68</v>
      </c>
      <c r="AY1791" t="s">
        <v>69</v>
      </c>
      <c r="AZ1791" t="b">
        <v>1</v>
      </c>
    </row>
    <row r="1792" spans="1:52" x14ac:dyDescent="0.3">
      <c r="A1792" t="s">
        <v>52</v>
      </c>
      <c r="B1792" t="s">
        <v>53</v>
      </c>
      <c r="C1792" t="s">
        <v>54</v>
      </c>
      <c r="D1792" t="s">
        <v>55</v>
      </c>
      <c r="E1792" t="s">
        <v>852</v>
      </c>
      <c r="F1792" t="s">
        <v>512</v>
      </c>
      <c r="G1792" t="s">
        <v>394</v>
      </c>
      <c r="H1792" t="s">
        <v>395</v>
      </c>
      <c r="I1792" t="s">
        <v>395</v>
      </c>
      <c r="J1792" t="s">
        <v>60</v>
      </c>
      <c r="K1792" t="s">
        <v>286</v>
      </c>
      <c r="L1792" t="s">
        <v>62</v>
      </c>
      <c r="M1792" t="s">
        <v>286</v>
      </c>
      <c r="N1792" t="s">
        <v>396</v>
      </c>
      <c r="O1792" t="s">
        <v>88</v>
      </c>
      <c r="P1792">
        <v>-19.636932999999999</v>
      </c>
      <c r="Q1792">
        <v>-43.882691999999999</v>
      </c>
      <c r="R1792" s="2" t="str">
        <f>HYPERLINK("https://www.google.com/maps?q=-19.6369330,-43.8826920","Abrir no Google Maps")</f>
        <v>Abrir no Google Maps</v>
      </c>
      <c r="S1792">
        <v>3</v>
      </c>
      <c r="T1792">
        <v>523.52675813688109</v>
      </c>
      <c r="U1792">
        <v>1</v>
      </c>
      <c r="V1792">
        <v>0</v>
      </c>
      <c r="W1792">
        <v>1</v>
      </c>
      <c r="X1792">
        <v>0</v>
      </c>
      <c r="Y1792">
        <v>10</v>
      </c>
      <c r="Z1792">
        <v>372.58135532659509</v>
      </c>
      <c r="AA1792">
        <v>2</v>
      </c>
      <c r="AB1792">
        <v>3</v>
      </c>
      <c r="AC1792">
        <v>7</v>
      </c>
      <c r="AD1792">
        <v>0</v>
      </c>
      <c r="AE1792">
        <v>253</v>
      </c>
      <c r="AF1792">
        <v>0</v>
      </c>
      <c r="AG1792">
        <v>0</v>
      </c>
      <c r="AH1792">
        <v>32</v>
      </c>
      <c r="AI1792">
        <v>0</v>
      </c>
      <c r="AJ1792">
        <v>0</v>
      </c>
      <c r="AK1792">
        <v>12.65</v>
      </c>
      <c r="AL1792">
        <v>-19.637159949999951</v>
      </c>
      <c r="AM1792">
        <v>-43.882643289441461</v>
      </c>
      <c r="AN1792">
        <v>-19.637159949999951</v>
      </c>
      <c r="AO1792">
        <v>-43.882643289441461</v>
      </c>
      <c r="AP1792">
        <v>-19.636932999999999</v>
      </c>
      <c r="AQ1792">
        <v>-43.882691999999999</v>
      </c>
      <c r="AR1792">
        <v>25.775099947452478</v>
      </c>
      <c r="AS1792" t="s">
        <v>65</v>
      </c>
      <c r="AT1792">
        <v>1</v>
      </c>
      <c r="AU1792" t="s">
        <v>397</v>
      </c>
      <c r="AV1792" t="s">
        <v>398</v>
      </c>
      <c r="AW1792" t="s">
        <v>60</v>
      </c>
      <c r="AX1792" t="s">
        <v>68</v>
      </c>
      <c r="AY1792" t="s">
        <v>69</v>
      </c>
      <c r="AZ1792" t="b">
        <v>1</v>
      </c>
    </row>
    <row r="1793" spans="1:52" x14ac:dyDescent="0.3">
      <c r="A1793" t="s">
        <v>52</v>
      </c>
      <c r="B1793" t="s">
        <v>53</v>
      </c>
      <c r="C1793" t="s">
        <v>54</v>
      </c>
      <c r="D1793" t="s">
        <v>55</v>
      </c>
      <c r="E1793" t="s">
        <v>852</v>
      </c>
      <c r="F1793" t="s">
        <v>512</v>
      </c>
      <c r="G1793" t="s">
        <v>399</v>
      </c>
      <c r="H1793" t="s">
        <v>400</v>
      </c>
      <c r="I1793" t="s">
        <v>400</v>
      </c>
      <c r="J1793" t="s">
        <v>60</v>
      </c>
      <c r="K1793" t="s">
        <v>286</v>
      </c>
      <c r="L1793" t="s">
        <v>62</v>
      </c>
      <c r="M1793" t="s">
        <v>286</v>
      </c>
      <c r="N1793" t="s">
        <v>401</v>
      </c>
      <c r="O1793" t="s">
        <v>402</v>
      </c>
      <c r="P1793">
        <v>-19.639906</v>
      </c>
      <c r="Q1793">
        <v>-43.886059000000003</v>
      </c>
      <c r="R1793" s="2" t="str">
        <f>HYPERLINK("https://www.google.com/maps?q=-19.6399060,-43.8860590","Abrir no Google Maps")</f>
        <v>Abrir no Google Maps</v>
      </c>
      <c r="S1793">
        <v>3</v>
      </c>
      <c r="T1793">
        <v>256.0748811302048</v>
      </c>
      <c r="U1793">
        <v>1</v>
      </c>
      <c r="V1793">
        <v>0</v>
      </c>
      <c r="W1793">
        <v>1</v>
      </c>
      <c r="X1793">
        <v>0</v>
      </c>
      <c r="Y1793">
        <v>10</v>
      </c>
      <c r="Z1793">
        <v>205.06236700857289</v>
      </c>
      <c r="AA1793">
        <v>2</v>
      </c>
      <c r="AB1793">
        <v>3</v>
      </c>
      <c r="AC1793">
        <v>7</v>
      </c>
      <c r="AD1793">
        <v>0</v>
      </c>
      <c r="AE1793">
        <v>253</v>
      </c>
      <c r="AF1793">
        <v>0</v>
      </c>
      <c r="AG1793">
        <v>0</v>
      </c>
      <c r="AH1793">
        <v>32</v>
      </c>
      <c r="AI1793">
        <v>0</v>
      </c>
      <c r="AJ1793">
        <v>0</v>
      </c>
      <c r="AK1793">
        <v>12.65</v>
      </c>
      <c r="AL1793">
        <v>-19.639789499999949</v>
      </c>
      <c r="AM1793">
        <v>-43.885737855031408</v>
      </c>
      <c r="AN1793">
        <v>-19.639789499999949</v>
      </c>
      <c r="AO1793">
        <v>-43.885737855031408</v>
      </c>
      <c r="AP1793">
        <v>-19.639906</v>
      </c>
      <c r="AQ1793">
        <v>-43.886059000000003</v>
      </c>
      <c r="AR1793">
        <v>36.081349702130403</v>
      </c>
      <c r="AS1793" t="s">
        <v>65</v>
      </c>
      <c r="AT1793">
        <v>1</v>
      </c>
      <c r="AU1793" t="s">
        <v>403</v>
      </c>
      <c r="AV1793" t="s">
        <v>404</v>
      </c>
      <c r="AW1793" t="s">
        <v>60</v>
      </c>
      <c r="AX1793" t="s">
        <v>68</v>
      </c>
      <c r="AY1793" t="s">
        <v>69</v>
      </c>
      <c r="AZ1793" t="b">
        <v>1</v>
      </c>
    </row>
    <row r="1794" spans="1:52" x14ac:dyDescent="0.3">
      <c r="A1794" t="s">
        <v>52</v>
      </c>
      <c r="B1794" t="s">
        <v>53</v>
      </c>
      <c r="C1794" t="s">
        <v>54</v>
      </c>
      <c r="D1794" t="s">
        <v>55</v>
      </c>
      <c r="E1794" t="s">
        <v>852</v>
      </c>
      <c r="F1794" t="s">
        <v>512</v>
      </c>
      <c r="G1794" t="s">
        <v>284</v>
      </c>
      <c r="H1794" t="s">
        <v>285</v>
      </c>
      <c r="I1794" t="s">
        <v>285</v>
      </c>
      <c r="J1794" t="s">
        <v>60</v>
      </c>
      <c r="K1794" t="s">
        <v>286</v>
      </c>
      <c r="L1794" t="s">
        <v>62</v>
      </c>
      <c r="M1794" t="s">
        <v>286</v>
      </c>
      <c r="N1794" t="s">
        <v>287</v>
      </c>
      <c r="O1794" t="s">
        <v>288</v>
      </c>
      <c r="P1794">
        <v>-19.639790000000001</v>
      </c>
      <c r="Q1794">
        <v>-43.882798999999999</v>
      </c>
      <c r="R1794" s="2" t="str">
        <f>HYPERLINK("https://www.google.com/maps?q=-19.6397900,-43.8827990","Abrir no Google Maps")</f>
        <v>Abrir no Google Maps</v>
      </c>
      <c r="S1794">
        <v>3</v>
      </c>
      <c r="T1794">
        <v>242.7052058134478</v>
      </c>
      <c r="U1794">
        <v>1</v>
      </c>
      <c r="V1794">
        <v>0</v>
      </c>
      <c r="W1794">
        <v>1</v>
      </c>
      <c r="X1794">
        <v>0</v>
      </c>
      <c r="Y1794">
        <v>10</v>
      </c>
      <c r="Z1794">
        <v>187.2088809462339</v>
      </c>
      <c r="AA1794">
        <v>2</v>
      </c>
      <c r="AB1794">
        <v>3</v>
      </c>
      <c r="AC1794">
        <v>7</v>
      </c>
      <c r="AD1794">
        <v>0</v>
      </c>
      <c r="AE1794">
        <v>253</v>
      </c>
      <c r="AF1794">
        <v>0</v>
      </c>
      <c r="AG1794">
        <v>0</v>
      </c>
      <c r="AH1794">
        <v>32</v>
      </c>
      <c r="AI1794">
        <v>0</v>
      </c>
      <c r="AJ1794">
        <v>0</v>
      </c>
      <c r="AK1794">
        <v>12.65</v>
      </c>
      <c r="AL1794">
        <v>-19.639855599999951</v>
      </c>
      <c r="AM1794">
        <v>-43.882909745178452</v>
      </c>
      <c r="AN1794">
        <v>-19.639855599999951</v>
      </c>
      <c r="AO1794">
        <v>-43.882909745178452</v>
      </c>
      <c r="AP1794">
        <v>-19.639790000000001</v>
      </c>
      <c r="AQ1794">
        <v>-43.882798999999999</v>
      </c>
      <c r="AR1794">
        <v>13.716486068571211</v>
      </c>
      <c r="AS1794" t="s">
        <v>65</v>
      </c>
      <c r="AT1794">
        <v>1</v>
      </c>
      <c r="AU1794" t="s">
        <v>289</v>
      </c>
      <c r="AV1794" t="s">
        <v>290</v>
      </c>
      <c r="AW1794" t="s">
        <v>60</v>
      </c>
      <c r="AX1794" t="s">
        <v>68</v>
      </c>
      <c r="AY1794" t="s">
        <v>69</v>
      </c>
      <c r="AZ1794" t="b">
        <v>1</v>
      </c>
    </row>
    <row r="1795" spans="1:52" x14ac:dyDescent="0.3">
      <c r="A1795" t="s">
        <v>52</v>
      </c>
      <c r="B1795" t="s">
        <v>53</v>
      </c>
      <c r="C1795" t="s">
        <v>54</v>
      </c>
      <c r="D1795" t="s">
        <v>55</v>
      </c>
      <c r="E1795" t="s">
        <v>852</v>
      </c>
      <c r="F1795" t="s">
        <v>512</v>
      </c>
      <c r="G1795" t="s">
        <v>541</v>
      </c>
      <c r="H1795" t="s">
        <v>542</v>
      </c>
      <c r="I1795" t="s">
        <v>542</v>
      </c>
      <c r="J1795" t="s">
        <v>60</v>
      </c>
      <c r="K1795" t="s">
        <v>445</v>
      </c>
      <c r="L1795" t="s">
        <v>62</v>
      </c>
      <c r="M1795" t="s">
        <v>445</v>
      </c>
      <c r="N1795" t="s">
        <v>543</v>
      </c>
      <c r="O1795" t="s">
        <v>328</v>
      </c>
      <c r="P1795">
        <v>-19.642263</v>
      </c>
      <c r="Q1795">
        <v>-43.881428999999997</v>
      </c>
      <c r="R1795" s="2" t="str">
        <f>HYPERLINK("https://www.google.com/maps?q=-19.6422630,-43.8814290","Abrir no Google Maps")</f>
        <v>Abrir no Google Maps</v>
      </c>
      <c r="S1795">
        <v>3</v>
      </c>
      <c r="T1795">
        <v>0</v>
      </c>
      <c r="U1795">
        <v>1</v>
      </c>
      <c r="V1795">
        <v>0</v>
      </c>
      <c r="W1795">
        <v>0.85</v>
      </c>
      <c r="X1795">
        <v>0</v>
      </c>
      <c r="Y1795">
        <v>10</v>
      </c>
      <c r="Z1795">
        <v>162.4764384685345</v>
      </c>
      <c r="AA1795">
        <v>2</v>
      </c>
      <c r="AB1795">
        <v>3</v>
      </c>
      <c r="AC1795">
        <v>7</v>
      </c>
      <c r="AD1795">
        <v>0</v>
      </c>
      <c r="AE1795">
        <v>253</v>
      </c>
      <c r="AF1795">
        <v>0</v>
      </c>
      <c r="AG1795">
        <v>0</v>
      </c>
      <c r="AH1795">
        <v>32</v>
      </c>
      <c r="AI1795">
        <v>0</v>
      </c>
      <c r="AJ1795">
        <v>0</v>
      </c>
      <c r="AK1795">
        <v>12.65</v>
      </c>
      <c r="AL1795">
        <v>-19.642346249999949</v>
      </c>
      <c r="AM1795">
        <v>-43.881546938715289</v>
      </c>
      <c r="AN1795">
        <v>-19.642346249999939</v>
      </c>
      <c r="AO1795">
        <v>-43.881546938715289</v>
      </c>
      <c r="AP1795">
        <v>-19.642263</v>
      </c>
      <c r="AQ1795">
        <v>-43.881428999999997</v>
      </c>
      <c r="AR1795">
        <v>15.45239906956777</v>
      </c>
      <c r="AS1795" t="s">
        <v>65</v>
      </c>
      <c r="AT1795">
        <v>1</v>
      </c>
      <c r="AU1795" t="s">
        <v>544</v>
      </c>
      <c r="AV1795" t="s">
        <v>545</v>
      </c>
      <c r="AW1795" t="s">
        <v>60</v>
      </c>
      <c r="AX1795" t="s">
        <v>68</v>
      </c>
      <c r="AY1795" t="s">
        <v>69</v>
      </c>
      <c r="AZ1795" t="b">
        <v>1</v>
      </c>
    </row>
    <row r="1796" spans="1:52" x14ac:dyDescent="0.3">
      <c r="A1796" t="s">
        <v>52</v>
      </c>
      <c r="B1796" t="s">
        <v>53</v>
      </c>
      <c r="C1796" t="s">
        <v>54</v>
      </c>
      <c r="D1796" t="s">
        <v>55</v>
      </c>
      <c r="E1796" t="s">
        <v>852</v>
      </c>
      <c r="F1796" t="s">
        <v>512</v>
      </c>
      <c r="G1796" t="s">
        <v>546</v>
      </c>
      <c r="H1796" t="s">
        <v>547</v>
      </c>
      <c r="I1796" t="s">
        <v>547</v>
      </c>
      <c r="J1796" t="s">
        <v>60</v>
      </c>
      <c r="K1796" t="s">
        <v>445</v>
      </c>
      <c r="L1796" t="s">
        <v>62</v>
      </c>
      <c r="M1796" t="s">
        <v>445</v>
      </c>
      <c r="N1796" t="s">
        <v>548</v>
      </c>
      <c r="O1796" t="s">
        <v>549</v>
      </c>
      <c r="P1796">
        <v>-19.642752999999999</v>
      </c>
      <c r="Q1796">
        <v>-43.879080999999999</v>
      </c>
      <c r="R1796" s="2" t="str">
        <f>HYPERLINK("https://www.google.com/maps?q=-19.6427530,-43.8790810","Abrir no Google Maps")</f>
        <v>Abrir no Google Maps</v>
      </c>
      <c r="S1796">
        <v>3</v>
      </c>
      <c r="T1796">
        <v>256.19518367376457</v>
      </c>
      <c r="U1796">
        <v>1</v>
      </c>
      <c r="V1796">
        <v>0</v>
      </c>
      <c r="W1796">
        <v>0.85</v>
      </c>
      <c r="X1796">
        <v>0</v>
      </c>
      <c r="Y1796">
        <v>10</v>
      </c>
      <c r="Z1796">
        <v>192.73978446408199</v>
      </c>
      <c r="AA1796">
        <v>2</v>
      </c>
      <c r="AB1796">
        <v>3</v>
      </c>
      <c r="AC1796">
        <v>7</v>
      </c>
      <c r="AD1796">
        <v>0</v>
      </c>
      <c r="AE1796">
        <v>253</v>
      </c>
      <c r="AF1796">
        <v>0</v>
      </c>
      <c r="AG1796">
        <v>0</v>
      </c>
      <c r="AH1796">
        <v>32</v>
      </c>
      <c r="AI1796">
        <v>0</v>
      </c>
      <c r="AJ1796">
        <v>0</v>
      </c>
      <c r="AK1796">
        <v>12.65</v>
      </c>
      <c r="AL1796">
        <v>-19.642703749999949</v>
      </c>
      <c r="AM1796">
        <v>-43.879132974738582</v>
      </c>
      <c r="AN1796">
        <v>-19.642703749999949</v>
      </c>
      <c r="AO1796">
        <v>-43.879132974738582</v>
      </c>
      <c r="AP1796">
        <v>-19.642752999999999</v>
      </c>
      <c r="AQ1796">
        <v>-43.879080999999999</v>
      </c>
      <c r="AR1796">
        <v>7.7298757823687696</v>
      </c>
      <c r="AS1796" t="s">
        <v>65</v>
      </c>
      <c r="AT1796">
        <v>1</v>
      </c>
      <c r="AU1796" t="s">
        <v>550</v>
      </c>
      <c r="AV1796" t="s">
        <v>551</v>
      </c>
      <c r="AW1796" t="s">
        <v>60</v>
      </c>
      <c r="AX1796" t="s">
        <v>68</v>
      </c>
      <c r="AY1796" t="s">
        <v>69</v>
      </c>
      <c r="AZ1796" t="b">
        <v>1</v>
      </c>
    </row>
    <row r="1797" spans="1:52" x14ac:dyDescent="0.3">
      <c r="A1797" t="s">
        <v>52</v>
      </c>
      <c r="B1797" t="s">
        <v>53</v>
      </c>
      <c r="C1797" t="s">
        <v>54</v>
      </c>
      <c r="D1797" t="s">
        <v>55</v>
      </c>
      <c r="E1797" t="s">
        <v>852</v>
      </c>
      <c r="F1797" t="s">
        <v>512</v>
      </c>
      <c r="G1797" t="s">
        <v>291</v>
      </c>
      <c r="H1797" t="s">
        <v>292</v>
      </c>
      <c r="I1797" t="s">
        <v>292</v>
      </c>
      <c r="J1797" t="s">
        <v>60</v>
      </c>
      <c r="K1797" t="s">
        <v>286</v>
      </c>
      <c r="L1797" t="s">
        <v>62</v>
      </c>
      <c r="M1797" t="s">
        <v>286</v>
      </c>
      <c r="N1797" t="s">
        <v>293</v>
      </c>
      <c r="O1797" t="s">
        <v>294</v>
      </c>
      <c r="P1797">
        <v>-19.640333999999999</v>
      </c>
      <c r="Q1797">
        <v>-43.880004999999997</v>
      </c>
      <c r="R1797" s="2" t="str">
        <f>HYPERLINK("https://www.google.com/maps?q=-19.6403340,-43.8800050","Abrir no Google Maps")</f>
        <v>Abrir no Google Maps</v>
      </c>
      <c r="S1797">
        <v>3</v>
      </c>
      <c r="T1797">
        <v>276.80943817309782</v>
      </c>
      <c r="U1797">
        <v>1</v>
      </c>
      <c r="V1797">
        <v>0</v>
      </c>
      <c r="W1797">
        <v>1</v>
      </c>
      <c r="X1797">
        <v>0</v>
      </c>
      <c r="Y1797">
        <v>10</v>
      </c>
      <c r="Z1797">
        <v>361.98332038983392</v>
      </c>
      <c r="AA1797">
        <v>2</v>
      </c>
      <c r="AB1797">
        <v>3</v>
      </c>
      <c r="AC1797">
        <v>7</v>
      </c>
      <c r="AD1797">
        <v>0</v>
      </c>
      <c r="AE1797">
        <v>253</v>
      </c>
      <c r="AF1797">
        <v>0</v>
      </c>
      <c r="AG1797">
        <v>0</v>
      </c>
      <c r="AH1797">
        <v>32</v>
      </c>
      <c r="AI1797">
        <v>0</v>
      </c>
      <c r="AJ1797">
        <v>0</v>
      </c>
      <c r="AK1797">
        <v>12.65</v>
      </c>
      <c r="AL1797">
        <v>-19.640260249999951</v>
      </c>
      <c r="AM1797">
        <v>-43.880090474326408</v>
      </c>
      <c r="AN1797">
        <v>-19.640260249999951</v>
      </c>
      <c r="AO1797">
        <v>-43.880090474326408</v>
      </c>
      <c r="AP1797">
        <v>-19.640333999999999</v>
      </c>
      <c r="AQ1797">
        <v>-43.880004999999997</v>
      </c>
      <c r="AR1797">
        <v>12.153556195359609</v>
      </c>
      <c r="AS1797" t="s">
        <v>65</v>
      </c>
      <c r="AT1797">
        <v>1</v>
      </c>
      <c r="AU1797" t="s">
        <v>295</v>
      </c>
      <c r="AV1797" t="s">
        <v>296</v>
      </c>
      <c r="AW1797" t="s">
        <v>60</v>
      </c>
      <c r="AX1797" t="s">
        <v>68</v>
      </c>
      <c r="AY1797" t="s">
        <v>69</v>
      </c>
      <c r="AZ1797" t="b">
        <v>1</v>
      </c>
    </row>
    <row r="1798" spans="1:52" x14ac:dyDescent="0.3">
      <c r="A1798" t="s">
        <v>52</v>
      </c>
      <c r="B1798" t="s">
        <v>53</v>
      </c>
      <c r="C1798" t="s">
        <v>54</v>
      </c>
      <c r="D1798" t="s">
        <v>55</v>
      </c>
      <c r="E1798" t="s">
        <v>852</v>
      </c>
      <c r="F1798" t="s">
        <v>512</v>
      </c>
      <c r="G1798" t="s">
        <v>552</v>
      </c>
      <c r="H1798" t="s">
        <v>553</v>
      </c>
      <c r="I1798" t="s">
        <v>553</v>
      </c>
      <c r="J1798" t="s">
        <v>60</v>
      </c>
      <c r="K1798" t="s">
        <v>445</v>
      </c>
      <c r="L1798" t="s">
        <v>62</v>
      </c>
      <c r="M1798" t="s">
        <v>445</v>
      </c>
      <c r="N1798" t="s">
        <v>554</v>
      </c>
      <c r="O1798" t="s">
        <v>207</v>
      </c>
      <c r="P1798">
        <v>-19.641549999999999</v>
      </c>
      <c r="Q1798">
        <v>-43.873263999999999</v>
      </c>
      <c r="R1798" s="2" t="str">
        <f>HYPERLINK("https://www.google.com/maps?q=-19.6415500,-43.8732640","Abrir no Google Maps")</f>
        <v>Abrir no Google Maps</v>
      </c>
      <c r="S1798">
        <v>3</v>
      </c>
      <c r="T1798">
        <v>879.45465995735231</v>
      </c>
      <c r="U1798">
        <v>1</v>
      </c>
      <c r="V1798">
        <v>0</v>
      </c>
      <c r="W1798">
        <v>0.85</v>
      </c>
      <c r="X1798">
        <v>0</v>
      </c>
      <c r="Y1798">
        <v>10</v>
      </c>
      <c r="Z1798">
        <v>830.70905214077095</v>
      </c>
      <c r="AA1798">
        <v>2</v>
      </c>
      <c r="AB1798">
        <v>3</v>
      </c>
      <c r="AC1798">
        <v>7</v>
      </c>
      <c r="AD1798">
        <v>0</v>
      </c>
      <c r="AE1798">
        <v>253</v>
      </c>
      <c r="AF1798">
        <v>0</v>
      </c>
      <c r="AG1798">
        <v>0</v>
      </c>
      <c r="AH1798">
        <v>32</v>
      </c>
      <c r="AI1798">
        <v>0</v>
      </c>
      <c r="AJ1798">
        <v>0</v>
      </c>
      <c r="AK1798">
        <v>12.65</v>
      </c>
      <c r="AL1798">
        <v>-19.641459949999959</v>
      </c>
      <c r="AM1798">
        <v>-43.873212145688711</v>
      </c>
      <c r="AN1798">
        <v>-19.641459949999959</v>
      </c>
      <c r="AO1798">
        <v>-43.873212145688711</v>
      </c>
      <c r="AP1798">
        <v>-19.641549999999999</v>
      </c>
      <c r="AQ1798">
        <v>-43.873263999999999</v>
      </c>
      <c r="AR1798">
        <v>11.40368340137019</v>
      </c>
      <c r="AS1798" t="s">
        <v>65</v>
      </c>
      <c r="AT1798">
        <v>1</v>
      </c>
      <c r="AU1798" t="s">
        <v>555</v>
      </c>
      <c r="AV1798" t="s">
        <v>556</v>
      </c>
      <c r="AW1798" t="s">
        <v>60</v>
      </c>
      <c r="AX1798" t="s">
        <v>68</v>
      </c>
      <c r="AY1798" t="s">
        <v>69</v>
      </c>
      <c r="AZ1798" t="b">
        <v>1</v>
      </c>
    </row>
    <row r="1799" spans="1:52" x14ac:dyDescent="0.3">
      <c r="A1799" t="s">
        <v>52</v>
      </c>
      <c r="B1799" t="s">
        <v>53</v>
      </c>
      <c r="C1799" t="s">
        <v>54</v>
      </c>
      <c r="D1799" t="s">
        <v>55</v>
      </c>
      <c r="E1799" t="s">
        <v>852</v>
      </c>
      <c r="F1799" t="s">
        <v>512</v>
      </c>
      <c r="G1799" t="s">
        <v>557</v>
      </c>
      <c r="H1799" t="s">
        <v>558</v>
      </c>
      <c r="I1799" t="s">
        <v>558</v>
      </c>
      <c r="J1799" t="s">
        <v>60</v>
      </c>
      <c r="K1799" t="s">
        <v>445</v>
      </c>
      <c r="L1799" t="s">
        <v>62</v>
      </c>
      <c r="M1799" t="s">
        <v>445</v>
      </c>
      <c r="N1799" t="s">
        <v>559</v>
      </c>
      <c r="O1799" t="s">
        <v>560</v>
      </c>
      <c r="P1799">
        <v>-19.641839000000001</v>
      </c>
      <c r="Q1799">
        <v>-43.876227</v>
      </c>
      <c r="R1799" s="2" t="str">
        <f>HYPERLINK("https://www.google.com/maps?q=-19.6418390,-43.8762270","Abrir no Google Maps")</f>
        <v>Abrir no Google Maps</v>
      </c>
      <c r="S1799">
        <v>3</v>
      </c>
      <c r="T1799">
        <v>564.50471877254449</v>
      </c>
      <c r="U1799">
        <v>1</v>
      </c>
      <c r="V1799">
        <v>0</v>
      </c>
      <c r="W1799">
        <v>0.85</v>
      </c>
      <c r="X1799">
        <v>0</v>
      </c>
      <c r="Y1799">
        <v>10</v>
      </c>
      <c r="Z1799">
        <v>490.40238336341412</v>
      </c>
      <c r="AA1799">
        <v>2</v>
      </c>
      <c r="AB1799">
        <v>3</v>
      </c>
      <c r="AC1799">
        <v>7</v>
      </c>
      <c r="AD1799">
        <v>0</v>
      </c>
      <c r="AE1799">
        <v>253</v>
      </c>
      <c r="AF1799">
        <v>0</v>
      </c>
      <c r="AG1799">
        <v>0</v>
      </c>
      <c r="AH1799">
        <v>32</v>
      </c>
      <c r="AI1799">
        <v>0</v>
      </c>
      <c r="AJ1799">
        <v>0</v>
      </c>
      <c r="AK1799">
        <v>12.65</v>
      </c>
      <c r="AL1799">
        <v>-19.641880699999941</v>
      </c>
      <c r="AM1799">
        <v>-43.876185869580858</v>
      </c>
      <c r="AN1799">
        <v>-19.641880699999941</v>
      </c>
      <c r="AO1799">
        <v>-43.876185869580858</v>
      </c>
      <c r="AP1799">
        <v>-19.641839000000001</v>
      </c>
      <c r="AQ1799">
        <v>-43.876227</v>
      </c>
      <c r="AR1799">
        <v>6.3359121862683301</v>
      </c>
      <c r="AS1799" t="s">
        <v>65</v>
      </c>
      <c r="AT1799">
        <v>1</v>
      </c>
      <c r="AU1799" t="s">
        <v>561</v>
      </c>
      <c r="AV1799" t="s">
        <v>562</v>
      </c>
      <c r="AW1799" t="s">
        <v>60</v>
      </c>
      <c r="AX1799" t="s">
        <v>68</v>
      </c>
      <c r="AY1799" t="s">
        <v>69</v>
      </c>
      <c r="AZ1799" t="b">
        <v>1</v>
      </c>
    </row>
    <row r="1800" spans="1:52" x14ac:dyDescent="0.3">
      <c r="A1800" t="s">
        <v>52</v>
      </c>
      <c r="B1800" t="s">
        <v>53</v>
      </c>
      <c r="C1800" t="s">
        <v>54</v>
      </c>
      <c r="D1800" t="s">
        <v>55</v>
      </c>
      <c r="E1800" t="s">
        <v>852</v>
      </c>
      <c r="F1800" t="s">
        <v>512</v>
      </c>
      <c r="G1800" t="s">
        <v>563</v>
      </c>
      <c r="H1800" t="s">
        <v>564</v>
      </c>
      <c r="I1800" t="s">
        <v>564</v>
      </c>
      <c r="J1800" t="s">
        <v>60</v>
      </c>
      <c r="K1800" t="s">
        <v>445</v>
      </c>
      <c r="L1800" t="s">
        <v>62</v>
      </c>
      <c r="M1800" t="s">
        <v>445</v>
      </c>
      <c r="N1800" t="s">
        <v>565</v>
      </c>
      <c r="O1800" t="s">
        <v>566</v>
      </c>
      <c r="P1800">
        <v>-19.645859000000002</v>
      </c>
      <c r="Q1800">
        <v>-43.878008000000001</v>
      </c>
      <c r="R1800" s="2" t="str">
        <f>HYPERLINK("https://www.google.com/maps?q=-19.6458590,-43.8780080","Abrir no Google Maps")</f>
        <v>Abrir no Google Maps</v>
      </c>
      <c r="S1800">
        <v>3</v>
      </c>
      <c r="T1800">
        <v>535.60651658514928</v>
      </c>
      <c r="U1800">
        <v>1</v>
      </c>
      <c r="V1800">
        <v>0</v>
      </c>
      <c r="W1800">
        <v>0.85</v>
      </c>
      <c r="X1800">
        <v>0</v>
      </c>
      <c r="Y1800">
        <v>10</v>
      </c>
      <c r="Z1800">
        <v>356.77070476702067</v>
      </c>
      <c r="AA1800">
        <v>2</v>
      </c>
      <c r="AB1800">
        <v>3</v>
      </c>
      <c r="AC1800">
        <v>7</v>
      </c>
      <c r="AD1800">
        <v>0</v>
      </c>
      <c r="AE1800">
        <v>253</v>
      </c>
      <c r="AF1800">
        <v>0</v>
      </c>
      <c r="AG1800">
        <v>0</v>
      </c>
      <c r="AH1800">
        <v>32</v>
      </c>
      <c r="AI1800">
        <v>0</v>
      </c>
      <c r="AJ1800">
        <v>0</v>
      </c>
      <c r="AK1800">
        <v>12.65</v>
      </c>
      <c r="AL1800">
        <v>-19.645894599999959</v>
      </c>
      <c r="AM1800">
        <v>-43.878073476665591</v>
      </c>
      <c r="AN1800">
        <v>-19.645894599999959</v>
      </c>
      <c r="AO1800">
        <v>-43.878073476665591</v>
      </c>
      <c r="AP1800">
        <v>-19.645859000000002</v>
      </c>
      <c r="AQ1800">
        <v>-43.878008000000001</v>
      </c>
      <c r="AR1800">
        <v>7.9263849189726594</v>
      </c>
      <c r="AS1800" t="s">
        <v>65</v>
      </c>
      <c r="AT1800">
        <v>1</v>
      </c>
      <c r="AU1800" t="s">
        <v>567</v>
      </c>
      <c r="AV1800" t="s">
        <v>568</v>
      </c>
      <c r="AW1800" t="s">
        <v>60</v>
      </c>
      <c r="AX1800" t="s">
        <v>68</v>
      </c>
      <c r="AY1800" t="s">
        <v>69</v>
      </c>
      <c r="AZ1800" t="b">
        <v>1</v>
      </c>
    </row>
    <row r="1801" spans="1:52" x14ac:dyDescent="0.3">
      <c r="A1801" t="s">
        <v>52</v>
      </c>
      <c r="B1801" t="s">
        <v>53</v>
      </c>
      <c r="C1801" t="s">
        <v>54</v>
      </c>
      <c r="D1801" t="s">
        <v>55</v>
      </c>
      <c r="E1801" t="s">
        <v>852</v>
      </c>
      <c r="F1801" t="s">
        <v>512</v>
      </c>
      <c r="G1801" t="s">
        <v>569</v>
      </c>
      <c r="H1801" t="s">
        <v>570</v>
      </c>
      <c r="I1801" t="s">
        <v>570</v>
      </c>
      <c r="J1801" t="s">
        <v>60</v>
      </c>
      <c r="K1801" t="s">
        <v>445</v>
      </c>
      <c r="L1801" t="s">
        <v>62</v>
      </c>
      <c r="M1801" t="s">
        <v>445</v>
      </c>
      <c r="N1801" t="s">
        <v>571</v>
      </c>
      <c r="O1801" t="s">
        <v>572</v>
      </c>
      <c r="P1801">
        <v>-19.646602999999999</v>
      </c>
      <c r="Q1801">
        <v>-43.879826000000001</v>
      </c>
      <c r="R1801" s="2" t="str">
        <f>HYPERLINK("https://www.google.com/maps?q=-19.6466030,-43.8798260","Abrir no Google Maps")</f>
        <v>Abrir no Google Maps</v>
      </c>
      <c r="S1801">
        <v>3</v>
      </c>
      <c r="T1801">
        <v>497.89126003830972</v>
      </c>
      <c r="U1801">
        <v>1</v>
      </c>
      <c r="V1801">
        <v>0</v>
      </c>
      <c r="W1801">
        <v>0.85</v>
      </c>
      <c r="X1801">
        <v>0</v>
      </c>
      <c r="Y1801">
        <v>10</v>
      </c>
      <c r="Z1801">
        <v>228.69190976735251</v>
      </c>
      <c r="AA1801">
        <v>2</v>
      </c>
      <c r="AB1801">
        <v>3</v>
      </c>
      <c r="AC1801">
        <v>7</v>
      </c>
      <c r="AD1801">
        <v>0</v>
      </c>
      <c r="AE1801">
        <v>253</v>
      </c>
      <c r="AF1801">
        <v>0</v>
      </c>
      <c r="AG1801">
        <v>0</v>
      </c>
      <c r="AH1801">
        <v>32</v>
      </c>
      <c r="AI1801">
        <v>0</v>
      </c>
      <c r="AJ1801">
        <v>0</v>
      </c>
      <c r="AK1801">
        <v>12.65</v>
      </c>
      <c r="AL1801">
        <v>-19.646577499999982</v>
      </c>
      <c r="AM1801">
        <v>-43.879934131171261</v>
      </c>
      <c r="AN1801">
        <v>-19.646577499999971</v>
      </c>
      <c r="AO1801">
        <v>-43.879934131171261</v>
      </c>
      <c r="AP1801">
        <v>-19.646602999999999</v>
      </c>
      <c r="AQ1801">
        <v>-43.879826000000001</v>
      </c>
      <c r="AR1801">
        <v>11.68641198848764</v>
      </c>
      <c r="AS1801" t="s">
        <v>65</v>
      </c>
      <c r="AT1801">
        <v>1</v>
      </c>
      <c r="AU1801" t="s">
        <v>573</v>
      </c>
      <c r="AV1801" t="s">
        <v>574</v>
      </c>
      <c r="AW1801" t="s">
        <v>60</v>
      </c>
      <c r="AX1801" t="s">
        <v>68</v>
      </c>
      <c r="AY1801" t="s">
        <v>69</v>
      </c>
      <c r="AZ1801" t="b">
        <v>1</v>
      </c>
    </row>
    <row r="1802" spans="1:52" x14ac:dyDescent="0.3">
      <c r="A1802" t="s">
        <v>52</v>
      </c>
      <c r="B1802" t="s">
        <v>53</v>
      </c>
      <c r="C1802" t="s">
        <v>54</v>
      </c>
      <c r="D1802" t="s">
        <v>55</v>
      </c>
      <c r="E1802" t="s">
        <v>852</v>
      </c>
      <c r="F1802" t="s">
        <v>512</v>
      </c>
      <c r="G1802" t="s">
        <v>405</v>
      </c>
      <c r="H1802" t="s">
        <v>406</v>
      </c>
      <c r="I1802" t="s">
        <v>406</v>
      </c>
      <c r="J1802" t="s">
        <v>60</v>
      </c>
      <c r="K1802" t="s">
        <v>286</v>
      </c>
      <c r="L1802" t="s">
        <v>62</v>
      </c>
      <c r="M1802" t="s">
        <v>286</v>
      </c>
      <c r="N1802" t="s">
        <v>407</v>
      </c>
      <c r="O1802" t="s">
        <v>408</v>
      </c>
      <c r="P1802">
        <v>-19.646345</v>
      </c>
      <c r="Q1802">
        <v>-43.882294999999999</v>
      </c>
      <c r="R1802" s="2" t="str">
        <f>HYPERLINK("https://www.google.com/maps?q=-19.6463450,-43.8822950","Abrir no Google Maps")</f>
        <v>Abrir no Google Maps</v>
      </c>
      <c r="S1802">
        <v>3</v>
      </c>
      <c r="T1802">
        <v>450.3180538635894</v>
      </c>
      <c r="U1802">
        <v>1</v>
      </c>
      <c r="V1802">
        <v>0</v>
      </c>
      <c r="W1802">
        <v>1</v>
      </c>
      <c r="X1802">
        <v>0</v>
      </c>
      <c r="Y1802">
        <v>10</v>
      </c>
      <c r="Z1802">
        <v>349.23341775902583</v>
      </c>
      <c r="AA1802">
        <v>2</v>
      </c>
      <c r="AB1802">
        <v>3</v>
      </c>
      <c r="AC1802">
        <v>7</v>
      </c>
      <c r="AD1802">
        <v>0</v>
      </c>
      <c r="AE1802">
        <v>253</v>
      </c>
      <c r="AF1802">
        <v>0</v>
      </c>
      <c r="AG1802">
        <v>0</v>
      </c>
      <c r="AH1802">
        <v>32</v>
      </c>
      <c r="AI1802">
        <v>0</v>
      </c>
      <c r="AJ1802">
        <v>0</v>
      </c>
      <c r="AK1802">
        <v>12.65</v>
      </c>
      <c r="AL1802">
        <v>-19.646391649999941</v>
      </c>
      <c r="AM1802">
        <v>-43.882007396993302</v>
      </c>
      <c r="AN1802">
        <v>-19.646391649999941</v>
      </c>
      <c r="AO1802">
        <v>-43.882007396993302</v>
      </c>
      <c r="AP1802">
        <v>-19.646345</v>
      </c>
      <c r="AQ1802">
        <v>-43.882294999999999</v>
      </c>
      <c r="AR1802">
        <v>30.596105513395301</v>
      </c>
      <c r="AS1802" t="s">
        <v>65</v>
      </c>
      <c r="AT1802">
        <v>1</v>
      </c>
      <c r="AU1802" t="s">
        <v>409</v>
      </c>
      <c r="AV1802" t="s">
        <v>410</v>
      </c>
      <c r="AW1802" t="s">
        <v>60</v>
      </c>
      <c r="AX1802" t="s">
        <v>68</v>
      </c>
      <c r="AY1802" t="s">
        <v>69</v>
      </c>
      <c r="AZ1802" t="b">
        <v>1</v>
      </c>
    </row>
    <row r="1803" spans="1:52" x14ac:dyDescent="0.3">
      <c r="A1803" t="s">
        <v>52</v>
      </c>
      <c r="B1803" t="s">
        <v>53</v>
      </c>
      <c r="C1803" t="s">
        <v>54</v>
      </c>
      <c r="D1803" t="s">
        <v>55</v>
      </c>
      <c r="E1803" t="s">
        <v>852</v>
      </c>
      <c r="F1803" t="s">
        <v>512</v>
      </c>
      <c r="G1803" t="s">
        <v>580</v>
      </c>
      <c r="H1803" t="s">
        <v>581</v>
      </c>
      <c r="I1803" t="s">
        <v>581</v>
      </c>
      <c r="J1803" t="s">
        <v>60</v>
      </c>
      <c r="K1803" t="s">
        <v>179</v>
      </c>
      <c r="L1803" t="s">
        <v>62</v>
      </c>
      <c r="M1803" t="s">
        <v>179</v>
      </c>
      <c r="N1803" t="s">
        <v>582</v>
      </c>
      <c r="O1803" t="s">
        <v>583</v>
      </c>
      <c r="P1803">
        <v>-19.651917999999998</v>
      </c>
      <c r="Q1803">
        <v>-43.888081</v>
      </c>
      <c r="R1803" s="2" t="str">
        <f>HYPERLINK("https://www.google.com/maps?q=-19.6519180,-43.8880810","Abrir no Google Maps")</f>
        <v>Abrir no Google Maps</v>
      </c>
      <c r="S1803">
        <v>3</v>
      </c>
      <c r="T1803">
        <v>1192.758363020145</v>
      </c>
      <c r="U1803">
        <v>1</v>
      </c>
      <c r="V1803">
        <v>0</v>
      </c>
      <c r="W1803">
        <v>0.85</v>
      </c>
      <c r="X1803">
        <v>0</v>
      </c>
      <c r="Y1803">
        <v>10</v>
      </c>
      <c r="Z1803">
        <v>1164.020417046748</v>
      </c>
      <c r="AA1803">
        <v>2</v>
      </c>
      <c r="AB1803">
        <v>3</v>
      </c>
      <c r="AC1803">
        <v>7</v>
      </c>
      <c r="AD1803">
        <v>0</v>
      </c>
      <c r="AE1803">
        <v>253</v>
      </c>
      <c r="AF1803">
        <v>0</v>
      </c>
      <c r="AG1803">
        <v>0</v>
      </c>
      <c r="AH1803">
        <v>32</v>
      </c>
      <c r="AI1803">
        <v>0</v>
      </c>
      <c r="AJ1803">
        <v>0</v>
      </c>
      <c r="AK1803">
        <v>12.65</v>
      </c>
      <c r="AL1803">
        <v>-19.65182809999996</v>
      </c>
      <c r="AM1803">
        <v>-43.887955347266519</v>
      </c>
      <c r="AN1803">
        <v>-19.65182809999996</v>
      </c>
      <c r="AO1803">
        <v>-43.887955347266519</v>
      </c>
      <c r="AP1803">
        <v>-19.651917999999998</v>
      </c>
      <c r="AQ1803">
        <v>-43.888081</v>
      </c>
      <c r="AR1803">
        <v>16.543262936495491</v>
      </c>
      <c r="AS1803" t="s">
        <v>65</v>
      </c>
      <c r="AT1803">
        <v>1</v>
      </c>
      <c r="AU1803" t="s">
        <v>584</v>
      </c>
      <c r="AV1803" t="s">
        <v>585</v>
      </c>
      <c r="AW1803" t="s">
        <v>60</v>
      </c>
      <c r="AX1803" t="s">
        <v>68</v>
      </c>
      <c r="AY1803" t="s">
        <v>69</v>
      </c>
      <c r="AZ1803" t="b">
        <v>1</v>
      </c>
    </row>
    <row r="1804" spans="1:52" x14ac:dyDescent="0.3">
      <c r="A1804" t="s">
        <v>52</v>
      </c>
      <c r="B1804" t="s">
        <v>53</v>
      </c>
      <c r="C1804" t="s">
        <v>54</v>
      </c>
      <c r="D1804" t="s">
        <v>55</v>
      </c>
      <c r="E1804" t="s">
        <v>852</v>
      </c>
      <c r="F1804" t="s">
        <v>512</v>
      </c>
      <c r="G1804" t="s">
        <v>586</v>
      </c>
      <c r="H1804" t="s">
        <v>587</v>
      </c>
      <c r="I1804" t="s">
        <v>587</v>
      </c>
      <c r="J1804" t="s">
        <v>60</v>
      </c>
      <c r="K1804" t="s">
        <v>286</v>
      </c>
      <c r="L1804" t="s">
        <v>62</v>
      </c>
      <c r="M1804" t="s">
        <v>286</v>
      </c>
      <c r="N1804" t="s">
        <v>588</v>
      </c>
      <c r="O1804" t="s">
        <v>589</v>
      </c>
      <c r="P1804">
        <v>-19.638362999999998</v>
      </c>
      <c r="Q1804">
        <v>-43.887081000000002</v>
      </c>
      <c r="R1804" s="2" t="str">
        <f>HYPERLINK("https://www.google.com/maps?q=-19.6383630,-43.8870810","Abrir no Google Maps")</f>
        <v>Abrir no Google Maps</v>
      </c>
      <c r="S1804">
        <v>3</v>
      </c>
      <c r="T1804">
        <v>521.16909902210193</v>
      </c>
      <c r="U1804">
        <v>1</v>
      </c>
      <c r="V1804">
        <v>0</v>
      </c>
      <c r="W1804">
        <v>0.85</v>
      </c>
      <c r="X1804">
        <v>0</v>
      </c>
      <c r="Y1804">
        <v>10</v>
      </c>
      <c r="Z1804">
        <v>416.66355243950221</v>
      </c>
      <c r="AA1804">
        <v>2</v>
      </c>
      <c r="AB1804">
        <v>3</v>
      </c>
      <c r="AC1804">
        <v>7</v>
      </c>
      <c r="AD1804">
        <v>0</v>
      </c>
      <c r="AE1804">
        <v>253</v>
      </c>
      <c r="AF1804">
        <v>0</v>
      </c>
      <c r="AG1804">
        <v>0</v>
      </c>
      <c r="AH1804">
        <v>32</v>
      </c>
      <c r="AI1804">
        <v>0</v>
      </c>
      <c r="AJ1804">
        <v>0</v>
      </c>
      <c r="AK1804">
        <v>12.65</v>
      </c>
      <c r="AL1804">
        <v>-19.638074649999961</v>
      </c>
      <c r="AM1804">
        <v>-43.887517684870552</v>
      </c>
      <c r="AN1804">
        <v>-19.638074649999961</v>
      </c>
      <c r="AO1804">
        <v>-43.887517684870552</v>
      </c>
      <c r="AP1804">
        <v>-19.638362999999998</v>
      </c>
      <c r="AQ1804">
        <v>-43.887081000000002</v>
      </c>
      <c r="AR1804">
        <v>55.915550702564907</v>
      </c>
      <c r="AS1804" t="s">
        <v>65</v>
      </c>
      <c r="AT1804">
        <v>1</v>
      </c>
      <c r="AU1804" t="s">
        <v>590</v>
      </c>
      <c r="AV1804" t="s">
        <v>591</v>
      </c>
      <c r="AW1804" t="s">
        <v>60</v>
      </c>
      <c r="AX1804" t="s">
        <v>68</v>
      </c>
      <c r="AY1804" t="s">
        <v>69</v>
      </c>
      <c r="AZ1804" t="b">
        <v>1</v>
      </c>
    </row>
    <row r="1805" spans="1:52" x14ac:dyDescent="0.3">
      <c r="A1805" t="s">
        <v>52</v>
      </c>
      <c r="B1805" t="s">
        <v>53</v>
      </c>
      <c r="C1805" t="s">
        <v>54</v>
      </c>
      <c r="D1805" t="s">
        <v>55</v>
      </c>
      <c r="E1805" t="s">
        <v>852</v>
      </c>
      <c r="F1805" t="s">
        <v>512</v>
      </c>
      <c r="G1805" t="s">
        <v>411</v>
      </c>
      <c r="H1805" t="s">
        <v>412</v>
      </c>
      <c r="I1805" t="s">
        <v>412</v>
      </c>
      <c r="J1805" t="s">
        <v>60</v>
      </c>
      <c r="K1805" t="s">
        <v>179</v>
      </c>
      <c r="L1805" t="s">
        <v>62</v>
      </c>
      <c r="M1805" t="s">
        <v>179</v>
      </c>
      <c r="N1805" t="s">
        <v>413</v>
      </c>
      <c r="O1805" t="s">
        <v>414</v>
      </c>
      <c r="P1805">
        <v>-19.650079000000002</v>
      </c>
      <c r="Q1805">
        <v>-43.884253999999999</v>
      </c>
      <c r="R1805" s="2" t="str">
        <f>HYPERLINK("https://www.google.com/maps?q=-19.6500790,-43.8842540","Abrir no Google Maps")</f>
        <v>Abrir no Google Maps</v>
      </c>
      <c r="S1805">
        <v>3</v>
      </c>
      <c r="T1805">
        <v>797.21430129715498</v>
      </c>
      <c r="U1805">
        <v>1</v>
      </c>
      <c r="V1805">
        <v>0</v>
      </c>
      <c r="W1805">
        <v>1</v>
      </c>
      <c r="X1805">
        <v>0</v>
      </c>
      <c r="Y1805">
        <v>10</v>
      </c>
      <c r="Z1805">
        <v>774.04145012702554</v>
      </c>
      <c r="AA1805">
        <v>2</v>
      </c>
      <c r="AB1805">
        <v>3</v>
      </c>
      <c r="AC1805">
        <v>7</v>
      </c>
      <c r="AD1805">
        <v>0</v>
      </c>
      <c r="AE1805">
        <v>253</v>
      </c>
      <c r="AF1805">
        <v>0</v>
      </c>
      <c r="AG1805">
        <v>0</v>
      </c>
      <c r="AH1805">
        <v>32</v>
      </c>
      <c r="AI1805">
        <v>0</v>
      </c>
      <c r="AJ1805">
        <v>0</v>
      </c>
      <c r="AK1805">
        <v>12.65</v>
      </c>
      <c r="AL1805">
        <v>-19.649199399999961</v>
      </c>
      <c r="AM1805">
        <v>-43.883888390043637</v>
      </c>
      <c r="AN1805">
        <v>-19.649199399999961</v>
      </c>
      <c r="AO1805">
        <v>-43.883888390043637</v>
      </c>
      <c r="AP1805">
        <v>-19.650079000000002</v>
      </c>
      <c r="AQ1805">
        <v>-43.884253999999999</v>
      </c>
      <c r="AR1805">
        <v>105.1518915696123</v>
      </c>
      <c r="AS1805" t="s">
        <v>65</v>
      </c>
      <c r="AT1805">
        <v>1</v>
      </c>
      <c r="AU1805" t="s">
        <v>415</v>
      </c>
      <c r="AV1805" t="s">
        <v>416</v>
      </c>
      <c r="AW1805" t="s">
        <v>60</v>
      </c>
      <c r="AX1805" t="s">
        <v>68</v>
      </c>
      <c r="AY1805" t="s">
        <v>69</v>
      </c>
      <c r="AZ1805" t="b">
        <v>1</v>
      </c>
    </row>
    <row r="1806" spans="1:52" x14ac:dyDescent="0.3">
      <c r="A1806" t="s">
        <v>52</v>
      </c>
      <c r="B1806" t="s">
        <v>53</v>
      </c>
      <c r="C1806" t="s">
        <v>54</v>
      </c>
      <c r="D1806" t="s">
        <v>55</v>
      </c>
      <c r="E1806" t="s">
        <v>852</v>
      </c>
      <c r="F1806" t="s">
        <v>512</v>
      </c>
      <c r="G1806" t="s">
        <v>575</v>
      </c>
      <c r="H1806" t="s">
        <v>576</v>
      </c>
      <c r="I1806" t="s">
        <v>576</v>
      </c>
      <c r="J1806" t="s">
        <v>60</v>
      </c>
      <c r="K1806" t="s">
        <v>445</v>
      </c>
      <c r="L1806" t="s">
        <v>62</v>
      </c>
      <c r="M1806" t="s">
        <v>445</v>
      </c>
      <c r="N1806" t="s">
        <v>577</v>
      </c>
      <c r="O1806" t="s">
        <v>214</v>
      </c>
      <c r="P1806">
        <v>-19.639865</v>
      </c>
      <c r="Q1806">
        <v>-43.877858000000003</v>
      </c>
      <c r="R1806" s="2" t="str">
        <f>HYPERLINK("https://www.google.com/maps?q=-19.6398650,-43.8778580","Abrir no Google Maps")</f>
        <v>Abrir no Google Maps</v>
      </c>
      <c r="S1806">
        <v>3</v>
      </c>
      <c r="T1806">
        <v>497.47318171010488</v>
      </c>
      <c r="U1806">
        <v>1</v>
      </c>
      <c r="V1806">
        <v>0</v>
      </c>
      <c r="W1806">
        <v>0.85</v>
      </c>
      <c r="X1806">
        <v>0</v>
      </c>
      <c r="Y1806">
        <v>10</v>
      </c>
      <c r="Z1806">
        <v>547.08184956634818</v>
      </c>
      <c r="AA1806">
        <v>2</v>
      </c>
      <c r="AB1806">
        <v>3</v>
      </c>
      <c r="AC1806">
        <v>7</v>
      </c>
      <c r="AD1806">
        <v>0</v>
      </c>
      <c r="AE1806">
        <v>253</v>
      </c>
      <c r="AF1806">
        <v>0</v>
      </c>
      <c r="AG1806">
        <v>0</v>
      </c>
      <c r="AH1806">
        <v>32</v>
      </c>
      <c r="AI1806">
        <v>0</v>
      </c>
      <c r="AJ1806">
        <v>0</v>
      </c>
      <c r="AK1806">
        <v>12.65</v>
      </c>
      <c r="AL1806">
        <v>-19.639907499999961</v>
      </c>
      <c r="AM1806">
        <v>-43.877561677180587</v>
      </c>
      <c r="AN1806">
        <v>-19.639907499999961</v>
      </c>
      <c r="AO1806">
        <v>-43.877561677180587</v>
      </c>
      <c r="AP1806">
        <v>-19.639865</v>
      </c>
      <c r="AQ1806">
        <v>-43.877858000000003</v>
      </c>
      <c r="AR1806">
        <v>31.4257813556037</v>
      </c>
      <c r="AS1806" t="s">
        <v>65</v>
      </c>
      <c r="AT1806">
        <v>1</v>
      </c>
      <c r="AU1806" t="s">
        <v>578</v>
      </c>
      <c r="AV1806" t="s">
        <v>579</v>
      </c>
      <c r="AW1806" t="s">
        <v>60</v>
      </c>
      <c r="AX1806" t="s">
        <v>68</v>
      </c>
      <c r="AY1806" t="s">
        <v>69</v>
      </c>
      <c r="AZ1806" t="b">
        <v>1</v>
      </c>
    </row>
    <row r="1807" spans="1:52" x14ac:dyDescent="0.3">
      <c r="A1807" t="s">
        <v>52</v>
      </c>
      <c r="B1807" t="s">
        <v>53</v>
      </c>
      <c r="C1807" t="s">
        <v>54</v>
      </c>
      <c r="D1807" t="s">
        <v>55</v>
      </c>
      <c r="E1807" t="s">
        <v>852</v>
      </c>
      <c r="F1807" t="s">
        <v>512</v>
      </c>
      <c r="G1807" t="s">
        <v>602</v>
      </c>
      <c r="H1807" t="s">
        <v>603</v>
      </c>
      <c r="I1807" t="s">
        <v>603</v>
      </c>
      <c r="J1807" t="s">
        <v>60</v>
      </c>
      <c r="K1807" t="s">
        <v>185</v>
      </c>
      <c r="L1807" t="s">
        <v>62</v>
      </c>
      <c r="M1807" t="s">
        <v>185</v>
      </c>
      <c r="N1807" t="s">
        <v>604</v>
      </c>
      <c r="O1807" t="s">
        <v>341</v>
      </c>
      <c r="P1807">
        <v>-19.624801999999999</v>
      </c>
      <c r="Q1807">
        <v>-43.891128999999999</v>
      </c>
      <c r="R1807" s="2" t="str">
        <f>HYPERLINK("https://www.google.com/maps?q=-19.6248020,-43.8911290","Abrir no Google Maps")</f>
        <v>Abrir no Google Maps</v>
      </c>
      <c r="S1807">
        <v>1</v>
      </c>
      <c r="T1807">
        <v>340.53720321500958</v>
      </c>
      <c r="U1807">
        <v>1</v>
      </c>
      <c r="V1807">
        <v>0</v>
      </c>
      <c r="W1807">
        <v>0.85</v>
      </c>
      <c r="X1807">
        <v>0</v>
      </c>
      <c r="Y1807">
        <v>18</v>
      </c>
      <c r="Z1807">
        <v>362.68114540183888</v>
      </c>
      <c r="AA1807">
        <v>2</v>
      </c>
      <c r="AB1807">
        <v>3</v>
      </c>
      <c r="AC1807">
        <v>7</v>
      </c>
      <c r="AD1807">
        <v>0</v>
      </c>
      <c r="AE1807">
        <v>253</v>
      </c>
      <c r="AF1807">
        <v>0</v>
      </c>
      <c r="AG1807">
        <v>0</v>
      </c>
      <c r="AH1807">
        <v>32</v>
      </c>
      <c r="AI1807">
        <v>0</v>
      </c>
      <c r="AJ1807">
        <v>0</v>
      </c>
      <c r="AK1807">
        <v>12.65</v>
      </c>
      <c r="AL1807">
        <v>-19.625033299999959</v>
      </c>
      <c r="AM1807">
        <v>-43.891084256403538</v>
      </c>
      <c r="AN1807">
        <v>-19.625033299999959</v>
      </c>
      <c r="AO1807">
        <v>-43.891084256403538</v>
      </c>
      <c r="AP1807">
        <v>-19.624801999999999</v>
      </c>
      <c r="AQ1807">
        <v>-43.891128999999999</v>
      </c>
      <c r="AR1807">
        <v>26.172240371022362</v>
      </c>
      <c r="AS1807" t="s">
        <v>65</v>
      </c>
      <c r="AT1807">
        <v>1</v>
      </c>
      <c r="AU1807" t="s">
        <v>605</v>
      </c>
      <c r="AV1807" t="s">
        <v>606</v>
      </c>
      <c r="AW1807" t="s">
        <v>60</v>
      </c>
      <c r="AX1807" t="s">
        <v>68</v>
      </c>
      <c r="AY1807" t="s">
        <v>69</v>
      </c>
      <c r="AZ1807" t="b">
        <v>1</v>
      </c>
    </row>
    <row r="1808" spans="1:52" x14ac:dyDescent="0.3">
      <c r="A1808" t="s">
        <v>52</v>
      </c>
      <c r="B1808" t="s">
        <v>53</v>
      </c>
      <c r="C1808" t="s">
        <v>54</v>
      </c>
      <c r="D1808" t="s">
        <v>55</v>
      </c>
      <c r="E1808" t="s">
        <v>852</v>
      </c>
      <c r="F1808" t="s">
        <v>512</v>
      </c>
      <c r="G1808" t="s">
        <v>592</v>
      </c>
      <c r="H1808" t="s">
        <v>593</v>
      </c>
      <c r="I1808" t="s">
        <v>593</v>
      </c>
      <c r="J1808" t="s">
        <v>60</v>
      </c>
      <c r="K1808" t="s">
        <v>445</v>
      </c>
      <c r="L1808" t="s">
        <v>62</v>
      </c>
      <c r="M1808" t="s">
        <v>445</v>
      </c>
      <c r="N1808" t="s">
        <v>594</v>
      </c>
      <c r="O1808" t="s">
        <v>477</v>
      </c>
      <c r="P1808">
        <v>-19.640709000000001</v>
      </c>
      <c r="Q1808">
        <v>-43.868687999999999</v>
      </c>
      <c r="R1808" s="2" t="str">
        <f>HYPERLINK("https://www.google.com/maps?q=-19.6407090,-43.8686880","Abrir no Google Maps")</f>
        <v>Abrir no Google Maps</v>
      </c>
      <c r="S1808">
        <v>1</v>
      </c>
      <c r="T1808">
        <v>1174.9679995958841</v>
      </c>
      <c r="U1808">
        <v>1</v>
      </c>
      <c r="V1808">
        <v>0</v>
      </c>
      <c r="W1808">
        <v>1</v>
      </c>
      <c r="X1808">
        <v>0</v>
      </c>
      <c r="Y1808">
        <v>10</v>
      </c>
      <c r="Z1808">
        <v>1230.8029594060461</v>
      </c>
      <c r="AA1808">
        <v>2</v>
      </c>
      <c r="AB1808">
        <v>3</v>
      </c>
      <c r="AC1808">
        <v>7</v>
      </c>
      <c r="AD1808">
        <v>0</v>
      </c>
      <c r="AE1808">
        <v>253</v>
      </c>
      <c r="AF1808">
        <v>0</v>
      </c>
      <c r="AG1808">
        <v>0</v>
      </c>
      <c r="AH1808">
        <v>32</v>
      </c>
      <c r="AI1808">
        <v>0</v>
      </c>
      <c r="AJ1808">
        <v>0</v>
      </c>
      <c r="AK1808">
        <v>12.65</v>
      </c>
      <c r="AL1808">
        <v>-19.641057949999979</v>
      </c>
      <c r="AM1808">
        <v>-43.868800137485707</v>
      </c>
      <c r="AN1808">
        <v>-19.641057949999979</v>
      </c>
      <c r="AO1808">
        <v>-43.868800137485707</v>
      </c>
      <c r="AP1808">
        <v>-19.640709000000001</v>
      </c>
      <c r="AQ1808">
        <v>-43.868687999999999</v>
      </c>
      <c r="AR1808">
        <v>40.585293798071682</v>
      </c>
      <c r="AS1808" t="s">
        <v>65</v>
      </c>
      <c r="AT1808">
        <v>1</v>
      </c>
      <c r="AU1808" t="s">
        <v>595</v>
      </c>
      <c r="AV1808" t="s">
        <v>596</v>
      </c>
      <c r="AW1808" t="s">
        <v>60</v>
      </c>
      <c r="AX1808" t="s">
        <v>68</v>
      </c>
      <c r="AY1808" t="s">
        <v>69</v>
      </c>
      <c r="AZ1808" t="b">
        <v>1</v>
      </c>
    </row>
    <row r="1809" spans="1:52" x14ac:dyDescent="0.3">
      <c r="A1809" t="s">
        <v>52</v>
      </c>
      <c r="B1809" t="s">
        <v>53</v>
      </c>
      <c r="C1809" t="s">
        <v>54</v>
      </c>
      <c r="D1809" t="s">
        <v>55</v>
      </c>
      <c r="E1809" t="s">
        <v>852</v>
      </c>
      <c r="F1809" t="s">
        <v>512</v>
      </c>
      <c r="G1809" t="s">
        <v>597</v>
      </c>
      <c r="H1809" t="s">
        <v>598</v>
      </c>
      <c r="I1809" t="s">
        <v>598</v>
      </c>
      <c r="J1809" t="s">
        <v>60</v>
      </c>
      <c r="K1809" t="s">
        <v>445</v>
      </c>
      <c r="L1809" t="s">
        <v>62</v>
      </c>
      <c r="M1809" t="s">
        <v>445</v>
      </c>
      <c r="N1809" t="s">
        <v>599</v>
      </c>
      <c r="O1809" t="s">
        <v>391</v>
      </c>
      <c r="P1809">
        <v>-19.637060999999999</v>
      </c>
      <c r="Q1809">
        <v>-43.871026000000001</v>
      </c>
      <c r="R1809" s="2" t="str">
        <f>HYPERLINK("https://www.google.com/maps?q=-19.6370610,-43.8710260","Abrir no Google Maps")</f>
        <v>Abrir no Google Maps</v>
      </c>
      <c r="S1809">
        <v>1</v>
      </c>
      <c r="T1809">
        <v>737.61884389282102</v>
      </c>
      <c r="U1809">
        <v>1</v>
      </c>
      <c r="V1809">
        <v>0</v>
      </c>
      <c r="W1809">
        <v>1</v>
      </c>
      <c r="X1809">
        <v>0</v>
      </c>
      <c r="Y1809">
        <v>10</v>
      </c>
      <c r="Z1809">
        <v>1331.4501394006061</v>
      </c>
      <c r="AA1809">
        <v>2</v>
      </c>
      <c r="AB1809">
        <v>3</v>
      </c>
      <c r="AC1809">
        <v>7</v>
      </c>
      <c r="AD1809">
        <v>0</v>
      </c>
      <c r="AE1809">
        <v>253</v>
      </c>
      <c r="AF1809">
        <v>0</v>
      </c>
      <c r="AG1809">
        <v>0</v>
      </c>
      <c r="AH1809">
        <v>32</v>
      </c>
      <c r="AI1809">
        <v>0</v>
      </c>
      <c r="AJ1809">
        <v>0</v>
      </c>
      <c r="AK1809">
        <v>12.65</v>
      </c>
      <c r="AL1809">
        <v>-19.637111899999951</v>
      </c>
      <c r="AM1809">
        <v>-43.870888931681193</v>
      </c>
      <c r="AN1809">
        <v>-19.637111899999951</v>
      </c>
      <c r="AO1809">
        <v>-43.870888931681193</v>
      </c>
      <c r="AP1809">
        <v>-19.637060999999999</v>
      </c>
      <c r="AQ1809">
        <v>-43.871026000000001</v>
      </c>
      <c r="AR1809">
        <v>15.44770924391884</v>
      </c>
      <c r="AS1809" t="s">
        <v>65</v>
      </c>
      <c r="AT1809">
        <v>1</v>
      </c>
      <c r="AU1809" t="s">
        <v>600</v>
      </c>
      <c r="AV1809" t="s">
        <v>601</v>
      </c>
      <c r="AW1809" t="s">
        <v>60</v>
      </c>
      <c r="AX1809" t="s">
        <v>68</v>
      </c>
      <c r="AY1809" t="s">
        <v>69</v>
      </c>
      <c r="AZ1809" t="b">
        <v>1</v>
      </c>
    </row>
    <row r="1810" spans="1:52" x14ac:dyDescent="0.3">
      <c r="A1810" t="s">
        <v>52</v>
      </c>
      <c r="B1810" t="s">
        <v>53</v>
      </c>
      <c r="C1810" t="s">
        <v>54</v>
      </c>
      <c r="D1810" t="s">
        <v>55</v>
      </c>
      <c r="E1810" t="s">
        <v>852</v>
      </c>
      <c r="F1810" t="s">
        <v>512</v>
      </c>
      <c r="G1810" t="s">
        <v>123</v>
      </c>
      <c r="H1810" t="s">
        <v>607</v>
      </c>
      <c r="I1810" t="s">
        <v>607</v>
      </c>
      <c r="J1810" t="s">
        <v>60</v>
      </c>
      <c r="K1810" t="s">
        <v>333</v>
      </c>
      <c r="L1810" t="s">
        <v>62</v>
      </c>
      <c r="M1810" t="s">
        <v>333</v>
      </c>
      <c r="N1810" t="s">
        <v>125</v>
      </c>
      <c r="O1810" t="s">
        <v>608</v>
      </c>
      <c r="P1810">
        <v>-19.636002999999999</v>
      </c>
      <c r="Q1810">
        <v>-43.908445</v>
      </c>
      <c r="R1810" s="2" t="str">
        <f>HYPERLINK("https://www.google.com/maps?q=-19.6360030,-43.9084450","Abrir no Google Maps")</f>
        <v>Abrir no Google Maps</v>
      </c>
      <c r="S1810">
        <v>1</v>
      </c>
      <c r="T1810">
        <v>612.64850802557942</v>
      </c>
      <c r="U1810">
        <v>1</v>
      </c>
      <c r="V1810">
        <v>0</v>
      </c>
      <c r="W1810">
        <v>0.85</v>
      </c>
      <c r="X1810">
        <v>0</v>
      </c>
      <c r="Y1810">
        <v>10</v>
      </c>
      <c r="Z1810">
        <v>606.91793961222209</v>
      </c>
      <c r="AA1810">
        <v>2</v>
      </c>
      <c r="AB1810">
        <v>3</v>
      </c>
      <c r="AC1810">
        <v>7</v>
      </c>
      <c r="AD1810">
        <v>0</v>
      </c>
      <c r="AE1810">
        <v>253</v>
      </c>
      <c r="AF1810">
        <v>0</v>
      </c>
      <c r="AG1810">
        <v>0</v>
      </c>
      <c r="AH1810">
        <v>32</v>
      </c>
      <c r="AI1810">
        <v>0</v>
      </c>
      <c r="AJ1810">
        <v>0</v>
      </c>
      <c r="AK1810">
        <v>12.65</v>
      </c>
      <c r="AL1810">
        <v>-19.63618049999997</v>
      </c>
      <c r="AM1810">
        <v>-43.908471095478113</v>
      </c>
      <c r="AN1810">
        <v>-19.63618049999997</v>
      </c>
      <c r="AO1810">
        <v>-43.908471095478113</v>
      </c>
      <c r="AP1810">
        <v>-19.636002999999999</v>
      </c>
      <c r="AQ1810">
        <v>-43.908445</v>
      </c>
      <c r="AR1810">
        <v>19.947824476218141</v>
      </c>
      <c r="AS1810" t="s">
        <v>65</v>
      </c>
      <c r="AT1810">
        <v>1</v>
      </c>
      <c r="AU1810" t="s">
        <v>609</v>
      </c>
      <c r="AV1810" t="s">
        <v>610</v>
      </c>
      <c r="AW1810" t="s">
        <v>60</v>
      </c>
      <c r="AX1810" t="s">
        <v>68</v>
      </c>
      <c r="AY1810" t="s">
        <v>69</v>
      </c>
      <c r="AZ1810" t="b">
        <v>1</v>
      </c>
    </row>
    <row r="1811" spans="1:52" x14ac:dyDescent="0.3">
      <c r="A1811" t="s">
        <v>52</v>
      </c>
      <c r="B1811" t="s">
        <v>53</v>
      </c>
      <c r="C1811" t="s">
        <v>54</v>
      </c>
      <c r="D1811" t="s">
        <v>55</v>
      </c>
      <c r="E1811" t="s">
        <v>852</v>
      </c>
      <c r="F1811" t="s">
        <v>512</v>
      </c>
      <c r="G1811" t="s">
        <v>611</v>
      </c>
      <c r="H1811" t="s">
        <v>612</v>
      </c>
      <c r="I1811" t="s">
        <v>612</v>
      </c>
      <c r="J1811" t="s">
        <v>60</v>
      </c>
      <c r="K1811" t="s">
        <v>445</v>
      </c>
      <c r="L1811" t="s">
        <v>62</v>
      </c>
      <c r="M1811" t="s">
        <v>445</v>
      </c>
      <c r="N1811" t="s">
        <v>613</v>
      </c>
      <c r="O1811" t="s">
        <v>94</v>
      </c>
      <c r="P1811">
        <v>-19.639271999999998</v>
      </c>
      <c r="Q1811">
        <v>-43.875624000000002</v>
      </c>
      <c r="R1811" s="2" t="str">
        <f>HYPERLINK("https://www.google.com/maps?q=-19.6392720,-43.8756240","Abrir no Google Maps")</f>
        <v>Abrir no Google Maps</v>
      </c>
      <c r="S1811">
        <v>1</v>
      </c>
      <c r="T1811">
        <v>618.4798639458262</v>
      </c>
      <c r="U1811">
        <v>1</v>
      </c>
      <c r="V1811">
        <v>0</v>
      </c>
      <c r="W1811">
        <v>0.85</v>
      </c>
      <c r="X1811">
        <v>0</v>
      </c>
      <c r="Y1811">
        <v>10</v>
      </c>
      <c r="Z1811">
        <v>724.62991660382431</v>
      </c>
      <c r="AA1811">
        <v>2</v>
      </c>
      <c r="AB1811">
        <v>3</v>
      </c>
      <c r="AC1811">
        <v>7</v>
      </c>
      <c r="AD1811">
        <v>0</v>
      </c>
      <c r="AE1811">
        <v>253</v>
      </c>
      <c r="AF1811">
        <v>0</v>
      </c>
      <c r="AG1811">
        <v>0</v>
      </c>
      <c r="AH1811">
        <v>32</v>
      </c>
      <c r="AI1811">
        <v>0</v>
      </c>
      <c r="AJ1811">
        <v>0</v>
      </c>
      <c r="AK1811">
        <v>12.65</v>
      </c>
      <c r="AL1811">
        <v>-19.639239899999978</v>
      </c>
      <c r="AM1811">
        <v>-43.875497463228079</v>
      </c>
      <c r="AN1811">
        <v>-19.639239899999978</v>
      </c>
      <c r="AO1811">
        <v>-43.875497463228079</v>
      </c>
      <c r="AP1811">
        <v>-19.639271999999998</v>
      </c>
      <c r="AQ1811">
        <v>-43.875624000000002</v>
      </c>
      <c r="AR1811">
        <v>13.73946951590594</v>
      </c>
      <c r="AS1811" t="s">
        <v>65</v>
      </c>
      <c r="AT1811">
        <v>1</v>
      </c>
      <c r="AU1811" t="s">
        <v>614</v>
      </c>
      <c r="AV1811" t="s">
        <v>615</v>
      </c>
      <c r="AW1811" t="s">
        <v>60</v>
      </c>
      <c r="AX1811" t="s">
        <v>68</v>
      </c>
      <c r="AY1811" t="s">
        <v>69</v>
      </c>
      <c r="AZ1811" t="b">
        <v>1</v>
      </c>
    </row>
    <row r="1812" spans="1:52" x14ac:dyDescent="0.3">
      <c r="A1812" t="s">
        <v>52</v>
      </c>
      <c r="B1812" t="s">
        <v>53</v>
      </c>
      <c r="C1812" t="s">
        <v>54</v>
      </c>
      <c r="D1812" t="s">
        <v>55</v>
      </c>
      <c r="E1812" t="s">
        <v>853</v>
      </c>
      <c r="F1812" t="s">
        <v>57</v>
      </c>
      <c r="G1812" t="s">
        <v>58</v>
      </c>
      <c r="H1812" t="s">
        <v>59</v>
      </c>
      <c r="I1812" t="s">
        <v>59</v>
      </c>
      <c r="J1812" t="s">
        <v>60</v>
      </c>
      <c r="K1812" t="s">
        <v>61</v>
      </c>
      <c r="L1812" t="s">
        <v>62</v>
      </c>
      <c r="M1812" t="s">
        <v>61</v>
      </c>
      <c r="N1812" t="s">
        <v>63</v>
      </c>
      <c r="O1812" t="s">
        <v>64</v>
      </c>
      <c r="P1812">
        <v>-19.631502000000001</v>
      </c>
      <c r="Q1812">
        <v>-43.910241999999997</v>
      </c>
      <c r="R1812" s="2" t="str">
        <f>HYPERLINK("https://www.google.com/maps?q=-19.6315020,-43.9102420","Abrir no Google Maps")</f>
        <v>Abrir no Google Maps</v>
      </c>
      <c r="S1812">
        <v>4</v>
      </c>
      <c r="T1812">
        <v>789.20099406682743</v>
      </c>
      <c r="U1812">
        <v>4</v>
      </c>
      <c r="V1812">
        <v>0.9862204724409448</v>
      </c>
      <c r="W1812">
        <v>1</v>
      </c>
      <c r="X1812">
        <v>0.9862204724409448</v>
      </c>
      <c r="Y1812">
        <v>10</v>
      </c>
      <c r="Z1812">
        <v>691.44930074509864</v>
      </c>
      <c r="AA1812">
        <v>2</v>
      </c>
      <c r="AB1812">
        <v>3</v>
      </c>
      <c r="AC1812">
        <v>7</v>
      </c>
      <c r="AD1812">
        <v>24.9</v>
      </c>
      <c r="AE1812">
        <v>253</v>
      </c>
      <c r="AF1812">
        <v>12</v>
      </c>
      <c r="AG1812">
        <v>66</v>
      </c>
      <c r="AH1812">
        <v>32</v>
      </c>
      <c r="AI1812">
        <v>4.74</v>
      </c>
      <c r="AJ1812">
        <v>26.09</v>
      </c>
      <c r="AK1812">
        <v>12.65</v>
      </c>
      <c r="AL1812">
        <v>-19.631719749999949</v>
      </c>
      <c r="AM1812">
        <v>-43.910102324517517</v>
      </c>
      <c r="AN1812">
        <v>-19.631719749999949</v>
      </c>
      <c r="AO1812">
        <v>-43.910102324517517</v>
      </c>
      <c r="AP1812">
        <v>-19.631502000000001</v>
      </c>
      <c r="AQ1812">
        <v>-43.910241999999997</v>
      </c>
      <c r="AR1812">
        <v>28.320416429206599</v>
      </c>
      <c r="AS1812" t="s">
        <v>65</v>
      </c>
      <c r="AT1812">
        <v>1</v>
      </c>
      <c r="AU1812" t="s">
        <v>66</v>
      </c>
      <c r="AV1812" t="s">
        <v>67</v>
      </c>
      <c r="AW1812" t="s">
        <v>60</v>
      </c>
      <c r="AX1812" t="s">
        <v>68</v>
      </c>
      <c r="AY1812" t="s">
        <v>69</v>
      </c>
      <c r="AZ1812" t="b">
        <v>1</v>
      </c>
    </row>
    <row r="1813" spans="1:52" x14ac:dyDescent="0.3">
      <c r="A1813" t="s">
        <v>52</v>
      </c>
      <c r="B1813" t="s">
        <v>53</v>
      </c>
      <c r="C1813" t="s">
        <v>54</v>
      </c>
      <c r="D1813" t="s">
        <v>55</v>
      </c>
      <c r="E1813" t="s">
        <v>853</v>
      </c>
      <c r="F1813" t="s">
        <v>57</v>
      </c>
      <c r="G1813" t="s">
        <v>77</v>
      </c>
      <c r="H1813" t="s">
        <v>78</v>
      </c>
      <c r="I1813" t="s">
        <v>78</v>
      </c>
      <c r="J1813" t="s">
        <v>60</v>
      </c>
      <c r="K1813" t="s">
        <v>79</v>
      </c>
      <c r="L1813" t="s">
        <v>62</v>
      </c>
      <c r="M1813" t="s">
        <v>79</v>
      </c>
      <c r="N1813" t="s">
        <v>80</v>
      </c>
      <c r="O1813" t="s">
        <v>81</v>
      </c>
      <c r="P1813">
        <v>-19.632463999999999</v>
      </c>
      <c r="Q1813">
        <v>-43.904927999999998</v>
      </c>
      <c r="R1813" s="2" t="str">
        <f>HYPERLINK("https://www.google.com/maps?q=-19.6324640,-43.9049280","Abrir no Google Maps")</f>
        <v>Abrir no Google Maps</v>
      </c>
      <c r="S1813">
        <v>4</v>
      </c>
      <c r="T1813">
        <v>244.1735197453369</v>
      </c>
      <c r="U1813">
        <v>4</v>
      </c>
      <c r="V1813">
        <v>0.98076923076923084</v>
      </c>
      <c r="W1813">
        <v>1</v>
      </c>
      <c r="X1813">
        <v>0.98076923076923084</v>
      </c>
      <c r="Y1813">
        <v>10</v>
      </c>
      <c r="Z1813">
        <v>287.26068152447448</v>
      </c>
      <c r="AA1813">
        <v>2</v>
      </c>
      <c r="AB1813">
        <v>3</v>
      </c>
      <c r="AC1813">
        <v>7</v>
      </c>
      <c r="AD1813">
        <v>24.9</v>
      </c>
      <c r="AE1813">
        <v>253</v>
      </c>
      <c r="AF1813">
        <v>12</v>
      </c>
      <c r="AG1813">
        <v>66</v>
      </c>
      <c r="AH1813">
        <v>32</v>
      </c>
      <c r="AI1813">
        <v>4.74</v>
      </c>
      <c r="AJ1813">
        <v>26.09</v>
      </c>
      <c r="AK1813">
        <v>12.65</v>
      </c>
      <c r="AL1813">
        <v>-19.63247099999996</v>
      </c>
      <c r="AM1813">
        <v>-43.904964174285787</v>
      </c>
      <c r="AN1813">
        <v>-19.63247099999996</v>
      </c>
      <c r="AO1813">
        <v>-43.904964174285787</v>
      </c>
      <c r="AP1813">
        <v>-19.632463999999999</v>
      </c>
      <c r="AQ1813">
        <v>-43.904927999999998</v>
      </c>
      <c r="AR1813">
        <v>3.8720457500200469</v>
      </c>
      <c r="AS1813" t="s">
        <v>65</v>
      </c>
      <c r="AT1813">
        <v>1</v>
      </c>
      <c r="AU1813" t="s">
        <v>82</v>
      </c>
      <c r="AV1813" t="s">
        <v>83</v>
      </c>
      <c r="AW1813" t="s">
        <v>60</v>
      </c>
      <c r="AX1813" t="s">
        <v>68</v>
      </c>
      <c r="AY1813" t="s">
        <v>69</v>
      </c>
      <c r="AZ1813" t="b">
        <v>1</v>
      </c>
    </row>
    <row r="1814" spans="1:52" x14ac:dyDescent="0.3">
      <c r="A1814" t="s">
        <v>52</v>
      </c>
      <c r="B1814" t="s">
        <v>53</v>
      </c>
      <c r="C1814" t="s">
        <v>54</v>
      </c>
      <c r="D1814" t="s">
        <v>55</v>
      </c>
      <c r="E1814" t="s">
        <v>853</v>
      </c>
      <c r="F1814" t="s">
        <v>57</v>
      </c>
      <c r="G1814" t="s">
        <v>84</v>
      </c>
      <c r="H1814" t="s">
        <v>85</v>
      </c>
      <c r="I1814" t="s">
        <v>85</v>
      </c>
      <c r="J1814" t="s">
        <v>60</v>
      </c>
      <c r="K1814" t="s">
        <v>86</v>
      </c>
      <c r="L1814" t="s">
        <v>62</v>
      </c>
      <c r="M1814" t="s">
        <v>86</v>
      </c>
      <c r="N1814" t="s">
        <v>87</v>
      </c>
      <c r="O1814" t="s">
        <v>88</v>
      </c>
      <c r="P1814">
        <v>-19.629436999999999</v>
      </c>
      <c r="Q1814">
        <v>-43.910398999999998</v>
      </c>
      <c r="R1814" s="2" t="str">
        <f>HYPERLINK("https://www.google.com/maps?q=-19.6294370,-43.9103990","Abrir no Google Maps")</f>
        <v>Abrir no Google Maps</v>
      </c>
      <c r="S1814">
        <v>4</v>
      </c>
      <c r="T1814">
        <v>888.82060643108082</v>
      </c>
      <c r="U1814">
        <v>4</v>
      </c>
      <c r="V1814">
        <v>0.95796460176991161</v>
      </c>
      <c r="W1814">
        <v>1</v>
      </c>
      <c r="X1814">
        <v>0.95796460176991161</v>
      </c>
      <c r="Y1814">
        <v>10</v>
      </c>
      <c r="Z1814">
        <v>867.42797341651737</v>
      </c>
      <c r="AA1814">
        <v>2</v>
      </c>
      <c r="AB1814">
        <v>3</v>
      </c>
      <c r="AC1814">
        <v>7</v>
      </c>
      <c r="AD1814">
        <v>24.9</v>
      </c>
      <c r="AE1814">
        <v>253</v>
      </c>
      <c r="AF1814">
        <v>12</v>
      </c>
      <c r="AG1814">
        <v>66</v>
      </c>
      <c r="AH1814">
        <v>32</v>
      </c>
      <c r="AI1814">
        <v>4.74</v>
      </c>
      <c r="AJ1814">
        <v>26.09</v>
      </c>
      <c r="AK1814">
        <v>12.65</v>
      </c>
      <c r="AL1814">
        <v>-19.62934694999996</v>
      </c>
      <c r="AM1814">
        <v>-43.910344699357317</v>
      </c>
      <c r="AN1814">
        <v>-19.62934694999996</v>
      </c>
      <c r="AO1814">
        <v>-43.910344699357331</v>
      </c>
      <c r="AP1814">
        <v>-19.629436999999999</v>
      </c>
      <c r="AQ1814">
        <v>-43.910398999999998</v>
      </c>
      <c r="AR1814">
        <v>11.52837377953678</v>
      </c>
      <c r="AS1814" t="s">
        <v>65</v>
      </c>
      <c r="AT1814">
        <v>1</v>
      </c>
      <c r="AU1814" t="s">
        <v>89</v>
      </c>
      <c r="AV1814" t="s">
        <v>90</v>
      </c>
      <c r="AW1814" t="s">
        <v>60</v>
      </c>
      <c r="AX1814" t="s">
        <v>68</v>
      </c>
      <c r="AY1814" t="s">
        <v>69</v>
      </c>
      <c r="AZ1814" t="b">
        <v>1</v>
      </c>
    </row>
    <row r="1815" spans="1:52" x14ac:dyDescent="0.3">
      <c r="A1815" t="s">
        <v>52</v>
      </c>
      <c r="B1815" t="s">
        <v>53</v>
      </c>
      <c r="C1815" t="s">
        <v>54</v>
      </c>
      <c r="D1815" t="s">
        <v>55</v>
      </c>
      <c r="E1815" t="s">
        <v>853</v>
      </c>
      <c r="F1815" t="s">
        <v>57</v>
      </c>
      <c r="G1815" t="s">
        <v>91</v>
      </c>
      <c r="H1815" t="s">
        <v>92</v>
      </c>
      <c r="I1815" t="s">
        <v>92</v>
      </c>
      <c r="J1815" t="s">
        <v>60</v>
      </c>
      <c r="K1815" t="s">
        <v>86</v>
      </c>
      <c r="L1815" t="s">
        <v>62</v>
      </c>
      <c r="M1815" t="s">
        <v>86</v>
      </c>
      <c r="N1815" t="s">
        <v>93</v>
      </c>
      <c r="O1815" t="s">
        <v>94</v>
      </c>
      <c r="P1815">
        <v>-19.630676999999999</v>
      </c>
      <c r="Q1815">
        <v>-43.907255999999997</v>
      </c>
      <c r="R1815" s="2" t="str">
        <f>HYPERLINK("https://www.google.com/maps?q=-19.6306770,-43.9072560","Abrir no Google Maps")</f>
        <v>Abrir no Google Maps</v>
      </c>
      <c r="S1815">
        <v>4</v>
      </c>
      <c r="T1815">
        <v>545.39374622597825</v>
      </c>
      <c r="U1815">
        <v>4</v>
      </c>
      <c r="V1815">
        <v>0.94956140350877205</v>
      </c>
      <c r="W1815">
        <v>1</v>
      </c>
      <c r="X1815">
        <v>0.94956140350877205</v>
      </c>
      <c r="Y1815">
        <v>10</v>
      </c>
      <c r="Z1815">
        <v>559.94033759457182</v>
      </c>
      <c r="AA1815">
        <v>2</v>
      </c>
      <c r="AB1815">
        <v>3</v>
      </c>
      <c r="AC1815">
        <v>7</v>
      </c>
      <c r="AD1815">
        <v>24.9</v>
      </c>
      <c r="AE1815">
        <v>253</v>
      </c>
      <c r="AF1815">
        <v>12</v>
      </c>
      <c r="AG1815">
        <v>66</v>
      </c>
      <c r="AH1815">
        <v>32</v>
      </c>
      <c r="AI1815">
        <v>4.74</v>
      </c>
      <c r="AJ1815">
        <v>26.09</v>
      </c>
      <c r="AK1815">
        <v>12.65</v>
      </c>
      <c r="AL1815">
        <v>-19.630448649999941</v>
      </c>
      <c r="AM1815">
        <v>-43.907268502495313</v>
      </c>
      <c r="AN1815">
        <v>-19.630448649999941</v>
      </c>
      <c r="AO1815">
        <v>-43.907268502495313</v>
      </c>
      <c r="AP1815">
        <v>-19.630676999999999</v>
      </c>
      <c r="AQ1815">
        <v>-43.907255999999997</v>
      </c>
      <c r="AR1815">
        <v>25.453700276562468</v>
      </c>
      <c r="AS1815" t="s">
        <v>65</v>
      </c>
      <c r="AT1815">
        <v>1</v>
      </c>
      <c r="AU1815" t="s">
        <v>95</v>
      </c>
      <c r="AV1815" t="s">
        <v>96</v>
      </c>
      <c r="AW1815" t="s">
        <v>60</v>
      </c>
      <c r="AX1815" t="s">
        <v>68</v>
      </c>
      <c r="AY1815" t="s">
        <v>69</v>
      </c>
      <c r="AZ1815" t="b">
        <v>1</v>
      </c>
    </row>
    <row r="1816" spans="1:52" x14ac:dyDescent="0.3">
      <c r="A1816" t="s">
        <v>52</v>
      </c>
      <c r="B1816" t="s">
        <v>53</v>
      </c>
      <c r="C1816" t="s">
        <v>54</v>
      </c>
      <c r="D1816" t="s">
        <v>55</v>
      </c>
      <c r="E1816" t="s">
        <v>853</v>
      </c>
      <c r="F1816" t="s">
        <v>57</v>
      </c>
      <c r="G1816" t="s">
        <v>97</v>
      </c>
      <c r="H1816" t="s">
        <v>98</v>
      </c>
      <c r="I1816" t="s">
        <v>98</v>
      </c>
      <c r="J1816" t="s">
        <v>60</v>
      </c>
      <c r="K1816" t="s">
        <v>99</v>
      </c>
      <c r="L1816" t="s">
        <v>62</v>
      </c>
      <c r="M1816" t="s">
        <v>99</v>
      </c>
      <c r="N1816" t="s">
        <v>100</v>
      </c>
      <c r="O1816" t="s">
        <v>101</v>
      </c>
      <c r="P1816">
        <v>-19.629822000000001</v>
      </c>
      <c r="Q1816">
        <v>-43.905341</v>
      </c>
      <c r="R1816" s="2" t="str">
        <f>HYPERLINK("https://www.google.com/maps?q=-19.6298220,-43.9053410","Abrir no Google Maps")</f>
        <v>Abrir no Google Maps</v>
      </c>
      <c r="S1816">
        <v>4</v>
      </c>
      <c r="T1816">
        <v>441.30597341744129</v>
      </c>
      <c r="U1816">
        <v>4</v>
      </c>
      <c r="V1816">
        <v>0.93855932203389836</v>
      </c>
      <c r="W1816">
        <v>1</v>
      </c>
      <c r="X1816">
        <v>0.93855932203389836</v>
      </c>
      <c r="Y1816">
        <v>10</v>
      </c>
      <c r="Z1816">
        <v>513.56493751010987</v>
      </c>
      <c r="AA1816">
        <v>2</v>
      </c>
      <c r="AB1816">
        <v>3</v>
      </c>
      <c r="AC1816">
        <v>7</v>
      </c>
      <c r="AD1816">
        <v>24.9</v>
      </c>
      <c r="AE1816">
        <v>253</v>
      </c>
      <c r="AF1816">
        <v>12</v>
      </c>
      <c r="AG1816">
        <v>66</v>
      </c>
      <c r="AH1816">
        <v>32</v>
      </c>
      <c r="AI1816">
        <v>4.74</v>
      </c>
      <c r="AJ1816">
        <v>26.09</v>
      </c>
      <c r="AK1816">
        <v>12.65</v>
      </c>
      <c r="AL1816">
        <v>-19.629671599999941</v>
      </c>
      <c r="AM1816">
        <v>-43.905369597920988</v>
      </c>
      <c r="AN1816">
        <v>-19.629671599999931</v>
      </c>
      <c r="AO1816">
        <v>-43.905369597920988</v>
      </c>
      <c r="AP1816">
        <v>-19.629822000000001</v>
      </c>
      <c r="AQ1816">
        <v>-43.905341</v>
      </c>
      <c r="AR1816">
        <v>17.008917699186132</v>
      </c>
      <c r="AS1816" t="s">
        <v>65</v>
      </c>
      <c r="AT1816">
        <v>1</v>
      </c>
      <c r="AU1816" t="s">
        <v>102</v>
      </c>
      <c r="AV1816" t="s">
        <v>103</v>
      </c>
      <c r="AW1816" t="s">
        <v>60</v>
      </c>
      <c r="AX1816" t="s">
        <v>68</v>
      </c>
      <c r="AY1816" t="s">
        <v>69</v>
      </c>
      <c r="AZ1816" t="b">
        <v>1</v>
      </c>
    </row>
    <row r="1817" spans="1:52" x14ac:dyDescent="0.3">
      <c r="A1817" t="s">
        <v>52</v>
      </c>
      <c r="B1817" t="s">
        <v>53</v>
      </c>
      <c r="C1817" t="s">
        <v>54</v>
      </c>
      <c r="D1817" t="s">
        <v>55</v>
      </c>
      <c r="E1817" t="s">
        <v>853</v>
      </c>
      <c r="F1817" t="s">
        <v>57</v>
      </c>
      <c r="G1817" t="s">
        <v>104</v>
      </c>
      <c r="H1817" t="s">
        <v>105</v>
      </c>
      <c r="I1817" t="s">
        <v>105</v>
      </c>
      <c r="J1817" t="s">
        <v>60</v>
      </c>
      <c r="K1817" t="s">
        <v>99</v>
      </c>
      <c r="L1817" t="s">
        <v>62</v>
      </c>
      <c r="M1817" t="s">
        <v>99</v>
      </c>
      <c r="N1817" t="s">
        <v>106</v>
      </c>
      <c r="O1817" t="s">
        <v>107</v>
      </c>
      <c r="P1817">
        <v>-19.627993</v>
      </c>
      <c r="Q1817">
        <v>-43.904820000000001</v>
      </c>
      <c r="R1817" s="2" t="str">
        <f>HYPERLINK("https://www.google.com/maps?q=-19.6279930,-43.9048200","Abrir no Google Maps")</f>
        <v>Abrir no Google Maps</v>
      </c>
      <c r="S1817">
        <v>4</v>
      </c>
      <c r="T1817">
        <v>573.16526621674666</v>
      </c>
      <c r="U1817">
        <v>4</v>
      </c>
      <c r="V1817">
        <v>0.98424369747899165</v>
      </c>
      <c r="W1817">
        <v>1</v>
      </c>
      <c r="X1817">
        <v>0.98424369747899165</v>
      </c>
      <c r="Y1817">
        <v>7</v>
      </c>
      <c r="Z1817">
        <v>659.04372306144853</v>
      </c>
      <c r="AA1817">
        <v>2</v>
      </c>
      <c r="AB1817">
        <v>3</v>
      </c>
      <c r="AC1817">
        <v>7</v>
      </c>
      <c r="AD1817">
        <v>24.9</v>
      </c>
      <c r="AE1817">
        <v>253</v>
      </c>
      <c r="AF1817">
        <v>12</v>
      </c>
      <c r="AG1817">
        <v>66</v>
      </c>
      <c r="AH1817">
        <v>32</v>
      </c>
      <c r="AI1817">
        <v>4.74</v>
      </c>
      <c r="AJ1817">
        <v>26.09</v>
      </c>
      <c r="AK1817">
        <v>12.65</v>
      </c>
      <c r="AL1817">
        <v>-19.627956249999951</v>
      </c>
      <c r="AM1817">
        <v>-43.904807634206207</v>
      </c>
      <c r="AN1817">
        <v>-19.627956249999951</v>
      </c>
      <c r="AO1817">
        <v>-43.904807634206207</v>
      </c>
      <c r="AP1817">
        <v>-19.627993</v>
      </c>
      <c r="AQ1817">
        <v>-43.904820000000001</v>
      </c>
      <c r="AR1817">
        <v>4.291557430205998</v>
      </c>
      <c r="AS1817" t="s">
        <v>65</v>
      </c>
      <c r="AT1817">
        <v>1</v>
      </c>
      <c r="AU1817" t="s">
        <v>108</v>
      </c>
      <c r="AV1817" t="s">
        <v>103</v>
      </c>
      <c r="AW1817" t="s">
        <v>60</v>
      </c>
      <c r="AX1817" t="s">
        <v>68</v>
      </c>
      <c r="AY1817" t="s">
        <v>69</v>
      </c>
      <c r="AZ1817" t="b">
        <v>1</v>
      </c>
    </row>
    <row r="1818" spans="1:52" x14ac:dyDescent="0.3">
      <c r="A1818" t="s">
        <v>52</v>
      </c>
      <c r="B1818" t="s">
        <v>53</v>
      </c>
      <c r="C1818" t="s">
        <v>54</v>
      </c>
      <c r="D1818" t="s">
        <v>55</v>
      </c>
      <c r="E1818" t="s">
        <v>853</v>
      </c>
      <c r="F1818" t="s">
        <v>57</v>
      </c>
      <c r="G1818" t="s">
        <v>109</v>
      </c>
      <c r="H1818" t="s">
        <v>110</v>
      </c>
      <c r="I1818" t="s">
        <v>110</v>
      </c>
      <c r="J1818" t="s">
        <v>60</v>
      </c>
      <c r="K1818" t="s">
        <v>111</v>
      </c>
      <c r="L1818" t="s">
        <v>62</v>
      </c>
      <c r="M1818" t="s">
        <v>111</v>
      </c>
      <c r="N1818" t="s">
        <v>112</v>
      </c>
      <c r="O1818" t="s">
        <v>113</v>
      </c>
      <c r="P1818">
        <v>-19.654686000000002</v>
      </c>
      <c r="Q1818">
        <v>-43.907240000000002</v>
      </c>
      <c r="R1818" s="2" t="str">
        <f>HYPERLINK("https://www.google.com/maps?q=-19.6546860,-43.9072400","Abrir no Google Maps")</f>
        <v>Abrir no Google Maps</v>
      </c>
      <c r="S1818">
        <v>4</v>
      </c>
      <c r="T1818">
        <v>824.24450564548704</v>
      </c>
      <c r="U1818">
        <v>4</v>
      </c>
      <c r="V1818">
        <v>0.99891304347826082</v>
      </c>
      <c r="W1818">
        <v>1</v>
      </c>
      <c r="X1818">
        <v>0.99891304347826082</v>
      </c>
      <c r="Y1818">
        <v>4</v>
      </c>
      <c r="Z1818">
        <v>524.70106879290392</v>
      </c>
      <c r="AA1818">
        <v>2</v>
      </c>
      <c r="AB1818">
        <v>3</v>
      </c>
      <c r="AC1818">
        <v>7</v>
      </c>
      <c r="AD1818">
        <v>24.9</v>
      </c>
      <c r="AE1818">
        <v>253</v>
      </c>
      <c r="AF1818">
        <v>12</v>
      </c>
      <c r="AG1818">
        <v>66</v>
      </c>
      <c r="AH1818">
        <v>32</v>
      </c>
      <c r="AI1818">
        <v>4.74</v>
      </c>
      <c r="AJ1818">
        <v>26.09</v>
      </c>
      <c r="AK1818">
        <v>12.65</v>
      </c>
      <c r="AL1818">
        <v>-19.65511684999996</v>
      </c>
      <c r="AM1818">
        <v>-43.905662999837993</v>
      </c>
      <c r="AN1818">
        <v>-19.65511684999996</v>
      </c>
      <c r="AO1818">
        <v>-43.905662999837993</v>
      </c>
      <c r="AP1818">
        <v>-19.654686000000002</v>
      </c>
      <c r="AQ1818">
        <v>-43.907240000000002</v>
      </c>
      <c r="AR1818">
        <v>172.13969981835351</v>
      </c>
      <c r="AS1818" t="s">
        <v>65</v>
      </c>
      <c r="AT1818">
        <v>1</v>
      </c>
      <c r="AU1818" t="s">
        <v>114</v>
      </c>
      <c r="AV1818" t="s">
        <v>115</v>
      </c>
      <c r="AW1818" t="s">
        <v>60</v>
      </c>
      <c r="AX1818" t="s">
        <v>68</v>
      </c>
      <c r="AY1818" t="s">
        <v>69</v>
      </c>
      <c r="AZ1818" t="b">
        <v>1</v>
      </c>
    </row>
    <row r="1819" spans="1:52" x14ac:dyDescent="0.3">
      <c r="A1819" t="s">
        <v>52</v>
      </c>
      <c r="B1819" t="s">
        <v>53</v>
      </c>
      <c r="C1819" t="s">
        <v>54</v>
      </c>
      <c r="D1819" t="s">
        <v>55</v>
      </c>
      <c r="E1819" t="s">
        <v>853</v>
      </c>
      <c r="F1819" t="s">
        <v>57</v>
      </c>
      <c r="G1819" t="s">
        <v>116</v>
      </c>
      <c r="H1819" t="s">
        <v>117</v>
      </c>
      <c r="I1819" t="s">
        <v>117</v>
      </c>
      <c r="J1819" t="s">
        <v>60</v>
      </c>
      <c r="K1819" t="s">
        <v>118</v>
      </c>
      <c r="L1819" t="s">
        <v>62</v>
      </c>
      <c r="M1819" t="s">
        <v>118</v>
      </c>
      <c r="N1819" t="s">
        <v>119</v>
      </c>
      <c r="O1819" t="s">
        <v>120</v>
      </c>
      <c r="P1819">
        <v>-19.663869999999999</v>
      </c>
      <c r="Q1819">
        <v>-43.904916999999998</v>
      </c>
      <c r="R1819" s="2" t="str">
        <f>HYPERLINK("https://www.google.com/maps?q=-19.6638700,-43.9049170","Abrir no Google Maps")</f>
        <v>Abrir no Google Maps</v>
      </c>
      <c r="S1819">
        <v>4</v>
      </c>
      <c r="T1819">
        <v>0</v>
      </c>
      <c r="U1819">
        <v>4</v>
      </c>
      <c r="V1819">
        <v>0.96990740740740744</v>
      </c>
      <c r="W1819">
        <v>1</v>
      </c>
      <c r="X1819">
        <v>0.96990740740740744</v>
      </c>
      <c r="Y1819">
        <v>4</v>
      </c>
      <c r="Z1819">
        <v>1169.476938179705</v>
      </c>
      <c r="AA1819">
        <v>2</v>
      </c>
      <c r="AB1819">
        <v>3</v>
      </c>
      <c r="AC1819">
        <v>7</v>
      </c>
      <c r="AD1819">
        <v>24.9</v>
      </c>
      <c r="AE1819">
        <v>253</v>
      </c>
      <c r="AF1819">
        <v>12</v>
      </c>
      <c r="AG1819">
        <v>66</v>
      </c>
      <c r="AH1819">
        <v>32</v>
      </c>
      <c r="AI1819">
        <v>4.74</v>
      </c>
      <c r="AJ1819">
        <v>26.09</v>
      </c>
      <c r="AK1819">
        <v>12.65</v>
      </c>
      <c r="AL1819">
        <v>-19.657063599999962</v>
      </c>
      <c r="AM1819">
        <v>-43.898074976464507</v>
      </c>
      <c r="AN1819">
        <v>-19.657063599999962</v>
      </c>
      <c r="AO1819">
        <v>-43.898074976464507</v>
      </c>
      <c r="AP1819">
        <v>-19.663869999999999</v>
      </c>
      <c r="AQ1819">
        <v>-43.904916999999998</v>
      </c>
      <c r="AR1819">
        <v>1043.3426220355029</v>
      </c>
      <c r="AS1819" t="s">
        <v>65</v>
      </c>
      <c r="AT1819">
        <v>1</v>
      </c>
      <c r="AU1819" t="s">
        <v>121</v>
      </c>
      <c r="AV1819" t="s">
        <v>122</v>
      </c>
      <c r="AW1819" t="s">
        <v>60</v>
      </c>
      <c r="AX1819" t="s">
        <v>68</v>
      </c>
      <c r="AY1819" t="s">
        <v>69</v>
      </c>
      <c r="AZ1819" t="b">
        <v>1</v>
      </c>
    </row>
    <row r="1820" spans="1:52" x14ac:dyDescent="0.3">
      <c r="A1820" t="s">
        <v>52</v>
      </c>
      <c r="B1820" t="s">
        <v>53</v>
      </c>
      <c r="C1820" t="s">
        <v>54</v>
      </c>
      <c r="D1820" t="s">
        <v>55</v>
      </c>
      <c r="E1820" t="s">
        <v>853</v>
      </c>
      <c r="F1820" t="s">
        <v>57</v>
      </c>
      <c r="G1820" t="s">
        <v>145</v>
      </c>
      <c r="H1820" t="s">
        <v>146</v>
      </c>
      <c r="I1820" t="s">
        <v>146</v>
      </c>
      <c r="J1820" t="s">
        <v>60</v>
      </c>
      <c r="K1820" t="s">
        <v>147</v>
      </c>
      <c r="L1820" t="s">
        <v>62</v>
      </c>
      <c r="M1820" t="s">
        <v>147</v>
      </c>
      <c r="N1820" t="s">
        <v>148</v>
      </c>
      <c r="O1820" t="s">
        <v>81</v>
      </c>
      <c r="P1820">
        <v>-19.629356999999999</v>
      </c>
      <c r="Q1820">
        <v>-43.916857</v>
      </c>
      <c r="R1820" s="2" t="str">
        <f>HYPERLINK("https://www.google.com/maps?q=-19.6293570,-43.9168570","Abrir no Google Maps")</f>
        <v>Abrir no Google Maps</v>
      </c>
      <c r="S1820">
        <v>4</v>
      </c>
      <c r="T1820">
        <v>834.49898564045827</v>
      </c>
      <c r="U1820">
        <v>4</v>
      </c>
      <c r="V1820">
        <v>0.96825396825396837</v>
      </c>
      <c r="W1820">
        <v>1</v>
      </c>
      <c r="X1820">
        <v>0.96825396825396837</v>
      </c>
      <c r="Y1820">
        <v>3</v>
      </c>
      <c r="Z1820">
        <v>774.2841152512085</v>
      </c>
      <c r="AA1820">
        <v>2</v>
      </c>
      <c r="AB1820">
        <v>3</v>
      </c>
      <c r="AC1820">
        <v>7</v>
      </c>
      <c r="AD1820">
        <v>24.9</v>
      </c>
      <c r="AE1820">
        <v>253</v>
      </c>
      <c r="AF1820">
        <v>12</v>
      </c>
      <c r="AG1820">
        <v>66</v>
      </c>
      <c r="AH1820">
        <v>32</v>
      </c>
      <c r="AI1820">
        <v>4.74</v>
      </c>
      <c r="AJ1820">
        <v>26.09</v>
      </c>
      <c r="AK1820">
        <v>12.65</v>
      </c>
      <c r="AL1820">
        <v>-19.62962324999998</v>
      </c>
      <c r="AM1820">
        <v>-43.916419823634037</v>
      </c>
      <c r="AN1820">
        <v>-19.62962324999998</v>
      </c>
      <c r="AO1820">
        <v>-43.916419823634051</v>
      </c>
      <c r="AP1820">
        <v>-19.629356999999999</v>
      </c>
      <c r="AQ1820">
        <v>-43.916857</v>
      </c>
      <c r="AR1820">
        <v>54.585757388798442</v>
      </c>
      <c r="AS1820" t="s">
        <v>65</v>
      </c>
      <c r="AT1820">
        <v>1</v>
      </c>
      <c r="AU1820" t="s">
        <v>149</v>
      </c>
      <c r="AV1820" t="s">
        <v>150</v>
      </c>
      <c r="AW1820" t="s">
        <v>60</v>
      </c>
      <c r="AX1820" t="s">
        <v>68</v>
      </c>
      <c r="AY1820" t="s">
        <v>69</v>
      </c>
      <c r="AZ1820" t="b">
        <v>1</v>
      </c>
    </row>
    <row r="1821" spans="1:52" x14ac:dyDescent="0.3">
      <c r="A1821" t="s">
        <v>52</v>
      </c>
      <c r="B1821" t="s">
        <v>53</v>
      </c>
      <c r="C1821" t="s">
        <v>54</v>
      </c>
      <c r="D1821" t="s">
        <v>55</v>
      </c>
      <c r="E1821" t="s">
        <v>853</v>
      </c>
      <c r="F1821" t="s">
        <v>57</v>
      </c>
      <c r="G1821" t="s">
        <v>252</v>
      </c>
      <c r="H1821" t="s">
        <v>253</v>
      </c>
      <c r="I1821" t="s">
        <v>253</v>
      </c>
      <c r="J1821" t="s">
        <v>60</v>
      </c>
      <c r="K1821" t="s">
        <v>164</v>
      </c>
      <c r="L1821" t="s">
        <v>62</v>
      </c>
      <c r="M1821" t="s">
        <v>164</v>
      </c>
      <c r="N1821" t="s">
        <v>254</v>
      </c>
      <c r="O1821" t="s">
        <v>255</v>
      </c>
      <c r="P1821">
        <v>-19.652244</v>
      </c>
      <c r="Q1821">
        <v>-43.906869</v>
      </c>
      <c r="R1821" s="2" t="str">
        <f>HYPERLINK("https://www.google.com/maps?q=-19.6522440,-43.9068690","Abrir no Google Maps")</f>
        <v>Abrir no Google Maps</v>
      </c>
      <c r="S1821">
        <v>4</v>
      </c>
      <c r="T1821">
        <v>659.98887289357856</v>
      </c>
      <c r="U1821">
        <v>4</v>
      </c>
      <c r="V1821">
        <v>1</v>
      </c>
      <c r="W1821">
        <v>1</v>
      </c>
      <c r="X1821">
        <v>1</v>
      </c>
      <c r="Y1821">
        <v>1</v>
      </c>
      <c r="Z1821">
        <v>607.69009953455907</v>
      </c>
      <c r="AA1821">
        <v>2</v>
      </c>
      <c r="AB1821">
        <v>3</v>
      </c>
      <c r="AC1821">
        <v>7</v>
      </c>
      <c r="AD1821">
        <v>24.9</v>
      </c>
      <c r="AE1821">
        <v>253</v>
      </c>
      <c r="AF1821">
        <v>12</v>
      </c>
      <c r="AG1821">
        <v>66</v>
      </c>
      <c r="AH1821">
        <v>32</v>
      </c>
      <c r="AI1821">
        <v>4.74</v>
      </c>
      <c r="AJ1821">
        <v>26.09</v>
      </c>
      <c r="AK1821">
        <v>12.65</v>
      </c>
      <c r="AL1821">
        <v>-19.65225609999996</v>
      </c>
      <c r="AM1821">
        <v>-43.906862663911163</v>
      </c>
      <c r="AN1821">
        <v>-19.65225609999996</v>
      </c>
      <c r="AO1821">
        <v>-43.906862663911149</v>
      </c>
      <c r="AP1821">
        <v>-19.652244</v>
      </c>
      <c r="AQ1821">
        <v>-43.906869</v>
      </c>
      <c r="AR1821">
        <v>1.501852076897872</v>
      </c>
      <c r="AS1821" t="s">
        <v>65</v>
      </c>
      <c r="AT1821">
        <v>1</v>
      </c>
      <c r="AU1821" t="s">
        <v>256</v>
      </c>
      <c r="AV1821" t="s">
        <v>257</v>
      </c>
      <c r="AW1821" t="s">
        <v>60</v>
      </c>
      <c r="AX1821" t="s">
        <v>68</v>
      </c>
      <c r="AY1821" t="s">
        <v>69</v>
      </c>
      <c r="AZ1821" t="b">
        <v>1</v>
      </c>
    </row>
    <row r="1822" spans="1:52" x14ac:dyDescent="0.3">
      <c r="A1822" t="s">
        <v>52</v>
      </c>
      <c r="B1822" t="s">
        <v>53</v>
      </c>
      <c r="C1822" t="s">
        <v>54</v>
      </c>
      <c r="D1822" t="s">
        <v>55</v>
      </c>
      <c r="E1822" t="s">
        <v>853</v>
      </c>
      <c r="F1822" t="s">
        <v>57</v>
      </c>
      <c r="G1822" t="s">
        <v>268</v>
      </c>
      <c r="H1822" t="s">
        <v>269</v>
      </c>
      <c r="I1822" t="s">
        <v>269</v>
      </c>
      <c r="J1822" t="s">
        <v>60</v>
      </c>
      <c r="K1822" t="s">
        <v>164</v>
      </c>
      <c r="L1822" t="s">
        <v>62</v>
      </c>
      <c r="M1822" t="s">
        <v>164</v>
      </c>
      <c r="N1822" t="s">
        <v>270</v>
      </c>
      <c r="O1822" t="s">
        <v>113</v>
      </c>
      <c r="P1822">
        <v>-19.648771</v>
      </c>
      <c r="Q1822">
        <v>-43.903640000000003</v>
      </c>
      <c r="R1822" s="2" t="str">
        <f>HYPERLINK("https://www.google.com/maps?q=-19.6487710,-43.9036400","Abrir no Google Maps")</f>
        <v>Abrir no Google Maps</v>
      </c>
      <c r="S1822">
        <v>4</v>
      </c>
      <c r="T1822">
        <v>206.63717887005251</v>
      </c>
      <c r="U1822">
        <v>4</v>
      </c>
      <c r="V1822">
        <v>0.99015748031496065</v>
      </c>
      <c r="W1822">
        <v>1</v>
      </c>
      <c r="X1822">
        <v>0.99015748031496065</v>
      </c>
      <c r="Y1822">
        <v>1</v>
      </c>
      <c r="Z1822">
        <v>200.80459056276209</v>
      </c>
      <c r="AA1822">
        <v>2</v>
      </c>
      <c r="AB1822">
        <v>3</v>
      </c>
      <c r="AC1822">
        <v>7</v>
      </c>
      <c r="AD1822">
        <v>24.9</v>
      </c>
      <c r="AE1822">
        <v>253</v>
      </c>
      <c r="AF1822">
        <v>12</v>
      </c>
      <c r="AG1822">
        <v>66</v>
      </c>
      <c r="AH1822">
        <v>32</v>
      </c>
      <c r="AI1822">
        <v>4.74</v>
      </c>
      <c r="AJ1822">
        <v>26.09</v>
      </c>
      <c r="AK1822">
        <v>12.65</v>
      </c>
      <c r="AL1822">
        <v>-19.648938299999969</v>
      </c>
      <c r="AM1822">
        <v>-43.903687287450857</v>
      </c>
      <c r="AN1822">
        <v>-19.648938299999969</v>
      </c>
      <c r="AO1822">
        <v>-43.903687287450857</v>
      </c>
      <c r="AP1822">
        <v>-19.648771</v>
      </c>
      <c r="AQ1822">
        <v>-43.903640000000003</v>
      </c>
      <c r="AR1822">
        <v>19.272369946853829</v>
      </c>
      <c r="AS1822" t="s">
        <v>65</v>
      </c>
      <c r="AT1822">
        <v>1</v>
      </c>
      <c r="AU1822" t="s">
        <v>271</v>
      </c>
      <c r="AV1822" t="s">
        <v>272</v>
      </c>
      <c r="AW1822" t="s">
        <v>60</v>
      </c>
      <c r="AX1822" t="s">
        <v>68</v>
      </c>
      <c r="AY1822" t="s">
        <v>69</v>
      </c>
      <c r="AZ1822" t="b">
        <v>1</v>
      </c>
    </row>
    <row r="1823" spans="1:52" x14ac:dyDescent="0.3">
      <c r="A1823" t="s">
        <v>52</v>
      </c>
      <c r="B1823" t="s">
        <v>53</v>
      </c>
      <c r="C1823" t="s">
        <v>54</v>
      </c>
      <c r="D1823" t="s">
        <v>55</v>
      </c>
      <c r="E1823" t="s">
        <v>853</v>
      </c>
      <c r="F1823" t="s">
        <v>57</v>
      </c>
      <c r="G1823" t="s">
        <v>162</v>
      </c>
      <c r="H1823" t="s">
        <v>163</v>
      </c>
      <c r="I1823" t="s">
        <v>163</v>
      </c>
      <c r="J1823" t="s">
        <v>60</v>
      </c>
      <c r="K1823" t="s">
        <v>164</v>
      </c>
      <c r="L1823" t="s">
        <v>62</v>
      </c>
      <c r="M1823" t="s">
        <v>164</v>
      </c>
      <c r="N1823" t="s">
        <v>165</v>
      </c>
      <c r="O1823" t="s">
        <v>166</v>
      </c>
      <c r="P1823">
        <v>-19.650033000000001</v>
      </c>
      <c r="Q1823">
        <v>-43.904634000000001</v>
      </c>
      <c r="R1823" s="2" t="str">
        <f>HYPERLINK("https://www.google.com/maps?q=-19.6500330,-43.9046340","Abrir no Google Maps")</f>
        <v>Abrir no Google Maps</v>
      </c>
      <c r="S1823">
        <v>4</v>
      </c>
      <c r="T1823">
        <v>343.61469317865811</v>
      </c>
      <c r="U1823">
        <v>4</v>
      </c>
      <c r="V1823">
        <v>0.99358974358974361</v>
      </c>
      <c r="W1823">
        <v>1</v>
      </c>
      <c r="X1823">
        <v>0.99358974358974361</v>
      </c>
      <c r="Y1823">
        <v>1</v>
      </c>
      <c r="Z1823">
        <v>351.81960241626399</v>
      </c>
      <c r="AA1823">
        <v>2</v>
      </c>
      <c r="AB1823">
        <v>3</v>
      </c>
      <c r="AC1823">
        <v>7</v>
      </c>
      <c r="AD1823">
        <v>24.9</v>
      </c>
      <c r="AE1823">
        <v>253</v>
      </c>
      <c r="AF1823">
        <v>12</v>
      </c>
      <c r="AG1823">
        <v>66</v>
      </c>
      <c r="AH1823">
        <v>32</v>
      </c>
      <c r="AI1823">
        <v>4.74</v>
      </c>
      <c r="AJ1823">
        <v>26.09</v>
      </c>
      <c r="AK1823">
        <v>12.65</v>
      </c>
      <c r="AL1823">
        <v>-19.650065899999959</v>
      </c>
      <c r="AM1823">
        <v>-43.904619920569793</v>
      </c>
      <c r="AN1823">
        <v>-19.650065899999959</v>
      </c>
      <c r="AO1823">
        <v>-43.904619920569793</v>
      </c>
      <c r="AP1823">
        <v>-19.650033000000001</v>
      </c>
      <c r="AQ1823">
        <v>-43.904634000000001</v>
      </c>
      <c r="AR1823">
        <v>3.9486827164921792</v>
      </c>
      <c r="AS1823" t="s">
        <v>65</v>
      </c>
      <c r="AT1823">
        <v>1</v>
      </c>
      <c r="AU1823" t="s">
        <v>167</v>
      </c>
      <c r="AV1823" t="s">
        <v>168</v>
      </c>
      <c r="AW1823" t="s">
        <v>60</v>
      </c>
      <c r="AX1823" t="s">
        <v>68</v>
      </c>
      <c r="AY1823" t="s">
        <v>69</v>
      </c>
      <c r="AZ1823" t="b">
        <v>1</v>
      </c>
    </row>
    <row r="1824" spans="1:52" x14ac:dyDescent="0.3">
      <c r="A1824" t="s">
        <v>52</v>
      </c>
      <c r="B1824" t="s">
        <v>53</v>
      </c>
      <c r="C1824" t="s">
        <v>54</v>
      </c>
      <c r="D1824" t="s">
        <v>55</v>
      </c>
      <c r="E1824" t="s">
        <v>853</v>
      </c>
      <c r="F1824" t="s">
        <v>176</v>
      </c>
      <c r="G1824" t="s">
        <v>513</v>
      </c>
      <c r="H1824" t="s">
        <v>514</v>
      </c>
      <c r="I1824" t="s">
        <v>514</v>
      </c>
      <c r="J1824" t="s">
        <v>60</v>
      </c>
      <c r="K1824" t="s">
        <v>185</v>
      </c>
      <c r="L1824" t="s">
        <v>62</v>
      </c>
      <c r="M1824" t="s">
        <v>185</v>
      </c>
      <c r="N1824" t="s">
        <v>515</v>
      </c>
      <c r="O1824" t="s">
        <v>516</v>
      </c>
      <c r="P1824">
        <v>-19.63184</v>
      </c>
      <c r="Q1824">
        <v>-43.899625999999998</v>
      </c>
      <c r="R1824" s="2" t="str">
        <f>HYPERLINK("https://www.google.com/maps?q=-19.6318400,-43.8996260","Abrir no Google Maps")</f>
        <v>Abrir no Google Maps</v>
      </c>
      <c r="S1824">
        <v>4</v>
      </c>
      <c r="T1824">
        <v>317.05369638212568</v>
      </c>
      <c r="U1824">
        <v>3</v>
      </c>
      <c r="V1824">
        <v>0.98333333333333317</v>
      </c>
      <c r="W1824">
        <v>0.85</v>
      </c>
      <c r="X1824">
        <v>0.83583333333333321</v>
      </c>
      <c r="Y1824">
        <v>10</v>
      </c>
      <c r="Z1824">
        <v>467.39112963581732</v>
      </c>
      <c r="AA1824">
        <v>2</v>
      </c>
      <c r="AB1824">
        <v>3</v>
      </c>
      <c r="AC1824">
        <v>7</v>
      </c>
      <c r="AD1824">
        <v>24.9</v>
      </c>
      <c r="AE1824">
        <v>253</v>
      </c>
      <c r="AF1824">
        <v>12</v>
      </c>
      <c r="AG1824">
        <v>66</v>
      </c>
      <c r="AH1824">
        <v>32</v>
      </c>
      <c r="AI1824">
        <v>4.74</v>
      </c>
      <c r="AJ1824">
        <v>26.09</v>
      </c>
      <c r="AK1824">
        <v>12.65</v>
      </c>
      <c r="AL1824">
        <v>-19.631819699999941</v>
      </c>
      <c r="AM1824">
        <v>-43.89977767057065</v>
      </c>
      <c r="AN1824">
        <v>-19.631819699999941</v>
      </c>
      <c r="AO1824">
        <v>-43.89977767057065</v>
      </c>
      <c r="AP1824">
        <v>-19.63184</v>
      </c>
      <c r="AQ1824">
        <v>-43.899625999999998</v>
      </c>
      <c r="AR1824">
        <v>16.062279375806241</v>
      </c>
      <c r="AS1824" t="s">
        <v>65</v>
      </c>
      <c r="AT1824">
        <v>1</v>
      </c>
      <c r="AU1824" t="s">
        <v>517</v>
      </c>
      <c r="AV1824" t="s">
        <v>518</v>
      </c>
      <c r="AW1824" t="s">
        <v>60</v>
      </c>
      <c r="AX1824" t="s">
        <v>68</v>
      </c>
      <c r="AY1824" t="s">
        <v>69</v>
      </c>
      <c r="AZ1824" t="b">
        <v>1</v>
      </c>
    </row>
    <row r="1825" spans="1:52" x14ac:dyDescent="0.3">
      <c r="A1825" t="s">
        <v>52</v>
      </c>
      <c r="B1825" t="s">
        <v>53</v>
      </c>
      <c r="C1825" t="s">
        <v>54</v>
      </c>
      <c r="D1825" t="s">
        <v>55</v>
      </c>
      <c r="E1825" t="s">
        <v>853</v>
      </c>
      <c r="F1825" t="s">
        <v>176</v>
      </c>
      <c r="G1825" t="s">
        <v>70</v>
      </c>
      <c r="H1825" t="s">
        <v>71</v>
      </c>
      <c r="I1825" t="s">
        <v>71</v>
      </c>
      <c r="J1825" t="s">
        <v>60</v>
      </c>
      <c r="K1825" t="s">
        <v>72</v>
      </c>
      <c r="L1825" t="s">
        <v>62</v>
      </c>
      <c r="M1825" t="s">
        <v>72</v>
      </c>
      <c r="N1825" t="s">
        <v>73</v>
      </c>
      <c r="O1825" t="s">
        <v>74</v>
      </c>
      <c r="P1825">
        <v>-19.632581999999999</v>
      </c>
      <c r="Q1825">
        <v>-43.902416000000002</v>
      </c>
      <c r="R1825" s="2" t="str">
        <f>HYPERLINK("https://www.google.com/maps?q=-19.6325820,-43.9024160","Abrir no Google Maps")</f>
        <v>Abrir no Google Maps</v>
      </c>
      <c r="S1825">
        <v>4</v>
      </c>
      <c r="T1825">
        <v>0</v>
      </c>
      <c r="U1825">
        <v>3</v>
      </c>
      <c r="V1825">
        <v>0.90248226950354615</v>
      </c>
      <c r="W1825">
        <v>1</v>
      </c>
      <c r="X1825">
        <v>0.90248226950354615</v>
      </c>
      <c r="Y1825">
        <v>10</v>
      </c>
      <c r="Z1825">
        <v>146.6968158874696</v>
      </c>
      <c r="AA1825">
        <v>2</v>
      </c>
      <c r="AB1825">
        <v>3</v>
      </c>
      <c r="AC1825">
        <v>7</v>
      </c>
      <c r="AD1825">
        <v>24.9</v>
      </c>
      <c r="AE1825">
        <v>253</v>
      </c>
      <c r="AF1825">
        <v>12</v>
      </c>
      <c r="AG1825">
        <v>66</v>
      </c>
      <c r="AH1825">
        <v>32</v>
      </c>
      <c r="AI1825">
        <v>4.74</v>
      </c>
      <c r="AJ1825">
        <v>26.09</v>
      </c>
      <c r="AK1825">
        <v>12.65</v>
      </c>
      <c r="AL1825">
        <v>-19.63271449999996</v>
      </c>
      <c r="AM1825">
        <v>-43.902649897389402</v>
      </c>
      <c r="AN1825">
        <v>-19.63271449999996</v>
      </c>
      <c r="AO1825">
        <v>-43.902649897389402</v>
      </c>
      <c r="AP1825">
        <v>-19.632581999999999</v>
      </c>
      <c r="AQ1825">
        <v>-43.902416000000002</v>
      </c>
      <c r="AR1825">
        <v>28.617753432996459</v>
      </c>
      <c r="AS1825" t="s">
        <v>65</v>
      </c>
      <c r="AT1825">
        <v>1</v>
      </c>
      <c r="AU1825" t="s">
        <v>75</v>
      </c>
      <c r="AV1825" t="s">
        <v>76</v>
      </c>
      <c r="AW1825" t="s">
        <v>60</v>
      </c>
      <c r="AX1825" t="s">
        <v>68</v>
      </c>
      <c r="AY1825" t="s">
        <v>69</v>
      </c>
      <c r="AZ1825" t="b">
        <v>1</v>
      </c>
    </row>
    <row r="1826" spans="1:52" x14ac:dyDescent="0.3">
      <c r="A1826" t="s">
        <v>52</v>
      </c>
      <c r="B1826" t="s">
        <v>53</v>
      </c>
      <c r="C1826" t="s">
        <v>54</v>
      </c>
      <c r="D1826" t="s">
        <v>55</v>
      </c>
      <c r="E1826" t="s">
        <v>853</v>
      </c>
      <c r="F1826" t="s">
        <v>176</v>
      </c>
      <c r="G1826" t="s">
        <v>805</v>
      </c>
      <c r="H1826" t="s">
        <v>806</v>
      </c>
      <c r="I1826" t="s">
        <v>806</v>
      </c>
      <c r="J1826" t="s">
        <v>60</v>
      </c>
      <c r="K1826" t="s">
        <v>185</v>
      </c>
      <c r="L1826" t="s">
        <v>62</v>
      </c>
      <c r="M1826" t="s">
        <v>185</v>
      </c>
      <c r="N1826" t="s">
        <v>807</v>
      </c>
      <c r="O1826" t="s">
        <v>808</v>
      </c>
      <c r="P1826">
        <v>-19.627182000000001</v>
      </c>
      <c r="Q1826">
        <v>-43.902304999999998</v>
      </c>
      <c r="R1826" s="2" t="str">
        <f>HYPERLINK("https://www.google.com/maps?q=-19.6271820,-43.9023050","Abrir no Google Maps")</f>
        <v>Abrir no Google Maps</v>
      </c>
      <c r="S1826">
        <v>4</v>
      </c>
      <c r="T1826">
        <v>616.79254108479665</v>
      </c>
      <c r="U1826">
        <v>3</v>
      </c>
      <c r="V1826">
        <v>0.99553571428571441</v>
      </c>
      <c r="W1826">
        <v>0.85</v>
      </c>
      <c r="X1826">
        <v>0.84620535714285727</v>
      </c>
      <c r="Y1826">
        <v>7</v>
      </c>
      <c r="Z1826">
        <v>380.94095493365262</v>
      </c>
      <c r="AA1826">
        <v>2</v>
      </c>
      <c r="AB1826">
        <v>3</v>
      </c>
      <c r="AC1826">
        <v>7</v>
      </c>
      <c r="AD1826">
        <v>24.9</v>
      </c>
      <c r="AE1826">
        <v>253</v>
      </c>
      <c r="AF1826">
        <v>12</v>
      </c>
      <c r="AG1826">
        <v>66</v>
      </c>
      <c r="AH1826">
        <v>32</v>
      </c>
      <c r="AI1826">
        <v>4.74</v>
      </c>
      <c r="AJ1826">
        <v>26.09</v>
      </c>
      <c r="AK1826">
        <v>12.65</v>
      </c>
      <c r="AL1826">
        <v>-19.62716294999996</v>
      </c>
      <c r="AM1826">
        <v>-43.902133386240209</v>
      </c>
      <c r="AN1826">
        <v>-19.62716294999996</v>
      </c>
      <c r="AO1826">
        <v>-43.902133386240209</v>
      </c>
      <c r="AP1826">
        <v>-19.627182000000001</v>
      </c>
      <c r="AQ1826">
        <v>-43.902304999999998</v>
      </c>
      <c r="AR1826">
        <v>18.118597424375309</v>
      </c>
      <c r="AS1826" t="s">
        <v>65</v>
      </c>
      <c r="AT1826">
        <v>1</v>
      </c>
      <c r="AU1826" t="s">
        <v>809</v>
      </c>
      <c r="AV1826" t="s">
        <v>810</v>
      </c>
      <c r="AW1826" t="s">
        <v>60</v>
      </c>
      <c r="AX1826" t="s">
        <v>68</v>
      </c>
      <c r="AY1826" t="s">
        <v>69</v>
      </c>
      <c r="AZ1826" t="b">
        <v>1</v>
      </c>
    </row>
    <row r="1827" spans="1:52" x14ac:dyDescent="0.3">
      <c r="A1827" t="s">
        <v>52</v>
      </c>
      <c r="B1827" t="s">
        <v>53</v>
      </c>
      <c r="C1827" t="s">
        <v>54</v>
      </c>
      <c r="D1827" t="s">
        <v>55</v>
      </c>
      <c r="E1827" t="s">
        <v>853</v>
      </c>
      <c r="F1827" t="s">
        <v>176</v>
      </c>
      <c r="G1827" t="s">
        <v>183</v>
      </c>
      <c r="H1827" t="s">
        <v>184</v>
      </c>
      <c r="I1827" t="s">
        <v>184</v>
      </c>
      <c r="J1827" t="s">
        <v>60</v>
      </c>
      <c r="K1827" t="s">
        <v>185</v>
      </c>
      <c r="L1827" t="s">
        <v>62</v>
      </c>
      <c r="M1827" t="s">
        <v>185</v>
      </c>
      <c r="N1827" t="s">
        <v>186</v>
      </c>
      <c r="O1827" t="s">
        <v>187</v>
      </c>
      <c r="P1827">
        <v>-19.628589000000002</v>
      </c>
      <c r="Q1827">
        <v>-43.900232000000003</v>
      </c>
      <c r="R1827" s="2" t="str">
        <f>HYPERLINK("https://www.google.com/maps?q=-19.6285890,-43.9002320","Abrir no Google Maps")</f>
        <v>Abrir no Google Maps</v>
      </c>
      <c r="S1827">
        <v>4</v>
      </c>
      <c r="T1827">
        <v>479.31588622283061</v>
      </c>
      <c r="U1827">
        <v>3</v>
      </c>
      <c r="V1827">
        <v>0.98404255319148937</v>
      </c>
      <c r="W1827">
        <v>0.85</v>
      </c>
      <c r="X1827">
        <v>0.83643617021276595</v>
      </c>
      <c r="Y1827">
        <v>6</v>
      </c>
      <c r="Z1827">
        <v>383.34726345998263</v>
      </c>
      <c r="AA1827">
        <v>2</v>
      </c>
      <c r="AB1827">
        <v>3</v>
      </c>
      <c r="AC1827">
        <v>7</v>
      </c>
      <c r="AD1827">
        <v>24.9</v>
      </c>
      <c r="AE1827">
        <v>253</v>
      </c>
      <c r="AF1827">
        <v>12</v>
      </c>
      <c r="AG1827">
        <v>66</v>
      </c>
      <c r="AH1827">
        <v>32</v>
      </c>
      <c r="AI1827">
        <v>4.74</v>
      </c>
      <c r="AJ1827">
        <v>26.09</v>
      </c>
      <c r="AK1827">
        <v>12.65</v>
      </c>
      <c r="AL1827">
        <v>-19.628813749999949</v>
      </c>
      <c r="AM1827">
        <v>-43.90066394563523</v>
      </c>
      <c r="AN1827">
        <v>-19.628813749999949</v>
      </c>
      <c r="AO1827">
        <v>-43.90066394563523</v>
      </c>
      <c r="AP1827">
        <v>-19.628589000000002</v>
      </c>
      <c r="AQ1827">
        <v>-43.900232000000003</v>
      </c>
      <c r="AR1827">
        <v>51.741071441894853</v>
      </c>
      <c r="AS1827" t="s">
        <v>65</v>
      </c>
      <c r="AT1827">
        <v>1</v>
      </c>
      <c r="AU1827" t="s">
        <v>188</v>
      </c>
      <c r="AV1827" t="s">
        <v>189</v>
      </c>
      <c r="AW1827" t="s">
        <v>60</v>
      </c>
      <c r="AX1827" t="s">
        <v>68</v>
      </c>
      <c r="AY1827" t="s">
        <v>69</v>
      </c>
      <c r="AZ1827" t="b">
        <v>1</v>
      </c>
    </row>
    <row r="1828" spans="1:52" x14ac:dyDescent="0.3">
      <c r="A1828" t="s">
        <v>52</v>
      </c>
      <c r="B1828" t="s">
        <v>53</v>
      </c>
      <c r="C1828" t="s">
        <v>54</v>
      </c>
      <c r="D1828" t="s">
        <v>55</v>
      </c>
      <c r="E1828" t="s">
        <v>853</v>
      </c>
      <c r="F1828" t="s">
        <v>176</v>
      </c>
      <c r="G1828" t="s">
        <v>197</v>
      </c>
      <c r="H1828" t="s">
        <v>198</v>
      </c>
      <c r="I1828" t="s">
        <v>198</v>
      </c>
      <c r="J1828" t="s">
        <v>60</v>
      </c>
      <c r="K1828" t="s">
        <v>199</v>
      </c>
      <c r="L1828" t="s">
        <v>62</v>
      </c>
      <c r="M1828" t="s">
        <v>199</v>
      </c>
      <c r="N1828" t="s">
        <v>200</v>
      </c>
      <c r="O1828" t="s">
        <v>201</v>
      </c>
      <c r="P1828">
        <v>-19.639250000000001</v>
      </c>
      <c r="Q1828">
        <v>-43.916449999999998</v>
      </c>
      <c r="R1828" s="2" t="str">
        <f>HYPERLINK("https://www.google.com/maps?q=-19.6392500,-43.9164500","Abrir no Google Maps")</f>
        <v>Abrir no Google Maps</v>
      </c>
      <c r="S1828">
        <v>4</v>
      </c>
      <c r="T1828">
        <v>249.46350881074861</v>
      </c>
      <c r="U1828">
        <v>3</v>
      </c>
      <c r="V1828">
        <v>0.83210784313725483</v>
      </c>
      <c r="W1828">
        <v>1</v>
      </c>
      <c r="X1828">
        <v>0.83210784313725483</v>
      </c>
      <c r="Y1828">
        <v>3</v>
      </c>
      <c r="Z1828">
        <v>267.54148787490578</v>
      </c>
      <c r="AA1828">
        <v>2</v>
      </c>
      <c r="AB1828">
        <v>3</v>
      </c>
      <c r="AC1828">
        <v>7</v>
      </c>
      <c r="AD1828">
        <v>24.9</v>
      </c>
      <c r="AE1828">
        <v>253</v>
      </c>
      <c r="AF1828">
        <v>12</v>
      </c>
      <c r="AG1828">
        <v>66</v>
      </c>
      <c r="AH1828">
        <v>32</v>
      </c>
      <c r="AI1828">
        <v>4.74</v>
      </c>
      <c r="AJ1828">
        <v>26.09</v>
      </c>
      <c r="AK1828">
        <v>12.65</v>
      </c>
      <c r="AL1828">
        <v>-19.639331149999951</v>
      </c>
      <c r="AM1828">
        <v>-43.916434187886892</v>
      </c>
      <c r="AN1828">
        <v>-19.639331149999951</v>
      </c>
      <c r="AO1828">
        <v>-43.916434187886892</v>
      </c>
      <c r="AP1828">
        <v>-19.639250000000001</v>
      </c>
      <c r="AQ1828">
        <v>-43.916449999999998</v>
      </c>
      <c r="AR1828">
        <v>9.1844750188843953</v>
      </c>
      <c r="AS1828" t="s">
        <v>65</v>
      </c>
      <c r="AT1828">
        <v>1</v>
      </c>
      <c r="AU1828" t="s">
        <v>202</v>
      </c>
      <c r="AV1828" t="s">
        <v>203</v>
      </c>
      <c r="AW1828" t="s">
        <v>60</v>
      </c>
      <c r="AX1828" t="s">
        <v>68</v>
      </c>
      <c r="AY1828" t="s">
        <v>69</v>
      </c>
      <c r="AZ1828" t="b">
        <v>1</v>
      </c>
    </row>
    <row r="1829" spans="1:52" x14ac:dyDescent="0.3">
      <c r="A1829" t="s">
        <v>52</v>
      </c>
      <c r="B1829" t="s">
        <v>53</v>
      </c>
      <c r="C1829" t="s">
        <v>54</v>
      </c>
      <c r="D1829" t="s">
        <v>55</v>
      </c>
      <c r="E1829" t="s">
        <v>853</v>
      </c>
      <c r="F1829" t="s">
        <v>176</v>
      </c>
      <c r="G1829" t="s">
        <v>204</v>
      </c>
      <c r="H1829" t="s">
        <v>205</v>
      </c>
      <c r="I1829" t="s">
        <v>205</v>
      </c>
      <c r="J1829" t="s">
        <v>60</v>
      </c>
      <c r="K1829" t="s">
        <v>171</v>
      </c>
      <c r="L1829" t="s">
        <v>62</v>
      </c>
      <c r="M1829" t="s">
        <v>171</v>
      </c>
      <c r="N1829" t="s">
        <v>206</v>
      </c>
      <c r="O1829" t="s">
        <v>207</v>
      </c>
      <c r="P1829">
        <v>-19.674109000000001</v>
      </c>
      <c r="Q1829">
        <v>-43.890711000000003</v>
      </c>
      <c r="R1829" s="2" t="str">
        <f>HYPERLINK("https://www.google.com/maps?q=-19.6741090,-43.8907110","Abrir no Google Maps")</f>
        <v>Abrir no Google Maps</v>
      </c>
      <c r="S1829">
        <v>4</v>
      </c>
      <c r="T1829">
        <v>396.53059443764772</v>
      </c>
      <c r="U1829">
        <v>3</v>
      </c>
      <c r="V1829">
        <v>0.84398496240601495</v>
      </c>
      <c r="W1829">
        <v>1</v>
      </c>
      <c r="X1829">
        <v>0.84398496240601495</v>
      </c>
      <c r="Y1829">
        <v>3</v>
      </c>
      <c r="Z1829">
        <v>499.22520255557538</v>
      </c>
      <c r="AA1829">
        <v>2</v>
      </c>
      <c r="AB1829">
        <v>3</v>
      </c>
      <c r="AC1829">
        <v>7</v>
      </c>
      <c r="AD1829">
        <v>24.9</v>
      </c>
      <c r="AE1829">
        <v>253</v>
      </c>
      <c r="AF1829">
        <v>12</v>
      </c>
      <c r="AG1829">
        <v>66</v>
      </c>
      <c r="AH1829">
        <v>32</v>
      </c>
      <c r="AI1829">
        <v>4.74</v>
      </c>
      <c r="AJ1829">
        <v>26.09</v>
      </c>
      <c r="AK1829">
        <v>12.65</v>
      </c>
      <c r="AL1829">
        <v>-19.67362479999997</v>
      </c>
      <c r="AM1829">
        <v>-43.89068378253377</v>
      </c>
      <c r="AN1829">
        <v>-19.67362479999997</v>
      </c>
      <c r="AO1829">
        <v>-43.89068378253377</v>
      </c>
      <c r="AP1829">
        <v>-19.674109000000001</v>
      </c>
      <c r="AQ1829">
        <v>-43.890711000000003</v>
      </c>
      <c r="AR1829">
        <v>53.976595260276227</v>
      </c>
      <c r="AS1829" t="s">
        <v>65</v>
      </c>
      <c r="AT1829">
        <v>1</v>
      </c>
      <c r="AU1829" t="s">
        <v>208</v>
      </c>
      <c r="AV1829" t="s">
        <v>209</v>
      </c>
      <c r="AW1829" t="s">
        <v>60</v>
      </c>
      <c r="AX1829" t="s">
        <v>68</v>
      </c>
      <c r="AY1829" t="s">
        <v>69</v>
      </c>
      <c r="AZ1829" t="b">
        <v>1</v>
      </c>
    </row>
    <row r="1830" spans="1:52" x14ac:dyDescent="0.3">
      <c r="A1830" t="s">
        <v>52</v>
      </c>
      <c r="B1830" t="s">
        <v>53</v>
      </c>
      <c r="C1830" t="s">
        <v>54</v>
      </c>
      <c r="D1830" t="s">
        <v>55</v>
      </c>
      <c r="E1830" t="s">
        <v>853</v>
      </c>
      <c r="F1830" t="s">
        <v>176</v>
      </c>
      <c r="G1830" t="s">
        <v>197</v>
      </c>
      <c r="H1830" t="s">
        <v>224</v>
      </c>
      <c r="I1830" t="s">
        <v>224</v>
      </c>
      <c r="J1830" t="s">
        <v>60</v>
      </c>
      <c r="K1830" t="s">
        <v>199</v>
      </c>
      <c r="L1830" t="s">
        <v>62</v>
      </c>
      <c r="M1830" t="s">
        <v>199</v>
      </c>
      <c r="N1830" t="s">
        <v>200</v>
      </c>
      <c r="O1830" t="s">
        <v>225</v>
      </c>
      <c r="P1830">
        <v>-19.637217</v>
      </c>
      <c r="Q1830">
        <v>-43.916117</v>
      </c>
      <c r="R1830" s="2" t="str">
        <f>HYPERLINK("https://www.google.com/maps?q=-19.6372170,-43.9161170","Abrir no Google Maps")</f>
        <v>Abrir no Google Maps</v>
      </c>
      <c r="S1830">
        <v>4</v>
      </c>
      <c r="T1830">
        <v>0</v>
      </c>
      <c r="U1830">
        <v>3</v>
      </c>
      <c r="V1830">
        <v>0.85431654676258995</v>
      </c>
      <c r="W1830">
        <v>1</v>
      </c>
      <c r="X1830">
        <v>0.85431654676258995</v>
      </c>
      <c r="Y1830">
        <v>3</v>
      </c>
      <c r="Z1830">
        <v>94.289538231800577</v>
      </c>
      <c r="AA1830">
        <v>2</v>
      </c>
      <c r="AB1830">
        <v>3</v>
      </c>
      <c r="AC1830">
        <v>7</v>
      </c>
      <c r="AD1830">
        <v>24.9</v>
      </c>
      <c r="AE1830">
        <v>253</v>
      </c>
      <c r="AF1830">
        <v>12</v>
      </c>
      <c r="AG1830">
        <v>66</v>
      </c>
      <c r="AH1830">
        <v>32</v>
      </c>
      <c r="AI1830">
        <v>4.74</v>
      </c>
      <c r="AJ1830">
        <v>26.09</v>
      </c>
      <c r="AK1830">
        <v>12.65</v>
      </c>
      <c r="AL1830">
        <v>-19.63714454999996</v>
      </c>
      <c r="AM1830">
        <v>-43.915856532303224</v>
      </c>
      <c r="AN1830">
        <v>-19.63714454999996</v>
      </c>
      <c r="AO1830">
        <v>-43.915856532303224</v>
      </c>
      <c r="AP1830">
        <v>-19.637217</v>
      </c>
      <c r="AQ1830">
        <v>-43.916117</v>
      </c>
      <c r="AR1830">
        <v>28.47493692061667</v>
      </c>
      <c r="AS1830" t="s">
        <v>65</v>
      </c>
      <c r="AT1830">
        <v>1</v>
      </c>
      <c r="AU1830" t="s">
        <v>226</v>
      </c>
      <c r="AV1830" t="s">
        <v>227</v>
      </c>
      <c r="AW1830" t="s">
        <v>60</v>
      </c>
      <c r="AX1830" t="s">
        <v>68</v>
      </c>
      <c r="AY1830" t="s">
        <v>69</v>
      </c>
      <c r="AZ1830" t="b">
        <v>1</v>
      </c>
    </row>
    <row r="1831" spans="1:52" x14ac:dyDescent="0.3">
      <c r="A1831" t="s">
        <v>52</v>
      </c>
      <c r="B1831" t="s">
        <v>53</v>
      </c>
      <c r="C1831" t="s">
        <v>54</v>
      </c>
      <c r="D1831" t="s">
        <v>55</v>
      </c>
      <c r="E1831" t="s">
        <v>853</v>
      </c>
      <c r="F1831" t="s">
        <v>176</v>
      </c>
      <c r="G1831" t="s">
        <v>228</v>
      </c>
      <c r="H1831" t="s">
        <v>229</v>
      </c>
      <c r="I1831" t="s">
        <v>229</v>
      </c>
      <c r="J1831" t="s">
        <v>60</v>
      </c>
      <c r="K1831" t="s">
        <v>199</v>
      </c>
      <c r="L1831" t="s">
        <v>62</v>
      </c>
      <c r="M1831" t="s">
        <v>199</v>
      </c>
      <c r="N1831" t="s">
        <v>230</v>
      </c>
      <c r="O1831" t="s">
        <v>88</v>
      </c>
      <c r="P1831">
        <v>-19.637703999999999</v>
      </c>
      <c r="Q1831">
        <v>-43.913817999999999</v>
      </c>
      <c r="R1831" s="2" t="str">
        <f>HYPERLINK("https://www.google.com/maps?q=-19.6377040,-43.9138180","Abrir no Google Maps")</f>
        <v>Abrir no Google Maps</v>
      </c>
      <c r="S1831">
        <v>4</v>
      </c>
      <c r="T1831">
        <v>216.67225021659709</v>
      </c>
      <c r="U1831">
        <v>3</v>
      </c>
      <c r="V1831">
        <v>0.87589928057553956</v>
      </c>
      <c r="W1831">
        <v>1</v>
      </c>
      <c r="X1831">
        <v>0.87589928057553956</v>
      </c>
      <c r="Y1831">
        <v>3</v>
      </c>
      <c r="Z1831">
        <v>250.25912407368671</v>
      </c>
      <c r="AA1831">
        <v>2</v>
      </c>
      <c r="AB1831">
        <v>3</v>
      </c>
      <c r="AC1831">
        <v>7</v>
      </c>
      <c r="AD1831">
        <v>24.9</v>
      </c>
      <c r="AE1831">
        <v>253</v>
      </c>
      <c r="AF1831">
        <v>12</v>
      </c>
      <c r="AG1831">
        <v>66</v>
      </c>
      <c r="AH1831">
        <v>32</v>
      </c>
      <c r="AI1831">
        <v>4.74</v>
      </c>
      <c r="AJ1831">
        <v>26.09</v>
      </c>
      <c r="AK1831">
        <v>12.65</v>
      </c>
      <c r="AL1831">
        <v>-19.637548049999939</v>
      </c>
      <c r="AM1831">
        <v>-43.91383458447649</v>
      </c>
      <c r="AN1831">
        <v>-19.637548049999939</v>
      </c>
      <c r="AO1831">
        <v>-43.91383458447649</v>
      </c>
      <c r="AP1831">
        <v>-19.637703999999999</v>
      </c>
      <c r="AQ1831">
        <v>-43.913817999999999</v>
      </c>
      <c r="AR1831">
        <v>17.44721566371809</v>
      </c>
      <c r="AS1831" t="s">
        <v>65</v>
      </c>
      <c r="AT1831">
        <v>1</v>
      </c>
      <c r="AU1831" t="s">
        <v>231</v>
      </c>
      <c r="AV1831" t="s">
        <v>232</v>
      </c>
      <c r="AW1831" t="s">
        <v>60</v>
      </c>
      <c r="AX1831" t="s">
        <v>68</v>
      </c>
      <c r="AY1831" t="s">
        <v>69</v>
      </c>
      <c r="AZ1831" t="b">
        <v>1</v>
      </c>
    </row>
    <row r="1832" spans="1:52" x14ac:dyDescent="0.3">
      <c r="A1832" t="s">
        <v>52</v>
      </c>
      <c r="B1832" t="s">
        <v>53</v>
      </c>
      <c r="C1832" t="s">
        <v>54</v>
      </c>
      <c r="D1832" t="s">
        <v>55</v>
      </c>
      <c r="E1832" t="s">
        <v>853</v>
      </c>
      <c r="F1832" t="s">
        <v>176</v>
      </c>
      <c r="G1832" t="s">
        <v>151</v>
      </c>
      <c r="H1832" t="s">
        <v>152</v>
      </c>
      <c r="I1832" t="s">
        <v>152</v>
      </c>
      <c r="J1832" t="s">
        <v>60</v>
      </c>
      <c r="K1832" t="s">
        <v>72</v>
      </c>
      <c r="L1832" t="s">
        <v>62</v>
      </c>
      <c r="M1832" t="s">
        <v>72</v>
      </c>
      <c r="N1832" t="s">
        <v>153</v>
      </c>
      <c r="O1832" t="s">
        <v>81</v>
      </c>
      <c r="P1832">
        <v>-19.635065999999998</v>
      </c>
      <c r="Q1832">
        <v>-43.916640000000001</v>
      </c>
      <c r="R1832" s="2" t="str">
        <f>HYPERLINK("https://www.google.com/maps?q=-19.6350660,-43.9166400","Abrir no Google Maps")</f>
        <v>Abrir no Google Maps</v>
      </c>
      <c r="S1832">
        <v>4</v>
      </c>
      <c r="T1832">
        <v>245.09875796292749</v>
      </c>
      <c r="U1832">
        <v>3</v>
      </c>
      <c r="V1832">
        <v>0.845703125</v>
      </c>
      <c r="W1832">
        <v>1</v>
      </c>
      <c r="X1832">
        <v>0.845703125</v>
      </c>
      <c r="Y1832">
        <v>3</v>
      </c>
      <c r="Z1832">
        <v>207.74356419317499</v>
      </c>
      <c r="AA1832">
        <v>2</v>
      </c>
      <c r="AB1832">
        <v>3</v>
      </c>
      <c r="AC1832">
        <v>7</v>
      </c>
      <c r="AD1832">
        <v>24.9</v>
      </c>
      <c r="AE1832">
        <v>253</v>
      </c>
      <c r="AF1832">
        <v>12</v>
      </c>
      <c r="AG1832">
        <v>66</v>
      </c>
      <c r="AH1832">
        <v>32</v>
      </c>
      <c r="AI1832">
        <v>4.74</v>
      </c>
      <c r="AJ1832">
        <v>26.09</v>
      </c>
      <c r="AK1832">
        <v>12.65</v>
      </c>
      <c r="AL1832">
        <v>-19.63505579999995</v>
      </c>
      <c r="AM1832">
        <v>-43.916633303072622</v>
      </c>
      <c r="AN1832">
        <v>-19.63505579999995</v>
      </c>
      <c r="AO1832">
        <v>-43.916633303072622</v>
      </c>
      <c r="AP1832">
        <v>-19.635065999999998</v>
      </c>
      <c r="AQ1832">
        <v>-43.916640000000001</v>
      </c>
      <c r="AR1832">
        <v>1.335026849412978</v>
      </c>
      <c r="AS1832" t="s">
        <v>65</v>
      </c>
      <c r="AT1832">
        <v>1</v>
      </c>
      <c r="AU1832" t="s">
        <v>154</v>
      </c>
      <c r="AV1832" t="s">
        <v>155</v>
      </c>
      <c r="AW1832" t="s">
        <v>60</v>
      </c>
      <c r="AX1832" t="s">
        <v>68</v>
      </c>
      <c r="AY1832" t="s">
        <v>69</v>
      </c>
      <c r="AZ1832" t="b">
        <v>1</v>
      </c>
    </row>
    <row r="1833" spans="1:52" x14ac:dyDescent="0.3">
      <c r="A1833" t="s">
        <v>52</v>
      </c>
      <c r="B1833" t="s">
        <v>53</v>
      </c>
      <c r="C1833" t="s">
        <v>54</v>
      </c>
      <c r="D1833" t="s">
        <v>55</v>
      </c>
      <c r="E1833" t="s">
        <v>853</v>
      </c>
      <c r="F1833" t="s">
        <v>176</v>
      </c>
      <c r="G1833" t="s">
        <v>156</v>
      </c>
      <c r="H1833" t="s">
        <v>157</v>
      </c>
      <c r="I1833" t="s">
        <v>157</v>
      </c>
      <c r="J1833" t="s">
        <v>60</v>
      </c>
      <c r="K1833" t="s">
        <v>79</v>
      </c>
      <c r="L1833" t="s">
        <v>62</v>
      </c>
      <c r="M1833" t="s">
        <v>79</v>
      </c>
      <c r="N1833" t="s">
        <v>158</v>
      </c>
      <c r="O1833" t="s">
        <v>159</v>
      </c>
      <c r="P1833">
        <v>-19.634687</v>
      </c>
      <c r="Q1833">
        <v>-43.912925999999999</v>
      </c>
      <c r="R1833" s="2" t="str">
        <f>HYPERLINK("https://www.google.com/maps?q=-19.6346870,-43.9129260","Abrir no Google Maps")</f>
        <v>Abrir no Google Maps</v>
      </c>
      <c r="S1833">
        <v>4</v>
      </c>
      <c r="T1833">
        <v>363.69725005634331</v>
      </c>
      <c r="U1833">
        <v>3</v>
      </c>
      <c r="V1833">
        <v>0.86822660098522164</v>
      </c>
      <c r="W1833">
        <v>1</v>
      </c>
      <c r="X1833">
        <v>0.86822660098522164</v>
      </c>
      <c r="Y1833">
        <v>3</v>
      </c>
      <c r="Z1833">
        <v>343.04088334900467</v>
      </c>
      <c r="AA1833">
        <v>2</v>
      </c>
      <c r="AB1833">
        <v>3</v>
      </c>
      <c r="AC1833">
        <v>7</v>
      </c>
      <c r="AD1833">
        <v>24.9</v>
      </c>
      <c r="AE1833">
        <v>253</v>
      </c>
      <c r="AF1833">
        <v>12</v>
      </c>
      <c r="AG1833">
        <v>66</v>
      </c>
      <c r="AH1833">
        <v>32</v>
      </c>
      <c r="AI1833">
        <v>4.74</v>
      </c>
      <c r="AJ1833">
        <v>26.09</v>
      </c>
      <c r="AK1833">
        <v>12.65</v>
      </c>
      <c r="AL1833">
        <v>-19.635145849999962</v>
      </c>
      <c r="AM1833">
        <v>-43.913103387269381</v>
      </c>
      <c r="AN1833">
        <v>-19.635145849999962</v>
      </c>
      <c r="AO1833">
        <v>-43.913103387269381</v>
      </c>
      <c r="AP1833">
        <v>-19.634687</v>
      </c>
      <c r="AQ1833">
        <v>-43.912925999999999</v>
      </c>
      <c r="AR1833">
        <v>54.359794849827942</v>
      </c>
      <c r="AS1833" t="s">
        <v>65</v>
      </c>
      <c r="AT1833">
        <v>1</v>
      </c>
      <c r="AU1833" t="s">
        <v>160</v>
      </c>
      <c r="AV1833" t="s">
        <v>161</v>
      </c>
      <c r="AW1833" t="s">
        <v>60</v>
      </c>
      <c r="AX1833" t="s">
        <v>68</v>
      </c>
      <c r="AY1833" t="s">
        <v>69</v>
      </c>
      <c r="AZ1833" t="b">
        <v>1</v>
      </c>
    </row>
    <row r="1834" spans="1:52" x14ac:dyDescent="0.3">
      <c r="A1834" t="s">
        <v>52</v>
      </c>
      <c r="B1834" t="s">
        <v>53</v>
      </c>
      <c r="C1834" t="s">
        <v>54</v>
      </c>
      <c r="D1834" t="s">
        <v>55</v>
      </c>
      <c r="E1834" t="s">
        <v>853</v>
      </c>
      <c r="F1834" t="s">
        <v>176</v>
      </c>
      <c r="G1834" t="s">
        <v>239</v>
      </c>
      <c r="H1834" t="s">
        <v>240</v>
      </c>
      <c r="I1834" t="s">
        <v>240</v>
      </c>
      <c r="J1834" t="s">
        <v>60</v>
      </c>
      <c r="K1834" t="s">
        <v>241</v>
      </c>
      <c r="L1834" t="s">
        <v>62</v>
      </c>
      <c r="M1834" t="s">
        <v>241</v>
      </c>
      <c r="N1834" t="s">
        <v>242</v>
      </c>
      <c r="O1834" t="s">
        <v>243</v>
      </c>
      <c r="P1834">
        <v>-19.64987</v>
      </c>
      <c r="Q1834">
        <v>-43.901328999999997</v>
      </c>
      <c r="R1834" s="2" t="str">
        <f>HYPERLINK("https://www.google.com/maps?q=-19.6498700,-43.9013290","Abrir no Google Maps")</f>
        <v>Abrir no Google Maps</v>
      </c>
      <c r="S1834">
        <v>4</v>
      </c>
      <c r="T1834">
        <v>379.88574886534309</v>
      </c>
      <c r="U1834">
        <v>3</v>
      </c>
      <c r="V1834">
        <v>0.91287878787878785</v>
      </c>
      <c r="W1834">
        <v>1</v>
      </c>
      <c r="X1834">
        <v>0.91287878787878785</v>
      </c>
      <c r="Y1834">
        <v>1</v>
      </c>
      <c r="Z1834">
        <v>442.33649591135162</v>
      </c>
      <c r="AA1834">
        <v>2</v>
      </c>
      <c r="AB1834">
        <v>3</v>
      </c>
      <c r="AC1834">
        <v>7</v>
      </c>
      <c r="AD1834">
        <v>24.9</v>
      </c>
      <c r="AE1834">
        <v>253</v>
      </c>
      <c r="AF1834">
        <v>12</v>
      </c>
      <c r="AG1834">
        <v>66</v>
      </c>
      <c r="AH1834">
        <v>32</v>
      </c>
      <c r="AI1834">
        <v>4.74</v>
      </c>
      <c r="AJ1834">
        <v>26.09</v>
      </c>
      <c r="AK1834">
        <v>12.65</v>
      </c>
      <c r="AL1834">
        <v>-19.64971674999995</v>
      </c>
      <c r="AM1834">
        <v>-43.901441574655102</v>
      </c>
      <c r="AN1834">
        <v>-19.64971674999995</v>
      </c>
      <c r="AO1834">
        <v>-43.901441574655102</v>
      </c>
      <c r="AP1834">
        <v>-19.64987</v>
      </c>
      <c r="AQ1834">
        <v>-43.901328999999997</v>
      </c>
      <c r="AR1834">
        <v>20.744262514610401</v>
      </c>
      <c r="AS1834" t="s">
        <v>65</v>
      </c>
      <c r="AT1834">
        <v>1</v>
      </c>
      <c r="AU1834" t="s">
        <v>244</v>
      </c>
      <c r="AV1834" t="s">
        <v>245</v>
      </c>
      <c r="AW1834" t="s">
        <v>60</v>
      </c>
      <c r="AX1834" t="s">
        <v>68</v>
      </c>
      <c r="AY1834" t="s">
        <v>69</v>
      </c>
      <c r="AZ1834" t="b">
        <v>1</v>
      </c>
    </row>
    <row r="1835" spans="1:52" x14ac:dyDescent="0.3">
      <c r="A1835" t="s">
        <v>52</v>
      </c>
      <c r="B1835" t="s">
        <v>53</v>
      </c>
      <c r="C1835" t="s">
        <v>54</v>
      </c>
      <c r="D1835" t="s">
        <v>55</v>
      </c>
      <c r="E1835" t="s">
        <v>853</v>
      </c>
      <c r="F1835" t="s">
        <v>176</v>
      </c>
      <c r="G1835" t="s">
        <v>637</v>
      </c>
      <c r="H1835" t="s">
        <v>638</v>
      </c>
      <c r="I1835" t="s">
        <v>638</v>
      </c>
      <c r="J1835" t="s">
        <v>60</v>
      </c>
      <c r="K1835" t="s">
        <v>164</v>
      </c>
      <c r="L1835" t="s">
        <v>62</v>
      </c>
      <c r="M1835" t="s">
        <v>164</v>
      </c>
      <c r="N1835" t="s">
        <v>515</v>
      </c>
      <c r="O1835" t="s">
        <v>639</v>
      </c>
      <c r="P1835">
        <v>-19.649045000000001</v>
      </c>
      <c r="Q1835">
        <v>-43.906213000000001</v>
      </c>
      <c r="R1835" s="2" t="str">
        <f>HYPERLINK("https://www.google.com/maps?q=-19.6490450,-43.9062130","Abrir no Google Maps")</f>
        <v>Abrir no Google Maps</v>
      </c>
      <c r="S1835">
        <v>4</v>
      </c>
      <c r="T1835">
        <v>354.5775313741824</v>
      </c>
      <c r="U1835">
        <v>3</v>
      </c>
      <c r="V1835">
        <v>0.98250000000000004</v>
      </c>
      <c r="W1835">
        <v>0.85</v>
      </c>
      <c r="X1835">
        <v>0.83512500000000001</v>
      </c>
      <c r="Y1835">
        <v>1</v>
      </c>
      <c r="Z1835">
        <v>313.4728845052731</v>
      </c>
      <c r="AA1835">
        <v>2</v>
      </c>
      <c r="AB1835">
        <v>3</v>
      </c>
      <c r="AC1835">
        <v>7</v>
      </c>
      <c r="AD1835">
        <v>24.9</v>
      </c>
      <c r="AE1835">
        <v>253</v>
      </c>
      <c r="AF1835">
        <v>12</v>
      </c>
      <c r="AG1835">
        <v>66</v>
      </c>
      <c r="AH1835">
        <v>32</v>
      </c>
      <c r="AI1835">
        <v>4.74</v>
      </c>
      <c r="AJ1835">
        <v>26.09</v>
      </c>
      <c r="AK1835">
        <v>12.65</v>
      </c>
      <c r="AL1835">
        <v>-19.64957229999996</v>
      </c>
      <c r="AM1835">
        <v>-43.905865971426437</v>
      </c>
      <c r="AN1835">
        <v>-19.64957229999996</v>
      </c>
      <c r="AO1835">
        <v>-43.905865971426437</v>
      </c>
      <c r="AP1835">
        <v>-19.649045000000001</v>
      </c>
      <c r="AQ1835">
        <v>-43.906213000000001</v>
      </c>
      <c r="AR1835">
        <v>69.059379686882949</v>
      </c>
      <c r="AS1835" t="s">
        <v>65</v>
      </c>
      <c r="AT1835">
        <v>1</v>
      </c>
      <c r="AU1835" t="s">
        <v>640</v>
      </c>
      <c r="AV1835" t="s">
        <v>641</v>
      </c>
      <c r="AW1835" t="s">
        <v>60</v>
      </c>
      <c r="AX1835" t="s">
        <v>68</v>
      </c>
      <c r="AY1835" t="s">
        <v>69</v>
      </c>
      <c r="AZ1835" t="b">
        <v>1</v>
      </c>
    </row>
    <row r="1836" spans="1:52" x14ac:dyDescent="0.3">
      <c r="A1836" t="s">
        <v>52</v>
      </c>
      <c r="B1836" t="s">
        <v>53</v>
      </c>
      <c r="C1836" t="s">
        <v>54</v>
      </c>
      <c r="D1836" t="s">
        <v>55</v>
      </c>
      <c r="E1836" t="s">
        <v>853</v>
      </c>
      <c r="F1836" t="s">
        <v>176</v>
      </c>
      <c r="G1836" t="s">
        <v>246</v>
      </c>
      <c r="H1836" t="s">
        <v>247</v>
      </c>
      <c r="I1836" t="s">
        <v>247</v>
      </c>
      <c r="J1836" t="s">
        <v>60</v>
      </c>
      <c r="K1836" t="s">
        <v>164</v>
      </c>
      <c r="L1836" t="s">
        <v>62</v>
      </c>
      <c r="M1836" t="s">
        <v>164</v>
      </c>
      <c r="N1836" t="s">
        <v>248</v>
      </c>
      <c r="O1836" t="s">
        <v>249</v>
      </c>
      <c r="P1836">
        <v>-19.6448</v>
      </c>
      <c r="Q1836">
        <v>-43.901600999999999</v>
      </c>
      <c r="R1836" s="2" t="str">
        <f>HYPERLINK("https://www.google.com/maps?q=-19.6448000,-43.9016010","Abrir no Google Maps")</f>
        <v>Abrir no Google Maps</v>
      </c>
      <c r="S1836">
        <v>4</v>
      </c>
      <c r="T1836">
        <v>317.869447308274</v>
      </c>
      <c r="U1836">
        <v>3</v>
      </c>
      <c r="V1836">
        <v>0.93430656934306555</v>
      </c>
      <c r="W1836">
        <v>1</v>
      </c>
      <c r="X1836">
        <v>0.93430656934306555</v>
      </c>
      <c r="Y1836">
        <v>1</v>
      </c>
      <c r="Z1836">
        <v>349.42631749673592</v>
      </c>
      <c r="AA1836">
        <v>2</v>
      </c>
      <c r="AB1836">
        <v>3</v>
      </c>
      <c r="AC1836">
        <v>7</v>
      </c>
      <c r="AD1836">
        <v>24.9</v>
      </c>
      <c r="AE1836">
        <v>253</v>
      </c>
      <c r="AF1836">
        <v>12</v>
      </c>
      <c r="AG1836">
        <v>66</v>
      </c>
      <c r="AH1836">
        <v>32</v>
      </c>
      <c r="AI1836">
        <v>4.74</v>
      </c>
      <c r="AJ1836">
        <v>26.09</v>
      </c>
      <c r="AK1836">
        <v>12.65</v>
      </c>
      <c r="AL1836">
        <v>-19.644877249999951</v>
      </c>
      <c r="AM1836">
        <v>-43.901796079893373</v>
      </c>
      <c r="AN1836">
        <v>-19.644877249999951</v>
      </c>
      <c r="AO1836">
        <v>-43.901796079893373</v>
      </c>
      <c r="AP1836">
        <v>-19.6448</v>
      </c>
      <c r="AQ1836">
        <v>-43.901600999999999</v>
      </c>
      <c r="AR1836">
        <v>22.186635956426102</v>
      </c>
      <c r="AS1836" t="s">
        <v>65</v>
      </c>
      <c r="AT1836">
        <v>1</v>
      </c>
      <c r="AU1836" t="s">
        <v>250</v>
      </c>
      <c r="AV1836" t="s">
        <v>251</v>
      </c>
      <c r="AW1836" t="s">
        <v>60</v>
      </c>
      <c r="AX1836" t="s">
        <v>68</v>
      </c>
      <c r="AY1836" t="s">
        <v>69</v>
      </c>
      <c r="AZ1836" t="b">
        <v>1</v>
      </c>
    </row>
    <row r="1837" spans="1:52" x14ac:dyDescent="0.3">
      <c r="A1837" t="s">
        <v>52</v>
      </c>
      <c r="B1837" t="s">
        <v>53</v>
      </c>
      <c r="C1837" t="s">
        <v>54</v>
      </c>
      <c r="D1837" t="s">
        <v>55</v>
      </c>
      <c r="E1837" t="s">
        <v>853</v>
      </c>
      <c r="F1837" t="s">
        <v>176</v>
      </c>
      <c r="G1837" t="s">
        <v>642</v>
      </c>
      <c r="H1837" t="s">
        <v>643</v>
      </c>
      <c r="I1837" t="s">
        <v>643</v>
      </c>
      <c r="J1837" t="s">
        <v>60</v>
      </c>
      <c r="K1837" t="s">
        <v>164</v>
      </c>
      <c r="L1837" t="s">
        <v>62</v>
      </c>
      <c r="M1837" t="s">
        <v>164</v>
      </c>
      <c r="N1837" t="s">
        <v>644</v>
      </c>
      <c r="O1837" t="s">
        <v>81</v>
      </c>
      <c r="P1837">
        <v>-19.644956000000001</v>
      </c>
      <c r="Q1837">
        <v>-43.901023000000002</v>
      </c>
      <c r="R1837" s="2" t="str">
        <f>HYPERLINK("https://www.google.com/maps?q=-19.6449560,-43.9010230","Abrir no Google Maps")</f>
        <v>Abrir no Google Maps</v>
      </c>
      <c r="S1837">
        <v>4</v>
      </c>
      <c r="T1837">
        <v>378.64754976511352</v>
      </c>
      <c r="U1837">
        <v>3</v>
      </c>
      <c r="V1837">
        <v>0.98499999999999999</v>
      </c>
      <c r="W1837">
        <v>0.85</v>
      </c>
      <c r="X1837">
        <v>0.83724999999999994</v>
      </c>
      <c r="Y1837">
        <v>1</v>
      </c>
      <c r="Z1837">
        <v>510.11108946713603</v>
      </c>
      <c r="AA1837">
        <v>2</v>
      </c>
      <c r="AB1837">
        <v>3</v>
      </c>
      <c r="AC1837">
        <v>7</v>
      </c>
      <c r="AD1837">
        <v>24.9</v>
      </c>
      <c r="AE1837">
        <v>253</v>
      </c>
      <c r="AF1837">
        <v>12</v>
      </c>
      <c r="AG1837">
        <v>66</v>
      </c>
      <c r="AH1837">
        <v>32</v>
      </c>
      <c r="AI1837">
        <v>4.74</v>
      </c>
      <c r="AJ1837">
        <v>26.09</v>
      </c>
      <c r="AK1837">
        <v>12.65</v>
      </c>
      <c r="AL1837">
        <v>-19.644933249999951</v>
      </c>
      <c r="AM1837">
        <v>-43.900932838618871</v>
      </c>
      <c r="AN1837">
        <v>-19.644933249999951</v>
      </c>
      <c r="AO1837">
        <v>-43.900932838618871</v>
      </c>
      <c r="AP1837">
        <v>-19.644956000000001</v>
      </c>
      <c r="AQ1837">
        <v>-43.901023000000002</v>
      </c>
      <c r="AR1837">
        <v>9.7859445473101285</v>
      </c>
      <c r="AS1837" t="s">
        <v>65</v>
      </c>
      <c r="AT1837">
        <v>1</v>
      </c>
      <c r="AU1837" t="s">
        <v>645</v>
      </c>
      <c r="AV1837" t="s">
        <v>646</v>
      </c>
      <c r="AW1837" t="s">
        <v>60</v>
      </c>
      <c r="AX1837" t="s">
        <v>68</v>
      </c>
      <c r="AY1837" t="s">
        <v>69</v>
      </c>
      <c r="AZ1837" t="b">
        <v>1</v>
      </c>
    </row>
    <row r="1838" spans="1:52" x14ac:dyDescent="0.3">
      <c r="A1838" t="s">
        <v>52</v>
      </c>
      <c r="B1838" t="s">
        <v>53</v>
      </c>
      <c r="C1838" t="s">
        <v>54</v>
      </c>
      <c r="D1838" t="s">
        <v>55</v>
      </c>
      <c r="E1838" t="s">
        <v>853</v>
      </c>
      <c r="F1838" t="s">
        <v>176</v>
      </c>
      <c r="G1838" t="s">
        <v>658</v>
      </c>
      <c r="H1838" t="s">
        <v>659</v>
      </c>
      <c r="I1838" t="s">
        <v>659</v>
      </c>
      <c r="J1838" t="s">
        <v>60</v>
      </c>
      <c r="K1838" t="s">
        <v>219</v>
      </c>
      <c r="L1838" t="s">
        <v>62</v>
      </c>
      <c r="M1838" t="s">
        <v>219</v>
      </c>
      <c r="N1838" t="s">
        <v>660</v>
      </c>
      <c r="O1838" t="s">
        <v>661</v>
      </c>
      <c r="P1838">
        <v>-19.666937999999998</v>
      </c>
      <c r="Q1838">
        <v>-43.888468000000003</v>
      </c>
      <c r="R1838" s="2" t="str">
        <f>HYPERLINK("https://www.google.com/maps?q=-19.6669380,-43.8884680","Abrir no Google Maps")</f>
        <v>Abrir no Google Maps</v>
      </c>
      <c r="S1838">
        <v>4</v>
      </c>
      <c r="T1838">
        <v>1154.601486572938</v>
      </c>
      <c r="U1838">
        <v>3</v>
      </c>
      <c r="V1838">
        <v>0.98464912280701755</v>
      </c>
      <c r="W1838">
        <v>0.85</v>
      </c>
      <c r="X1838">
        <v>0.83695175438596492</v>
      </c>
      <c r="Y1838">
        <v>1</v>
      </c>
      <c r="Z1838">
        <v>129.9648546404961</v>
      </c>
      <c r="AA1838">
        <v>2</v>
      </c>
      <c r="AB1838">
        <v>3</v>
      </c>
      <c r="AC1838">
        <v>7</v>
      </c>
      <c r="AD1838">
        <v>24.9</v>
      </c>
      <c r="AE1838">
        <v>253</v>
      </c>
      <c r="AF1838">
        <v>12</v>
      </c>
      <c r="AG1838">
        <v>66</v>
      </c>
      <c r="AH1838">
        <v>32</v>
      </c>
      <c r="AI1838">
        <v>4.74</v>
      </c>
      <c r="AJ1838">
        <v>26.09</v>
      </c>
      <c r="AK1838">
        <v>12.65</v>
      </c>
      <c r="AL1838">
        <v>-19.666844549999951</v>
      </c>
      <c r="AM1838">
        <v>-43.888501800017913</v>
      </c>
      <c r="AN1838">
        <v>-19.666844549999951</v>
      </c>
      <c r="AO1838">
        <v>-43.888501800017913</v>
      </c>
      <c r="AP1838">
        <v>-19.666937999999998</v>
      </c>
      <c r="AQ1838">
        <v>-43.888468000000003</v>
      </c>
      <c r="AR1838">
        <v>10.9896825754148</v>
      </c>
      <c r="AS1838" t="s">
        <v>65</v>
      </c>
      <c r="AT1838">
        <v>1</v>
      </c>
      <c r="AU1838" t="s">
        <v>662</v>
      </c>
      <c r="AV1838" t="s">
        <v>663</v>
      </c>
      <c r="AW1838" t="s">
        <v>60</v>
      </c>
      <c r="AX1838" t="s">
        <v>68</v>
      </c>
      <c r="AY1838" t="s">
        <v>69</v>
      </c>
      <c r="AZ1838" t="b">
        <v>1</v>
      </c>
    </row>
    <row r="1839" spans="1:52" x14ac:dyDescent="0.3">
      <c r="A1839" t="s">
        <v>52</v>
      </c>
      <c r="B1839" t="s">
        <v>53</v>
      </c>
      <c r="C1839" t="s">
        <v>54</v>
      </c>
      <c r="D1839" t="s">
        <v>55</v>
      </c>
      <c r="E1839" t="s">
        <v>853</v>
      </c>
      <c r="F1839" t="s">
        <v>176</v>
      </c>
      <c r="G1839" t="s">
        <v>169</v>
      </c>
      <c r="H1839" t="s">
        <v>170</v>
      </c>
      <c r="I1839" t="s">
        <v>170</v>
      </c>
      <c r="J1839" t="s">
        <v>60</v>
      </c>
      <c r="K1839" t="s">
        <v>171</v>
      </c>
      <c r="L1839" t="s">
        <v>62</v>
      </c>
      <c r="M1839" t="s">
        <v>171</v>
      </c>
      <c r="N1839" t="s">
        <v>172</v>
      </c>
      <c r="O1839" t="s">
        <v>173</v>
      </c>
      <c r="P1839">
        <v>-19.676233</v>
      </c>
      <c r="Q1839">
        <v>-43.88861</v>
      </c>
      <c r="R1839" s="2" t="str">
        <f>HYPERLINK("https://www.google.com/maps?q=-19.6762330,-43.8886100","Abrir no Google Maps")</f>
        <v>Abrir no Google Maps</v>
      </c>
      <c r="S1839">
        <v>4</v>
      </c>
      <c r="T1839">
        <v>209.5772620412292</v>
      </c>
      <c r="U1839">
        <v>3</v>
      </c>
      <c r="V1839">
        <v>0.85714285714285721</v>
      </c>
      <c r="W1839">
        <v>1</v>
      </c>
      <c r="X1839">
        <v>0.85714285714285721</v>
      </c>
      <c r="Y1839">
        <v>0</v>
      </c>
      <c r="Z1839">
        <v>194.26571923644971</v>
      </c>
      <c r="AA1839">
        <v>2</v>
      </c>
      <c r="AB1839">
        <v>3</v>
      </c>
      <c r="AC1839">
        <v>7</v>
      </c>
      <c r="AD1839">
        <v>24.9</v>
      </c>
      <c r="AE1839">
        <v>253</v>
      </c>
      <c r="AF1839">
        <v>12</v>
      </c>
      <c r="AG1839">
        <v>66</v>
      </c>
      <c r="AH1839">
        <v>32</v>
      </c>
      <c r="AI1839">
        <v>4.74</v>
      </c>
      <c r="AJ1839">
        <v>26.09</v>
      </c>
      <c r="AK1839">
        <v>12.65</v>
      </c>
      <c r="AL1839">
        <v>-19.676097449999961</v>
      </c>
      <c r="AM1839">
        <v>-43.888455613153738</v>
      </c>
      <c r="AN1839">
        <v>-19.676097449999961</v>
      </c>
      <c r="AO1839">
        <v>-43.888455613153738</v>
      </c>
      <c r="AP1839">
        <v>-19.676233</v>
      </c>
      <c r="AQ1839">
        <v>-43.88861</v>
      </c>
      <c r="AR1839">
        <v>22.126352434234079</v>
      </c>
      <c r="AS1839" t="s">
        <v>65</v>
      </c>
      <c r="AT1839">
        <v>1</v>
      </c>
      <c r="AU1839" t="s">
        <v>174</v>
      </c>
      <c r="AV1839" t="s">
        <v>175</v>
      </c>
      <c r="AW1839" t="s">
        <v>60</v>
      </c>
      <c r="AX1839" t="s">
        <v>68</v>
      </c>
      <c r="AY1839" t="s">
        <v>69</v>
      </c>
      <c r="AZ1839" t="b">
        <v>1</v>
      </c>
    </row>
    <row r="1840" spans="1:52" x14ac:dyDescent="0.3">
      <c r="A1840" t="s">
        <v>52</v>
      </c>
      <c r="B1840" t="s">
        <v>53</v>
      </c>
      <c r="C1840" t="s">
        <v>54</v>
      </c>
      <c r="D1840" t="s">
        <v>55</v>
      </c>
      <c r="E1840" t="s">
        <v>853</v>
      </c>
      <c r="F1840" t="s">
        <v>176</v>
      </c>
      <c r="G1840" t="s">
        <v>279</v>
      </c>
      <c r="H1840" t="s">
        <v>280</v>
      </c>
      <c r="I1840" t="s">
        <v>280</v>
      </c>
      <c r="J1840" t="s">
        <v>60</v>
      </c>
      <c r="K1840" t="s">
        <v>171</v>
      </c>
      <c r="L1840" t="s">
        <v>62</v>
      </c>
      <c r="M1840" t="s">
        <v>171</v>
      </c>
      <c r="N1840" t="s">
        <v>281</v>
      </c>
      <c r="O1840" t="s">
        <v>282</v>
      </c>
      <c r="P1840">
        <v>-19.677088000000001</v>
      </c>
      <c r="Q1840">
        <v>-43.890014000000001</v>
      </c>
      <c r="R1840" s="2" t="str">
        <f>HYPERLINK("https://www.google.com/maps?q=-19.6770880,-43.8900140","Abrir no Google Maps")</f>
        <v>Abrir no Google Maps</v>
      </c>
      <c r="S1840">
        <v>4</v>
      </c>
      <c r="T1840">
        <v>0</v>
      </c>
      <c r="U1840">
        <v>3</v>
      </c>
      <c r="V1840">
        <v>0.84453781512605042</v>
      </c>
      <c r="W1840">
        <v>1</v>
      </c>
      <c r="X1840">
        <v>0.84453781512605042</v>
      </c>
      <c r="Y1840">
        <v>0</v>
      </c>
      <c r="Z1840">
        <v>151.75635194559609</v>
      </c>
      <c r="AA1840">
        <v>2</v>
      </c>
      <c r="AB1840">
        <v>3</v>
      </c>
      <c r="AC1840">
        <v>7</v>
      </c>
      <c r="AD1840">
        <v>24.9</v>
      </c>
      <c r="AE1840">
        <v>253</v>
      </c>
      <c r="AF1840">
        <v>12</v>
      </c>
      <c r="AG1840">
        <v>66</v>
      </c>
      <c r="AH1840">
        <v>32</v>
      </c>
      <c r="AI1840">
        <v>4.74</v>
      </c>
      <c r="AJ1840">
        <v>26.09</v>
      </c>
      <c r="AK1840">
        <v>12.65</v>
      </c>
      <c r="AL1840">
        <v>-19.677165649999949</v>
      </c>
      <c r="AM1840">
        <v>-43.890106299611283</v>
      </c>
      <c r="AN1840">
        <v>-19.677165649999949</v>
      </c>
      <c r="AO1840">
        <v>-43.890106299611283</v>
      </c>
      <c r="AP1840">
        <v>-19.677088000000001</v>
      </c>
      <c r="AQ1840">
        <v>-43.890014000000001</v>
      </c>
      <c r="AR1840">
        <v>12.973833126778279</v>
      </c>
      <c r="AS1840" t="s">
        <v>65</v>
      </c>
      <c r="AT1840">
        <v>1</v>
      </c>
      <c r="AU1840" t="s">
        <v>283</v>
      </c>
      <c r="AV1840" t="s">
        <v>175</v>
      </c>
      <c r="AW1840" t="s">
        <v>60</v>
      </c>
      <c r="AX1840" t="s">
        <v>68</v>
      </c>
      <c r="AY1840" t="s">
        <v>69</v>
      </c>
      <c r="AZ1840" t="b">
        <v>1</v>
      </c>
    </row>
    <row r="1841" spans="1:52" x14ac:dyDescent="0.3">
      <c r="A1841" t="s">
        <v>52</v>
      </c>
      <c r="B1841" t="s">
        <v>53</v>
      </c>
      <c r="C1841" t="s">
        <v>54</v>
      </c>
      <c r="D1841" t="s">
        <v>55</v>
      </c>
      <c r="E1841" t="s">
        <v>853</v>
      </c>
      <c r="F1841" t="s">
        <v>176</v>
      </c>
      <c r="G1841" t="s">
        <v>394</v>
      </c>
      <c r="H1841" t="s">
        <v>395</v>
      </c>
      <c r="I1841" t="s">
        <v>395</v>
      </c>
      <c r="J1841" t="s">
        <v>60</v>
      </c>
      <c r="K1841" t="s">
        <v>286</v>
      </c>
      <c r="L1841" t="s">
        <v>62</v>
      </c>
      <c r="M1841" t="s">
        <v>286</v>
      </c>
      <c r="N1841" t="s">
        <v>396</v>
      </c>
      <c r="O1841" t="s">
        <v>88</v>
      </c>
      <c r="P1841">
        <v>-19.636932999999999</v>
      </c>
      <c r="Q1841">
        <v>-43.882691999999999</v>
      </c>
      <c r="R1841" s="2" t="str">
        <f>HYPERLINK("https://www.google.com/maps?q=-19.6369330,-43.8826920","Abrir no Google Maps")</f>
        <v>Abrir no Google Maps</v>
      </c>
      <c r="S1841">
        <v>3</v>
      </c>
      <c r="T1841">
        <v>523.52675813688109</v>
      </c>
      <c r="U1841">
        <v>4</v>
      </c>
      <c r="V1841">
        <v>0.98265895953757221</v>
      </c>
      <c r="W1841">
        <v>1</v>
      </c>
      <c r="X1841">
        <v>0.98265895953757221</v>
      </c>
      <c r="Y1841">
        <v>10</v>
      </c>
      <c r="Z1841">
        <v>372.58135532659509</v>
      </c>
      <c r="AA1841">
        <v>2</v>
      </c>
      <c r="AB1841">
        <v>3</v>
      </c>
      <c r="AC1841">
        <v>7</v>
      </c>
      <c r="AD1841">
        <v>24.9</v>
      </c>
      <c r="AE1841">
        <v>253</v>
      </c>
      <c r="AF1841">
        <v>12</v>
      </c>
      <c r="AG1841">
        <v>66</v>
      </c>
      <c r="AH1841">
        <v>32</v>
      </c>
      <c r="AI1841">
        <v>4.74</v>
      </c>
      <c r="AJ1841">
        <v>26.09</v>
      </c>
      <c r="AK1841">
        <v>12.65</v>
      </c>
      <c r="AL1841">
        <v>-19.637159949999951</v>
      </c>
      <c r="AM1841">
        <v>-43.882643289441461</v>
      </c>
      <c r="AN1841">
        <v>-19.637159949999951</v>
      </c>
      <c r="AO1841">
        <v>-43.882643289441461</v>
      </c>
      <c r="AP1841">
        <v>-19.636932999999999</v>
      </c>
      <c r="AQ1841">
        <v>-43.882691999999999</v>
      </c>
      <c r="AR1841">
        <v>25.775099947452478</v>
      </c>
      <c r="AS1841" t="s">
        <v>65</v>
      </c>
      <c r="AT1841">
        <v>1</v>
      </c>
      <c r="AU1841" t="s">
        <v>397</v>
      </c>
      <c r="AV1841" t="s">
        <v>398</v>
      </c>
      <c r="AW1841" t="s">
        <v>60</v>
      </c>
      <c r="AX1841" t="s">
        <v>68</v>
      </c>
      <c r="AY1841" t="s">
        <v>69</v>
      </c>
      <c r="AZ1841" t="b">
        <v>1</v>
      </c>
    </row>
    <row r="1842" spans="1:52" x14ac:dyDescent="0.3">
      <c r="A1842" t="s">
        <v>52</v>
      </c>
      <c r="B1842" t="s">
        <v>53</v>
      </c>
      <c r="C1842" t="s">
        <v>54</v>
      </c>
      <c r="D1842" t="s">
        <v>55</v>
      </c>
      <c r="E1842" t="s">
        <v>853</v>
      </c>
      <c r="F1842" t="s">
        <v>176</v>
      </c>
      <c r="G1842" t="s">
        <v>399</v>
      </c>
      <c r="H1842" t="s">
        <v>400</v>
      </c>
      <c r="I1842" t="s">
        <v>400</v>
      </c>
      <c r="J1842" t="s">
        <v>60</v>
      </c>
      <c r="K1842" t="s">
        <v>286</v>
      </c>
      <c r="L1842" t="s">
        <v>62</v>
      </c>
      <c r="M1842" t="s">
        <v>286</v>
      </c>
      <c r="N1842" t="s">
        <v>401</v>
      </c>
      <c r="O1842" t="s">
        <v>402</v>
      </c>
      <c r="P1842">
        <v>-19.639906</v>
      </c>
      <c r="Q1842">
        <v>-43.886059000000003</v>
      </c>
      <c r="R1842" s="2" t="str">
        <f>HYPERLINK("https://www.google.com/maps?q=-19.6399060,-43.8860590","Abrir no Google Maps")</f>
        <v>Abrir no Google Maps</v>
      </c>
      <c r="S1842">
        <v>3</v>
      </c>
      <c r="T1842">
        <v>256.0748811302048</v>
      </c>
      <c r="U1842">
        <v>4</v>
      </c>
      <c r="V1842">
        <v>0.99565217391304361</v>
      </c>
      <c r="W1842">
        <v>1</v>
      </c>
      <c r="X1842">
        <v>0.99565217391304361</v>
      </c>
      <c r="Y1842">
        <v>10</v>
      </c>
      <c r="Z1842">
        <v>205.06236700857289</v>
      </c>
      <c r="AA1842">
        <v>2</v>
      </c>
      <c r="AB1842">
        <v>3</v>
      </c>
      <c r="AC1842">
        <v>7</v>
      </c>
      <c r="AD1842">
        <v>24.9</v>
      </c>
      <c r="AE1842">
        <v>253</v>
      </c>
      <c r="AF1842">
        <v>12</v>
      </c>
      <c r="AG1842">
        <v>66</v>
      </c>
      <c r="AH1842">
        <v>32</v>
      </c>
      <c r="AI1842">
        <v>4.74</v>
      </c>
      <c r="AJ1842">
        <v>26.09</v>
      </c>
      <c r="AK1842">
        <v>12.65</v>
      </c>
      <c r="AL1842">
        <v>-19.639789499999949</v>
      </c>
      <c r="AM1842">
        <v>-43.885737855031408</v>
      </c>
      <c r="AN1842">
        <v>-19.639789499999949</v>
      </c>
      <c r="AO1842">
        <v>-43.885737855031408</v>
      </c>
      <c r="AP1842">
        <v>-19.639906</v>
      </c>
      <c r="AQ1842">
        <v>-43.886059000000003</v>
      </c>
      <c r="AR1842">
        <v>36.081349702130403</v>
      </c>
      <c r="AS1842" t="s">
        <v>65</v>
      </c>
      <c r="AT1842">
        <v>1</v>
      </c>
      <c r="AU1842" t="s">
        <v>403</v>
      </c>
      <c r="AV1842" t="s">
        <v>404</v>
      </c>
      <c r="AW1842" t="s">
        <v>60</v>
      </c>
      <c r="AX1842" t="s">
        <v>68</v>
      </c>
      <c r="AY1842" t="s">
        <v>69</v>
      </c>
      <c r="AZ1842" t="b">
        <v>1</v>
      </c>
    </row>
    <row r="1843" spans="1:52" x14ac:dyDescent="0.3">
      <c r="A1843" t="s">
        <v>52</v>
      </c>
      <c r="B1843" t="s">
        <v>53</v>
      </c>
      <c r="C1843" t="s">
        <v>54</v>
      </c>
      <c r="D1843" t="s">
        <v>55</v>
      </c>
      <c r="E1843" t="s">
        <v>853</v>
      </c>
      <c r="F1843" t="s">
        <v>176</v>
      </c>
      <c r="G1843" t="s">
        <v>284</v>
      </c>
      <c r="H1843" t="s">
        <v>285</v>
      </c>
      <c r="I1843" t="s">
        <v>285</v>
      </c>
      <c r="J1843" t="s">
        <v>60</v>
      </c>
      <c r="K1843" t="s">
        <v>286</v>
      </c>
      <c r="L1843" t="s">
        <v>62</v>
      </c>
      <c r="M1843" t="s">
        <v>286</v>
      </c>
      <c r="N1843" t="s">
        <v>287</v>
      </c>
      <c r="O1843" t="s">
        <v>288</v>
      </c>
      <c r="P1843">
        <v>-19.639790000000001</v>
      </c>
      <c r="Q1843">
        <v>-43.882798999999999</v>
      </c>
      <c r="R1843" s="2" t="str">
        <f>HYPERLINK("https://www.google.com/maps?q=-19.6397900,-43.8827990","Abrir no Google Maps")</f>
        <v>Abrir no Google Maps</v>
      </c>
      <c r="S1843">
        <v>3</v>
      </c>
      <c r="T1843">
        <v>242.7052058134478</v>
      </c>
      <c r="U1843">
        <v>4</v>
      </c>
      <c r="V1843">
        <v>0.98291925465838526</v>
      </c>
      <c r="W1843">
        <v>1</v>
      </c>
      <c r="X1843">
        <v>0.98291925465838526</v>
      </c>
      <c r="Y1843">
        <v>10</v>
      </c>
      <c r="Z1843">
        <v>187.2088809462339</v>
      </c>
      <c r="AA1843">
        <v>2</v>
      </c>
      <c r="AB1843">
        <v>3</v>
      </c>
      <c r="AC1843">
        <v>7</v>
      </c>
      <c r="AD1843">
        <v>24.9</v>
      </c>
      <c r="AE1843">
        <v>253</v>
      </c>
      <c r="AF1843">
        <v>12</v>
      </c>
      <c r="AG1843">
        <v>66</v>
      </c>
      <c r="AH1843">
        <v>32</v>
      </c>
      <c r="AI1843">
        <v>4.74</v>
      </c>
      <c r="AJ1843">
        <v>26.09</v>
      </c>
      <c r="AK1843">
        <v>12.65</v>
      </c>
      <c r="AL1843">
        <v>-19.639855599999951</v>
      </c>
      <c r="AM1843">
        <v>-43.882909745178452</v>
      </c>
      <c r="AN1843">
        <v>-19.639855599999951</v>
      </c>
      <c r="AO1843">
        <v>-43.882909745178452</v>
      </c>
      <c r="AP1843">
        <v>-19.639790000000001</v>
      </c>
      <c r="AQ1843">
        <v>-43.882798999999999</v>
      </c>
      <c r="AR1843">
        <v>13.716486068571211</v>
      </c>
      <c r="AS1843" t="s">
        <v>65</v>
      </c>
      <c r="AT1843">
        <v>1</v>
      </c>
      <c r="AU1843" t="s">
        <v>289</v>
      </c>
      <c r="AV1843" t="s">
        <v>290</v>
      </c>
      <c r="AW1843" t="s">
        <v>60</v>
      </c>
      <c r="AX1843" t="s">
        <v>68</v>
      </c>
      <c r="AY1843" t="s">
        <v>69</v>
      </c>
      <c r="AZ1843" t="b">
        <v>1</v>
      </c>
    </row>
    <row r="1844" spans="1:52" x14ac:dyDescent="0.3">
      <c r="A1844" t="s">
        <v>52</v>
      </c>
      <c r="B1844" t="s">
        <v>53</v>
      </c>
      <c r="C1844" t="s">
        <v>54</v>
      </c>
      <c r="D1844" t="s">
        <v>55</v>
      </c>
      <c r="E1844" t="s">
        <v>853</v>
      </c>
      <c r="F1844" t="s">
        <v>176</v>
      </c>
      <c r="G1844" t="s">
        <v>291</v>
      </c>
      <c r="H1844" t="s">
        <v>292</v>
      </c>
      <c r="I1844" t="s">
        <v>292</v>
      </c>
      <c r="J1844" t="s">
        <v>60</v>
      </c>
      <c r="K1844" t="s">
        <v>286</v>
      </c>
      <c r="L1844" t="s">
        <v>62</v>
      </c>
      <c r="M1844" t="s">
        <v>286</v>
      </c>
      <c r="N1844" t="s">
        <v>293</v>
      </c>
      <c r="O1844" t="s">
        <v>294</v>
      </c>
      <c r="P1844">
        <v>-19.640333999999999</v>
      </c>
      <c r="Q1844">
        <v>-43.880004999999997</v>
      </c>
      <c r="R1844" s="2" t="str">
        <f>HYPERLINK("https://www.google.com/maps?q=-19.6403340,-43.8800050","Abrir no Google Maps")</f>
        <v>Abrir no Google Maps</v>
      </c>
      <c r="S1844">
        <v>3</v>
      </c>
      <c r="T1844">
        <v>276.80943817309782</v>
      </c>
      <c r="U1844">
        <v>4</v>
      </c>
      <c r="V1844">
        <v>0.96296296296296302</v>
      </c>
      <c r="W1844">
        <v>1</v>
      </c>
      <c r="X1844">
        <v>0.96296296296296302</v>
      </c>
      <c r="Y1844">
        <v>10</v>
      </c>
      <c r="Z1844">
        <v>361.98332038983392</v>
      </c>
      <c r="AA1844">
        <v>2</v>
      </c>
      <c r="AB1844">
        <v>3</v>
      </c>
      <c r="AC1844">
        <v>7</v>
      </c>
      <c r="AD1844">
        <v>24.9</v>
      </c>
      <c r="AE1844">
        <v>253</v>
      </c>
      <c r="AF1844">
        <v>12</v>
      </c>
      <c r="AG1844">
        <v>66</v>
      </c>
      <c r="AH1844">
        <v>32</v>
      </c>
      <c r="AI1844">
        <v>4.74</v>
      </c>
      <c r="AJ1844">
        <v>26.09</v>
      </c>
      <c r="AK1844">
        <v>12.65</v>
      </c>
      <c r="AL1844">
        <v>-19.640260249999951</v>
      </c>
      <c r="AM1844">
        <v>-43.880090474326408</v>
      </c>
      <c r="AN1844">
        <v>-19.640260249999951</v>
      </c>
      <c r="AO1844">
        <v>-43.880090474326408</v>
      </c>
      <c r="AP1844">
        <v>-19.640333999999999</v>
      </c>
      <c r="AQ1844">
        <v>-43.880004999999997</v>
      </c>
      <c r="AR1844">
        <v>12.153556195359609</v>
      </c>
      <c r="AS1844" t="s">
        <v>65</v>
      </c>
      <c r="AT1844">
        <v>1</v>
      </c>
      <c r="AU1844" t="s">
        <v>295</v>
      </c>
      <c r="AV1844" t="s">
        <v>296</v>
      </c>
      <c r="AW1844" t="s">
        <v>60</v>
      </c>
      <c r="AX1844" t="s">
        <v>68</v>
      </c>
      <c r="AY1844" t="s">
        <v>69</v>
      </c>
      <c r="AZ1844" t="b">
        <v>1</v>
      </c>
    </row>
    <row r="1845" spans="1:52" x14ac:dyDescent="0.3">
      <c r="A1845" t="s">
        <v>52</v>
      </c>
      <c r="B1845" t="s">
        <v>53</v>
      </c>
      <c r="C1845" t="s">
        <v>54</v>
      </c>
      <c r="D1845" t="s">
        <v>55</v>
      </c>
      <c r="E1845" t="s">
        <v>853</v>
      </c>
      <c r="F1845" t="s">
        <v>176</v>
      </c>
      <c r="G1845" t="s">
        <v>405</v>
      </c>
      <c r="H1845" t="s">
        <v>406</v>
      </c>
      <c r="I1845" t="s">
        <v>406</v>
      </c>
      <c r="J1845" t="s">
        <v>60</v>
      </c>
      <c r="K1845" t="s">
        <v>286</v>
      </c>
      <c r="L1845" t="s">
        <v>62</v>
      </c>
      <c r="M1845" t="s">
        <v>286</v>
      </c>
      <c r="N1845" t="s">
        <v>407</v>
      </c>
      <c r="O1845" t="s">
        <v>408</v>
      </c>
      <c r="P1845">
        <v>-19.646345</v>
      </c>
      <c r="Q1845">
        <v>-43.882294999999999</v>
      </c>
      <c r="R1845" s="2" t="str">
        <f>HYPERLINK("https://www.google.com/maps?q=-19.6463450,-43.8822950","Abrir no Google Maps")</f>
        <v>Abrir no Google Maps</v>
      </c>
      <c r="S1845">
        <v>3</v>
      </c>
      <c r="T1845">
        <v>450.3180538635894</v>
      </c>
      <c r="U1845">
        <v>4</v>
      </c>
      <c r="V1845">
        <v>0.9629032258064516</v>
      </c>
      <c r="W1845">
        <v>1</v>
      </c>
      <c r="X1845">
        <v>0.9629032258064516</v>
      </c>
      <c r="Y1845">
        <v>10</v>
      </c>
      <c r="Z1845">
        <v>349.23341775902583</v>
      </c>
      <c r="AA1845">
        <v>2</v>
      </c>
      <c r="AB1845">
        <v>3</v>
      </c>
      <c r="AC1845">
        <v>7</v>
      </c>
      <c r="AD1845">
        <v>24.9</v>
      </c>
      <c r="AE1845">
        <v>253</v>
      </c>
      <c r="AF1845">
        <v>12</v>
      </c>
      <c r="AG1845">
        <v>66</v>
      </c>
      <c r="AH1845">
        <v>32</v>
      </c>
      <c r="AI1845">
        <v>4.74</v>
      </c>
      <c r="AJ1845">
        <v>26.09</v>
      </c>
      <c r="AK1845">
        <v>12.65</v>
      </c>
      <c r="AL1845">
        <v>-19.646391649999941</v>
      </c>
      <c r="AM1845">
        <v>-43.882007396993302</v>
      </c>
      <c r="AN1845">
        <v>-19.646391649999941</v>
      </c>
      <c r="AO1845">
        <v>-43.882007396993302</v>
      </c>
      <c r="AP1845">
        <v>-19.646345</v>
      </c>
      <c r="AQ1845">
        <v>-43.882294999999999</v>
      </c>
      <c r="AR1845">
        <v>30.596105513395301</v>
      </c>
      <c r="AS1845" t="s">
        <v>65</v>
      </c>
      <c r="AT1845">
        <v>1</v>
      </c>
      <c r="AU1845" t="s">
        <v>409</v>
      </c>
      <c r="AV1845" t="s">
        <v>410</v>
      </c>
      <c r="AW1845" t="s">
        <v>60</v>
      </c>
      <c r="AX1845" t="s">
        <v>68</v>
      </c>
      <c r="AY1845" t="s">
        <v>69</v>
      </c>
      <c r="AZ1845" t="b">
        <v>1</v>
      </c>
    </row>
    <row r="1846" spans="1:52" x14ac:dyDescent="0.3">
      <c r="A1846" t="s">
        <v>52</v>
      </c>
      <c r="B1846" t="s">
        <v>53</v>
      </c>
      <c r="C1846" t="s">
        <v>54</v>
      </c>
      <c r="D1846" t="s">
        <v>55</v>
      </c>
      <c r="E1846" t="s">
        <v>853</v>
      </c>
      <c r="F1846" t="s">
        <v>176</v>
      </c>
      <c r="G1846" t="s">
        <v>228</v>
      </c>
      <c r="H1846" t="s">
        <v>423</v>
      </c>
      <c r="I1846" t="s">
        <v>423</v>
      </c>
      <c r="J1846" t="s">
        <v>60</v>
      </c>
      <c r="K1846" t="s">
        <v>286</v>
      </c>
      <c r="L1846" t="s">
        <v>62</v>
      </c>
      <c r="M1846" t="s">
        <v>286</v>
      </c>
      <c r="N1846" t="s">
        <v>230</v>
      </c>
      <c r="O1846" t="s">
        <v>424</v>
      </c>
      <c r="P1846">
        <v>-19.641656999999999</v>
      </c>
      <c r="Q1846">
        <v>-43.884228999999998</v>
      </c>
      <c r="R1846" s="2" t="str">
        <f>HYPERLINK("https://www.google.com/maps?q=-19.6416570,-43.8842290","Abrir no Google Maps")</f>
        <v>Abrir no Google Maps</v>
      </c>
      <c r="S1846">
        <v>3</v>
      </c>
      <c r="T1846">
        <v>0</v>
      </c>
      <c r="U1846">
        <v>4</v>
      </c>
      <c r="V1846">
        <v>0.98148148148148162</v>
      </c>
      <c r="W1846">
        <v>1</v>
      </c>
      <c r="X1846">
        <v>0.98148148148148162</v>
      </c>
      <c r="Y1846">
        <v>7</v>
      </c>
      <c r="Z1846">
        <v>67.727401070752876</v>
      </c>
      <c r="AA1846">
        <v>2</v>
      </c>
      <c r="AB1846">
        <v>3</v>
      </c>
      <c r="AC1846">
        <v>7</v>
      </c>
      <c r="AD1846">
        <v>24.9</v>
      </c>
      <c r="AE1846">
        <v>253</v>
      </c>
      <c r="AF1846">
        <v>12</v>
      </c>
      <c r="AG1846">
        <v>66</v>
      </c>
      <c r="AH1846">
        <v>32</v>
      </c>
      <c r="AI1846">
        <v>4.74</v>
      </c>
      <c r="AJ1846">
        <v>26.09</v>
      </c>
      <c r="AK1846">
        <v>12.65</v>
      </c>
      <c r="AL1846">
        <v>-19.641634199999942</v>
      </c>
      <c r="AM1846">
        <v>-43.884263743972831</v>
      </c>
      <c r="AN1846">
        <v>-19.641634199999942</v>
      </c>
      <c r="AO1846">
        <v>-43.884263743972831</v>
      </c>
      <c r="AP1846">
        <v>-19.641656999999999</v>
      </c>
      <c r="AQ1846">
        <v>-43.884228999999998</v>
      </c>
      <c r="AR1846">
        <v>4.4396888961435659</v>
      </c>
      <c r="AS1846" t="s">
        <v>65</v>
      </c>
      <c r="AT1846">
        <v>1</v>
      </c>
      <c r="AU1846" t="s">
        <v>425</v>
      </c>
      <c r="AV1846" t="s">
        <v>426</v>
      </c>
      <c r="AW1846" t="s">
        <v>60</v>
      </c>
      <c r="AX1846" t="s">
        <v>68</v>
      </c>
      <c r="AY1846" t="s">
        <v>69</v>
      </c>
      <c r="AZ1846" t="b">
        <v>1</v>
      </c>
    </row>
    <row r="1847" spans="1:52" x14ac:dyDescent="0.3">
      <c r="A1847" t="s">
        <v>52</v>
      </c>
      <c r="B1847" t="s">
        <v>53</v>
      </c>
      <c r="C1847" t="s">
        <v>54</v>
      </c>
      <c r="D1847" t="s">
        <v>55</v>
      </c>
      <c r="E1847" t="s">
        <v>853</v>
      </c>
      <c r="F1847" t="s">
        <v>176</v>
      </c>
      <c r="G1847" t="s">
        <v>297</v>
      </c>
      <c r="H1847" t="s">
        <v>298</v>
      </c>
      <c r="I1847" t="s">
        <v>298</v>
      </c>
      <c r="J1847" t="s">
        <v>60</v>
      </c>
      <c r="K1847" t="s">
        <v>299</v>
      </c>
      <c r="L1847" t="s">
        <v>62</v>
      </c>
      <c r="M1847" t="s">
        <v>299</v>
      </c>
      <c r="N1847" t="s">
        <v>300</v>
      </c>
      <c r="O1847" t="s">
        <v>301</v>
      </c>
      <c r="P1847">
        <v>-19.679597000000001</v>
      </c>
      <c r="Q1847">
        <v>-43.912095000000001</v>
      </c>
      <c r="R1847" s="2" t="str">
        <f>HYPERLINK("https://www.google.com/maps?q=-19.6795970,-43.9120950","Abrir no Google Maps")</f>
        <v>Abrir no Google Maps</v>
      </c>
      <c r="S1847">
        <v>3</v>
      </c>
      <c r="T1847">
        <v>1581.3368267219889</v>
      </c>
      <c r="U1847">
        <v>4</v>
      </c>
      <c r="V1847">
        <v>0.98178807947019864</v>
      </c>
      <c r="W1847">
        <v>1</v>
      </c>
      <c r="X1847">
        <v>0.98178807947019864</v>
      </c>
      <c r="Y1847">
        <v>5</v>
      </c>
      <c r="Z1847">
        <v>2051.2590436749392</v>
      </c>
      <c r="AA1847">
        <v>2</v>
      </c>
      <c r="AB1847">
        <v>3</v>
      </c>
      <c r="AC1847">
        <v>7</v>
      </c>
      <c r="AD1847">
        <v>24.9</v>
      </c>
      <c r="AE1847">
        <v>253</v>
      </c>
      <c r="AF1847">
        <v>12</v>
      </c>
      <c r="AG1847">
        <v>66</v>
      </c>
      <c r="AH1847">
        <v>32</v>
      </c>
      <c r="AI1847">
        <v>4.74</v>
      </c>
      <c r="AJ1847">
        <v>26.09</v>
      </c>
      <c r="AK1847">
        <v>12.65</v>
      </c>
      <c r="AL1847">
        <v>-19.679572799999931</v>
      </c>
      <c r="AM1847">
        <v>-43.912071775440793</v>
      </c>
      <c r="AN1847">
        <v>-19.679572799999931</v>
      </c>
      <c r="AO1847">
        <v>-43.912071775440793</v>
      </c>
      <c r="AP1847">
        <v>-19.679597000000001</v>
      </c>
      <c r="AQ1847">
        <v>-43.912095000000001</v>
      </c>
      <c r="AR1847">
        <v>3.6308936744190978</v>
      </c>
      <c r="AS1847" t="s">
        <v>65</v>
      </c>
      <c r="AT1847">
        <v>1</v>
      </c>
      <c r="AU1847" t="s">
        <v>302</v>
      </c>
      <c r="AV1847" t="s">
        <v>303</v>
      </c>
      <c r="AW1847" t="s">
        <v>60</v>
      </c>
      <c r="AX1847" t="s">
        <v>68</v>
      </c>
      <c r="AY1847" t="s">
        <v>69</v>
      </c>
      <c r="AZ1847" t="b">
        <v>1</v>
      </c>
    </row>
    <row r="1848" spans="1:52" x14ac:dyDescent="0.3">
      <c r="A1848" t="s">
        <v>52</v>
      </c>
      <c r="B1848" t="s">
        <v>53</v>
      </c>
      <c r="C1848" t="s">
        <v>54</v>
      </c>
      <c r="D1848" t="s">
        <v>55</v>
      </c>
      <c r="E1848" t="s">
        <v>853</v>
      </c>
      <c r="F1848" t="s">
        <v>176</v>
      </c>
      <c r="G1848" t="s">
        <v>304</v>
      </c>
      <c r="H1848" t="s">
        <v>305</v>
      </c>
      <c r="I1848" t="s">
        <v>305</v>
      </c>
      <c r="J1848" t="s">
        <v>60</v>
      </c>
      <c r="K1848" t="s">
        <v>299</v>
      </c>
      <c r="L1848" t="s">
        <v>62</v>
      </c>
      <c r="M1848" t="s">
        <v>299</v>
      </c>
      <c r="N1848" t="s">
        <v>306</v>
      </c>
      <c r="O1848" t="s">
        <v>307</v>
      </c>
      <c r="P1848">
        <v>-19.681051</v>
      </c>
      <c r="Q1848">
        <v>-43.914375</v>
      </c>
      <c r="R1848" s="2" t="str">
        <f>HYPERLINK("https://www.google.com/maps?q=-19.6810510,-43.9143750","Abrir no Google Maps")</f>
        <v>Abrir no Google Maps</v>
      </c>
      <c r="S1848">
        <v>3</v>
      </c>
      <c r="T1848">
        <v>1793.507056919605</v>
      </c>
      <c r="U1848">
        <v>4</v>
      </c>
      <c r="V1848">
        <v>0.99300699300699302</v>
      </c>
      <c r="W1848">
        <v>1</v>
      </c>
      <c r="X1848">
        <v>0.99300699300699302</v>
      </c>
      <c r="Y1848">
        <v>5</v>
      </c>
      <c r="Z1848">
        <v>2183.7125920783069</v>
      </c>
      <c r="AA1848">
        <v>2</v>
      </c>
      <c r="AB1848">
        <v>3</v>
      </c>
      <c r="AC1848">
        <v>7</v>
      </c>
      <c r="AD1848">
        <v>24.9</v>
      </c>
      <c r="AE1848">
        <v>253</v>
      </c>
      <c r="AF1848">
        <v>12</v>
      </c>
      <c r="AG1848">
        <v>66</v>
      </c>
      <c r="AH1848">
        <v>32</v>
      </c>
      <c r="AI1848">
        <v>4.74</v>
      </c>
      <c r="AJ1848">
        <v>26.09</v>
      </c>
      <c r="AK1848">
        <v>12.65</v>
      </c>
      <c r="AL1848">
        <v>-19.680967149999962</v>
      </c>
      <c r="AM1848">
        <v>-43.914383884426663</v>
      </c>
      <c r="AN1848">
        <v>-19.680967149999962</v>
      </c>
      <c r="AO1848">
        <v>-43.914383884426663</v>
      </c>
      <c r="AP1848">
        <v>-19.681051</v>
      </c>
      <c r="AQ1848">
        <v>-43.914375</v>
      </c>
      <c r="AR1848">
        <v>9.3805201894968722</v>
      </c>
      <c r="AS1848" t="s">
        <v>65</v>
      </c>
      <c r="AT1848">
        <v>1</v>
      </c>
      <c r="AU1848" t="s">
        <v>308</v>
      </c>
      <c r="AV1848" t="s">
        <v>303</v>
      </c>
      <c r="AW1848" t="s">
        <v>60</v>
      </c>
      <c r="AX1848" t="s">
        <v>68</v>
      </c>
      <c r="AY1848" t="s">
        <v>69</v>
      </c>
      <c r="AZ1848" t="b">
        <v>1</v>
      </c>
    </row>
    <row r="1849" spans="1:52" x14ac:dyDescent="0.3">
      <c r="A1849" t="s">
        <v>52</v>
      </c>
      <c r="B1849" t="s">
        <v>53</v>
      </c>
      <c r="C1849" t="s">
        <v>54</v>
      </c>
      <c r="D1849" t="s">
        <v>55</v>
      </c>
      <c r="E1849" t="s">
        <v>853</v>
      </c>
      <c r="F1849" t="s">
        <v>176</v>
      </c>
      <c r="G1849" t="s">
        <v>309</v>
      </c>
      <c r="H1849" t="s">
        <v>316</v>
      </c>
      <c r="I1849" t="s">
        <v>316</v>
      </c>
      <c r="J1849" t="s">
        <v>60</v>
      </c>
      <c r="K1849" t="s">
        <v>311</v>
      </c>
      <c r="L1849" t="s">
        <v>62</v>
      </c>
      <c r="M1849" t="s">
        <v>311</v>
      </c>
      <c r="N1849" t="s">
        <v>317</v>
      </c>
      <c r="O1849" t="s">
        <v>313</v>
      </c>
      <c r="P1849">
        <v>-19.580131999999999</v>
      </c>
      <c r="Q1849">
        <v>-43.918303000000002</v>
      </c>
      <c r="R1849" s="2" t="str">
        <f>HYPERLINK("https://www.google.com/maps?q=-19.5801320,-43.9183030","Abrir no Google Maps")</f>
        <v>Abrir no Google Maps</v>
      </c>
      <c r="S1849">
        <v>3</v>
      </c>
      <c r="T1849">
        <v>665.05989403461285</v>
      </c>
      <c r="U1849">
        <v>4</v>
      </c>
      <c r="V1849">
        <v>0.99813432835820881</v>
      </c>
      <c r="W1849">
        <v>1</v>
      </c>
      <c r="X1849">
        <v>0.99813432835820881</v>
      </c>
      <c r="Y1849">
        <v>5</v>
      </c>
      <c r="Z1849">
        <v>743.64474333505098</v>
      </c>
      <c r="AA1849">
        <v>2</v>
      </c>
      <c r="AB1849">
        <v>3</v>
      </c>
      <c r="AC1849">
        <v>7</v>
      </c>
      <c r="AD1849">
        <v>24.9</v>
      </c>
      <c r="AE1849">
        <v>253</v>
      </c>
      <c r="AF1849">
        <v>12</v>
      </c>
      <c r="AG1849">
        <v>66</v>
      </c>
      <c r="AH1849">
        <v>32</v>
      </c>
      <c r="AI1849">
        <v>4.74</v>
      </c>
      <c r="AJ1849">
        <v>26.09</v>
      </c>
      <c r="AK1849">
        <v>12.65</v>
      </c>
      <c r="AL1849">
        <v>-19.58010349999995</v>
      </c>
      <c r="AM1849">
        <v>-43.918363319288602</v>
      </c>
      <c r="AN1849">
        <v>-19.58010349999995</v>
      </c>
      <c r="AO1849">
        <v>-43.918363319288602</v>
      </c>
      <c r="AP1849">
        <v>-19.580131999999999</v>
      </c>
      <c r="AQ1849">
        <v>-43.918303000000002</v>
      </c>
      <c r="AR1849">
        <v>7.0773977790944862</v>
      </c>
      <c r="AS1849" t="s">
        <v>65</v>
      </c>
      <c r="AT1849">
        <v>1</v>
      </c>
      <c r="AU1849" t="s">
        <v>318</v>
      </c>
      <c r="AV1849" t="s">
        <v>319</v>
      </c>
      <c r="AW1849" t="s">
        <v>60</v>
      </c>
      <c r="AX1849" t="s">
        <v>68</v>
      </c>
      <c r="AY1849" t="s">
        <v>69</v>
      </c>
      <c r="AZ1849" t="b">
        <v>1</v>
      </c>
    </row>
    <row r="1850" spans="1:52" x14ac:dyDescent="0.3">
      <c r="A1850" t="s">
        <v>52</v>
      </c>
      <c r="B1850" t="s">
        <v>53</v>
      </c>
      <c r="C1850" t="s">
        <v>54</v>
      </c>
      <c r="D1850" t="s">
        <v>55</v>
      </c>
      <c r="E1850" t="s">
        <v>853</v>
      </c>
      <c r="F1850" t="s">
        <v>176</v>
      </c>
      <c r="G1850" t="s">
        <v>427</v>
      </c>
      <c r="H1850" t="s">
        <v>428</v>
      </c>
      <c r="I1850" t="s">
        <v>428</v>
      </c>
      <c r="J1850" t="s">
        <v>60</v>
      </c>
      <c r="K1850" t="s">
        <v>311</v>
      </c>
      <c r="L1850" t="s">
        <v>62</v>
      </c>
      <c r="M1850" t="s">
        <v>311</v>
      </c>
      <c r="N1850" t="s">
        <v>429</v>
      </c>
      <c r="O1850" t="s">
        <v>430</v>
      </c>
      <c r="P1850">
        <v>-19.574636999999999</v>
      </c>
      <c r="Q1850">
        <v>-43.919919999999998</v>
      </c>
      <c r="R1850" s="2" t="str">
        <f>HYPERLINK("https://www.google.com/maps?q=-19.5746370,-43.9199200","Abrir no Google Maps")</f>
        <v>Abrir no Google Maps</v>
      </c>
      <c r="S1850">
        <v>3</v>
      </c>
      <c r="T1850">
        <v>0</v>
      </c>
      <c r="U1850">
        <v>4</v>
      </c>
      <c r="V1850">
        <v>0.95934959349593496</v>
      </c>
      <c r="W1850">
        <v>1</v>
      </c>
      <c r="X1850">
        <v>0.95934959349593496</v>
      </c>
      <c r="Y1850">
        <v>5</v>
      </c>
      <c r="Z1850">
        <v>161.2304444692663</v>
      </c>
      <c r="AA1850">
        <v>2</v>
      </c>
      <c r="AB1850">
        <v>3</v>
      </c>
      <c r="AC1850">
        <v>7</v>
      </c>
      <c r="AD1850">
        <v>24.9</v>
      </c>
      <c r="AE1850">
        <v>253</v>
      </c>
      <c r="AF1850">
        <v>12</v>
      </c>
      <c r="AG1850">
        <v>66</v>
      </c>
      <c r="AH1850">
        <v>32</v>
      </c>
      <c r="AI1850">
        <v>4.74</v>
      </c>
      <c r="AJ1850">
        <v>26.09</v>
      </c>
      <c r="AK1850">
        <v>12.65</v>
      </c>
      <c r="AL1850">
        <v>-19.57444484999996</v>
      </c>
      <c r="AM1850">
        <v>-43.920497272225433</v>
      </c>
      <c r="AN1850">
        <v>-19.57444484999996</v>
      </c>
      <c r="AO1850">
        <v>-43.920497272225433</v>
      </c>
      <c r="AP1850">
        <v>-19.574636999999999</v>
      </c>
      <c r="AQ1850">
        <v>-43.919919999999998</v>
      </c>
      <c r="AR1850">
        <v>64.215298992893679</v>
      </c>
      <c r="AS1850" t="s">
        <v>65</v>
      </c>
      <c r="AT1850">
        <v>1</v>
      </c>
      <c r="AU1850" t="s">
        <v>431</v>
      </c>
      <c r="AV1850" t="s">
        <v>432</v>
      </c>
      <c r="AW1850" t="s">
        <v>60</v>
      </c>
      <c r="AX1850" t="s">
        <v>68</v>
      </c>
      <c r="AY1850" t="s">
        <v>69</v>
      </c>
      <c r="AZ1850" t="b">
        <v>1</v>
      </c>
    </row>
    <row r="1851" spans="1:52" x14ac:dyDescent="0.3">
      <c r="A1851" t="s">
        <v>52</v>
      </c>
      <c r="B1851" t="s">
        <v>53</v>
      </c>
      <c r="C1851" t="s">
        <v>54</v>
      </c>
      <c r="D1851" t="s">
        <v>55</v>
      </c>
      <c r="E1851" t="s">
        <v>853</v>
      </c>
      <c r="F1851" t="s">
        <v>176</v>
      </c>
      <c r="G1851" t="s">
        <v>443</v>
      </c>
      <c r="H1851" t="s">
        <v>444</v>
      </c>
      <c r="I1851" t="s">
        <v>444</v>
      </c>
      <c r="J1851" t="s">
        <v>60</v>
      </c>
      <c r="K1851" t="s">
        <v>445</v>
      </c>
      <c r="L1851" t="s">
        <v>62</v>
      </c>
      <c r="M1851" t="s">
        <v>445</v>
      </c>
      <c r="N1851" t="s">
        <v>446</v>
      </c>
      <c r="O1851" t="s">
        <v>447</v>
      </c>
      <c r="P1851">
        <v>-19.650062999999999</v>
      </c>
      <c r="Q1851">
        <v>-43.878337000000002</v>
      </c>
      <c r="R1851" s="2" t="str">
        <f>HYPERLINK("https://www.google.com/maps?q=-19.6500630,-43.8783370","Abrir no Google Maps")</f>
        <v>Abrir no Google Maps</v>
      </c>
      <c r="S1851">
        <v>3</v>
      </c>
      <c r="T1851">
        <v>839.11860749856135</v>
      </c>
      <c r="U1851">
        <v>4</v>
      </c>
      <c r="V1851">
        <v>0.94291338582677164</v>
      </c>
      <c r="W1851">
        <v>1</v>
      </c>
      <c r="X1851">
        <v>0.94291338582677164</v>
      </c>
      <c r="Y1851">
        <v>3</v>
      </c>
      <c r="Z1851">
        <v>698.86168887476526</v>
      </c>
      <c r="AA1851">
        <v>2</v>
      </c>
      <c r="AB1851">
        <v>3</v>
      </c>
      <c r="AC1851">
        <v>7</v>
      </c>
      <c r="AD1851">
        <v>24.9</v>
      </c>
      <c r="AE1851">
        <v>253</v>
      </c>
      <c r="AF1851">
        <v>12</v>
      </c>
      <c r="AG1851">
        <v>66</v>
      </c>
      <c r="AH1851">
        <v>32</v>
      </c>
      <c r="AI1851">
        <v>4.74</v>
      </c>
      <c r="AJ1851">
        <v>26.09</v>
      </c>
      <c r="AK1851">
        <v>12.65</v>
      </c>
      <c r="AL1851">
        <v>-19.650555399999941</v>
      </c>
      <c r="AM1851">
        <v>-43.878603008553611</v>
      </c>
      <c r="AN1851">
        <v>-19.650555399999941</v>
      </c>
      <c r="AO1851">
        <v>-43.878603008553611</v>
      </c>
      <c r="AP1851">
        <v>-19.650062999999999</v>
      </c>
      <c r="AQ1851">
        <v>-43.878337000000002</v>
      </c>
      <c r="AR1851">
        <v>61.500273251918507</v>
      </c>
      <c r="AS1851" t="s">
        <v>65</v>
      </c>
      <c r="AT1851">
        <v>1</v>
      </c>
      <c r="AU1851" t="s">
        <v>448</v>
      </c>
      <c r="AV1851" t="s">
        <v>449</v>
      </c>
      <c r="AW1851" t="s">
        <v>60</v>
      </c>
      <c r="AX1851" t="s">
        <v>68</v>
      </c>
      <c r="AY1851" t="s">
        <v>69</v>
      </c>
      <c r="AZ1851" t="b">
        <v>1</v>
      </c>
    </row>
    <row r="1852" spans="1:52" x14ac:dyDescent="0.3">
      <c r="A1852" t="s">
        <v>52</v>
      </c>
      <c r="B1852" t="s">
        <v>53</v>
      </c>
      <c r="C1852" t="s">
        <v>54</v>
      </c>
      <c r="D1852" t="s">
        <v>55</v>
      </c>
      <c r="E1852" t="s">
        <v>853</v>
      </c>
      <c r="F1852" t="s">
        <v>176</v>
      </c>
      <c r="G1852" t="s">
        <v>324</v>
      </c>
      <c r="H1852" t="s">
        <v>325</v>
      </c>
      <c r="I1852" t="s">
        <v>325</v>
      </c>
      <c r="J1852" t="s">
        <v>60</v>
      </c>
      <c r="K1852" t="s">
        <v>326</v>
      </c>
      <c r="L1852" t="s">
        <v>62</v>
      </c>
      <c r="M1852" t="s">
        <v>326</v>
      </c>
      <c r="N1852" t="s">
        <v>327</v>
      </c>
      <c r="O1852" t="s">
        <v>328</v>
      </c>
      <c r="P1852">
        <v>-19.654454000000001</v>
      </c>
      <c r="Q1852">
        <v>-43.874654</v>
      </c>
      <c r="R1852" s="2" t="str">
        <f>HYPERLINK("https://www.google.com/maps?q=-19.6544540,-43.8746540","Abrir no Google Maps")</f>
        <v>Abrir no Google Maps</v>
      </c>
      <c r="S1852">
        <v>3</v>
      </c>
      <c r="T1852">
        <v>461.71515786258828</v>
      </c>
      <c r="U1852">
        <v>4</v>
      </c>
      <c r="V1852">
        <v>0.94170403587443963</v>
      </c>
      <c r="W1852">
        <v>1</v>
      </c>
      <c r="X1852">
        <v>0.94170403587443963</v>
      </c>
      <c r="Y1852">
        <v>3</v>
      </c>
      <c r="Z1852">
        <v>321.42492762576637</v>
      </c>
      <c r="AA1852">
        <v>2</v>
      </c>
      <c r="AB1852">
        <v>3</v>
      </c>
      <c r="AC1852">
        <v>7</v>
      </c>
      <c r="AD1852">
        <v>24.9</v>
      </c>
      <c r="AE1852">
        <v>253</v>
      </c>
      <c r="AF1852">
        <v>12</v>
      </c>
      <c r="AG1852">
        <v>66</v>
      </c>
      <c r="AH1852">
        <v>32</v>
      </c>
      <c r="AI1852">
        <v>4.74</v>
      </c>
      <c r="AJ1852">
        <v>26.09</v>
      </c>
      <c r="AK1852">
        <v>12.65</v>
      </c>
      <c r="AL1852">
        <v>-19.654399599999941</v>
      </c>
      <c r="AM1852">
        <v>-43.87457008070222</v>
      </c>
      <c r="AN1852">
        <v>-19.654399599999941</v>
      </c>
      <c r="AO1852">
        <v>-43.87457008070222</v>
      </c>
      <c r="AP1852">
        <v>-19.654454000000001</v>
      </c>
      <c r="AQ1852">
        <v>-43.874654</v>
      </c>
      <c r="AR1852">
        <v>10.68040226290562</v>
      </c>
      <c r="AS1852" t="s">
        <v>65</v>
      </c>
      <c r="AT1852">
        <v>1</v>
      </c>
      <c r="AU1852" t="s">
        <v>329</v>
      </c>
      <c r="AV1852" t="s">
        <v>330</v>
      </c>
      <c r="AW1852" t="s">
        <v>60</v>
      </c>
      <c r="AX1852" t="s">
        <v>68</v>
      </c>
      <c r="AY1852" t="s">
        <v>69</v>
      </c>
      <c r="AZ1852" t="b">
        <v>1</v>
      </c>
    </row>
    <row r="1853" spans="1:52" x14ac:dyDescent="0.3">
      <c r="A1853" t="s">
        <v>52</v>
      </c>
      <c r="B1853" t="s">
        <v>53</v>
      </c>
      <c r="C1853" t="s">
        <v>54</v>
      </c>
      <c r="D1853" t="s">
        <v>55</v>
      </c>
      <c r="E1853" t="s">
        <v>853</v>
      </c>
      <c r="F1853" t="s">
        <v>176</v>
      </c>
      <c r="G1853" t="s">
        <v>468</v>
      </c>
      <c r="H1853" t="s">
        <v>469</v>
      </c>
      <c r="I1853" t="s">
        <v>469</v>
      </c>
      <c r="J1853" t="s">
        <v>60</v>
      </c>
      <c r="K1853" t="s">
        <v>326</v>
      </c>
      <c r="L1853" t="s">
        <v>62</v>
      </c>
      <c r="M1853" t="s">
        <v>326</v>
      </c>
      <c r="N1853" t="s">
        <v>470</v>
      </c>
      <c r="O1853" t="s">
        <v>471</v>
      </c>
      <c r="P1853">
        <v>-19.655975999999999</v>
      </c>
      <c r="Q1853">
        <v>-43.870057000000003</v>
      </c>
      <c r="R1853" s="2" t="str">
        <f>HYPERLINK("https://www.google.com/maps?q=-19.6559760,-43.8700570","Abrir no Google Maps")</f>
        <v>Abrir no Google Maps</v>
      </c>
      <c r="S1853">
        <v>3</v>
      </c>
      <c r="T1853">
        <v>409.25016374145417</v>
      </c>
      <c r="U1853">
        <v>4</v>
      </c>
      <c r="V1853">
        <v>0.94489247311827962</v>
      </c>
      <c r="W1853">
        <v>1</v>
      </c>
      <c r="X1853">
        <v>0.94489247311827962</v>
      </c>
      <c r="Y1853">
        <v>3</v>
      </c>
      <c r="Z1853">
        <v>484.59511175905197</v>
      </c>
      <c r="AA1853">
        <v>2</v>
      </c>
      <c r="AB1853">
        <v>3</v>
      </c>
      <c r="AC1853">
        <v>7</v>
      </c>
      <c r="AD1853">
        <v>24.9</v>
      </c>
      <c r="AE1853">
        <v>253</v>
      </c>
      <c r="AF1853">
        <v>12</v>
      </c>
      <c r="AG1853">
        <v>66</v>
      </c>
      <c r="AH1853">
        <v>32</v>
      </c>
      <c r="AI1853">
        <v>4.74</v>
      </c>
      <c r="AJ1853">
        <v>26.09</v>
      </c>
      <c r="AK1853">
        <v>12.65</v>
      </c>
      <c r="AL1853">
        <v>-19.655869499999969</v>
      </c>
      <c r="AM1853">
        <v>-43.870040006843681</v>
      </c>
      <c r="AN1853">
        <v>-19.655869499999969</v>
      </c>
      <c r="AO1853">
        <v>-43.870040006843681</v>
      </c>
      <c r="AP1853">
        <v>-19.655975999999999</v>
      </c>
      <c r="AQ1853">
        <v>-43.870057000000003</v>
      </c>
      <c r="AR1853">
        <v>11.98867552929476</v>
      </c>
      <c r="AS1853" t="s">
        <v>65</v>
      </c>
      <c r="AT1853">
        <v>1</v>
      </c>
      <c r="AU1853" t="s">
        <v>472</v>
      </c>
      <c r="AV1853" t="s">
        <v>473</v>
      </c>
      <c r="AW1853" t="s">
        <v>60</v>
      </c>
      <c r="AX1853" t="s">
        <v>68</v>
      </c>
      <c r="AY1853" t="s">
        <v>69</v>
      </c>
      <c r="AZ1853" t="b">
        <v>1</v>
      </c>
    </row>
    <row r="1854" spans="1:52" x14ac:dyDescent="0.3">
      <c r="A1854" t="s">
        <v>52</v>
      </c>
      <c r="B1854" t="s">
        <v>53</v>
      </c>
      <c r="C1854" t="s">
        <v>54</v>
      </c>
      <c r="D1854" t="s">
        <v>55</v>
      </c>
      <c r="E1854" t="s">
        <v>853</v>
      </c>
      <c r="F1854" t="s">
        <v>176</v>
      </c>
      <c r="G1854" t="s">
        <v>331</v>
      </c>
      <c r="H1854" t="s">
        <v>332</v>
      </c>
      <c r="I1854" t="s">
        <v>332</v>
      </c>
      <c r="J1854" t="s">
        <v>60</v>
      </c>
      <c r="K1854" t="s">
        <v>333</v>
      </c>
      <c r="L1854" t="s">
        <v>62</v>
      </c>
      <c r="M1854" t="s">
        <v>333</v>
      </c>
      <c r="N1854" t="s">
        <v>334</v>
      </c>
      <c r="O1854" t="s">
        <v>335</v>
      </c>
      <c r="P1854">
        <v>-19.638455</v>
      </c>
      <c r="Q1854">
        <v>-43.911239000000002</v>
      </c>
      <c r="R1854" s="2" t="str">
        <f>HYPERLINK("https://www.google.com/maps?q=-19.6384550,-43.9112390","Abrir no Google Maps")</f>
        <v>Abrir no Google Maps</v>
      </c>
      <c r="S1854">
        <v>3</v>
      </c>
      <c r="T1854">
        <v>488.53051432983438</v>
      </c>
      <c r="U1854">
        <v>4</v>
      </c>
      <c r="V1854">
        <v>0.96376811594202905</v>
      </c>
      <c r="W1854">
        <v>1</v>
      </c>
      <c r="X1854">
        <v>0.96376811594202905</v>
      </c>
      <c r="Y1854">
        <v>3</v>
      </c>
      <c r="Z1854">
        <v>503.17412324010428</v>
      </c>
      <c r="AA1854">
        <v>2</v>
      </c>
      <c r="AB1854">
        <v>3</v>
      </c>
      <c r="AC1854">
        <v>7</v>
      </c>
      <c r="AD1854">
        <v>24.9</v>
      </c>
      <c r="AE1854">
        <v>253</v>
      </c>
      <c r="AF1854">
        <v>12</v>
      </c>
      <c r="AG1854">
        <v>66</v>
      </c>
      <c r="AH1854">
        <v>32</v>
      </c>
      <c r="AI1854">
        <v>4.74</v>
      </c>
      <c r="AJ1854">
        <v>26.09</v>
      </c>
      <c r="AK1854">
        <v>12.65</v>
      </c>
      <c r="AL1854">
        <v>-19.63853704999994</v>
      </c>
      <c r="AM1854">
        <v>-43.911098254478723</v>
      </c>
      <c r="AN1854">
        <v>-19.63853704999994</v>
      </c>
      <c r="AO1854">
        <v>-43.911098254478723</v>
      </c>
      <c r="AP1854">
        <v>-19.638455</v>
      </c>
      <c r="AQ1854">
        <v>-43.911239000000002</v>
      </c>
      <c r="AR1854">
        <v>17.354491692685801</v>
      </c>
      <c r="AS1854" t="s">
        <v>65</v>
      </c>
      <c r="AT1854">
        <v>1</v>
      </c>
      <c r="AU1854" t="s">
        <v>336</v>
      </c>
      <c r="AV1854" t="s">
        <v>337</v>
      </c>
      <c r="AW1854" t="s">
        <v>60</v>
      </c>
      <c r="AX1854" t="s">
        <v>68</v>
      </c>
      <c r="AY1854" t="s">
        <v>69</v>
      </c>
      <c r="AZ1854" t="b">
        <v>1</v>
      </c>
    </row>
    <row r="1855" spans="1:52" x14ac:dyDescent="0.3">
      <c r="A1855" t="s">
        <v>52</v>
      </c>
      <c r="B1855" t="s">
        <v>53</v>
      </c>
      <c r="C1855" t="s">
        <v>54</v>
      </c>
      <c r="D1855" t="s">
        <v>55</v>
      </c>
      <c r="E1855" t="s">
        <v>853</v>
      </c>
      <c r="F1855" t="s">
        <v>176</v>
      </c>
      <c r="G1855" t="s">
        <v>474</v>
      </c>
      <c r="H1855" t="s">
        <v>475</v>
      </c>
      <c r="I1855" t="s">
        <v>475</v>
      </c>
      <c r="J1855" t="s">
        <v>60</v>
      </c>
      <c r="K1855" t="s">
        <v>326</v>
      </c>
      <c r="L1855" t="s">
        <v>62</v>
      </c>
      <c r="M1855" t="s">
        <v>326</v>
      </c>
      <c r="N1855" t="s">
        <v>476</v>
      </c>
      <c r="O1855" t="s">
        <v>477</v>
      </c>
      <c r="P1855">
        <v>-19.658083000000001</v>
      </c>
      <c r="Q1855">
        <v>-43.866957999999997</v>
      </c>
      <c r="R1855" s="2" t="str">
        <f>HYPERLINK("https://www.google.com/maps?q=-19.6580830,-43.8669580","Abrir no Google Maps")</f>
        <v>Abrir no Google Maps</v>
      </c>
      <c r="S1855">
        <v>3</v>
      </c>
      <c r="T1855">
        <v>753.45055811539748</v>
      </c>
      <c r="U1855">
        <v>4</v>
      </c>
      <c r="V1855">
        <v>0.9525862068965516</v>
      </c>
      <c r="W1855">
        <v>1</v>
      </c>
      <c r="X1855">
        <v>0.9525862068965516</v>
      </c>
      <c r="Y1855">
        <v>3</v>
      </c>
      <c r="Z1855">
        <v>808.47816984050394</v>
      </c>
      <c r="AA1855">
        <v>2</v>
      </c>
      <c r="AB1855">
        <v>3</v>
      </c>
      <c r="AC1855">
        <v>7</v>
      </c>
      <c r="AD1855">
        <v>24.9</v>
      </c>
      <c r="AE1855">
        <v>253</v>
      </c>
      <c r="AF1855">
        <v>12</v>
      </c>
      <c r="AG1855">
        <v>66</v>
      </c>
      <c r="AH1855">
        <v>32</v>
      </c>
      <c r="AI1855">
        <v>4.74</v>
      </c>
      <c r="AJ1855">
        <v>26.09</v>
      </c>
      <c r="AK1855">
        <v>12.65</v>
      </c>
      <c r="AL1855">
        <v>-19.658034899999929</v>
      </c>
      <c r="AM1855">
        <v>-43.867024921196148</v>
      </c>
      <c r="AN1855">
        <v>-19.658034899999929</v>
      </c>
      <c r="AO1855">
        <v>-43.867024921196148</v>
      </c>
      <c r="AP1855">
        <v>-19.658083000000001</v>
      </c>
      <c r="AQ1855">
        <v>-43.866957999999997</v>
      </c>
      <c r="AR1855">
        <v>8.8253920204286462</v>
      </c>
      <c r="AS1855" t="s">
        <v>65</v>
      </c>
      <c r="AT1855">
        <v>1</v>
      </c>
      <c r="AU1855" t="s">
        <v>478</v>
      </c>
      <c r="AV1855" t="s">
        <v>349</v>
      </c>
      <c r="AW1855" t="s">
        <v>60</v>
      </c>
      <c r="AX1855" t="s">
        <v>68</v>
      </c>
      <c r="AY1855" t="s">
        <v>69</v>
      </c>
      <c r="AZ1855" t="b">
        <v>1</v>
      </c>
    </row>
    <row r="1856" spans="1:52" x14ac:dyDescent="0.3">
      <c r="A1856" t="s">
        <v>52</v>
      </c>
      <c r="B1856" t="s">
        <v>53</v>
      </c>
      <c r="C1856" t="s">
        <v>54</v>
      </c>
      <c r="D1856" t="s">
        <v>55</v>
      </c>
      <c r="E1856" t="s">
        <v>853</v>
      </c>
      <c r="F1856" t="s">
        <v>176</v>
      </c>
      <c r="G1856" t="s">
        <v>479</v>
      </c>
      <c r="H1856" t="s">
        <v>480</v>
      </c>
      <c r="I1856" t="s">
        <v>480</v>
      </c>
      <c r="J1856" t="s">
        <v>60</v>
      </c>
      <c r="K1856" t="s">
        <v>286</v>
      </c>
      <c r="L1856" t="s">
        <v>62</v>
      </c>
      <c r="M1856" t="s">
        <v>286</v>
      </c>
      <c r="N1856" t="s">
        <v>481</v>
      </c>
      <c r="O1856" t="s">
        <v>159</v>
      </c>
      <c r="P1856">
        <v>-19.635337</v>
      </c>
      <c r="Q1856">
        <v>-43.884400999999997</v>
      </c>
      <c r="R1856" s="2" t="str">
        <f>HYPERLINK("https://www.google.com/maps?q=-19.6353370,-43.8844010","Abrir no Google Maps")</f>
        <v>Abrir no Google Maps</v>
      </c>
      <c r="S1856">
        <v>3</v>
      </c>
      <c r="T1856">
        <v>697.1404216088763</v>
      </c>
      <c r="U1856">
        <v>4</v>
      </c>
      <c r="V1856">
        <v>0.982421875</v>
      </c>
      <c r="W1856">
        <v>1</v>
      </c>
      <c r="X1856">
        <v>0.982421875</v>
      </c>
      <c r="Y1856">
        <v>2</v>
      </c>
      <c r="Z1856">
        <v>178.9017814618079</v>
      </c>
      <c r="AA1856">
        <v>2</v>
      </c>
      <c r="AB1856">
        <v>3</v>
      </c>
      <c r="AC1856">
        <v>7</v>
      </c>
      <c r="AD1856">
        <v>24.9</v>
      </c>
      <c r="AE1856">
        <v>253</v>
      </c>
      <c r="AF1856">
        <v>12</v>
      </c>
      <c r="AG1856">
        <v>66</v>
      </c>
      <c r="AH1856">
        <v>32</v>
      </c>
      <c r="AI1856">
        <v>4.74</v>
      </c>
      <c r="AJ1856">
        <v>26.09</v>
      </c>
      <c r="AK1856">
        <v>12.65</v>
      </c>
      <c r="AL1856">
        <v>-19.635338699999949</v>
      </c>
      <c r="AM1856">
        <v>-43.884486286355838</v>
      </c>
      <c r="AN1856">
        <v>-19.635338699999949</v>
      </c>
      <c r="AO1856">
        <v>-43.884486286355838</v>
      </c>
      <c r="AP1856">
        <v>-19.635337</v>
      </c>
      <c r="AQ1856">
        <v>-43.884400999999997</v>
      </c>
      <c r="AR1856">
        <v>8.9440024153343494</v>
      </c>
      <c r="AS1856" t="s">
        <v>65</v>
      </c>
      <c r="AT1856">
        <v>1</v>
      </c>
      <c r="AU1856" t="s">
        <v>482</v>
      </c>
      <c r="AV1856" t="s">
        <v>483</v>
      </c>
      <c r="AW1856" t="s">
        <v>60</v>
      </c>
      <c r="AX1856" t="s">
        <v>68</v>
      </c>
      <c r="AY1856" t="s">
        <v>69</v>
      </c>
      <c r="AZ1856" t="b">
        <v>1</v>
      </c>
    </row>
    <row r="1857" spans="1:52" x14ac:dyDescent="0.3">
      <c r="A1857" t="s">
        <v>52</v>
      </c>
      <c r="B1857" t="s">
        <v>53</v>
      </c>
      <c r="C1857" t="s">
        <v>54</v>
      </c>
      <c r="D1857" t="s">
        <v>55</v>
      </c>
      <c r="E1857" t="s">
        <v>853</v>
      </c>
      <c r="F1857" t="s">
        <v>176</v>
      </c>
      <c r="G1857" t="s">
        <v>484</v>
      </c>
      <c r="H1857" t="s">
        <v>485</v>
      </c>
      <c r="I1857" t="s">
        <v>485</v>
      </c>
      <c r="J1857" t="s">
        <v>60</v>
      </c>
      <c r="K1857" t="s">
        <v>486</v>
      </c>
      <c r="L1857" t="s">
        <v>62</v>
      </c>
      <c r="M1857" t="s">
        <v>486</v>
      </c>
      <c r="N1857" t="s">
        <v>487</v>
      </c>
      <c r="O1857" t="s">
        <v>488</v>
      </c>
      <c r="P1857">
        <v>-19.599471999999999</v>
      </c>
      <c r="Q1857">
        <v>-43.904423999999999</v>
      </c>
      <c r="R1857" s="2" t="str">
        <f>HYPERLINK("https://www.google.com/maps?q=-19.5994720,-43.9044240","Abrir no Google Maps")</f>
        <v>Abrir no Google Maps</v>
      </c>
      <c r="S1857">
        <v>3</v>
      </c>
      <c r="T1857">
        <v>0</v>
      </c>
      <c r="U1857">
        <v>4</v>
      </c>
      <c r="V1857">
        <v>0.99456521739130443</v>
      </c>
      <c r="W1857">
        <v>1</v>
      </c>
      <c r="X1857">
        <v>0.99456521739130443</v>
      </c>
      <c r="Y1857">
        <v>2</v>
      </c>
      <c r="Z1857">
        <v>112.207711482489</v>
      </c>
      <c r="AA1857">
        <v>2</v>
      </c>
      <c r="AB1857">
        <v>3</v>
      </c>
      <c r="AC1857">
        <v>7</v>
      </c>
      <c r="AD1857">
        <v>24.9</v>
      </c>
      <c r="AE1857">
        <v>253</v>
      </c>
      <c r="AF1857">
        <v>12</v>
      </c>
      <c r="AG1857">
        <v>66</v>
      </c>
      <c r="AH1857">
        <v>32</v>
      </c>
      <c r="AI1857">
        <v>4.74</v>
      </c>
      <c r="AJ1857">
        <v>26.09</v>
      </c>
      <c r="AK1857">
        <v>12.65</v>
      </c>
      <c r="AL1857">
        <v>-19.599417149999969</v>
      </c>
      <c r="AM1857">
        <v>-43.904309145074677</v>
      </c>
      <c r="AN1857">
        <v>-19.599417149999969</v>
      </c>
      <c r="AO1857">
        <v>-43.904309145074677</v>
      </c>
      <c r="AP1857">
        <v>-19.599471999999999</v>
      </c>
      <c r="AQ1857">
        <v>-43.904423999999999</v>
      </c>
      <c r="AR1857">
        <v>13.50409975769734</v>
      </c>
      <c r="AS1857" t="s">
        <v>65</v>
      </c>
      <c r="AT1857">
        <v>1</v>
      </c>
      <c r="AU1857" t="s">
        <v>489</v>
      </c>
      <c r="AV1857" t="s">
        <v>490</v>
      </c>
      <c r="AW1857" t="s">
        <v>60</v>
      </c>
      <c r="AX1857" t="s">
        <v>68</v>
      </c>
      <c r="AY1857" t="s">
        <v>69</v>
      </c>
      <c r="AZ1857" t="b">
        <v>1</v>
      </c>
    </row>
    <row r="1858" spans="1:52" x14ac:dyDescent="0.3">
      <c r="A1858" t="s">
        <v>52</v>
      </c>
      <c r="B1858" t="s">
        <v>53</v>
      </c>
      <c r="C1858" t="s">
        <v>54</v>
      </c>
      <c r="D1858" t="s">
        <v>55</v>
      </c>
      <c r="E1858" t="s">
        <v>853</v>
      </c>
      <c r="F1858" t="s">
        <v>176</v>
      </c>
      <c r="G1858" t="s">
        <v>438</v>
      </c>
      <c r="H1858" t="s">
        <v>491</v>
      </c>
      <c r="I1858" t="s">
        <v>491</v>
      </c>
      <c r="J1858" t="s">
        <v>60</v>
      </c>
      <c r="K1858" t="s">
        <v>492</v>
      </c>
      <c r="L1858" t="s">
        <v>62</v>
      </c>
      <c r="M1858" t="s">
        <v>492</v>
      </c>
      <c r="N1858" t="s">
        <v>493</v>
      </c>
      <c r="O1858" t="s">
        <v>81</v>
      </c>
      <c r="P1858">
        <v>-19.599810999999999</v>
      </c>
      <c r="Q1858">
        <v>-43.906267</v>
      </c>
      <c r="R1858" s="2" t="str">
        <f>HYPERLINK("https://www.google.com/maps?q=-19.5998110,-43.9062670","Abrir no Google Maps")</f>
        <v>Abrir no Google Maps</v>
      </c>
      <c r="S1858">
        <v>3</v>
      </c>
      <c r="T1858">
        <v>214.87460546260371</v>
      </c>
      <c r="U1858">
        <v>4</v>
      </c>
      <c r="V1858">
        <v>1</v>
      </c>
      <c r="W1858">
        <v>1</v>
      </c>
      <c r="X1858">
        <v>1</v>
      </c>
      <c r="Y1858">
        <v>2</v>
      </c>
      <c r="Z1858">
        <v>211.0648412523515</v>
      </c>
      <c r="AA1858">
        <v>2</v>
      </c>
      <c r="AB1858">
        <v>3</v>
      </c>
      <c r="AC1858">
        <v>7</v>
      </c>
      <c r="AD1858">
        <v>24.9</v>
      </c>
      <c r="AE1858">
        <v>253</v>
      </c>
      <c r="AF1858">
        <v>12</v>
      </c>
      <c r="AG1858">
        <v>66</v>
      </c>
      <c r="AH1858">
        <v>32</v>
      </c>
      <c r="AI1858">
        <v>4.74</v>
      </c>
      <c r="AJ1858">
        <v>26.09</v>
      </c>
      <c r="AK1858">
        <v>12.65</v>
      </c>
      <c r="AL1858">
        <v>-19.600032099999961</v>
      </c>
      <c r="AM1858">
        <v>-43.906252350845229</v>
      </c>
      <c r="AN1858">
        <v>-19.600032099999961</v>
      </c>
      <c r="AO1858">
        <v>-43.906252350845229</v>
      </c>
      <c r="AP1858">
        <v>-19.599810999999999</v>
      </c>
      <c r="AQ1858">
        <v>-43.906267</v>
      </c>
      <c r="AR1858">
        <v>24.660749384148179</v>
      </c>
      <c r="AS1858" t="s">
        <v>65</v>
      </c>
      <c r="AT1858">
        <v>1</v>
      </c>
      <c r="AU1858" t="s">
        <v>494</v>
      </c>
      <c r="AV1858" t="s">
        <v>495</v>
      </c>
      <c r="AW1858" t="s">
        <v>60</v>
      </c>
      <c r="AX1858" t="s">
        <v>68</v>
      </c>
      <c r="AY1858" t="s">
        <v>69</v>
      </c>
      <c r="AZ1858" t="b">
        <v>1</v>
      </c>
    </row>
    <row r="1859" spans="1:52" x14ac:dyDescent="0.3">
      <c r="A1859" t="s">
        <v>52</v>
      </c>
      <c r="B1859" t="s">
        <v>53</v>
      </c>
      <c r="C1859" t="s">
        <v>54</v>
      </c>
      <c r="D1859" t="s">
        <v>55</v>
      </c>
      <c r="E1859" t="s">
        <v>853</v>
      </c>
      <c r="F1859" t="s">
        <v>176</v>
      </c>
      <c r="G1859" t="s">
        <v>357</v>
      </c>
      <c r="H1859" t="s">
        <v>358</v>
      </c>
      <c r="I1859" t="s">
        <v>358</v>
      </c>
      <c r="J1859" t="s">
        <v>60</v>
      </c>
      <c r="K1859" t="s">
        <v>359</v>
      </c>
      <c r="L1859" t="s">
        <v>62</v>
      </c>
      <c r="M1859" t="s">
        <v>359</v>
      </c>
      <c r="N1859" t="s">
        <v>360</v>
      </c>
      <c r="O1859" t="s">
        <v>201</v>
      </c>
      <c r="P1859">
        <v>-19.601168000000001</v>
      </c>
      <c r="Q1859">
        <v>-43.896143000000002</v>
      </c>
      <c r="R1859" s="2" t="str">
        <f>HYPERLINK("https://www.google.com/maps?q=-19.6011680,-43.8961430","Abrir no Google Maps")</f>
        <v>Abrir no Google Maps</v>
      </c>
      <c r="S1859">
        <v>3</v>
      </c>
      <c r="T1859">
        <v>886.80074895427902</v>
      </c>
      <c r="U1859">
        <v>4</v>
      </c>
      <c r="V1859">
        <v>0.99744897959183676</v>
      </c>
      <c r="W1859">
        <v>1</v>
      </c>
      <c r="X1859">
        <v>0.99744897959183676</v>
      </c>
      <c r="Y1859">
        <v>2</v>
      </c>
      <c r="Z1859">
        <v>807.27931110193254</v>
      </c>
      <c r="AA1859">
        <v>2</v>
      </c>
      <c r="AB1859">
        <v>3</v>
      </c>
      <c r="AC1859">
        <v>7</v>
      </c>
      <c r="AD1859">
        <v>24.9</v>
      </c>
      <c r="AE1859">
        <v>253</v>
      </c>
      <c r="AF1859">
        <v>12</v>
      </c>
      <c r="AG1859">
        <v>66</v>
      </c>
      <c r="AH1859">
        <v>32</v>
      </c>
      <c r="AI1859">
        <v>4.74</v>
      </c>
      <c r="AJ1859">
        <v>26.09</v>
      </c>
      <c r="AK1859">
        <v>12.65</v>
      </c>
      <c r="AL1859">
        <v>-19.60112959999995</v>
      </c>
      <c r="AM1859">
        <v>-43.896049426747439</v>
      </c>
      <c r="AN1859">
        <v>-19.60112959999995</v>
      </c>
      <c r="AO1859">
        <v>-43.896049426747439</v>
      </c>
      <c r="AP1859">
        <v>-19.601168000000001</v>
      </c>
      <c r="AQ1859">
        <v>-43.896143000000002</v>
      </c>
      <c r="AR1859">
        <v>10.703588298793671</v>
      </c>
      <c r="AS1859" t="s">
        <v>65</v>
      </c>
      <c r="AT1859">
        <v>1</v>
      </c>
      <c r="AU1859" t="s">
        <v>361</v>
      </c>
      <c r="AV1859" t="s">
        <v>362</v>
      </c>
      <c r="AW1859" t="s">
        <v>60</v>
      </c>
      <c r="AX1859" t="s">
        <v>68</v>
      </c>
      <c r="AY1859" t="s">
        <v>69</v>
      </c>
      <c r="AZ1859" t="b">
        <v>1</v>
      </c>
    </row>
    <row r="1860" spans="1:52" x14ac:dyDescent="0.3">
      <c r="A1860" t="s">
        <v>52</v>
      </c>
      <c r="B1860" t="s">
        <v>53</v>
      </c>
      <c r="C1860" t="s">
        <v>54</v>
      </c>
      <c r="D1860" t="s">
        <v>55</v>
      </c>
      <c r="E1860" t="s">
        <v>853</v>
      </c>
      <c r="F1860" t="s">
        <v>176</v>
      </c>
      <c r="G1860" t="s">
        <v>371</v>
      </c>
      <c r="H1860" t="s">
        <v>372</v>
      </c>
      <c r="I1860" t="s">
        <v>372</v>
      </c>
      <c r="J1860" t="s">
        <v>60</v>
      </c>
      <c r="K1860" t="s">
        <v>352</v>
      </c>
      <c r="L1860" t="s">
        <v>62</v>
      </c>
      <c r="M1860" t="s">
        <v>352</v>
      </c>
      <c r="N1860" t="s">
        <v>353</v>
      </c>
      <c r="O1860" t="s">
        <v>373</v>
      </c>
      <c r="P1860">
        <v>-19.596541999999999</v>
      </c>
      <c r="Q1860">
        <v>-43.900803000000003</v>
      </c>
      <c r="R1860" s="2" t="str">
        <f>HYPERLINK("https://www.google.com/maps?q=-19.5965420,-43.9008030","Abrir no Google Maps")</f>
        <v>Abrir no Google Maps</v>
      </c>
      <c r="S1860">
        <v>3</v>
      </c>
      <c r="T1860">
        <v>401.18305899095373</v>
      </c>
      <c r="U1860">
        <v>4</v>
      </c>
      <c r="V1860">
        <v>0.96273291925465843</v>
      </c>
      <c r="W1860">
        <v>1</v>
      </c>
      <c r="X1860">
        <v>0.96273291925465843</v>
      </c>
      <c r="Y1860">
        <v>2</v>
      </c>
      <c r="Z1860">
        <v>484.51228510119228</v>
      </c>
      <c r="AA1860">
        <v>2</v>
      </c>
      <c r="AB1860">
        <v>3</v>
      </c>
      <c r="AC1860">
        <v>7</v>
      </c>
      <c r="AD1860">
        <v>24.9</v>
      </c>
      <c r="AE1860">
        <v>253</v>
      </c>
      <c r="AF1860">
        <v>12</v>
      </c>
      <c r="AG1860">
        <v>66</v>
      </c>
      <c r="AH1860">
        <v>32</v>
      </c>
      <c r="AI1860">
        <v>4.74</v>
      </c>
      <c r="AJ1860">
        <v>26.09</v>
      </c>
      <c r="AK1860">
        <v>12.65</v>
      </c>
      <c r="AL1860">
        <v>-19.596464449999932</v>
      </c>
      <c r="AM1860">
        <v>-43.902090320142641</v>
      </c>
      <c r="AN1860">
        <v>-19.596464449999932</v>
      </c>
      <c r="AO1860">
        <v>-43.902090320142641</v>
      </c>
      <c r="AP1860">
        <v>-19.596541999999999</v>
      </c>
      <c r="AQ1860">
        <v>-43.900803000000003</v>
      </c>
      <c r="AR1860">
        <v>135.27975170069479</v>
      </c>
      <c r="AS1860" t="s">
        <v>65</v>
      </c>
      <c r="AT1860">
        <v>1</v>
      </c>
      <c r="AU1860" t="s">
        <v>374</v>
      </c>
      <c r="AV1860" t="s">
        <v>375</v>
      </c>
      <c r="AW1860" t="s">
        <v>60</v>
      </c>
      <c r="AX1860" t="s">
        <v>68</v>
      </c>
      <c r="AY1860" t="s">
        <v>69</v>
      </c>
      <c r="AZ1860" t="b">
        <v>1</v>
      </c>
    </row>
    <row r="1861" spans="1:52" x14ac:dyDescent="0.3">
      <c r="A1861" t="s">
        <v>52</v>
      </c>
      <c r="B1861" t="s">
        <v>53</v>
      </c>
      <c r="C1861" t="s">
        <v>54</v>
      </c>
      <c r="D1861" t="s">
        <v>55</v>
      </c>
      <c r="E1861" t="s">
        <v>853</v>
      </c>
      <c r="F1861" t="s">
        <v>176</v>
      </c>
      <c r="G1861" t="s">
        <v>382</v>
      </c>
      <c r="H1861" t="s">
        <v>383</v>
      </c>
      <c r="I1861" t="s">
        <v>383</v>
      </c>
      <c r="J1861" t="s">
        <v>60</v>
      </c>
      <c r="K1861" t="s">
        <v>185</v>
      </c>
      <c r="L1861" t="s">
        <v>62</v>
      </c>
      <c r="M1861" t="s">
        <v>185</v>
      </c>
      <c r="N1861" t="s">
        <v>384</v>
      </c>
      <c r="O1861" t="s">
        <v>385</v>
      </c>
      <c r="P1861">
        <v>-19.623774000000001</v>
      </c>
      <c r="Q1861">
        <v>-43.886352000000002</v>
      </c>
      <c r="R1861" s="2" t="str">
        <f>HYPERLINK("https://www.google.com/maps?q=-19.6237740,-43.8863520","Abrir no Google Maps")</f>
        <v>Abrir no Google Maps</v>
      </c>
      <c r="S1861">
        <v>3</v>
      </c>
      <c r="T1861">
        <v>818.17252856383368</v>
      </c>
      <c r="U1861">
        <v>4</v>
      </c>
      <c r="V1861">
        <v>0.94715447154471544</v>
      </c>
      <c r="W1861">
        <v>1</v>
      </c>
      <c r="X1861">
        <v>0.94715447154471544</v>
      </c>
      <c r="Y1861">
        <v>0</v>
      </c>
      <c r="Z1861">
        <v>327.32213182525902</v>
      </c>
      <c r="AA1861">
        <v>2</v>
      </c>
      <c r="AB1861">
        <v>3</v>
      </c>
      <c r="AC1861">
        <v>7</v>
      </c>
      <c r="AD1861">
        <v>24.9</v>
      </c>
      <c r="AE1861">
        <v>253</v>
      </c>
      <c r="AF1861">
        <v>12</v>
      </c>
      <c r="AG1861">
        <v>66</v>
      </c>
      <c r="AH1861">
        <v>32</v>
      </c>
      <c r="AI1861">
        <v>4.74</v>
      </c>
      <c r="AJ1861">
        <v>26.09</v>
      </c>
      <c r="AK1861">
        <v>12.65</v>
      </c>
      <c r="AL1861">
        <v>-19.623056299999941</v>
      </c>
      <c r="AM1861">
        <v>-43.886837120297002</v>
      </c>
      <c r="AN1861">
        <v>-19.623056299999941</v>
      </c>
      <c r="AO1861">
        <v>-43.886837120297002</v>
      </c>
      <c r="AP1861">
        <v>-19.623774000000001</v>
      </c>
      <c r="AQ1861">
        <v>-43.886352000000002</v>
      </c>
      <c r="AR1861">
        <v>94.713149059175393</v>
      </c>
      <c r="AS1861" t="s">
        <v>65</v>
      </c>
      <c r="AT1861">
        <v>1</v>
      </c>
      <c r="AU1861" t="s">
        <v>386</v>
      </c>
      <c r="AV1861" t="s">
        <v>387</v>
      </c>
      <c r="AW1861" t="s">
        <v>60</v>
      </c>
      <c r="AX1861" t="s">
        <v>68</v>
      </c>
      <c r="AY1861" t="s">
        <v>69</v>
      </c>
      <c r="AZ1861" t="b">
        <v>1</v>
      </c>
    </row>
    <row r="1862" spans="1:52" x14ac:dyDescent="0.3">
      <c r="A1862" t="s">
        <v>52</v>
      </c>
      <c r="B1862" t="s">
        <v>53</v>
      </c>
      <c r="C1862" t="s">
        <v>54</v>
      </c>
      <c r="D1862" t="s">
        <v>55</v>
      </c>
      <c r="E1862" t="s">
        <v>853</v>
      </c>
      <c r="F1862" t="s">
        <v>176</v>
      </c>
      <c r="G1862" t="s">
        <v>525</v>
      </c>
      <c r="H1862" t="s">
        <v>526</v>
      </c>
      <c r="I1862" t="s">
        <v>526</v>
      </c>
      <c r="J1862" t="s">
        <v>60</v>
      </c>
      <c r="K1862" t="s">
        <v>286</v>
      </c>
      <c r="L1862" t="s">
        <v>62</v>
      </c>
      <c r="M1862" t="s">
        <v>286</v>
      </c>
      <c r="N1862" t="s">
        <v>527</v>
      </c>
      <c r="O1862" t="s">
        <v>113</v>
      </c>
      <c r="P1862">
        <v>-19.629049999999999</v>
      </c>
      <c r="Q1862">
        <v>-43.887543000000001</v>
      </c>
      <c r="R1862" s="2" t="str">
        <f>HYPERLINK("https://www.google.com/maps?q=-19.6290500,-43.8875430","Abrir no Google Maps")</f>
        <v>Abrir no Google Maps</v>
      </c>
      <c r="S1862">
        <v>3</v>
      </c>
      <c r="T1862">
        <v>420.9244758141914</v>
      </c>
      <c r="U1862">
        <v>3</v>
      </c>
      <c r="V1862">
        <v>0.98369565217391319</v>
      </c>
      <c r="W1862">
        <v>0.85</v>
      </c>
      <c r="X1862">
        <v>0.83614130434782619</v>
      </c>
      <c r="Y1862">
        <v>18</v>
      </c>
      <c r="Z1862">
        <v>298.16529694300579</v>
      </c>
      <c r="AA1862">
        <v>2</v>
      </c>
      <c r="AB1862">
        <v>3</v>
      </c>
      <c r="AC1862">
        <v>7</v>
      </c>
      <c r="AD1862">
        <v>24.9</v>
      </c>
      <c r="AE1862">
        <v>253</v>
      </c>
      <c r="AF1862">
        <v>12</v>
      </c>
      <c r="AG1862">
        <v>66</v>
      </c>
      <c r="AH1862">
        <v>32</v>
      </c>
      <c r="AI1862">
        <v>4.74</v>
      </c>
      <c r="AJ1862">
        <v>26.09</v>
      </c>
      <c r="AK1862">
        <v>12.65</v>
      </c>
      <c r="AL1862">
        <v>-19.62914789999996</v>
      </c>
      <c r="AM1862">
        <v>-43.887659532387332</v>
      </c>
      <c r="AN1862">
        <v>-19.62914789999996</v>
      </c>
      <c r="AO1862">
        <v>-43.887659532387332</v>
      </c>
      <c r="AP1862">
        <v>-19.629049999999999</v>
      </c>
      <c r="AQ1862">
        <v>-43.887543000000001</v>
      </c>
      <c r="AR1862">
        <v>16.372645779361299</v>
      </c>
      <c r="AS1862" t="s">
        <v>65</v>
      </c>
      <c r="AT1862">
        <v>1</v>
      </c>
      <c r="AU1862" t="s">
        <v>528</v>
      </c>
      <c r="AV1862" t="s">
        <v>529</v>
      </c>
      <c r="AW1862" t="s">
        <v>60</v>
      </c>
      <c r="AX1862" t="s">
        <v>68</v>
      </c>
      <c r="AY1862" t="s">
        <v>69</v>
      </c>
      <c r="AZ1862" t="b">
        <v>1</v>
      </c>
    </row>
    <row r="1863" spans="1:52" x14ac:dyDescent="0.3">
      <c r="A1863" t="s">
        <v>52</v>
      </c>
      <c r="B1863" t="s">
        <v>53</v>
      </c>
      <c r="C1863" t="s">
        <v>54</v>
      </c>
      <c r="D1863" t="s">
        <v>55</v>
      </c>
      <c r="E1863" t="s">
        <v>853</v>
      </c>
      <c r="F1863" t="s">
        <v>176</v>
      </c>
      <c r="G1863" t="s">
        <v>388</v>
      </c>
      <c r="H1863" t="s">
        <v>389</v>
      </c>
      <c r="I1863" t="s">
        <v>389</v>
      </c>
      <c r="J1863" t="s">
        <v>60</v>
      </c>
      <c r="K1863" t="s">
        <v>185</v>
      </c>
      <c r="L1863" t="s">
        <v>62</v>
      </c>
      <c r="M1863" t="s">
        <v>185</v>
      </c>
      <c r="N1863" t="s">
        <v>390</v>
      </c>
      <c r="O1863" t="s">
        <v>391</v>
      </c>
      <c r="P1863">
        <v>-19.628802</v>
      </c>
      <c r="Q1863">
        <v>-43.891649000000001</v>
      </c>
      <c r="R1863" s="2" t="str">
        <f>HYPERLINK("https://www.google.com/maps?q=-19.6288020,-43.8916490","Abrir no Google Maps")</f>
        <v>Abrir no Google Maps</v>
      </c>
      <c r="S1863">
        <v>3</v>
      </c>
      <c r="T1863">
        <v>0</v>
      </c>
      <c r="U1863">
        <v>3</v>
      </c>
      <c r="V1863">
        <v>0.99731182795698925</v>
      </c>
      <c r="W1863">
        <v>0.85</v>
      </c>
      <c r="X1863">
        <v>0.84771505376344081</v>
      </c>
      <c r="Y1863">
        <v>18</v>
      </c>
      <c r="Z1863">
        <v>117.5064585283839</v>
      </c>
      <c r="AA1863">
        <v>2</v>
      </c>
      <c r="AB1863">
        <v>3</v>
      </c>
      <c r="AC1863">
        <v>7</v>
      </c>
      <c r="AD1863">
        <v>24.9</v>
      </c>
      <c r="AE1863">
        <v>253</v>
      </c>
      <c r="AF1863">
        <v>12</v>
      </c>
      <c r="AG1863">
        <v>66</v>
      </c>
      <c r="AH1863">
        <v>32</v>
      </c>
      <c r="AI1863">
        <v>4.74</v>
      </c>
      <c r="AJ1863">
        <v>26.09</v>
      </c>
      <c r="AK1863">
        <v>12.65</v>
      </c>
      <c r="AL1863">
        <v>-19.628865499999961</v>
      </c>
      <c r="AM1863">
        <v>-43.891662391334172</v>
      </c>
      <c r="AN1863">
        <v>-19.628865499999961</v>
      </c>
      <c r="AO1863">
        <v>-43.891662391334172</v>
      </c>
      <c r="AP1863">
        <v>-19.628802</v>
      </c>
      <c r="AQ1863">
        <v>-43.891649000000001</v>
      </c>
      <c r="AR1863">
        <v>7.2069201904448459</v>
      </c>
      <c r="AS1863" t="s">
        <v>65</v>
      </c>
      <c r="AT1863">
        <v>1</v>
      </c>
      <c r="AU1863" t="s">
        <v>392</v>
      </c>
      <c r="AV1863" t="s">
        <v>393</v>
      </c>
      <c r="AW1863" t="s">
        <v>60</v>
      </c>
      <c r="AX1863" t="s">
        <v>68</v>
      </c>
      <c r="AY1863" t="s">
        <v>69</v>
      </c>
      <c r="AZ1863" t="b">
        <v>1</v>
      </c>
    </row>
    <row r="1864" spans="1:52" x14ac:dyDescent="0.3">
      <c r="A1864" t="s">
        <v>52</v>
      </c>
      <c r="B1864" t="s">
        <v>53</v>
      </c>
      <c r="C1864" t="s">
        <v>54</v>
      </c>
      <c r="D1864" t="s">
        <v>55</v>
      </c>
      <c r="E1864" t="s">
        <v>853</v>
      </c>
      <c r="F1864" t="s">
        <v>176</v>
      </c>
      <c r="G1864" t="s">
        <v>530</v>
      </c>
      <c r="H1864" t="s">
        <v>531</v>
      </c>
      <c r="I1864" t="s">
        <v>531</v>
      </c>
      <c r="J1864" t="s">
        <v>60</v>
      </c>
      <c r="K1864" t="s">
        <v>185</v>
      </c>
      <c r="L1864" t="s">
        <v>62</v>
      </c>
      <c r="M1864" t="s">
        <v>185</v>
      </c>
      <c r="N1864" t="s">
        <v>532</v>
      </c>
      <c r="O1864" t="s">
        <v>533</v>
      </c>
      <c r="P1864">
        <v>-19.625264000000001</v>
      </c>
      <c r="Q1864">
        <v>-43.889451000000001</v>
      </c>
      <c r="R1864" s="2" t="str">
        <f>HYPERLINK("https://www.google.com/maps?q=-19.6252640,-43.8894510","Abrir no Google Maps")</f>
        <v>Abrir no Google Maps</v>
      </c>
      <c r="S1864">
        <v>3</v>
      </c>
      <c r="T1864">
        <v>466.11340370665903</v>
      </c>
      <c r="U1864">
        <v>3</v>
      </c>
      <c r="V1864">
        <v>1</v>
      </c>
      <c r="W1864">
        <v>0.85</v>
      </c>
      <c r="X1864">
        <v>0.85</v>
      </c>
      <c r="Y1864">
        <v>18</v>
      </c>
      <c r="Z1864">
        <v>320.77337440837812</v>
      </c>
      <c r="AA1864">
        <v>2</v>
      </c>
      <c r="AB1864">
        <v>3</v>
      </c>
      <c r="AC1864">
        <v>7</v>
      </c>
      <c r="AD1864">
        <v>24.9</v>
      </c>
      <c r="AE1864">
        <v>253</v>
      </c>
      <c r="AF1864">
        <v>12</v>
      </c>
      <c r="AG1864">
        <v>66</v>
      </c>
      <c r="AH1864">
        <v>32</v>
      </c>
      <c r="AI1864">
        <v>4.74</v>
      </c>
      <c r="AJ1864">
        <v>26.09</v>
      </c>
      <c r="AK1864">
        <v>12.65</v>
      </c>
      <c r="AL1864">
        <v>-19.62516189999997</v>
      </c>
      <c r="AM1864">
        <v>-43.88954614566876</v>
      </c>
      <c r="AN1864">
        <v>-19.62516189999997</v>
      </c>
      <c r="AO1864">
        <v>-43.88954614566876</v>
      </c>
      <c r="AP1864">
        <v>-19.625264000000001</v>
      </c>
      <c r="AQ1864">
        <v>-43.889451000000001</v>
      </c>
      <c r="AR1864">
        <v>15.12310549834147</v>
      </c>
      <c r="AS1864" t="s">
        <v>65</v>
      </c>
      <c r="AT1864">
        <v>1</v>
      </c>
      <c r="AU1864" t="s">
        <v>534</v>
      </c>
      <c r="AV1864" t="s">
        <v>535</v>
      </c>
      <c r="AW1864" t="s">
        <v>60</v>
      </c>
      <c r="AX1864" t="s">
        <v>68</v>
      </c>
      <c r="AY1864" t="s">
        <v>69</v>
      </c>
      <c r="AZ1864" t="b">
        <v>1</v>
      </c>
    </row>
    <row r="1865" spans="1:52" x14ac:dyDescent="0.3">
      <c r="A1865" t="s">
        <v>52</v>
      </c>
      <c r="B1865" t="s">
        <v>53</v>
      </c>
      <c r="C1865" t="s">
        <v>54</v>
      </c>
      <c r="D1865" t="s">
        <v>55</v>
      </c>
      <c r="E1865" t="s">
        <v>853</v>
      </c>
      <c r="F1865" t="s">
        <v>176</v>
      </c>
      <c r="G1865" t="s">
        <v>536</v>
      </c>
      <c r="H1865" t="s">
        <v>537</v>
      </c>
      <c r="I1865" t="s">
        <v>537</v>
      </c>
      <c r="J1865" t="s">
        <v>60</v>
      </c>
      <c r="K1865" t="s">
        <v>185</v>
      </c>
      <c r="L1865" t="s">
        <v>62</v>
      </c>
      <c r="M1865" t="s">
        <v>185</v>
      </c>
      <c r="N1865" t="s">
        <v>538</v>
      </c>
      <c r="O1865" t="s">
        <v>408</v>
      </c>
      <c r="P1865">
        <v>-19.630147999999998</v>
      </c>
      <c r="Q1865">
        <v>-43.893844000000001</v>
      </c>
      <c r="R1865" s="2" t="str">
        <f>HYPERLINK("https://www.google.com/maps?q=-19.6301480,-43.8938440","Abrir no Google Maps")</f>
        <v>Abrir no Google Maps</v>
      </c>
      <c r="S1865">
        <v>3</v>
      </c>
      <c r="T1865">
        <v>262.94285160220159</v>
      </c>
      <c r="U1865">
        <v>3</v>
      </c>
      <c r="V1865">
        <v>0.98214285714285721</v>
      </c>
      <c r="W1865">
        <v>0.85</v>
      </c>
      <c r="X1865">
        <v>0.8348214285714286</v>
      </c>
      <c r="Y1865">
        <v>18</v>
      </c>
      <c r="Z1865">
        <v>351.25774094845309</v>
      </c>
      <c r="AA1865">
        <v>2</v>
      </c>
      <c r="AB1865">
        <v>3</v>
      </c>
      <c r="AC1865">
        <v>7</v>
      </c>
      <c r="AD1865">
        <v>24.9</v>
      </c>
      <c r="AE1865">
        <v>253</v>
      </c>
      <c r="AF1865">
        <v>12</v>
      </c>
      <c r="AG1865">
        <v>66</v>
      </c>
      <c r="AH1865">
        <v>32</v>
      </c>
      <c r="AI1865">
        <v>4.74</v>
      </c>
      <c r="AJ1865">
        <v>26.09</v>
      </c>
      <c r="AK1865">
        <v>12.65</v>
      </c>
      <c r="AL1865">
        <v>-19.630177599999939</v>
      </c>
      <c r="AM1865">
        <v>-43.893752755034278</v>
      </c>
      <c r="AN1865">
        <v>-19.630177599999939</v>
      </c>
      <c r="AO1865">
        <v>-43.893752755034278</v>
      </c>
      <c r="AP1865">
        <v>-19.630147999999998</v>
      </c>
      <c r="AQ1865">
        <v>-43.893844000000001</v>
      </c>
      <c r="AR1865">
        <v>10.1185927114604</v>
      </c>
      <c r="AS1865" t="s">
        <v>65</v>
      </c>
      <c r="AT1865">
        <v>1</v>
      </c>
      <c r="AU1865" t="s">
        <v>539</v>
      </c>
      <c r="AV1865" t="s">
        <v>540</v>
      </c>
      <c r="AW1865" t="s">
        <v>60</v>
      </c>
      <c r="AX1865" t="s">
        <v>68</v>
      </c>
      <c r="AY1865" t="s">
        <v>69</v>
      </c>
      <c r="AZ1865" t="b">
        <v>1</v>
      </c>
    </row>
    <row r="1866" spans="1:52" x14ac:dyDescent="0.3">
      <c r="A1866" t="s">
        <v>52</v>
      </c>
      <c r="B1866" t="s">
        <v>53</v>
      </c>
      <c r="C1866" t="s">
        <v>54</v>
      </c>
      <c r="D1866" t="s">
        <v>55</v>
      </c>
      <c r="E1866" t="s">
        <v>853</v>
      </c>
      <c r="F1866" t="s">
        <v>176</v>
      </c>
      <c r="G1866" t="s">
        <v>541</v>
      </c>
      <c r="H1866" t="s">
        <v>542</v>
      </c>
      <c r="I1866" t="s">
        <v>542</v>
      </c>
      <c r="J1866" t="s">
        <v>60</v>
      </c>
      <c r="K1866" t="s">
        <v>445</v>
      </c>
      <c r="L1866" t="s">
        <v>62</v>
      </c>
      <c r="M1866" t="s">
        <v>445</v>
      </c>
      <c r="N1866" t="s">
        <v>543</v>
      </c>
      <c r="O1866" t="s">
        <v>328</v>
      </c>
      <c r="P1866">
        <v>-19.642263</v>
      </c>
      <c r="Q1866">
        <v>-43.881428999999997</v>
      </c>
      <c r="R1866" s="2" t="str">
        <f>HYPERLINK("https://www.google.com/maps?q=-19.6422630,-43.8814290","Abrir no Google Maps")</f>
        <v>Abrir no Google Maps</v>
      </c>
      <c r="S1866">
        <v>3</v>
      </c>
      <c r="T1866">
        <v>0</v>
      </c>
      <c r="U1866">
        <v>3</v>
      </c>
      <c r="V1866">
        <v>0.97368421052631582</v>
      </c>
      <c r="W1866">
        <v>0.85</v>
      </c>
      <c r="X1866">
        <v>0.82763157894736838</v>
      </c>
      <c r="Y1866">
        <v>10</v>
      </c>
      <c r="Z1866">
        <v>162.4764384685345</v>
      </c>
      <c r="AA1866">
        <v>2</v>
      </c>
      <c r="AB1866">
        <v>3</v>
      </c>
      <c r="AC1866">
        <v>7</v>
      </c>
      <c r="AD1866">
        <v>24.9</v>
      </c>
      <c r="AE1866">
        <v>253</v>
      </c>
      <c r="AF1866">
        <v>12</v>
      </c>
      <c r="AG1866">
        <v>66</v>
      </c>
      <c r="AH1866">
        <v>32</v>
      </c>
      <c r="AI1866">
        <v>4.74</v>
      </c>
      <c r="AJ1866">
        <v>26.09</v>
      </c>
      <c r="AK1866">
        <v>12.65</v>
      </c>
      <c r="AL1866">
        <v>-19.642346249999949</v>
      </c>
      <c r="AM1866">
        <v>-43.881546938715289</v>
      </c>
      <c r="AN1866">
        <v>-19.642346249999939</v>
      </c>
      <c r="AO1866">
        <v>-43.881546938715289</v>
      </c>
      <c r="AP1866">
        <v>-19.642263</v>
      </c>
      <c r="AQ1866">
        <v>-43.881428999999997</v>
      </c>
      <c r="AR1866">
        <v>15.45239906956777</v>
      </c>
      <c r="AS1866" t="s">
        <v>65</v>
      </c>
      <c r="AT1866">
        <v>1</v>
      </c>
      <c r="AU1866" t="s">
        <v>544</v>
      </c>
      <c r="AV1866" t="s">
        <v>545</v>
      </c>
      <c r="AW1866" t="s">
        <v>60</v>
      </c>
      <c r="AX1866" t="s">
        <v>68</v>
      </c>
      <c r="AY1866" t="s">
        <v>69</v>
      </c>
      <c r="AZ1866" t="b">
        <v>1</v>
      </c>
    </row>
    <row r="1867" spans="1:52" x14ac:dyDescent="0.3">
      <c r="A1867" t="s">
        <v>52</v>
      </c>
      <c r="B1867" t="s">
        <v>53</v>
      </c>
      <c r="C1867" t="s">
        <v>54</v>
      </c>
      <c r="D1867" t="s">
        <v>55</v>
      </c>
      <c r="E1867" t="s">
        <v>853</v>
      </c>
      <c r="F1867" t="s">
        <v>176</v>
      </c>
      <c r="G1867" t="s">
        <v>546</v>
      </c>
      <c r="H1867" t="s">
        <v>547</v>
      </c>
      <c r="I1867" t="s">
        <v>547</v>
      </c>
      <c r="J1867" t="s">
        <v>60</v>
      </c>
      <c r="K1867" t="s">
        <v>445</v>
      </c>
      <c r="L1867" t="s">
        <v>62</v>
      </c>
      <c r="M1867" t="s">
        <v>445</v>
      </c>
      <c r="N1867" t="s">
        <v>548</v>
      </c>
      <c r="O1867" t="s">
        <v>549</v>
      </c>
      <c r="P1867">
        <v>-19.642752999999999</v>
      </c>
      <c r="Q1867">
        <v>-43.879080999999999</v>
      </c>
      <c r="R1867" s="2" t="str">
        <f>HYPERLINK("https://www.google.com/maps?q=-19.6427530,-43.8790810","Abrir no Google Maps")</f>
        <v>Abrir no Google Maps</v>
      </c>
      <c r="S1867">
        <v>3</v>
      </c>
      <c r="T1867">
        <v>256.19518367376457</v>
      </c>
      <c r="U1867">
        <v>3</v>
      </c>
      <c r="V1867">
        <v>0.97844827586206895</v>
      </c>
      <c r="W1867">
        <v>0.85</v>
      </c>
      <c r="X1867">
        <v>0.83168103448275854</v>
      </c>
      <c r="Y1867">
        <v>10</v>
      </c>
      <c r="Z1867">
        <v>192.73978446408199</v>
      </c>
      <c r="AA1867">
        <v>2</v>
      </c>
      <c r="AB1867">
        <v>3</v>
      </c>
      <c r="AC1867">
        <v>7</v>
      </c>
      <c r="AD1867">
        <v>24.9</v>
      </c>
      <c r="AE1867">
        <v>253</v>
      </c>
      <c r="AF1867">
        <v>12</v>
      </c>
      <c r="AG1867">
        <v>66</v>
      </c>
      <c r="AH1867">
        <v>32</v>
      </c>
      <c r="AI1867">
        <v>4.74</v>
      </c>
      <c r="AJ1867">
        <v>26.09</v>
      </c>
      <c r="AK1867">
        <v>12.65</v>
      </c>
      <c r="AL1867">
        <v>-19.642703749999949</v>
      </c>
      <c r="AM1867">
        <v>-43.879132974738582</v>
      </c>
      <c r="AN1867">
        <v>-19.642703749999949</v>
      </c>
      <c r="AO1867">
        <v>-43.879132974738582</v>
      </c>
      <c r="AP1867">
        <v>-19.642752999999999</v>
      </c>
      <c r="AQ1867">
        <v>-43.879080999999999</v>
      </c>
      <c r="AR1867">
        <v>7.7298757823687696</v>
      </c>
      <c r="AS1867" t="s">
        <v>65</v>
      </c>
      <c r="AT1867">
        <v>1</v>
      </c>
      <c r="AU1867" t="s">
        <v>550</v>
      </c>
      <c r="AV1867" t="s">
        <v>551</v>
      </c>
      <c r="AW1867" t="s">
        <v>60</v>
      </c>
      <c r="AX1867" t="s">
        <v>68</v>
      </c>
      <c r="AY1867" t="s">
        <v>69</v>
      </c>
      <c r="AZ1867" t="b">
        <v>1</v>
      </c>
    </row>
    <row r="1868" spans="1:52" x14ac:dyDescent="0.3">
      <c r="A1868" t="s">
        <v>52</v>
      </c>
      <c r="B1868" t="s">
        <v>53</v>
      </c>
      <c r="C1868" t="s">
        <v>54</v>
      </c>
      <c r="D1868" t="s">
        <v>55</v>
      </c>
      <c r="E1868" t="s">
        <v>853</v>
      </c>
      <c r="F1868" t="s">
        <v>176</v>
      </c>
      <c r="G1868" t="s">
        <v>552</v>
      </c>
      <c r="H1868" t="s">
        <v>553</v>
      </c>
      <c r="I1868" t="s">
        <v>553</v>
      </c>
      <c r="J1868" t="s">
        <v>60</v>
      </c>
      <c r="K1868" t="s">
        <v>445</v>
      </c>
      <c r="L1868" t="s">
        <v>62</v>
      </c>
      <c r="M1868" t="s">
        <v>445</v>
      </c>
      <c r="N1868" t="s">
        <v>554</v>
      </c>
      <c r="O1868" t="s">
        <v>207</v>
      </c>
      <c r="P1868">
        <v>-19.641549999999999</v>
      </c>
      <c r="Q1868">
        <v>-43.873263999999999</v>
      </c>
      <c r="R1868" s="2" t="str">
        <f>HYPERLINK("https://www.google.com/maps?q=-19.6415500,-43.8732640","Abrir no Google Maps")</f>
        <v>Abrir no Google Maps</v>
      </c>
      <c r="S1868">
        <v>3</v>
      </c>
      <c r="T1868">
        <v>879.45465995735231</v>
      </c>
      <c r="U1868">
        <v>3</v>
      </c>
      <c r="V1868">
        <v>0.97413793103448276</v>
      </c>
      <c r="W1868">
        <v>0.85</v>
      </c>
      <c r="X1868">
        <v>0.82801724137931032</v>
      </c>
      <c r="Y1868">
        <v>10</v>
      </c>
      <c r="Z1868">
        <v>830.70905214077095</v>
      </c>
      <c r="AA1868">
        <v>2</v>
      </c>
      <c r="AB1868">
        <v>3</v>
      </c>
      <c r="AC1868">
        <v>7</v>
      </c>
      <c r="AD1868">
        <v>24.9</v>
      </c>
      <c r="AE1868">
        <v>253</v>
      </c>
      <c r="AF1868">
        <v>12</v>
      </c>
      <c r="AG1868">
        <v>66</v>
      </c>
      <c r="AH1868">
        <v>32</v>
      </c>
      <c r="AI1868">
        <v>4.74</v>
      </c>
      <c r="AJ1868">
        <v>26.09</v>
      </c>
      <c r="AK1868">
        <v>12.65</v>
      </c>
      <c r="AL1868">
        <v>-19.641459949999959</v>
      </c>
      <c r="AM1868">
        <v>-43.873212145688711</v>
      </c>
      <c r="AN1868">
        <v>-19.641459949999959</v>
      </c>
      <c r="AO1868">
        <v>-43.873212145688711</v>
      </c>
      <c r="AP1868">
        <v>-19.641549999999999</v>
      </c>
      <c r="AQ1868">
        <v>-43.873263999999999</v>
      </c>
      <c r="AR1868">
        <v>11.40368340137019</v>
      </c>
      <c r="AS1868" t="s">
        <v>65</v>
      </c>
      <c r="AT1868">
        <v>1</v>
      </c>
      <c r="AU1868" t="s">
        <v>555</v>
      </c>
      <c r="AV1868" t="s">
        <v>556</v>
      </c>
      <c r="AW1868" t="s">
        <v>60</v>
      </c>
      <c r="AX1868" t="s">
        <v>68</v>
      </c>
      <c r="AY1868" t="s">
        <v>69</v>
      </c>
      <c r="AZ1868" t="b">
        <v>1</v>
      </c>
    </row>
    <row r="1869" spans="1:52" x14ac:dyDescent="0.3">
      <c r="A1869" t="s">
        <v>52</v>
      </c>
      <c r="B1869" t="s">
        <v>53</v>
      </c>
      <c r="C1869" t="s">
        <v>54</v>
      </c>
      <c r="D1869" t="s">
        <v>55</v>
      </c>
      <c r="E1869" t="s">
        <v>853</v>
      </c>
      <c r="F1869" t="s">
        <v>176</v>
      </c>
      <c r="G1869" t="s">
        <v>557</v>
      </c>
      <c r="H1869" t="s">
        <v>558</v>
      </c>
      <c r="I1869" t="s">
        <v>558</v>
      </c>
      <c r="J1869" t="s">
        <v>60</v>
      </c>
      <c r="K1869" t="s">
        <v>445</v>
      </c>
      <c r="L1869" t="s">
        <v>62</v>
      </c>
      <c r="M1869" t="s">
        <v>445</v>
      </c>
      <c r="N1869" t="s">
        <v>559</v>
      </c>
      <c r="O1869" t="s">
        <v>560</v>
      </c>
      <c r="P1869">
        <v>-19.641839000000001</v>
      </c>
      <c r="Q1869">
        <v>-43.876227</v>
      </c>
      <c r="R1869" s="2" t="str">
        <f>HYPERLINK("https://www.google.com/maps?q=-19.6418390,-43.8762270","Abrir no Google Maps")</f>
        <v>Abrir no Google Maps</v>
      </c>
      <c r="S1869">
        <v>3</v>
      </c>
      <c r="T1869">
        <v>564.50471877254449</v>
      </c>
      <c r="U1869">
        <v>3</v>
      </c>
      <c r="V1869">
        <v>0.97554347826086962</v>
      </c>
      <c r="W1869">
        <v>0.85</v>
      </c>
      <c r="X1869">
        <v>0.82921195652173918</v>
      </c>
      <c r="Y1869">
        <v>10</v>
      </c>
      <c r="Z1869">
        <v>490.40238336341412</v>
      </c>
      <c r="AA1869">
        <v>2</v>
      </c>
      <c r="AB1869">
        <v>3</v>
      </c>
      <c r="AC1869">
        <v>7</v>
      </c>
      <c r="AD1869">
        <v>24.9</v>
      </c>
      <c r="AE1869">
        <v>253</v>
      </c>
      <c r="AF1869">
        <v>12</v>
      </c>
      <c r="AG1869">
        <v>66</v>
      </c>
      <c r="AH1869">
        <v>32</v>
      </c>
      <c r="AI1869">
        <v>4.74</v>
      </c>
      <c r="AJ1869">
        <v>26.09</v>
      </c>
      <c r="AK1869">
        <v>12.65</v>
      </c>
      <c r="AL1869">
        <v>-19.641880699999941</v>
      </c>
      <c r="AM1869">
        <v>-43.876185869580858</v>
      </c>
      <c r="AN1869">
        <v>-19.641880699999941</v>
      </c>
      <c r="AO1869">
        <v>-43.876185869580858</v>
      </c>
      <c r="AP1869">
        <v>-19.641839000000001</v>
      </c>
      <c r="AQ1869">
        <v>-43.876227</v>
      </c>
      <c r="AR1869">
        <v>6.3359121862683301</v>
      </c>
      <c r="AS1869" t="s">
        <v>65</v>
      </c>
      <c r="AT1869">
        <v>1</v>
      </c>
      <c r="AU1869" t="s">
        <v>561</v>
      </c>
      <c r="AV1869" t="s">
        <v>562</v>
      </c>
      <c r="AW1869" t="s">
        <v>60</v>
      </c>
      <c r="AX1869" t="s">
        <v>68</v>
      </c>
      <c r="AY1869" t="s">
        <v>69</v>
      </c>
      <c r="AZ1869" t="b">
        <v>1</v>
      </c>
    </row>
    <row r="1870" spans="1:52" x14ac:dyDescent="0.3">
      <c r="A1870" t="s">
        <v>52</v>
      </c>
      <c r="B1870" t="s">
        <v>53</v>
      </c>
      <c r="C1870" t="s">
        <v>54</v>
      </c>
      <c r="D1870" t="s">
        <v>55</v>
      </c>
      <c r="E1870" t="s">
        <v>853</v>
      </c>
      <c r="F1870" t="s">
        <v>176</v>
      </c>
      <c r="G1870" t="s">
        <v>569</v>
      </c>
      <c r="H1870" t="s">
        <v>570</v>
      </c>
      <c r="I1870" t="s">
        <v>570</v>
      </c>
      <c r="J1870" t="s">
        <v>60</v>
      </c>
      <c r="K1870" t="s">
        <v>445</v>
      </c>
      <c r="L1870" t="s">
        <v>62</v>
      </c>
      <c r="M1870" t="s">
        <v>445</v>
      </c>
      <c r="N1870" t="s">
        <v>571</v>
      </c>
      <c r="O1870" t="s">
        <v>572</v>
      </c>
      <c r="P1870">
        <v>-19.646602999999999</v>
      </c>
      <c r="Q1870">
        <v>-43.879826000000001</v>
      </c>
      <c r="R1870" s="2" t="str">
        <f>HYPERLINK("https://www.google.com/maps?q=-19.6466030,-43.8798260","Abrir no Google Maps")</f>
        <v>Abrir no Google Maps</v>
      </c>
      <c r="S1870">
        <v>3</v>
      </c>
      <c r="T1870">
        <v>497.89126003830972</v>
      </c>
      <c r="U1870">
        <v>3</v>
      </c>
      <c r="V1870">
        <v>0.96917808219178081</v>
      </c>
      <c r="W1870">
        <v>0.85</v>
      </c>
      <c r="X1870">
        <v>0.82380136986301367</v>
      </c>
      <c r="Y1870">
        <v>10</v>
      </c>
      <c r="Z1870">
        <v>228.69190976735251</v>
      </c>
      <c r="AA1870">
        <v>2</v>
      </c>
      <c r="AB1870">
        <v>3</v>
      </c>
      <c r="AC1870">
        <v>7</v>
      </c>
      <c r="AD1870">
        <v>24.9</v>
      </c>
      <c r="AE1870">
        <v>253</v>
      </c>
      <c r="AF1870">
        <v>12</v>
      </c>
      <c r="AG1870">
        <v>66</v>
      </c>
      <c r="AH1870">
        <v>32</v>
      </c>
      <c r="AI1870">
        <v>4.74</v>
      </c>
      <c r="AJ1870">
        <v>26.09</v>
      </c>
      <c r="AK1870">
        <v>12.65</v>
      </c>
      <c r="AL1870">
        <v>-19.646577499999982</v>
      </c>
      <c r="AM1870">
        <v>-43.879934131171261</v>
      </c>
      <c r="AN1870">
        <v>-19.646577499999971</v>
      </c>
      <c r="AO1870">
        <v>-43.879934131171261</v>
      </c>
      <c r="AP1870">
        <v>-19.646602999999999</v>
      </c>
      <c r="AQ1870">
        <v>-43.879826000000001</v>
      </c>
      <c r="AR1870">
        <v>11.68641198848764</v>
      </c>
      <c r="AS1870" t="s">
        <v>65</v>
      </c>
      <c r="AT1870">
        <v>1</v>
      </c>
      <c r="AU1870" t="s">
        <v>573</v>
      </c>
      <c r="AV1870" t="s">
        <v>574</v>
      </c>
      <c r="AW1870" t="s">
        <v>60</v>
      </c>
      <c r="AX1870" t="s">
        <v>68</v>
      </c>
      <c r="AY1870" t="s">
        <v>69</v>
      </c>
      <c r="AZ1870" t="b">
        <v>1</v>
      </c>
    </row>
    <row r="1871" spans="1:52" x14ac:dyDescent="0.3">
      <c r="A1871" t="s">
        <v>52</v>
      </c>
      <c r="B1871" t="s">
        <v>53</v>
      </c>
      <c r="C1871" t="s">
        <v>54</v>
      </c>
      <c r="D1871" t="s">
        <v>55</v>
      </c>
      <c r="E1871" t="s">
        <v>853</v>
      </c>
      <c r="F1871" t="s">
        <v>176</v>
      </c>
      <c r="G1871" t="s">
        <v>586</v>
      </c>
      <c r="H1871" t="s">
        <v>587</v>
      </c>
      <c r="I1871" t="s">
        <v>587</v>
      </c>
      <c r="J1871" t="s">
        <v>60</v>
      </c>
      <c r="K1871" t="s">
        <v>286</v>
      </c>
      <c r="L1871" t="s">
        <v>62</v>
      </c>
      <c r="M1871" t="s">
        <v>286</v>
      </c>
      <c r="N1871" t="s">
        <v>588</v>
      </c>
      <c r="O1871" t="s">
        <v>589</v>
      </c>
      <c r="P1871">
        <v>-19.638362999999998</v>
      </c>
      <c r="Q1871">
        <v>-43.887081000000002</v>
      </c>
      <c r="R1871" s="2" t="str">
        <f>HYPERLINK("https://www.google.com/maps?q=-19.6383630,-43.8870810","Abrir no Google Maps")</f>
        <v>Abrir no Google Maps</v>
      </c>
      <c r="S1871">
        <v>3</v>
      </c>
      <c r="T1871">
        <v>521.16909902210193</v>
      </c>
      <c r="U1871">
        <v>3</v>
      </c>
      <c r="V1871">
        <v>0.97965116279069764</v>
      </c>
      <c r="W1871">
        <v>0.85</v>
      </c>
      <c r="X1871">
        <v>0.83270348837209296</v>
      </c>
      <c r="Y1871">
        <v>10</v>
      </c>
      <c r="Z1871">
        <v>416.66355243950221</v>
      </c>
      <c r="AA1871">
        <v>2</v>
      </c>
      <c r="AB1871">
        <v>3</v>
      </c>
      <c r="AC1871">
        <v>7</v>
      </c>
      <c r="AD1871">
        <v>24.9</v>
      </c>
      <c r="AE1871">
        <v>253</v>
      </c>
      <c r="AF1871">
        <v>12</v>
      </c>
      <c r="AG1871">
        <v>66</v>
      </c>
      <c r="AH1871">
        <v>32</v>
      </c>
      <c r="AI1871">
        <v>4.74</v>
      </c>
      <c r="AJ1871">
        <v>26.09</v>
      </c>
      <c r="AK1871">
        <v>12.65</v>
      </c>
      <c r="AL1871">
        <v>-19.638074649999961</v>
      </c>
      <c r="AM1871">
        <v>-43.887517684870552</v>
      </c>
      <c r="AN1871">
        <v>-19.638074649999961</v>
      </c>
      <c r="AO1871">
        <v>-43.887517684870552</v>
      </c>
      <c r="AP1871">
        <v>-19.638362999999998</v>
      </c>
      <c r="AQ1871">
        <v>-43.887081000000002</v>
      </c>
      <c r="AR1871">
        <v>55.915550702564907</v>
      </c>
      <c r="AS1871" t="s">
        <v>65</v>
      </c>
      <c r="AT1871">
        <v>1</v>
      </c>
      <c r="AU1871" t="s">
        <v>590</v>
      </c>
      <c r="AV1871" t="s">
        <v>591</v>
      </c>
      <c r="AW1871" t="s">
        <v>60</v>
      </c>
      <c r="AX1871" t="s">
        <v>68</v>
      </c>
      <c r="AY1871" t="s">
        <v>69</v>
      </c>
      <c r="AZ1871" t="b">
        <v>1</v>
      </c>
    </row>
    <row r="1872" spans="1:52" x14ac:dyDescent="0.3">
      <c r="A1872" t="s">
        <v>52</v>
      </c>
      <c r="B1872" t="s">
        <v>53</v>
      </c>
      <c r="C1872" t="s">
        <v>54</v>
      </c>
      <c r="D1872" t="s">
        <v>55</v>
      </c>
      <c r="E1872" t="s">
        <v>853</v>
      </c>
      <c r="F1872" t="s">
        <v>176</v>
      </c>
      <c r="G1872" t="s">
        <v>411</v>
      </c>
      <c r="H1872" t="s">
        <v>412</v>
      </c>
      <c r="I1872" t="s">
        <v>412</v>
      </c>
      <c r="J1872" t="s">
        <v>60</v>
      </c>
      <c r="K1872" t="s">
        <v>179</v>
      </c>
      <c r="L1872" t="s">
        <v>62</v>
      </c>
      <c r="M1872" t="s">
        <v>179</v>
      </c>
      <c r="N1872" t="s">
        <v>413</v>
      </c>
      <c r="O1872" t="s">
        <v>414</v>
      </c>
      <c r="P1872">
        <v>-19.650079000000002</v>
      </c>
      <c r="Q1872">
        <v>-43.884253999999999</v>
      </c>
      <c r="R1872" s="2" t="str">
        <f>HYPERLINK("https://www.google.com/maps?q=-19.6500790,-43.8842540","Abrir no Google Maps")</f>
        <v>Abrir no Google Maps</v>
      </c>
      <c r="S1872">
        <v>3</v>
      </c>
      <c r="T1872">
        <v>797.21430129715498</v>
      </c>
      <c r="U1872">
        <v>3</v>
      </c>
      <c r="V1872">
        <v>0.8442982456140351</v>
      </c>
      <c r="W1872">
        <v>1</v>
      </c>
      <c r="X1872">
        <v>0.8442982456140351</v>
      </c>
      <c r="Y1872">
        <v>10</v>
      </c>
      <c r="Z1872">
        <v>774.04145012702554</v>
      </c>
      <c r="AA1872">
        <v>2</v>
      </c>
      <c r="AB1872">
        <v>3</v>
      </c>
      <c r="AC1872">
        <v>7</v>
      </c>
      <c r="AD1872">
        <v>24.9</v>
      </c>
      <c r="AE1872">
        <v>253</v>
      </c>
      <c r="AF1872">
        <v>12</v>
      </c>
      <c r="AG1872">
        <v>66</v>
      </c>
      <c r="AH1872">
        <v>32</v>
      </c>
      <c r="AI1872">
        <v>4.74</v>
      </c>
      <c r="AJ1872">
        <v>26.09</v>
      </c>
      <c r="AK1872">
        <v>12.65</v>
      </c>
      <c r="AL1872">
        <v>-19.649199399999961</v>
      </c>
      <c r="AM1872">
        <v>-43.883888390043637</v>
      </c>
      <c r="AN1872">
        <v>-19.649199399999961</v>
      </c>
      <c r="AO1872">
        <v>-43.883888390043637</v>
      </c>
      <c r="AP1872">
        <v>-19.650079000000002</v>
      </c>
      <c r="AQ1872">
        <v>-43.884253999999999</v>
      </c>
      <c r="AR1872">
        <v>105.1518915696123</v>
      </c>
      <c r="AS1872" t="s">
        <v>65</v>
      </c>
      <c r="AT1872">
        <v>1</v>
      </c>
      <c r="AU1872" t="s">
        <v>415</v>
      </c>
      <c r="AV1872" t="s">
        <v>416</v>
      </c>
      <c r="AW1872" t="s">
        <v>60</v>
      </c>
      <c r="AX1872" t="s">
        <v>68</v>
      </c>
      <c r="AY1872" t="s">
        <v>69</v>
      </c>
      <c r="AZ1872" t="b">
        <v>1</v>
      </c>
    </row>
    <row r="1873" spans="1:52" x14ac:dyDescent="0.3">
      <c r="A1873" t="s">
        <v>52</v>
      </c>
      <c r="B1873" t="s">
        <v>53</v>
      </c>
      <c r="C1873" t="s">
        <v>54</v>
      </c>
      <c r="D1873" t="s">
        <v>55</v>
      </c>
      <c r="E1873" t="s">
        <v>853</v>
      </c>
      <c r="F1873" t="s">
        <v>176</v>
      </c>
      <c r="G1873" t="s">
        <v>575</v>
      </c>
      <c r="H1873" t="s">
        <v>576</v>
      </c>
      <c r="I1873" t="s">
        <v>576</v>
      </c>
      <c r="J1873" t="s">
        <v>60</v>
      </c>
      <c r="K1873" t="s">
        <v>445</v>
      </c>
      <c r="L1873" t="s">
        <v>62</v>
      </c>
      <c r="M1873" t="s">
        <v>445</v>
      </c>
      <c r="N1873" t="s">
        <v>577</v>
      </c>
      <c r="O1873" t="s">
        <v>214</v>
      </c>
      <c r="P1873">
        <v>-19.639865</v>
      </c>
      <c r="Q1873">
        <v>-43.877858000000003</v>
      </c>
      <c r="R1873" s="2" t="str">
        <f>HYPERLINK("https://www.google.com/maps?q=-19.6398650,-43.8778580","Abrir no Google Maps")</f>
        <v>Abrir no Google Maps</v>
      </c>
      <c r="S1873">
        <v>3</v>
      </c>
      <c r="T1873">
        <v>497.47318171010488</v>
      </c>
      <c r="U1873">
        <v>3</v>
      </c>
      <c r="V1873">
        <v>0.97872340425531923</v>
      </c>
      <c r="W1873">
        <v>0.85</v>
      </c>
      <c r="X1873">
        <v>0.83191489361702131</v>
      </c>
      <c r="Y1873">
        <v>10</v>
      </c>
      <c r="Z1873">
        <v>547.08184956634818</v>
      </c>
      <c r="AA1873">
        <v>2</v>
      </c>
      <c r="AB1873">
        <v>3</v>
      </c>
      <c r="AC1873">
        <v>7</v>
      </c>
      <c r="AD1873">
        <v>24.9</v>
      </c>
      <c r="AE1873">
        <v>253</v>
      </c>
      <c r="AF1873">
        <v>12</v>
      </c>
      <c r="AG1873">
        <v>66</v>
      </c>
      <c r="AH1873">
        <v>32</v>
      </c>
      <c r="AI1873">
        <v>4.74</v>
      </c>
      <c r="AJ1873">
        <v>26.09</v>
      </c>
      <c r="AK1873">
        <v>12.65</v>
      </c>
      <c r="AL1873">
        <v>-19.639907499999961</v>
      </c>
      <c r="AM1873">
        <v>-43.877561677180587</v>
      </c>
      <c r="AN1873">
        <v>-19.639907499999961</v>
      </c>
      <c r="AO1873">
        <v>-43.877561677180587</v>
      </c>
      <c r="AP1873">
        <v>-19.639865</v>
      </c>
      <c r="AQ1873">
        <v>-43.877858000000003</v>
      </c>
      <c r="AR1873">
        <v>31.4257813556037</v>
      </c>
      <c r="AS1873" t="s">
        <v>65</v>
      </c>
      <c r="AT1873">
        <v>1</v>
      </c>
      <c r="AU1873" t="s">
        <v>578</v>
      </c>
      <c r="AV1873" t="s">
        <v>579</v>
      </c>
      <c r="AW1873" t="s">
        <v>60</v>
      </c>
      <c r="AX1873" t="s">
        <v>68</v>
      </c>
      <c r="AY1873" t="s">
        <v>69</v>
      </c>
      <c r="AZ1873" t="b">
        <v>1</v>
      </c>
    </row>
    <row r="1874" spans="1:52" x14ac:dyDescent="0.3">
      <c r="A1874" t="s">
        <v>52</v>
      </c>
      <c r="B1874" t="s">
        <v>53</v>
      </c>
      <c r="C1874" t="s">
        <v>54</v>
      </c>
      <c r="D1874" t="s">
        <v>55</v>
      </c>
      <c r="E1874" t="s">
        <v>853</v>
      </c>
      <c r="F1874" t="s">
        <v>176</v>
      </c>
      <c r="G1874" t="s">
        <v>417</v>
      </c>
      <c r="H1874" t="s">
        <v>418</v>
      </c>
      <c r="I1874" t="s">
        <v>418</v>
      </c>
      <c r="J1874" t="s">
        <v>60</v>
      </c>
      <c r="K1874" t="s">
        <v>179</v>
      </c>
      <c r="L1874" t="s">
        <v>62</v>
      </c>
      <c r="M1874" t="s">
        <v>179</v>
      </c>
      <c r="N1874" t="s">
        <v>419</v>
      </c>
      <c r="O1874" t="s">
        <v>420</v>
      </c>
      <c r="P1874">
        <v>-19.646516999999999</v>
      </c>
      <c r="Q1874">
        <v>-43.889716</v>
      </c>
      <c r="R1874" s="2" t="str">
        <f>HYPERLINK("https://www.google.com/maps?q=-19.6465170,-43.8897160","Abrir no Google Maps")</f>
        <v>Abrir no Google Maps</v>
      </c>
      <c r="S1874">
        <v>3</v>
      </c>
      <c r="T1874">
        <v>796.8355517653099</v>
      </c>
      <c r="U1874">
        <v>3</v>
      </c>
      <c r="V1874">
        <v>0.82920792079207928</v>
      </c>
      <c r="W1874">
        <v>1</v>
      </c>
      <c r="X1874">
        <v>0.82920792079207928</v>
      </c>
      <c r="Y1874">
        <v>7</v>
      </c>
      <c r="Z1874">
        <v>749.72812632947034</v>
      </c>
      <c r="AA1874">
        <v>2</v>
      </c>
      <c r="AB1874">
        <v>3</v>
      </c>
      <c r="AC1874">
        <v>7</v>
      </c>
      <c r="AD1874">
        <v>24.9</v>
      </c>
      <c r="AE1874">
        <v>253</v>
      </c>
      <c r="AF1874">
        <v>12</v>
      </c>
      <c r="AG1874">
        <v>66</v>
      </c>
      <c r="AH1874">
        <v>32</v>
      </c>
      <c r="AI1874">
        <v>4.74</v>
      </c>
      <c r="AJ1874">
        <v>26.09</v>
      </c>
      <c r="AK1874">
        <v>12.65</v>
      </c>
      <c r="AL1874">
        <v>-19.646452649999961</v>
      </c>
      <c r="AM1874">
        <v>-43.88991036523079</v>
      </c>
      <c r="AN1874">
        <v>-19.646452649999961</v>
      </c>
      <c r="AO1874">
        <v>-43.88991036523079</v>
      </c>
      <c r="AP1874">
        <v>-19.646516999999999</v>
      </c>
      <c r="AQ1874">
        <v>-43.889716</v>
      </c>
      <c r="AR1874">
        <v>21.599617922669939</v>
      </c>
      <c r="AS1874" t="s">
        <v>65</v>
      </c>
      <c r="AT1874">
        <v>1</v>
      </c>
      <c r="AU1874" t="s">
        <v>421</v>
      </c>
      <c r="AV1874" t="s">
        <v>422</v>
      </c>
      <c r="AW1874" t="s">
        <v>60</v>
      </c>
      <c r="AX1874" t="s">
        <v>68</v>
      </c>
      <c r="AY1874" t="s">
        <v>69</v>
      </c>
      <c r="AZ1874" t="b">
        <v>1</v>
      </c>
    </row>
    <row r="1875" spans="1:52" x14ac:dyDescent="0.3">
      <c r="A1875" t="s">
        <v>52</v>
      </c>
      <c r="B1875" t="s">
        <v>53</v>
      </c>
      <c r="C1875" t="s">
        <v>54</v>
      </c>
      <c r="D1875" t="s">
        <v>55</v>
      </c>
      <c r="E1875" t="s">
        <v>853</v>
      </c>
      <c r="F1875" t="s">
        <v>176</v>
      </c>
      <c r="G1875" t="s">
        <v>854</v>
      </c>
      <c r="H1875" t="s">
        <v>855</v>
      </c>
      <c r="I1875" t="s">
        <v>855</v>
      </c>
      <c r="J1875" t="s">
        <v>60</v>
      </c>
      <c r="K1875" t="s">
        <v>286</v>
      </c>
      <c r="L1875" t="s">
        <v>62</v>
      </c>
      <c r="M1875" t="s">
        <v>286</v>
      </c>
      <c r="N1875" t="s">
        <v>856</v>
      </c>
      <c r="O1875" t="s">
        <v>857</v>
      </c>
      <c r="P1875">
        <v>-19.641672</v>
      </c>
      <c r="Q1875">
        <v>-43.886710999999998</v>
      </c>
      <c r="R1875" s="2" t="str">
        <f>HYPERLINK("https://www.google.com/maps?q=-19.6416720,-43.8867110","Abrir no Google Maps")</f>
        <v>Abrir no Google Maps</v>
      </c>
      <c r="S1875">
        <v>3</v>
      </c>
      <c r="T1875">
        <v>223.91242423049661</v>
      </c>
      <c r="U1875">
        <v>3</v>
      </c>
      <c r="V1875">
        <v>0.99152542372881358</v>
      </c>
      <c r="W1875">
        <v>0.85</v>
      </c>
      <c r="X1875">
        <v>0.84279661016949148</v>
      </c>
      <c r="Y1875">
        <v>7</v>
      </c>
      <c r="Z1875">
        <v>228.81759417059521</v>
      </c>
      <c r="AA1875">
        <v>2</v>
      </c>
      <c r="AB1875">
        <v>3</v>
      </c>
      <c r="AC1875">
        <v>7</v>
      </c>
      <c r="AD1875">
        <v>24.9</v>
      </c>
      <c r="AE1875">
        <v>253</v>
      </c>
      <c r="AF1875">
        <v>12</v>
      </c>
      <c r="AG1875">
        <v>66</v>
      </c>
      <c r="AH1875">
        <v>32</v>
      </c>
      <c r="AI1875">
        <v>4.74</v>
      </c>
      <c r="AJ1875">
        <v>26.09</v>
      </c>
      <c r="AK1875">
        <v>12.65</v>
      </c>
      <c r="AL1875">
        <v>-19.641412699999961</v>
      </c>
      <c r="AM1875">
        <v>-43.88638630110426</v>
      </c>
      <c r="AN1875">
        <v>-19.641412699999961</v>
      </c>
      <c r="AO1875">
        <v>-43.88638630110426</v>
      </c>
      <c r="AP1875">
        <v>-19.641672</v>
      </c>
      <c r="AQ1875">
        <v>-43.886710999999998</v>
      </c>
      <c r="AR1875">
        <v>44.632785642359828</v>
      </c>
      <c r="AS1875" t="s">
        <v>65</v>
      </c>
      <c r="AT1875">
        <v>1</v>
      </c>
      <c r="AU1875" t="s">
        <v>858</v>
      </c>
      <c r="AV1875" t="s">
        <v>859</v>
      </c>
      <c r="AW1875" t="s">
        <v>60</v>
      </c>
      <c r="AX1875" t="s">
        <v>68</v>
      </c>
      <c r="AY1875" t="s">
        <v>69</v>
      </c>
      <c r="AZ1875" t="b">
        <v>1</v>
      </c>
    </row>
    <row r="1876" spans="1:52" x14ac:dyDescent="0.3">
      <c r="A1876" t="s">
        <v>52</v>
      </c>
      <c r="B1876" t="s">
        <v>53</v>
      </c>
      <c r="C1876" t="s">
        <v>54</v>
      </c>
      <c r="D1876" t="s">
        <v>55</v>
      </c>
      <c r="E1876" t="s">
        <v>853</v>
      </c>
      <c r="F1876" t="s">
        <v>176</v>
      </c>
      <c r="G1876" t="s">
        <v>309</v>
      </c>
      <c r="H1876" t="s">
        <v>310</v>
      </c>
      <c r="I1876" t="s">
        <v>310</v>
      </c>
      <c r="J1876" t="s">
        <v>60</v>
      </c>
      <c r="K1876" t="s">
        <v>311</v>
      </c>
      <c r="L1876" t="s">
        <v>62</v>
      </c>
      <c r="M1876" t="s">
        <v>311</v>
      </c>
      <c r="N1876" t="s">
        <v>312</v>
      </c>
      <c r="O1876" t="s">
        <v>313</v>
      </c>
      <c r="P1876">
        <v>-19.576996999999999</v>
      </c>
      <c r="Q1876">
        <v>-43.919024999999998</v>
      </c>
      <c r="R1876" s="2" t="str">
        <f>HYPERLINK("https://www.google.com/maps?q=-19.5769970,-43.9190250","Abrir no Google Maps")</f>
        <v>Abrir no Google Maps</v>
      </c>
      <c r="S1876">
        <v>3</v>
      </c>
      <c r="T1876">
        <v>316.64266747869789</v>
      </c>
      <c r="U1876">
        <v>3</v>
      </c>
      <c r="V1876">
        <v>0.9908088235294118</v>
      </c>
      <c r="W1876">
        <v>0.85</v>
      </c>
      <c r="X1876">
        <v>0.84218749999999998</v>
      </c>
      <c r="Y1876">
        <v>5</v>
      </c>
      <c r="Z1876">
        <v>411.74435151529269</v>
      </c>
      <c r="AA1876">
        <v>2</v>
      </c>
      <c r="AB1876">
        <v>3</v>
      </c>
      <c r="AC1876">
        <v>7</v>
      </c>
      <c r="AD1876">
        <v>24.9</v>
      </c>
      <c r="AE1876">
        <v>253</v>
      </c>
      <c r="AF1876">
        <v>12</v>
      </c>
      <c r="AG1876">
        <v>66</v>
      </c>
      <c r="AH1876">
        <v>32</v>
      </c>
      <c r="AI1876">
        <v>4.74</v>
      </c>
      <c r="AJ1876">
        <v>26.09</v>
      </c>
      <c r="AK1876">
        <v>12.65</v>
      </c>
      <c r="AL1876">
        <v>-19.576964999999941</v>
      </c>
      <c r="AM1876">
        <v>-43.919068241233632</v>
      </c>
      <c r="AN1876">
        <v>-19.576964999999941</v>
      </c>
      <c r="AO1876">
        <v>-43.919068241233632</v>
      </c>
      <c r="AP1876">
        <v>-19.576996999999999</v>
      </c>
      <c r="AQ1876">
        <v>-43.919024999999998</v>
      </c>
      <c r="AR1876">
        <v>5.7670575161946216</v>
      </c>
      <c r="AS1876" t="s">
        <v>65</v>
      </c>
      <c r="AT1876">
        <v>1</v>
      </c>
      <c r="AU1876" t="s">
        <v>314</v>
      </c>
      <c r="AV1876" t="s">
        <v>315</v>
      </c>
      <c r="AW1876" t="s">
        <v>60</v>
      </c>
      <c r="AX1876" t="s">
        <v>68</v>
      </c>
      <c r="AY1876" t="s">
        <v>69</v>
      </c>
      <c r="AZ1876" t="b">
        <v>1</v>
      </c>
    </row>
    <row r="1877" spans="1:52" x14ac:dyDescent="0.3">
      <c r="A1877" t="s">
        <v>52</v>
      </c>
      <c r="B1877" t="s">
        <v>53</v>
      </c>
      <c r="C1877" t="s">
        <v>54</v>
      </c>
      <c r="D1877" t="s">
        <v>55</v>
      </c>
      <c r="E1877" t="s">
        <v>853</v>
      </c>
      <c r="F1877" t="s">
        <v>176</v>
      </c>
      <c r="G1877" t="s">
        <v>309</v>
      </c>
      <c r="H1877" t="s">
        <v>320</v>
      </c>
      <c r="I1877" t="s">
        <v>320</v>
      </c>
      <c r="J1877" t="s">
        <v>60</v>
      </c>
      <c r="K1877" t="s">
        <v>311</v>
      </c>
      <c r="L1877" t="s">
        <v>62</v>
      </c>
      <c r="M1877" t="s">
        <v>311</v>
      </c>
      <c r="N1877" t="s">
        <v>321</v>
      </c>
      <c r="O1877" t="s">
        <v>313</v>
      </c>
      <c r="P1877">
        <v>-19.578469999999999</v>
      </c>
      <c r="Q1877">
        <v>-43.918922000000002</v>
      </c>
      <c r="R1877" s="2" t="str">
        <f>HYPERLINK("https://www.google.com/maps?q=-19.5784700,-43.9189220","Abrir no Google Maps")</f>
        <v>Abrir no Google Maps</v>
      </c>
      <c r="S1877">
        <v>3</v>
      </c>
      <c r="T1877">
        <v>474.92456146278471</v>
      </c>
      <c r="U1877">
        <v>3</v>
      </c>
      <c r="V1877">
        <v>0.99549549549549565</v>
      </c>
      <c r="W1877">
        <v>0.85</v>
      </c>
      <c r="X1877">
        <v>0.84617117117117124</v>
      </c>
      <c r="Y1877">
        <v>5</v>
      </c>
      <c r="Z1877">
        <v>562.61594151292854</v>
      </c>
      <c r="AA1877">
        <v>2</v>
      </c>
      <c r="AB1877">
        <v>3</v>
      </c>
      <c r="AC1877">
        <v>7</v>
      </c>
      <c r="AD1877">
        <v>24.9</v>
      </c>
      <c r="AE1877">
        <v>253</v>
      </c>
      <c r="AF1877">
        <v>12</v>
      </c>
      <c r="AG1877">
        <v>66</v>
      </c>
      <c r="AH1877">
        <v>32</v>
      </c>
      <c r="AI1877">
        <v>4.74</v>
      </c>
      <c r="AJ1877">
        <v>26.09</v>
      </c>
      <c r="AK1877">
        <v>12.65</v>
      </c>
      <c r="AL1877">
        <v>-19.578483899999959</v>
      </c>
      <c r="AM1877">
        <v>-43.918967993509547</v>
      </c>
      <c r="AN1877">
        <v>-19.578483899999959</v>
      </c>
      <c r="AO1877">
        <v>-43.918967993509547</v>
      </c>
      <c r="AP1877">
        <v>-19.578469999999999</v>
      </c>
      <c r="AQ1877">
        <v>-43.918922000000002</v>
      </c>
      <c r="AR1877">
        <v>5.0660669465561501</v>
      </c>
      <c r="AS1877" t="s">
        <v>65</v>
      </c>
      <c r="AT1877">
        <v>1</v>
      </c>
      <c r="AU1877" t="s">
        <v>322</v>
      </c>
      <c r="AV1877" t="s">
        <v>323</v>
      </c>
      <c r="AW1877" t="s">
        <v>60</v>
      </c>
      <c r="AX1877" t="s">
        <v>68</v>
      </c>
      <c r="AY1877" t="s">
        <v>69</v>
      </c>
      <c r="AZ1877" t="b">
        <v>1</v>
      </c>
    </row>
    <row r="1878" spans="1:52" x14ac:dyDescent="0.3">
      <c r="A1878" t="s">
        <v>52</v>
      </c>
      <c r="B1878" t="s">
        <v>53</v>
      </c>
      <c r="C1878" t="s">
        <v>54</v>
      </c>
      <c r="D1878" t="s">
        <v>55</v>
      </c>
      <c r="E1878" t="s">
        <v>853</v>
      </c>
      <c r="F1878" t="s">
        <v>176</v>
      </c>
      <c r="G1878" t="s">
        <v>438</v>
      </c>
      <c r="H1878" t="s">
        <v>439</v>
      </c>
      <c r="I1878" t="s">
        <v>439</v>
      </c>
      <c r="J1878" t="s">
        <v>60</v>
      </c>
      <c r="K1878" t="s">
        <v>199</v>
      </c>
      <c r="L1878" t="s">
        <v>62</v>
      </c>
      <c r="M1878" t="s">
        <v>199</v>
      </c>
      <c r="N1878" t="s">
        <v>440</v>
      </c>
      <c r="O1878" t="s">
        <v>120</v>
      </c>
      <c r="P1878">
        <v>-19.642907000000001</v>
      </c>
      <c r="Q1878">
        <v>-43.912584000000003</v>
      </c>
      <c r="R1878" s="2" t="str">
        <f>HYPERLINK("https://www.google.com/maps?q=-19.6429070,-43.9125840","Abrir no Google Maps")</f>
        <v>Abrir no Google Maps</v>
      </c>
      <c r="S1878">
        <v>3</v>
      </c>
      <c r="T1878">
        <v>0</v>
      </c>
      <c r="U1878">
        <v>3</v>
      </c>
      <c r="V1878">
        <v>0.86073825503355705</v>
      </c>
      <c r="W1878">
        <v>1</v>
      </c>
      <c r="X1878">
        <v>0.86073825503355705</v>
      </c>
      <c r="Y1878">
        <v>4</v>
      </c>
      <c r="Z1878">
        <v>617.66392653629225</v>
      </c>
      <c r="AA1878">
        <v>2</v>
      </c>
      <c r="AB1878">
        <v>3</v>
      </c>
      <c r="AC1878">
        <v>7</v>
      </c>
      <c r="AD1878">
        <v>24.9</v>
      </c>
      <c r="AE1878">
        <v>253</v>
      </c>
      <c r="AF1878">
        <v>12</v>
      </c>
      <c r="AG1878">
        <v>66</v>
      </c>
      <c r="AH1878">
        <v>32</v>
      </c>
      <c r="AI1878">
        <v>4.74</v>
      </c>
      <c r="AJ1878">
        <v>26.09</v>
      </c>
      <c r="AK1878">
        <v>12.65</v>
      </c>
      <c r="AL1878">
        <v>-19.64265969999996</v>
      </c>
      <c r="AM1878">
        <v>-43.912763285666202</v>
      </c>
      <c r="AN1878">
        <v>-19.64265969999996</v>
      </c>
      <c r="AO1878">
        <v>-43.912763285666202</v>
      </c>
      <c r="AP1878">
        <v>-19.642907000000001</v>
      </c>
      <c r="AQ1878">
        <v>-43.912584000000003</v>
      </c>
      <c r="AR1878">
        <v>33.334435483196202</v>
      </c>
      <c r="AS1878" t="s">
        <v>65</v>
      </c>
      <c r="AT1878">
        <v>1</v>
      </c>
      <c r="AU1878" t="s">
        <v>441</v>
      </c>
      <c r="AV1878" t="s">
        <v>442</v>
      </c>
      <c r="AW1878" t="s">
        <v>60</v>
      </c>
      <c r="AX1878" t="s">
        <v>68</v>
      </c>
      <c r="AY1878" t="s">
        <v>69</v>
      </c>
      <c r="AZ1878" t="b">
        <v>1</v>
      </c>
    </row>
    <row r="1879" spans="1:52" x14ac:dyDescent="0.3">
      <c r="A1879" t="s">
        <v>52</v>
      </c>
      <c r="B1879" t="s">
        <v>53</v>
      </c>
      <c r="C1879" t="s">
        <v>54</v>
      </c>
      <c r="D1879" t="s">
        <v>55</v>
      </c>
      <c r="E1879" t="s">
        <v>853</v>
      </c>
      <c r="F1879" t="s">
        <v>176</v>
      </c>
      <c r="G1879" t="s">
        <v>450</v>
      </c>
      <c r="H1879" t="s">
        <v>451</v>
      </c>
      <c r="I1879" t="s">
        <v>451</v>
      </c>
      <c r="J1879" t="s">
        <v>60</v>
      </c>
      <c r="K1879" t="s">
        <v>452</v>
      </c>
      <c r="L1879" t="s">
        <v>62</v>
      </c>
      <c r="M1879" t="s">
        <v>452</v>
      </c>
      <c r="N1879" t="s">
        <v>453</v>
      </c>
      <c r="O1879" t="s">
        <v>454</v>
      </c>
      <c r="P1879">
        <v>-19.649691000000001</v>
      </c>
      <c r="Q1879">
        <v>-43.873970999999997</v>
      </c>
      <c r="R1879" s="2" t="str">
        <f>HYPERLINK("https://www.google.com/maps?q=-19.6496910,-43.8739710","Abrir no Google Maps")</f>
        <v>Abrir no Google Maps</v>
      </c>
      <c r="S1879">
        <v>3</v>
      </c>
      <c r="T1879">
        <v>433.54329587849469</v>
      </c>
      <c r="U1879">
        <v>3</v>
      </c>
      <c r="V1879">
        <v>0.85773480662983426</v>
      </c>
      <c r="W1879">
        <v>1</v>
      </c>
      <c r="X1879">
        <v>0.85773480662983426</v>
      </c>
      <c r="Y1879">
        <v>3</v>
      </c>
      <c r="Z1879">
        <v>298.71042308886041</v>
      </c>
      <c r="AA1879">
        <v>2</v>
      </c>
      <c r="AB1879">
        <v>3</v>
      </c>
      <c r="AC1879">
        <v>7</v>
      </c>
      <c r="AD1879">
        <v>24.9</v>
      </c>
      <c r="AE1879">
        <v>253</v>
      </c>
      <c r="AF1879">
        <v>12</v>
      </c>
      <c r="AG1879">
        <v>66</v>
      </c>
      <c r="AH1879">
        <v>32</v>
      </c>
      <c r="AI1879">
        <v>4.74</v>
      </c>
      <c r="AJ1879">
        <v>26.09</v>
      </c>
      <c r="AK1879">
        <v>12.65</v>
      </c>
      <c r="AL1879">
        <v>-19.64973869999994</v>
      </c>
      <c r="AM1879">
        <v>-43.873980587601103</v>
      </c>
      <c r="AN1879">
        <v>-19.64973869999994</v>
      </c>
      <c r="AO1879">
        <v>-43.873980587601103</v>
      </c>
      <c r="AP1879">
        <v>-19.649691000000001</v>
      </c>
      <c r="AQ1879">
        <v>-43.873970999999997</v>
      </c>
      <c r="AR1879">
        <v>5.4042596125531333</v>
      </c>
      <c r="AS1879" t="s">
        <v>65</v>
      </c>
      <c r="AT1879">
        <v>1</v>
      </c>
      <c r="AU1879" t="s">
        <v>455</v>
      </c>
      <c r="AV1879" t="s">
        <v>456</v>
      </c>
      <c r="AW1879" t="s">
        <v>60</v>
      </c>
      <c r="AX1879" t="s">
        <v>68</v>
      </c>
      <c r="AY1879" t="s">
        <v>69</v>
      </c>
      <c r="AZ1879" t="b">
        <v>1</v>
      </c>
    </row>
    <row r="1880" spans="1:52" x14ac:dyDescent="0.3">
      <c r="A1880" t="s">
        <v>52</v>
      </c>
      <c r="B1880" t="s">
        <v>53</v>
      </c>
      <c r="C1880" t="s">
        <v>54</v>
      </c>
      <c r="D1880" t="s">
        <v>55</v>
      </c>
      <c r="E1880" t="s">
        <v>853</v>
      </c>
      <c r="F1880" t="s">
        <v>176</v>
      </c>
      <c r="G1880" t="s">
        <v>457</v>
      </c>
      <c r="H1880" t="s">
        <v>458</v>
      </c>
      <c r="I1880" t="s">
        <v>458</v>
      </c>
      <c r="J1880" t="s">
        <v>60</v>
      </c>
      <c r="K1880" t="s">
        <v>286</v>
      </c>
      <c r="L1880" t="s">
        <v>62</v>
      </c>
      <c r="M1880" t="s">
        <v>286</v>
      </c>
      <c r="N1880" t="s">
        <v>459</v>
      </c>
      <c r="O1880" t="s">
        <v>408</v>
      </c>
      <c r="P1880">
        <v>-19.648675000000001</v>
      </c>
      <c r="Q1880">
        <v>-43.876176999999998</v>
      </c>
      <c r="R1880" s="2" t="str">
        <f>HYPERLINK("https://www.google.com/maps?q=-19.6486750,-43.8761770","Abrir no Google Maps")</f>
        <v>Abrir no Google Maps</v>
      </c>
      <c r="S1880">
        <v>3</v>
      </c>
      <c r="T1880">
        <v>696.15049931004592</v>
      </c>
      <c r="U1880">
        <v>3</v>
      </c>
      <c r="V1880">
        <v>0.92938931297709915</v>
      </c>
      <c r="W1880">
        <v>1</v>
      </c>
      <c r="X1880">
        <v>0.92938931297709915</v>
      </c>
      <c r="Y1880">
        <v>3</v>
      </c>
      <c r="Z1880">
        <v>617.40976221624703</v>
      </c>
      <c r="AA1880">
        <v>2</v>
      </c>
      <c r="AB1880">
        <v>3</v>
      </c>
      <c r="AC1880">
        <v>7</v>
      </c>
      <c r="AD1880">
        <v>24.9</v>
      </c>
      <c r="AE1880">
        <v>253</v>
      </c>
      <c r="AF1880">
        <v>12</v>
      </c>
      <c r="AG1880">
        <v>66</v>
      </c>
      <c r="AH1880">
        <v>32</v>
      </c>
      <c r="AI1880">
        <v>4.74</v>
      </c>
      <c r="AJ1880">
        <v>26.09</v>
      </c>
      <c r="AK1880">
        <v>12.65</v>
      </c>
      <c r="AL1880">
        <v>-19.648626649999951</v>
      </c>
      <c r="AM1880">
        <v>-43.876233357879343</v>
      </c>
      <c r="AN1880">
        <v>-19.648626649999951</v>
      </c>
      <c r="AO1880">
        <v>-43.876233357879343</v>
      </c>
      <c r="AP1880">
        <v>-19.648675000000001</v>
      </c>
      <c r="AQ1880">
        <v>-43.876176999999998</v>
      </c>
      <c r="AR1880">
        <v>7.9924470956447653</v>
      </c>
      <c r="AS1880" t="s">
        <v>65</v>
      </c>
      <c r="AT1880">
        <v>1</v>
      </c>
      <c r="AU1880" t="s">
        <v>460</v>
      </c>
      <c r="AV1880" t="s">
        <v>461</v>
      </c>
      <c r="AW1880" t="s">
        <v>60</v>
      </c>
      <c r="AX1880" t="s">
        <v>68</v>
      </c>
      <c r="AY1880" t="s">
        <v>69</v>
      </c>
      <c r="AZ1880" t="b">
        <v>1</v>
      </c>
    </row>
    <row r="1881" spans="1:52" x14ac:dyDescent="0.3">
      <c r="A1881" t="s">
        <v>52</v>
      </c>
      <c r="B1881" t="s">
        <v>53</v>
      </c>
      <c r="C1881" t="s">
        <v>54</v>
      </c>
      <c r="D1881" t="s">
        <v>55</v>
      </c>
      <c r="E1881" t="s">
        <v>853</v>
      </c>
      <c r="F1881" t="s">
        <v>176</v>
      </c>
      <c r="G1881" t="s">
        <v>462</v>
      </c>
      <c r="H1881" t="s">
        <v>463</v>
      </c>
      <c r="I1881" t="s">
        <v>463</v>
      </c>
      <c r="J1881" t="s">
        <v>60</v>
      </c>
      <c r="K1881" t="s">
        <v>464</v>
      </c>
      <c r="L1881" t="s">
        <v>62</v>
      </c>
      <c r="M1881" t="s">
        <v>464</v>
      </c>
      <c r="N1881" t="s">
        <v>465</v>
      </c>
      <c r="O1881" t="s">
        <v>414</v>
      </c>
      <c r="P1881">
        <v>-19.655408000000001</v>
      </c>
      <c r="Q1881">
        <v>-43.862772999999997</v>
      </c>
      <c r="R1881" s="2" t="str">
        <f>HYPERLINK("https://www.google.com/maps?q=-19.6554080,-43.8627730","Abrir no Google Maps")</f>
        <v>Abrir no Google Maps</v>
      </c>
      <c r="S1881">
        <v>3</v>
      </c>
      <c r="T1881">
        <v>877.50781603676592</v>
      </c>
      <c r="U1881">
        <v>3</v>
      </c>
      <c r="V1881">
        <v>0.84322033898305082</v>
      </c>
      <c r="W1881">
        <v>1</v>
      </c>
      <c r="X1881">
        <v>0.84322033898305082</v>
      </c>
      <c r="Y1881">
        <v>3</v>
      </c>
      <c r="Z1881">
        <v>1005.9680098732809</v>
      </c>
      <c r="AA1881">
        <v>2</v>
      </c>
      <c r="AB1881">
        <v>3</v>
      </c>
      <c r="AC1881">
        <v>7</v>
      </c>
      <c r="AD1881">
        <v>24.9</v>
      </c>
      <c r="AE1881">
        <v>253</v>
      </c>
      <c r="AF1881">
        <v>12</v>
      </c>
      <c r="AG1881">
        <v>66</v>
      </c>
      <c r="AH1881">
        <v>32</v>
      </c>
      <c r="AI1881">
        <v>4.74</v>
      </c>
      <c r="AJ1881">
        <v>26.09</v>
      </c>
      <c r="AK1881">
        <v>12.65</v>
      </c>
      <c r="AL1881">
        <v>-19.655455099999951</v>
      </c>
      <c r="AM1881">
        <v>-43.863149342001513</v>
      </c>
      <c r="AN1881">
        <v>-19.655455099999951</v>
      </c>
      <c r="AO1881">
        <v>-43.863149342001513</v>
      </c>
      <c r="AP1881">
        <v>-19.655408000000001</v>
      </c>
      <c r="AQ1881">
        <v>-43.862772999999997</v>
      </c>
      <c r="AR1881">
        <v>39.800175805630573</v>
      </c>
      <c r="AS1881" t="s">
        <v>65</v>
      </c>
      <c r="AT1881">
        <v>1</v>
      </c>
      <c r="AU1881" t="s">
        <v>466</v>
      </c>
      <c r="AV1881" t="s">
        <v>467</v>
      </c>
      <c r="AW1881" t="s">
        <v>60</v>
      </c>
      <c r="AX1881" t="s">
        <v>68</v>
      </c>
      <c r="AY1881" t="s">
        <v>69</v>
      </c>
      <c r="AZ1881" t="b">
        <v>1</v>
      </c>
    </row>
    <row r="1882" spans="1:52" x14ac:dyDescent="0.3">
      <c r="A1882" t="s">
        <v>52</v>
      </c>
      <c r="B1882" t="s">
        <v>53</v>
      </c>
      <c r="C1882" t="s">
        <v>54</v>
      </c>
      <c r="D1882" t="s">
        <v>55</v>
      </c>
      <c r="E1882" t="s">
        <v>853</v>
      </c>
      <c r="F1882" t="s">
        <v>176</v>
      </c>
      <c r="G1882" t="s">
        <v>338</v>
      </c>
      <c r="H1882" t="s">
        <v>339</v>
      </c>
      <c r="I1882" t="s">
        <v>339</v>
      </c>
      <c r="J1882" t="s">
        <v>60</v>
      </c>
      <c r="K1882" t="s">
        <v>219</v>
      </c>
      <c r="L1882" t="s">
        <v>62</v>
      </c>
      <c r="M1882" t="s">
        <v>219</v>
      </c>
      <c r="N1882" t="s">
        <v>340</v>
      </c>
      <c r="O1882" t="s">
        <v>341</v>
      </c>
      <c r="P1882">
        <v>-19.666964</v>
      </c>
      <c r="Q1882">
        <v>-43.884436999999998</v>
      </c>
      <c r="R1882" s="2" t="str">
        <f>HYPERLINK("https://www.google.com/maps?q=-19.6669640,-43.8844370","Abrir no Google Maps")</f>
        <v>Abrir no Google Maps</v>
      </c>
      <c r="S1882">
        <v>3</v>
      </c>
      <c r="T1882">
        <v>957.0047152726122</v>
      </c>
      <c r="U1882">
        <v>3</v>
      </c>
      <c r="V1882">
        <v>0.87115384615384617</v>
      </c>
      <c r="W1882">
        <v>1</v>
      </c>
      <c r="X1882">
        <v>0.87115384615384617</v>
      </c>
      <c r="Y1882">
        <v>3</v>
      </c>
      <c r="Z1882">
        <v>558.02655966087093</v>
      </c>
      <c r="AA1882">
        <v>2</v>
      </c>
      <c r="AB1882">
        <v>3</v>
      </c>
      <c r="AC1882">
        <v>7</v>
      </c>
      <c r="AD1882">
        <v>24.9</v>
      </c>
      <c r="AE1882">
        <v>253</v>
      </c>
      <c r="AF1882">
        <v>12</v>
      </c>
      <c r="AG1882">
        <v>66</v>
      </c>
      <c r="AH1882">
        <v>32</v>
      </c>
      <c r="AI1882">
        <v>4.74</v>
      </c>
      <c r="AJ1882">
        <v>26.09</v>
      </c>
      <c r="AK1882">
        <v>12.65</v>
      </c>
      <c r="AL1882">
        <v>-19.66693374999997</v>
      </c>
      <c r="AM1882">
        <v>-43.884551162820181</v>
      </c>
      <c r="AN1882">
        <v>-19.66693374999997</v>
      </c>
      <c r="AO1882">
        <v>-43.884551162820181</v>
      </c>
      <c r="AP1882">
        <v>-19.666964</v>
      </c>
      <c r="AQ1882">
        <v>-43.884436999999998</v>
      </c>
      <c r="AR1882">
        <v>12.43199920714442</v>
      </c>
      <c r="AS1882" t="s">
        <v>65</v>
      </c>
      <c r="AT1882">
        <v>1</v>
      </c>
      <c r="AU1882" t="s">
        <v>342</v>
      </c>
      <c r="AV1882" t="s">
        <v>343</v>
      </c>
      <c r="AW1882" t="s">
        <v>60</v>
      </c>
      <c r="AX1882" t="s">
        <v>68</v>
      </c>
      <c r="AY1882" t="s">
        <v>69</v>
      </c>
      <c r="AZ1882" t="b">
        <v>1</v>
      </c>
    </row>
    <row r="1883" spans="1:52" x14ac:dyDescent="0.3">
      <c r="A1883" t="s">
        <v>52</v>
      </c>
      <c r="B1883" t="s">
        <v>53</v>
      </c>
      <c r="C1883" t="s">
        <v>54</v>
      </c>
      <c r="D1883" t="s">
        <v>55</v>
      </c>
      <c r="E1883" t="s">
        <v>853</v>
      </c>
      <c r="F1883" t="s">
        <v>176</v>
      </c>
      <c r="G1883" t="s">
        <v>344</v>
      </c>
      <c r="H1883" t="s">
        <v>345</v>
      </c>
      <c r="I1883" t="s">
        <v>345</v>
      </c>
      <c r="J1883" t="s">
        <v>60</v>
      </c>
      <c r="K1883" t="s">
        <v>326</v>
      </c>
      <c r="L1883" t="s">
        <v>62</v>
      </c>
      <c r="M1883" t="s">
        <v>326</v>
      </c>
      <c r="N1883" t="s">
        <v>346</v>
      </c>
      <c r="O1883" t="s">
        <v>347</v>
      </c>
      <c r="P1883">
        <v>-19.659784999999999</v>
      </c>
      <c r="Q1883">
        <v>-43.868257999999997</v>
      </c>
      <c r="R1883" s="2" t="str">
        <f>HYPERLINK("https://www.google.com/maps?q=-19.6597850,-43.8682580","Abrir no Google Maps")</f>
        <v>Abrir no Google Maps</v>
      </c>
      <c r="S1883">
        <v>3</v>
      </c>
      <c r="T1883">
        <v>887.40196140413514</v>
      </c>
      <c r="U1883">
        <v>3</v>
      </c>
      <c r="V1883">
        <v>0.84533898305084743</v>
      </c>
      <c r="W1883">
        <v>1</v>
      </c>
      <c r="X1883">
        <v>0.84533898305084743</v>
      </c>
      <c r="Y1883">
        <v>3</v>
      </c>
      <c r="Z1883">
        <v>951.67106090939239</v>
      </c>
      <c r="AA1883">
        <v>2</v>
      </c>
      <c r="AB1883">
        <v>3</v>
      </c>
      <c r="AC1883">
        <v>7</v>
      </c>
      <c r="AD1883">
        <v>24.9</v>
      </c>
      <c r="AE1883">
        <v>253</v>
      </c>
      <c r="AF1883">
        <v>12</v>
      </c>
      <c r="AG1883">
        <v>66</v>
      </c>
      <c r="AH1883">
        <v>32</v>
      </c>
      <c r="AI1883">
        <v>4.74</v>
      </c>
      <c r="AJ1883">
        <v>26.09</v>
      </c>
      <c r="AK1883">
        <v>12.65</v>
      </c>
      <c r="AL1883">
        <v>-19.659938849999971</v>
      </c>
      <c r="AM1883">
        <v>-43.868426732971933</v>
      </c>
      <c r="AN1883">
        <v>-19.659938849999971</v>
      </c>
      <c r="AO1883">
        <v>-43.868426732971933</v>
      </c>
      <c r="AP1883">
        <v>-19.659784999999999</v>
      </c>
      <c r="AQ1883">
        <v>-43.868257999999997</v>
      </c>
      <c r="AR1883">
        <v>24.621113441172451</v>
      </c>
      <c r="AS1883" t="s">
        <v>65</v>
      </c>
      <c r="AT1883">
        <v>1</v>
      </c>
      <c r="AU1883" t="s">
        <v>348</v>
      </c>
      <c r="AV1883" t="s">
        <v>349</v>
      </c>
      <c r="AW1883" t="s">
        <v>60</v>
      </c>
      <c r="AX1883" t="s">
        <v>68</v>
      </c>
      <c r="AY1883" t="s">
        <v>69</v>
      </c>
      <c r="AZ1883" t="b">
        <v>1</v>
      </c>
    </row>
    <row r="1884" spans="1:52" x14ac:dyDescent="0.3">
      <c r="A1884" t="s">
        <v>52</v>
      </c>
      <c r="B1884" t="s">
        <v>53</v>
      </c>
      <c r="C1884" t="s">
        <v>54</v>
      </c>
      <c r="D1884" t="s">
        <v>55</v>
      </c>
      <c r="E1884" t="s">
        <v>853</v>
      </c>
      <c r="F1884" t="s">
        <v>176</v>
      </c>
      <c r="G1884" t="s">
        <v>728</v>
      </c>
      <c r="H1884" t="s">
        <v>729</v>
      </c>
      <c r="I1884" t="s">
        <v>729</v>
      </c>
      <c r="J1884" t="s">
        <v>60</v>
      </c>
      <c r="K1884" t="s">
        <v>730</v>
      </c>
      <c r="L1884" t="s">
        <v>62</v>
      </c>
      <c r="M1884" t="s">
        <v>730</v>
      </c>
      <c r="N1884" t="s">
        <v>731</v>
      </c>
      <c r="O1884" t="s">
        <v>732</v>
      </c>
      <c r="P1884">
        <v>-19.598894999999999</v>
      </c>
      <c r="Q1884">
        <v>-43.907265000000002</v>
      </c>
      <c r="R1884" s="2" t="str">
        <f>HYPERLINK("https://www.google.com/maps?q=-19.5988950,-43.9072650","Abrir no Google Maps")</f>
        <v>Abrir no Google Maps</v>
      </c>
      <c r="S1884">
        <v>3</v>
      </c>
      <c r="T1884">
        <v>308.81161626838701</v>
      </c>
      <c r="U1884">
        <v>3</v>
      </c>
      <c r="V1884">
        <v>0.99734042553191482</v>
      </c>
      <c r="W1884">
        <v>0.85</v>
      </c>
      <c r="X1884">
        <v>0.8477393617021276</v>
      </c>
      <c r="Y1884">
        <v>2</v>
      </c>
      <c r="Z1884">
        <v>305.65808615712928</v>
      </c>
      <c r="AA1884">
        <v>2</v>
      </c>
      <c r="AB1884">
        <v>3</v>
      </c>
      <c r="AC1884">
        <v>7</v>
      </c>
      <c r="AD1884">
        <v>24.9</v>
      </c>
      <c r="AE1884">
        <v>253</v>
      </c>
      <c r="AF1884">
        <v>12</v>
      </c>
      <c r="AG1884">
        <v>66</v>
      </c>
      <c r="AH1884">
        <v>32</v>
      </c>
      <c r="AI1884">
        <v>4.74</v>
      </c>
      <c r="AJ1884">
        <v>26.09</v>
      </c>
      <c r="AK1884">
        <v>12.65</v>
      </c>
      <c r="AL1884">
        <v>-19.598929649999949</v>
      </c>
      <c r="AM1884">
        <v>-43.90720816146667</v>
      </c>
      <c r="AN1884">
        <v>-19.598929649999949</v>
      </c>
      <c r="AO1884">
        <v>-43.90720816146667</v>
      </c>
      <c r="AP1884">
        <v>-19.598894999999999</v>
      </c>
      <c r="AQ1884">
        <v>-43.907265000000002</v>
      </c>
      <c r="AR1884">
        <v>7.099864647387605</v>
      </c>
      <c r="AS1884" t="s">
        <v>65</v>
      </c>
      <c r="AT1884">
        <v>1</v>
      </c>
      <c r="AU1884" t="s">
        <v>733</v>
      </c>
      <c r="AV1884" t="s">
        <v>734</v>
      </c>
      <c r="AW1884" t="s">
        <v>60</v>
      </c>
      <c r="AX1884" t="s">
        <v>68</v>
      </c>
      <c r="AY1884" t="s">
        <v>69</v>
      </c>
      <c r="AZ1884" t="b">
        <v>1</v>
      </c>
    </row>
    <row r="1885" spans="1:52" x14ac:dyDescent="0.3">
      <c r="A1885" t="s">
        <v>52</v>
      </c>
      <c r="B1885" t="s">
        <v>53</v>
      </c>
      <c r="C1885" t="s">
        <v>54</v>
      </c>
      <c r="D1885" t="s">
        <v>55</v>
      </c>
      <c r="E1885" t="s">
        <v>853</v>
      </c>
      <c r="F1885" t="s">
        <v>176</v>
      </c>
      <c r="G1885" t="s">
        <v>350</v>
      </c>
      <c r="H1885" t="s">
        <v>351</v>
      </c>
      <c r="I1885" t="s">
        <v>351</v>
      </c>
      <c r="J1885" t="s">
        <v>60</v>
      </c>
      <c r="K1885" t="s">
        <v>352</v>
      </c>
      <c r="L1885" t="s">
        <v>62</v>
      </c>
      <c r="M1885" t="s">
        <v>352</v>
      </c>
      <c r="N1885" t="s">
        <v>353</v>
      </c>
      <c r="O1885" t="s">
        <v>354</v>
      </c>
      <c r="P1885">
        <v>-19.595734</v>
      </c>
      <c r="Q1885">
        <v>-43.900387000000002</v>
      </c>
      <c r="R1885" s="2" t="str">
        <f>HYPERLINK("https://www.google.com/maps?q=-19.5957340,-43.9003870","Abrir no Google Maps")</f>
        <v>Abrir no Google Maps</v>
      </c>
      <c r="S1885">
        <v>3</v>
      </c>
      <c r="T1885">
        <v>600.67809066127609</v>
      </c>
      <c r="U1885">
        <v>3</v>
      </c>
      <c r="V1885">
        <v>0.92195767195767198</v>
      </c>
      <c r="W1885">
        <v>1</v>
      </c>
      <c r="X1885">
        <v>0.92195767195767198</v>
      </c>
      <c r="Y1885">
        <v>2</v>
      </c>
      <c r="Z1885">
        <v>676.06682548988681</v>
      </c>
      <c r="AA1885">
        <v>2</v>
      </c>
      <c r="AB1885">
        <v>3</v>
      </c>
      <c r="AC1885">
        <v>7</v>
      </c>
      <c r="AD1885">
        <v>24.9</v>
      </c>
      <c r="AE1885">
        <v>253</v>
      </c>
      <c r="AF1885">
        <v>12</v>
      </c>
      <c r="AG1885">
        <v>66</v>
      </c>
      <c r="AH1885">
        <v>32</v>
      </c>
      <c r="AI1885">
        <v>4.74</v>
      </c>
      <c r="AJ1885">
        <v>26.09</v>
      </c>
      <c r="AK1885">
        <v>12.65</v>
      </c>
      <c r="AL1885">
        <v>-19.595574149999951</v>
      </c>
      <c r="AM1885">
        <v>-43.900265035317688</v>
      </c>
      <c r="AN1885">
        <v>-19.595574149999951</v>
      </c>
      <c r="AO1885">
        <v>-43.900265035317688</v>
      </c>
      <c r="AP1885">
        <v>-19.595734</v>
      </c>
      <c r="AQ1885">
        <v>-43.900387000000002</v>
      </c>
      <c r="AR1885">
        <v>21.91456243504582</v>
      </c>
      <c r="AS1885" t="s">
        <v>65</v>
      </c>
      <c r="AT1885">
        <v>1</v>
      </c>
      <c r="AU1885" t="s">
        <v>355</v>
      </c>
      <c r="AV1885" t="s">
        <v>356</v>
      </c>
      <c r="AW1885" t="s">
        <v>60</v>
      </c>
      <c r="AX1885" t="s">
        <v>68</v>
      </c>
      <c r="AY1885" t="s">
        <v>69</v>
      </c>
      <c r="AZ1885" t="b">
        <v>1</v>
      </c>
    </row>
    <row r="1886" spans="1:52" x14ac:dyDescent="0.3">
      <c r="A1886" t="s">
        <v>52</v>
      </c>
      <c r="B1886" t="s">
        <v>53</v>
      </c>
      <c r="C1886" t="s">
        <v>54</v>
      </c>
      <c r="D1886" t="s">
        <v>55</v>
      </c>
      <c r="E1886" t="s">
        <v>853</v>
      </c>
      <c r="F1886" t="s">
        <v>176</v>
      </c>
      <c r="G1886" t="s">
        <v>371</v>
      </c>
      <c r="H1886" t="s">
        <v>496</v>
      </c>
      <c r="I1886" t="s">
        <v>496</v>
      </c>
      <c r="J1886" t="s">
        <v>60</v>
      </c>
      <c r="K1886" t="s">
        <v>352</v>
      </c>
      <c r="L1886" t="s">
        <v>62</v>
      </c>
      <c r="M1886" t="s">
        <v>352</v>
      </c>
      <c r="N1886" t="s">
        <v>497</v>
      </c>
      <c r="O1886" t="s">
        <v>120</v>
      </c>
      <c r="P1886">
        <v>-19.599603999999999</v>
      </c>
      <c r="Q1886">
        <v>-43.899650000000001</v>
      </c>
      <c r="R1886" s="2" t="str">
        <f>HYPERLINK("https://www.google.com/maps?q=-19.5996040,-43.8996500","Abrir no Google Maps")</f>
        <v>Abrir no Google Maps</v>
      </c>
      <c r="S1886">
        <v>3</v>
      </c>
      <c r="T1886">
        <v>381.13553853255752</v>
      </c>
      <c r="U1886">
        <v>3</v>
      </c>
      <c r="V1886">
        <v>0.97196261682243001</v>
      </c>
      <c r="W1886">
        <v>0.85</v>
      </c>
      <c r="X1886">
        <v>0.82616822429906545</v>
      </c>
      <c r="Y1886">
        <v>2</v>
      </c>
      <c r="Z1886">
        <v>445.30611048306139</v>
      </c>
      <c r="AA1886">
        <v>2</v>
      </c>
      <c r="AB1886">
        <v>3</v>
      </c>
      <c r="AC1886">
        <v>7</v>
      </c>
      <c r="AD1886">
        <v>24.9</v>
      </c>
      <c r="AE1886">
        <v>253</v>
      </c>
      <c r="AF1886">
        <v>12</v>
      </c>
      <c r="AG1886">
        <v>66</v>
      </c>
      <c r="AH1886">
        <v>32</v>
      </c>
      <c r="AI1886">
        <v>4.74</v>
      </c>
      <c r="AJ1886">
        <v>26.09</v>
      </c>
      <c r="AK1886">
        <v>12.65</v>
      </c>
      <c r="AL1886">
        <v>-19.59984999999995</v>
      </c>
      <c r="AM1886">
        <v>-43.90070409772008</v>
      </c>
      <c r="AN1886">
        <v>-19.59984999999995</v>
      </c>
      <c r="AO1886">
        <v>-43.90070409772008</v>
      </c>
      <c r="AP1886">
        <v>-19.599603999999999</v>
      </c>
      <c r="AQ1886">
        <v>-43.899650000000001</v>
      </c>
      <c r="AR1886">
        <v>113.8846460473157</v>
      </c>
      <c r="AS1886" t="s">
        <v>65</v>
      </c>
      <c r="AT1886">
        <v>1</v>
      </c>
      <c r="AU1886" t="s">
        <v>498</v>
      </c>
      <c r="AV1886" t="s">
        <v>499</v>
      </c>
      <c r="AW1886" t="s">
        <v>60</v>
      </c>
      <c r="AX1886" t="s">
        <v>68</v>
      </c>
      <c r="AY1886" t="s">
        <v>69</v>
      </c>
      <c r="AZ1886" t="b">
        <v>1</v>
      </c>
    </row>
    <row r="1887" spans="1:52" x14ac:dyDescent="0.3">
      <c r="A1887" t="s">
        <v>52</v>
      </c>
      <c r="B1887" t="s">
        <v>53</v>
      </c>
      <c r="C1887" t="s">
        <v>54</v>
      </c>
      <c r="D1887" t="s">
        <v>55</v>
      </c>
      <c r="E1887" t="s">
        <v>853</v>
      </c>
      <c r="F1887" t="s">
        <v>176</v>
      </c>
      <c r="G1887" t="s">
        <v>838</v>
      </c>
      <c r="H1887" t="s">
        <v>839</v>
      </c>
      <c r="I1887" t="s">
        <v>839</v>
      </c>
      <c r="J1887" t="s">
        <v>60</v>
      </c>
      <c r="K1887" t="s">
        <v>286</v>
      </c>
      <c r="L1887" t="s">
        <v>62</v>
      </c>
      <c r="M1887" t="s">
        <v>286</v>
      </c>
      <c r="N1887" t="s">
        <v>840</v>
      </c>
      <c r="O1887" t="s">
        <v>841</v>
      </c>
      <c r="P1887">
        <v>-19.632566000000001</v>
      </c>
      <c r="Q1887">
        <v>-43.886761999999997</v>
      </c>
      <c r="R1887" s="2" t="str">
        <f>HYPERLINK("https://www.google.com/maps?q=-19.6325660,-43.8867620","Abrir no Google Maps")</f>
        <v>Abrir no Google Maps</v>
      </c>
      <c r="S1887">
        <v>3</v>
      </c>
      <c r="T1887">
        <v>617.08897174422054</v>
      </c>
      <c r="U1887">
        <v>3</v>
      </c>
      <c r="V1887">
        <v>1</v>
      </c>
      <c r="W1887">
        <v>0.85</v>
      </c>
      <c r="X1887">
        <v>0.85</v>
      </c>
      <c r="Y1887">
        <v>2</v>
      </c>
      <c r="Z1887">
        <v>207.97402585552319</v>
      </c>
      <c r="AA1887">
        <v>2</v>
      </c>
      <c r="AB1887">
        <v>3</v>
      </c>
      <c r="AC1887">
        <v>7</v>
      </c>
      <c r="AD1887">
        <v>24.9</v>
      </c>
      <c r="AE1887">
        <v>253</v>
      </c>
      <c r="AF1887">
        <v>12</v>
      </c>
      <c r="AG1887">
        <v>66</v>
      </c>
      <c r="AH1887">
        <v>32</v>
      </c>
      <c r="AI1887">
        <v>4.74</v>
      </c>
      <c r="AJ1887">
        <v>26.09</v>
      </c>
      <c r="AK1887">
        <v>12.65</v>
      </c>
      <c r="AL1887">
        <v>-19.632531149999949</v>
      </c>
      <c r="AM1887">
        <v>-43.887228227300241</v>
      </c>
      <c r="AN1887">
        <v>-19.632531149999949</v>
      </c>
      <c r="AO1887">
        <v>-43.887228227300241</v>
      </c>
      <c r="AP1887">
        <v>-19.632566000000001</v>
      </c>
      <c r="AQ1887">
        <v>-43.886761999999997</v>
      </c>
      <c r="AR1887">
        <v>49.036989382941393</v>
      </c>
      <c r="AS1887" t="s">
        <v>65</v>
      </c>
      <c r="AT1887">
        <v>1</v>
      </c>
      <c r="AU1887" t="s">
        <v>842</v>
      </c>
      <c r="AV1887" t="s">
        <v>843</v>
      </c>
      <c r="AW1887" t="s">
        <v>60</v>
      </c>
      <c r="AX1887" t="s">
        <v>68</v>
      </c>
      <c r="AY1887" t="s">
        <v>69</v>
      </c>
      <c r="AZ1887" t="b">
        <v>1</v>
      </c>
    </row>
    <row r="1888" spans="1:52" x14ac:dyDescent="0.3">
      <c r="A1888" t="s">
        <v>52</v>
      </c>
      <c r="B1888" t="s">
        <v>53</v>
      </c>
      <c r="C1888" t="s">
        <v>54</v>
      </c>
      <c r="D1888" t="s">
        <v>55</v>
      </c>
      <c r="E1888" t="s">
        <v>853</v>
      </c>
      <c r="F1888" t="s">
        <v>176</v>
      </c>
      <c r="G1888" t="s">
        <v>350</v>
      </c>
      <c r="H1888" t="s">
        <v>363</v>
      </c>
      <c r="I1888" t="s">
        <v>363</v>
      </c>
      <c r="J1888" t="s">
        <v>60</v>
      </c>
      <c r="K1888" t="s">
        <v>364</v>
      </c>
      <c r="L1888" t="s">
        <v>62</v>
      </c>
      <c r="M1888" t="s">
        <v>364</v>
      </c>
      <c r="N1888" t="s">
        <v>353</v>
      </c>
      <c r="O1888" t="s">
        <v>365</v>
      </c>
      <c r="P1888">
        <v>-19.594657000000002</v>
      </c>
      <c r="Q1888">
        <v>-43.901567</v>
      </c>
      <c r="R1888" s="2" t="str">
        <f>HYPERLINK("https://www.google.com/maps?q=-19.5946570,-43.9015670","Abrir no Google Maps")</f>
        <v>Abrir no Google Maps</v>
      </c>
      <c r="S1888">
        <v>3</v>
      </c>
      <c r="T1888">
        <v>592.43040989358553</v>
      </c>
      <c r="U1888">
        <v>3</v>
      </c>
      <c r="V1888">
        <v>0.908203125</v>
      </c>
      <c r="W1888">
        <v>1</v>
      </c>
      <c r="X1888">
        <v>0.908203125</v>
      </c>
      <c r="Y1888">
        <v>2</v>
      </c>
      <c r="Z1888">
        <v>597.4493869225131</v>
      </c>
      <c r="AA1888">
        <v>2</v>
      </c>
      <c r="AB1888">
        <v>3</v>
      </c>
      <c r="AC1888">
        <v>7</v>
      </c>
      <c r="AD1888">
        <v>24.9</v>
      </c>
      <c r="AE1888">
        <v>253</v>
      </c>
      <c r="AF1888">
        <v>12</v>
      </c>
      <c r="AG1888">
        <v>66</v>
      </c>
      <c r="AH1888">
        <v>32</v>
      </c>
      <c r="AI1888">
        <v>4.74</v>
      </c>
      <c r="AJ1888">
        <v>26.09</v>
      </c>
      <c r="AK1888">
        <v>12.65</v>
      </c>
      <c r="AL1888">
        <v>-19.59470494999994</v>
      </c>
      <c r="AM1888">
        <v>-43.901629434678291</v>
      </c>
      <c r="AN1888">
        <v>-19.59470494999994</v>
      </c>
      <c r="AO1888">
        <v>-43.901629434678291</v>
      </c>
      <c r="AP1888">
        <v>-19.594657000000002</v>
      </c>
      <c r="AQ1888">
        <v>-43.901567</v>
      </c>
      <c r="AR1888">
        <v>8.4477696105165858</v>
      </c>
      <c r="AS1888" t="s">
        <v>65</v>
      </c>
      <c r="AT1888">
        <v>1</v>
      </c>
      <c r="AU1888" t="s">
        <v>366</v>
      </c>
      <c r="AV1888" t="s">
        <v>367</v>
      </c>
      <c r="AW1888" t="s">
        <v>60</v>
      </c>
      <c r="AX1888" t="s">
        <v>68</v>
      </c>
      <c r="AY1888" t="s">
        <v>69</v>
      </c>
      <c r="AZ1888" t="b">
        <v>1</v>
      </c>
    </row>
    <row r="1889" spans="1:52" x14ac:dyDescent="0.3">
      <c r="A1889" t="s">
        <v>52</v>
      </c>
      <c r="B1889" t="s">
        <v>53</v>
      </c>
      <c r="C1889" t="s">
        <v>54</v>
      </c>
      <c r="D1889" t="s">
        <v>55</v>
      </c>
      <c r="E1889" t="s">
        <v>853</v>
      </c>
      <c r="F1889" t="s">
        <v>176</v>
      </c>
      <c r="G1889" t="s">
        <v>506</v>
      </c>
      <c r="H1889" t="s">
        <v>507</v>
      </c>
      <c r="I1889" t="s">
        <v>507</v>
      </c>
      <c r="J1889" t="s">
        <v>60</v>
      </c>
      <c r="K1889" t="s">
        <v>219</v>
      </c>
      <c r="L1889" t="s">
        <v>62</v>
      </c>
      <c r="M1889" t="s">
        <v>219</v>
      </c>
      <c r="N1889" t="s">
        <v>508</v>
      </c>
      <c r="O1889" t="s">
        <v>509</v>
      </c>
      <c r="P1889">
        <v>-19.663573</v>
      </c>
      <c r="Q1889">
        <v>-43.884306000000002</v>
      </c>
      <c r="R1889" s="2" t="str">
        <f>HYPERLINK("https://www.google.com/maps?q=-19.6635730,-43.8843060","Abrir no Google Maps")</f>
        <v>Abrir no Google Maps</v>
      </c>
      <c r="S1889">
        <v>3</v>
      </c>
      <c r="T1889">
        <v>1293.040666597964</v>
      </c>
      <c r="U1889">
        <v>3</v>
      </c>
      <c r="V1889">
        <v>0.8270676691729324</v>
      </c>
      <c r="W1889">
        <v>1</v>
      </c>
      <c r="X1889">
        <v>0.8270676691729324</v>
      </c>
      <c r="Y1889">
        <v>1</v>
      </c>
      <c r="Z1889">
        <v>649.69199246551727</v>
      </c>
      <c r="AA1889">
        <v>2</v>
      </c>
      <c r="AB1889">
        <v>3</v>
      </c>
      <c r="AC1889">
        <v>7</v>
      </c>
      <c r="AD1889">
        <v>24.9</v>
      </c>
      <c r="AE1889">
        <v>253</v>
      </c>
      <c r="AF1889">
        <v>12</v>
      </c>
      <c r="AG1889">
        <v>66</v>
      </c>
      <c r="AH1889">
        <v>32</v>
      </c>
      <c r="AI1889">
        <v>4.74</v>
      </c>
      <c r="AJ1889">
        <v>26.09</v>
      </c>
      <c r="AK1889">
        <v>12.65</v>
      </c>
      <c r="AL1889">
        <v>-19.663616899999969</v>
      </c>
      <c r="AM1889">
        <v>-43.884279937960187</v>
      </c>
      <c r="AN1889">
        <v>-19.663616899999969</v>
      </c>
      <c r="AO1889">
        <v>-43.884279937960187</v>
      </c>
      <c r="AP1889">
        <v>-19.663573</v>
      </c>
      <c r="AQ1889">
        <v>-43.884306000000002</v>
      </c>
      <c r="AR1889">
        <v>5.5987767285658263</v>
      </c>
      <c r="AS1889" t="s">
        <v>65</v>
      </c>
      <c r="AT1889">
        <v>1</v>
      </c>
      <c r="AU1889" t="s">
        <v>510</v>
      </c>
      <c r="AV1889" t="s">
        <v>511</v>
      </c>
      <c r="AW1889" t="s">
        <v>60</v>
      </c>
      <c r="AX1889" t="s">
        <v>68</v>
      </c>
      <c r="AY1889" t="s">
        <v>69</v>
      </c>
      <c r="AZ1889" t="b">
        <v>1</v>
      </c>
    </row>
    <row r="1890" spans="1:52" x14ac:dyDescent="0.3">
      <c r="A1890" t="s">
        <v>52</v>
      </c>
      <c r="B1890" t="s">
        <v>53</v>
      </c>
      <c r="C1890" t="s">
        <v>54</v>
      </c>
      <c r="D1890" t="s">
        <v>55</v>
      </c>
      <c r="E1890" t="s">
        <v>853</v>
      </c>
      <c r="F1890" t="s">
        <v>512</v>
      </c>
      <c r="G1890" t="s">
        <v>58</v>
      </c>
      <c r="H1890" t="s">
        <v>59</v>
      </c>
      <c r="I1890" t="s">
        <v>59</v>
      </c>
      <c r="J1890" t="s">
        <v>60</v>
      </c>
      <c r="K1890" t="s">
        <v>61</v>
      </c>
      <c r="L1890" t="s">
        <v>62</v>
      </c>
      <c r="M1890" t="s">
        <v>61</v>
      </c>
      <c r="N1890" t="s">
        <v>63</v>
      </c>
      <c r="O1890" t="s">
        <v>64</v>
      </c>
      <c r="P1890">
        <v>-19.631502000000001</v>
      </c>
      <c r="Q1890">
        <v>-43.910241999999997</v>
      </c>
      <c r="R1890" s="2" t="str">
        <f>HYPERLINK("https://www.google.com/maps?q=-19.6315020,-43.9102420","Abrir no Google Maps")</f>
        <v>Abrir no Google Maps</v>
      </c>
      <c r="S1890">
        <v>4</v>
      </c>
      <c r="T1890">
        <v>789.20099406682743</v>
      </c>
      <c r="U1890">
        <v>4</v>
      </c>
      <c r="V1890">
        <v>0.9862204724409448</v>
      </c>
      <c r="W1890">
        <v>1</v>
      </c>
      <c r="X1890">
        <v>0.9862204724409448</v>
      </c>
      <c r="Y1890">
        <v>10</v>
      </c>
      <c r="Z1890">
        <v>691.44930074509864</v>
      </c>
      <c r="AA1890">
        <v>2</v>
      </c>
      <c r="AB1890">
        <v>3</v>
      </c>
      <c r="AC1890">
        <v>7</v>
      </c>
      <c r="AD1890">
        <v>24.9</v>
      </c>
      <c r="AE1890">
        <v>253</v>
      </c>
      <c r="AF1890">
        <v>12</v>
      </c>
      <c r="AG1890">
        <v>66</v>
      </c>
      <c r="AH1890">
        <v>32</v>
      </c>
      <c r="AI1890">
        <v>4.74</v>
      </c>
      <c r="AJ1890">
        <v>26.09</v>
      </c>
      <c r="AK1890">
        <v>12.65</v>
      </c>
      <c r="AL1890">
        <v>-19.631719749999949</v>
      </c>
      <c r="AM1890">
        <v>-43.910102324517517</v>
      </c>
      <c r="AN1890">
        <v>-19.631719749999949</v>
      </c>
      <c r="AO1890">
        <v>-43.910102324517517</v>
      </c>
      <c r="AP1890">
        <v>-19.631502000000001</v>
      </c>
      <c r="AQ1890">
        <v>-43.910241999999997</v>
      </c>
      <c r="AR1890">
        <v>28.320416429206599</v>
      </c>
      <c r="AS1890" t="s">
        <v>65</v>
      </c>
      <c r="AT1890">
        <v>1</v>
      </c>
      <c r="AU1890" t="s">
        <v>66</v>
      </c>
      <c r="AV1890" t="s">
        <v>67</v>
      </c>
      <c r="AW1890" t="s">
        <v>60</v>
      </c>
      <c r="AX1890" t="s">
        <v>68</v>
      </c>
      <c r="AY1890" t="s">
        <v>69</v>
      </c>
      <c r="AZ1890" t="b">
        <v>1</v>
      </c>
    </row>
    <row r="1891" spans="1:52" x14ac:dyDescent="0.3">
      <c r="A1891" t="s">
        <v>52</v>
      </c>
      <c r="B1891" t="s">
        <v>53</v>
      </c>
      <c r="C1891" t="s">
        <v>54</v>
      </c>
      <c r="D1891" t="s">
        <v>55</v>
      </c>
      <c r="E1891" t="s">
        <v>853</v>
      </c>
      <c r="F1891" t="s">
        <v>512</v>
      </c>
      <c r="G1891" t="s">
        <v>77</v>
      </c>
      <c r="H1891" t="s">
        <v>78</v>
      </c>
      <c r="I1891" t="s">
        <v>78</v>
      </c>
      <c r="J1891" t="s">
        <v>60</v>
      </c>
      <c r="K1891" t="s">
        <v>79</v>
      </c>
      <c r="L1891" t="s">
        <v>62</v>
      </c>
      <c r="M1891" t="s">
        <v>79</v>
      </c>
      <c r="N1891" t="s">
        <v>80</v>
      </c>
      <c r="O1891" t="s">
        <v>81</v>
      </c>
      <c r="P1891">
        <v>-19.632463999999999</v>
      </c>
      <c r="Q1891">
        <v>-43.904927999999998</v>
      </c>
      <c r="R1891" s="2" t="str">
        <f>HYPERLINK("https://www.google.com/maps?q=-19.6324640,-43.9049280","Abrir no Google Maps")</f>
        <v>Abrir no Google Maps</v>
      </c>
      <c r="S1891">
        <v>4</v>
      </c>
      <c r="T1891">
        <v>244.1735197453369</v>
      </c>
      <c r="U1891">
        <v>4</v>
      </c>
      <c r="V1891">
        <v>0.98076923076923084</v>
      </c>
      <c r="W1891">
        <v>1</v>
      </c>
      <c r="X1891">
        <v>0.98076923076923084</v>
      </c>
      <c r="Y1891">
        <v>10</v>
      </c>
      <c r="Z1891">
        <v>287.26068152447448</v>
      </c>
      <c r="AA1891">
        <v>2</v>
      </c>
      <c r="AB1891">
        <v>3</v>
      </c>
      <c r="AC1891">
        <v>7</v>
      </c>
      <c r="AD1891">
        <v>24.9</v>
      </c>
      <c r="AE1891">
        <v>253</v>
      </c>
      <c r="AF1891">
        <v>12</v>
      </c>
      <c r="AG1891">
        <v>66</v>
      </c>
      <c r="AH1891">
        <v>32</v>
      </c>
      <c r="AI1891">
        <v>4.74</v>
      </c>
      <c r="AJ1891">
        <v>26.09</v>
      </c>
      <c r="AK1891">
        <v>12.65</v>
      </c>
      <c r="AL1891">
        <v>-19.63247099999996</v>
      </c>
      <c r="AM1891">
        <v>-43.904964174285787</v>
      </c>
      <c r="AN1891">
        <v>-19.63247099999996</v>
      </c>
      <c r="AO1891">
        <v>-43.904964174285787</v>
      </c>
      <c r="AP1891">
        <v>-19.632463999999999</v>
      </c>
      <c r="AQ1891">
        <v>-43.904927999999998</v>
      </c>
      <c r="AR1891">
        <v>3.8720457500200469</v>
      </c>
      <c r="AS1891" t="s">
        <v>65</v>
      </c>
      <c r="AT1891">
        <v>1</v>
      </c>
      <c r="AU1891" t="s">
        <v>82</v>
      </c>
      <c r="AV1891" t="s">
        <v>83</v>
      </c>
      <c r="AW1891" t="s">
        <v>60</v>
      </c>
      <c r="AX1891" t="s">
        <v>68</v>
      </c>
      <c r="AY1891" t="s">
        <v>69</v>
      </c>
      <c r="AZ1891" t="b">
        <v>1</v>
      </c>
    </row>
    <row r="1892" spans="1:52" x14ac:dyDescent="0.3">
      <c r="A1892" t="s">
        <v>52</v>
      </c>
      <c r="B1892" t="s">
        <v>53</v>
      </c>
      <c r="C1892" t="s">
        <v>54</v>
      </c>
      <c r="D1892" t="s">
        <v>55</v>
      </c>
      <c r="E1892" t="s">
        <v>853</v>
      </c>
      <c r="F1892" t="s">
        <v>512</v>
      </c>
      <c r="G1892" t="s">
        <v>84</v>
      </c>
      <c r="H1892" t="s">
        <v>85</v>
      </c>
      <c r="I1892" t="s">
        <v>85</v>
      </c>
      <c r="J1892" t="s">
        <v>60</v>
      </c>
      <c r="K1892" t="s">
        <v>86</v>
      </c>
      <c r="L1892" t="s">
        <v>62</v>
      </c>
      <c r="M1892" t="s">
        <v>86</v>
      </c>
      <c r="N1892" t="s">
        <v>87</v>
      </c>
      <c r="O1892" t="s">
        <v>88</v>
      </c>
      <c r="P1892">
        <v>-19.629436999999999</v>
      </c>
      <c r="Q1892">
        <v>-43.910398999999998</v>
      </c>
      <c r="R1892" s="2" t="str">
        <f>HYPERLINK("https://www.google.com/maps?q=-19.6294370,-43.9103990","Abrir no Google Maps")</f>
        <v>Abrir no Google Maps</v>
      </c>
      <c r="S1892">
        <v>4</v>
      </c>
      <c r="T1892">
        <v>888.82060643108082</v>
      </c>
      <c r="U1892">
        <v>4</v>
      </c>
      <c r="V1892">
        <v>0.95796460176991161</v>
      </c>
      <c r="W1892">
        <v>1</v>
      </c>
      <c r="X1892">
        <v>0.95796460176991161</v>
      </c>
      <c r="Y1892">
        <v>10</v>
      </c>
      <c r="Z1892">
        <v>867.42797341651737</v>
      </c>
      <c r="AA1892">
        <v>2</v>
      </c>
      <c r="AB1892">
        <v>3</v>
      </c>
      <c r="AC1892">
        <v>7</v>
      </c>
      <c r="AD1892">
        <v>24.9</v>
      </c>
      <c r="AE1892">
        <v>253</v>
      </c>
      <c r="AF1892">
        <v>12</v>
      </c>
      <c r="AG1892">
        <v>66</v>
      </c>
      <c r="AH1892">
        <v>32</v>
      </c>
      <c r="AI1892">
        <v>4.74</v>
      </c>
      <c r="AJ1892">
        <v>26.09</v>
      </c>
      <c r="AK1892">
        <v>12.65</v>
      </c>
      <c r="AL1892">
        <v>-19.62934694999996</v>
      </c>
      <c r="AM1892">
        <v>-43.910344699357317</v>
      </c>
      <c r="AN1892">
        <v>-19.62934694999996</v>
      </c>
      <c r="AO1892">
        <v>-43.910344699357331</v>
      </c>
      <c r="AP1892">
        <v>-19.629436999999999</v>
      </c>
      <c r="AQ1892">
        <v>-43.910398999999998</v>
      </c>
      <c r="AR1892">
        <v>11.52837377953678</v>
      </c>
      <c r="AS1892" t="s">
        <v>65</v>
      </c>
      <c r="AT1892">
        <v>1</v>
      </c>
      <c r="AU1892" t="s">
        <v>89</v>
      </c>
      <c r="AV1892" t="s">
        <v>90</v>
      </c>
      <c r="AW1892" t="s">
        <v>60</v>
      </c>
      <c r="AX1892" t="s">
        <v>68</v>
      </c>
      <c r="AY1892" t="s">
        <v>69</v>
      </c>
      <c r="AZ1892" t="b">
        <v>1</v>
      </c>
    </row>
    <row r="1893" spans="1:52" x14ac:dyDescent="0.3">
      <c r="A1893" t="s">
        <v>52</v>
      </c>
      <c r="B1893" t="s">
        <v>53</v>
      </c>
      <c r="C1893" t="s">
        <v>54</v>
      </c>
      <c r="D1893" t="s">
        <v>55</v>
      </c>
      <c r="E1893" t="s">
        <v>853</v>
      </c>
      <c r="F1893" t="s">
        <v>512</v>
      </c>
      <c r="G1893" t="s">
        <v>91</v>
      </c>
      <c r="H1893" t="s">
        <v>92</v>
      </c>
      <c r="I1893" t="s">
        <v>92</v>
      </c>
      <c r="J1893" t="s">
        <v>60</v>
      </c>
      <c r="K1893" t="s">
        <v>86</v>
      </c>
      <c r="L1893" t="s">
        <v>62</v>
      </c>
      <c r="M1893" t="s">
        <v>86</v>
      </c>
      <c r="N1893" t="s">
        <v>93</v>
      </c>
      <c r="O1893" t="s">
        <v>94</v>
      </c>
      <c r="P1893">
        <v>-19.630676999999999</v>
      </c>
      <c r="Q1893">
        <v>-43.907255999999997</v>
      </c>
      <c r="R1893" s="2" t="str">
        <f>HYPERLINK("https://www.google.com/maps?q=-19.6306770,-43.9072560","Abrir no Google Maps")</f>
        <v>Abrir no Google Maps</v>
      </c>
      <c r="S1893">
        <v>4</v>
      </c>
      <c r="T1893">
        <v>545.39374622597825</v>
      </c>
      <c r="U1893">
        <v>4</v>
      </c>
      <c r="V1893">
        <v>0.94956140350877205</v>
      </c>
      <c r="W1893">
        <v>1</v>
      </c>
      <c r="X1893">
        <v>0.94956140350877205</v>
      </c>
      <c r="Y1893">
        <v>10</v>
      </c>
      <c r="Z1893">
        <v>559.94033759457182</v>
      </c>
      <c r="AA1893">
        <v>2</v>
      </c>
      <c r="AB1893">
        <v>3</v>
      </c>
      <c r="AC1893">
        <v>7</v>
      </c>
      <c r="AD1893">
        <v>24.9</v>
      </c>
      <c r="AE1893">
        <v>253</v>
      </c>
      <c r="AF1893">
        <v>12</v>
      </c>
      <c r="AG1893">
        <v>66</v>
      </c>
      <c r="AH1893">
        <v>32</v>
      </c>
      <c r="AI1893">
        <v>4.74</v>
      </c>
      <c r="AJ1893">
        <v>26.09</v>
      </c>
      <c r="AK1893">
        <v>12.65</v>
      </c>
      <c r="AL1893">
        <v>-19.630448649999941</v>
      </c>
      <c r="AM1893">
        <v>-43.907268502495313</v>
      </c>
      <c r="AN1893">
        <v>-19.630448649999941</v>
      </c>
      <c r="AO1893">
        <v>-43.907268502495313</v>
      </c>
      <c r="AP1893">
        <v>-19.630676999999999</v>
      </c>
      <c r="AQ1893">
        <v>-43.907255999999997</v>
      </c>
      <c r="AR1893">
        <v>25.453700276562468</v>
      </c>
      <c r="AS1893" t="s">
        <v>65</v>
      </c>
      <c r="AT1893">
        <v>1</v>
      </c>
      <c r="AU1893" t="s">
        <v>95</v>
      </c>
      <c r="AV1893" t="s">
        <v>96</v>
      </c>
      <c r="AW1893" t="s">
        <v>60</v>
      </c>
      <c r="AX1893" t="s">
        <v>68</v>
      </c>
      <c r="AY1893" t="s">
        <v>69</v>
      </c>
      <c r="AZ1893" t="b">
        <v>1</v>
      </c>
    </row>
    <row r="1894" spans="1:52" x14ac:dyDescent="0.3">
      <c r="A1894" t="s">
        <v>52</v>
      </c>
      <c r="B1894" t="s">
        <v>53</v>
      </c>
      <c r="C1894" t="s">
        <v>54</v>
      </c>
      <c r="D1894" t="s">
        <v>55</v>
      </c>
      <c r="E1894" t="s">
        <v>853</v>
      </c>
      <c r="F1894" t="s">
        <v>512</v>
      </c>
      <c r="G1894" t="s">
        <v>97</v>
      </c>
      <c r="H1894" t="s">
        <v>98</v>
      </c>
      <c r="I1894" t="s">
        <v>98</v>
      </c>
      <c r="J1894" t="s">
        <v>60</v>
      </c>
      <c r="K1894" t="s">
        <v>99</v>
      </c>
      <c r="L1894" t="s">
        <v>62</v>
      </c>
      <c r="M1894" t="s">
        <v>99</v>
      </c>
      <c r="N1894" t="s">
        <v>100</v>
      </c>
      <c r="O1894" t="s">
        <v>101</v>
      </c>
      <c r="P1894">
        <v>-19.629822000000001</v>
      </c>
      <c r="Q1894">
        <v>-43.905341</v>
      </c>
      <c r="R1894" s="2" t="str">
        <f>HYPERLINK("https://www.google.com/maps?q=-19.6298220,-43.9053410","Abrir no Google Maps")</f>
        <v>Abrir no Google Maps</v>
      </c>
      <c r="S1894">
        <v>4</v>
      </c>
      <c r="T1894">
        <v>441.30597341744129</v>
      </c>
      <c r="U1894">
        <v>4</v>
      </c>
      <c r="V1894">
        <v>0.93855932203389836</v>
      </c>
      <c r="W1894">
        <v>1</v>
      </c>
      <c r="X1894">
        <v>0.93855932203389836</v>
      </c>
      <c r="Y1894">
        <v>10</v>
      </c>
      <c r="Z1894">
        <v>513.56493751010987</v>
      </c>
      <c r="AA1894">
        <v>2</v>
      </c>
      <c r="AB1894">
        <v>3</v>
      </c>
      <c r="AC1894">
        <v>7</v>
      </c>
      <c r="AD1894">
        <v>24.9</v>
      </c>
      <c r="AE1894">
        <v>253</v>
      </c>
      <c r="AF1894">
        <v>12</v>
      </c>
      <c r="AG1894">
        <v>66</v>
      </c>
      <c r="AH1894">
        <v>32</v>
      </c>
      <c r="AI1894">
        <v>4.74</v>
      </c>
      <c r="AJ1894">
        <v>26.09</v>
      </c>
      <c r="AK1894">
        <v>12.65</v>
      </c>
      <c r="AL1894">
        <v>-19.629671599999941</v>
      </c>
      <c r="AM1894">
        <v>-43.905369597920988</v>
      </c>
      <c r="AN1894">
        <v>-19.629671599999931</v>
      </c>
      <c r="AO1894">
        <v>-43.905369597920988</v>
      </c>
      <c r="AP1894">
        <v>-19.629822000000001</v>
      </c>
      <c r="AQ1894">
        <v>-43.905341</v>
      </c>
      <c r="AR1894">
        <v>17.008917699186132</v>
      </c>
      <c r="AS1894" t="s">
        <v>65</v>
      </c>
      <c r="AT1894">
        <v>1</v>
      </c>
      <c r="AU1894" t="s">
        <v>102</v>
      </c>
      <c r="AV1894" t="s">
        <v>103</v>
      </c>
      <c r="AW1894" t="s">
        <v>60</v>
      </c>
      <c r="AX1894" t="s">
        <v>68</v>
      </c>
      <c r="AY1894" t="s">
        <v>69</v>
      </c>
      <c r="AZ1894" t="b">
        <v>1</v>
      </c>
    </row>
    <row r="1895" spans="1:52" x14ac:dyDescent="0.3">
      <c r="A1895" t="s">
        <v>52</v>
      </c>
      <c r="B1895" t="s">
        <v>53</v>
      </c>
      <c r="C1895" t="s">
        <v>54</v>
      </c>
      <c r="D1895" t="s">
        <v>55</v>
      </c>
      <c r="E1895" t="s">
        <v>853</v>
      </c>
      <c r="F1895" t="s">
        <v>512</v>
      </c>
      <c r="G1895" t="s">
        <v>513</v>
      </c>
      <c r="H1895" t="s">
        <v>514</v>
      </c>
      <c r="I1895" t="s">
        <v>514</v>
      </c>
      <c r="J1895" t="s">
        <v>60</v>
      </c>
      <c r="K1895" t="s">
        <v>185</v>
      </c>
      <c r="L1895" t="s">
        <v>62</v>
      </c>
      <c r="M1895" t="s">
        <v>185</v>
      </c>
      <c r="N1895" t="s">
        <v>515</v>
      </c>
      <c r="O1895" t="s">
        <v>516</v>
      </c>
      <c r="P1895">
        <v>-19.63184</v>
      </c>
      <c r="Q1895">
        <v>-43.899625999999998</v>
      </c>
      <c r="R1895" s="2" t="str">
        <f>HYPERLINK("https://www.google.com/maps?q=-19.6318400,-43.8996260","Abrir no Google Maps")</f>
        <v>Abrir no Google Maps</v>
      </c>
      <c r="S1895">
        <v>4</v>
      </c>
      <c r="T1895">
        <v>317.05369638212568</v>
      </c>
      <c r="U1895">
        <v>3</v>
      </c>
      <c r="V1895">
        <v>0.98333333333333317</v>
      </c>
      <c r="W1895">
        <v>0.85</v>
      </c>
      <c r="X1895">
        <v>0.83583333333333321</v>
      </c>
      <c r="Y1895">
        <v>10</v>
      </c>
      <c r="Z1895">
        <v>467.39112963581732</v>
      </c>
      <c r="AA1895">
        <v>2</v>
      </c>
      <c r="AB1895">
        <v>3</v>
      </c>
      <c r="AC1895">
        <v>7</v>
      </c>
      <c r="AD1895">
        <v>24.9</v>
      </c>
      <c r="AE1895">
        <v>253</v>
      </c>
      <c r="AF1895">
        <v>12</v>
      </c>
      <c r="AG1895">
        <v>66</v>
      </c>
      <c r="AH1895">
        <v>32</v>
      </c>
      <c r="AI1895">
        <v>4.74</v>
      </c>
      <c r="AJ1895">
        <v>26.09</v>
      </c>
      <c r="AK1895">
        <v>12.65</v>
      </c>
      <c r="AL1895">
        <v>-19.631819699999941</v>
      </c>
      <c r="AM1895">
        <v>-43.89977767057065</v>
      </c>
      <c r="AN1895">
        <v>-19.631819699999941</v>
      </c>
      <c r="AO1895">
        <v>-43.89977767057065</v>
      </c>
      <c r="AP1895">
        <v>-19.63184</v>
      </c>
      <c r="AQ1895">
        <v>-43.899625999999998</v>
      </c>
      <c r="AR1895">
        <v>16.062279375806241</v>
      </c>
      <c r="AS1895" t="s">
        <v>65</v>
      </c>
      <c r="AT1895">
        <v>1</v>
      </c>
      <c r="AU1895" t="s">
        <v>517</v>
      </c>
      <c r="AV1895" t="s">
        <v>518</v>
      </c>
      <c r="AW1895" t="s">
        <v>60</v>
      </c>
      <c r="AX1895" t="s">
        <v>68</v>
      </c>
      <c r="AY1895" t="s">
        <v>69</v>
      </c>
      <c r="AZ1895" t="b">
        <v>1</v>
      </c>
    </row>
    <row r="1896" spans="1:52" x14ac:dyDescent="0.3">
      <c r="A1896" t="s">
        <v>52</v>
      </c>
      <c r="B1896" t="s">
        <v>53</v>
      </c>
      <c r="C1896" t="s">
        <v>54</v>
      </c>
      <c r="D1896" t="s">
        <v>55</v>
      </c>
      <c r="E1896" t="s">
        <v>853</v>
      </c>
      <c r="F1896" t="s">
        <v>512</v>
      </c>
      <c r="G1896" t="s">
        <v>70</v>
      </c>
      <c r="H1896" t="s">
        <v>71</v>
      </c>
      <c r="I1896" t="s">
        <v>71</v>
      </c>
      <c r="J1896" t="s">
        <v>60</v>
      </c>
      <c r="K1896" t="s">
        <v>72</v>
      </c>
      <c r="L1896" t="s">
        <v>62</v>
      </c>
      <c r="M1896" t="s">
        <v>72</v>
      </c>
      <c r="N1896" t="s">
        <v>73</v>
      </c>
      <c r="O1896" t="s">
        <v>74</v>
      </c>
      <c r="P1896">
        <v>-19.632581999999999</v>
      </c>
      <c r="Q1896">
        <v>-43.902416000000002</v>
      </c>
      <c r="R1896" s="2" t="str">
        <f>HYPERLINK("https://www.google.com/maps?q=-19.6325820,-43.9024160","Abrir no Google Maps")</f>
        <v>Abrir no Google Maps</v>
      </c>
      <c r="S1896">
        <v>4</v>
      </c>
      <c r="T1896">
        <v>0</v>
      </c>
      <c r="U1896">
        <v>3</v>
      </c>
      <c r="V1896">
        <v>0.90248226950354615</v>
      </c>
      <c r="W1896">
        <v>1</v>
      </c>
      <c r="X1896">
        <v>0.90248226950354615</v>
      </c>
      <c r="Y1896">
        <v>10</v>
      </c>
      <c r="Z1896">
        <v>146.6968158874696</v>
      </c>
      <c r="AA1896">
        <v>2</v>
      </c>
      <c r="AB1896">
        <v>3</v>
      </c>
      <c r="AC1896">
        <v>7</v>
      </c>
      <c r="AD1896">
        <v>24.9</v>
      </c>
      <c r="AE1896">
        <v>253</v>
      </c>
      <c r="AF1896">
        <v>12</v>
      </c>
      <c r="AG1896">
        <v>66</v>
      </c>
      <c r="AH1896">
        <v>32</v>
      </c>
      <c r="AI1896">
        <v>4.74</v>
      </c>
      <c r="AJ1896">
        <v>26.09</v>
      </c>
      <c r="AK1896">
        <v>12.65</v>
      </c>
      <c r="AL1896">
        <v>-19.63271449999996</v>
      </c>
      <c r="AM1896">
        <v>-43.902649897389402</v>
      </c>
      <c r="AN1896">
        <v>-19.63271449999996</v>
      </c>
      <c r="AO1896">
        <v>-43.902649897389402</v>
      </c>
      <c r="AP1896">
        <v>-19.632581999999999</v>
      </c>
      <c r="AQ1896">
        <v>-43.902416000000002</v>
      </c>
      <c r="AR1896">
        <v>28.617753432996459</v>
      </c>
      <c r="AS1896" t="s">
        <v>65</v>
      </c>
      <c r="AT1896">
        <v>1</v>
      </c>
      <c r="AU1896" t="s">
        <v>75</v>
      </c>
      <c r="AV1896" t="s">
        <v>76</v>
      </c>
      <c r="AW1896" t="s">
        <v>60</v>
      </c>
      <c r="AX1896" t="s">
        <v>68</v>
      </c>
      <c r="AY1896" t="s">
        <v>69</v>
      </c>
      <c r="AZ1896" t="b">
        <v>1</v>
      </c>
    </row>
    <row r="1897" spans="1:52" x14ac:dyDescent="0.3">
      <c r="A1897" t="s">
        <v>52</v>
      </c>
      <c r="B1897" t="s">
        <v>53</v>
      </c>
      <c r="C1897" t="s">
        <v>54</v>
      </c>
      <c r="D1897" t="s">
        <v>55</v>
      </c>
      <c r="E1897" t="s">
        <v>853</v>
      </c>
      <c r="F1897" t="s">
        <v>512</v>
      </c>
      <c r="G1897" t="s">
        <v>519</v>
      </c>
      <c r="H1897" t="s">
        <v>520</v>
      </c>
      <c r="I1897" t="s">
        <v>520</v>
      </c>
      <c r="J1897" t="s">
        <v>60</v>
      </c>
      <c r="K1897" t="s">
        <v>72</v>
      </c>
      <c r="L1897" t="s">
        <v>62</v>
      </c>
      <c r="M1897" t="s">
        <v>72</v>
      </c>
      <c r="N1897" t="s">
        <v>521</v>
      </c>
      <c r="O1897" t="s">
        <v>522</v>
      </c>
      <c r="P1897">
        <v>-19.634713000000001</v>
      </c>
      <c r="Q1897">
        <v>-43.908909999999999</v>
      </c>
      <c r="R1897" s="2" t="str">
        <f>HYPERLINK("https://www.google.com/maps?q=-19.6347130,-43.9089100","Abrir no Google Maps")</f>
        <v>Abrir no Google Maps</v>
      </c>
      <c r="S1897">
        <v>4</v>
      </c>
      <c r="T1897">
        <v>700.74700083720154</v>
      </c>
      <c r="U1897">
        <v>2</v>
      </c>
      <c r="V1897">
        <v>0.94811320754716999</v>
      </c>
      <c r="W1897">
        <v>0.85</v>
      </c>
      <c r="X1897">
        <v>0.80589622641509451</v>
      </c>
      <c r="Y1897">
        <v>10</v>
      </c>
      <c r="Z1897">
        <v>557.86159429038207</v>
      </c>
      <c r="AA1897">
        <v>2</v>
      </c>
      <c r="AB1897">
        <v>3</v>
      </c>
      <c r="AC1897">
        <v>7</v>
      </c>
      <c r="AD1897">
        <v>24.9</v>
      </c>
      <c r="AE1897">
        <v>253</v>
      </c>
      <c r="AF1897">
        <v>12</v>
      </c>
      <c r="AG1897">
        <v>66</v>
      </c>
      <c r="AH1897">
        <v>32</v>
      </c>
      <c r="AI1897">
        <v>4.74</v>
      </c>
      <c r="AJ1897">
        <v>26.09</v>
      </c>
      <c r="AK1897">
        <v>12.65</v>
      </c>
      <c r="AL1897">
        <v>-19.634626949999959</v>
      </c>
      <c r="AM1897">
        <v>-43.909020333181857</v>
      </c>
      <c r="AN1897">
        <v>-19.634626949999959</v>
      </c>
      <c r="AO1897">
        <v>-43.909020333181857</v>
      </c>
      <c r="AP1897">
        <v>-19.634713000000001</v>
      </c>
      <c r="AQ1897">
        <v>-43.908909999999999</v>
      </c>
      <c r="AR1897">
        <v>15.01933861967664</v>
      </c>
      <c r="AS1897" t="s">
        <v>65</v>
      </c>
      <c r="AT1897">
        <v>1</v>
      </c>
      <c r="AU1897" t="s">
        <v>523</v>
      </c>
      <c r="AV1897" t="s">
        <v>524</v>
      </c>
      <c r="AW1897" t="s">
        <v>60</v>
      </c>
      <c r="AX1897" t="s">
        <v>68</v>
      </c>
      <c r="AY1897" t="s">
        <v>69</v>
      </c>
      <c r="AZ1897" t="b">
        <v>1</v>
      </c>
    </row>
    <row r="1898" spans="1:52" x14ac:dyDescent="0.3">
      <c r="A1898" t="s">
        <v>52</v>
      </c>
      <c r="B1898" t="s">
        <v>53</v>
      </c>
      <c r="C1898" t="s">
        <v>54</v>
      </c>
      <c r="D1898" t="s">
        <v>55</v>
      </c>
      <c r="E1898" t="s">
        <v>853</v>
      </c>
      <c r="F1898" t="s">
        <v>512</v>
      </c>
      <c r="G1898" t="s">
        <v>394</v>
      </c>
      <c r="H1898" t="s">
        <v>395</v>
      </c>
      <c r="I1898" t="s">
        <v>395</v>
      </c>
      <c r="J1898" t="s">
        <v>60</v>
      </c>
      <c r="K1898" t="s">
        <v>286</v>
      </c>
      <c r="L1898" t="s">
        <v>62</v>
      </c>
      <c r="M1898" t="s">
        <v>286</v>
      </c>
      <c r="N1898" t="s">
        <v>396</v>
      </c>
      <c r="O1898" t="s">
        <v>88</v>
      </c>
      <c r="P1898">
        <v>-19.636932999999999</v>
      </c>
      <c r="Q1898">
        <v>-43.882691999999999</v>
      </c>
      <c r="R1898" s="2" t="str">
        <f>HYPERLINK("https://www.google.com/maps?q=-19.6369330,-43.8826920","Abrir no Google Maps")</f>
        <v>Abrir no Google Maps</v>
      </c>
      <c r="S1898">
        <v>3</v>
      </c>
      <c r="T1898">
        <v>523.52675813688109</v>
      </c>
      <c r="U1898">
        <v>4</v>
      </c>
      <c r="V1898">
        <v>0.98265895953757221</v>
      </c>
      <c r="W1898">
        <v>1</v>
      </c>
      <c r="X1898">
        <v>0.98265895953757221</v>
      </c>
      <c r="Y1898">
        <v>10</v>
      </c>
      <c r="Z1898">
        <v>372.58135532659509</v>
      </c>
      <c r="AA1898">
        <v>2</v>
      </c>
      <c r="AB1898">
        <v>3</v>
      </c>
      <c r="AC1898">
        <v>7</v>
      </c>
      <c r="AD1898">
        <v>24.9</v>
      </c>
      <c r="AE1898">
        <v>253</v>
      </c>
      <c r="AF1898">
        <v>12</v>
      </c>
      <c r="AG1898">
        <v>66</v>
      </c>
      <c r="AH1898">
        <v>32</v>
      </c>
      <c r="AI1898">
        <v>4.74</v>
      </c>
      <c r="AJ1898">
        <v>26.09</v>
      </c>
      <c r="AK1898">
        <v>12.65</v>
      </c>
      <c r="AL1898">
        <v>-19.637159949999951</v>
      </c>
      <c r="AM1898">
        <v>-43.882643289441461</v>
      </c>
      <c r="AN1898">
        <v>-19.637159949999951</v>
      </c>
      <c r="AO1898">
        <v>-43.882643289441461</v>
      </c>
      <c r="AP1898">
        <v>-19.636932999999999</v>
      </c>
      <c r="AQ1898">
        <v>-43.882691999999999</v>
      </c>
      <c r="AR1898">
        <v>25.775099947452478</v>
      </c>
      <c r="AS1898" t="s">
        <v>65</v>
      </c>
      <c r="AT1898">
        <v>1</v>
      </c>
      <c r="AU1898" t="s">
        <v>397</v>
      </c>
      <c r="AV1898" t="s">
        <v>398</v>
      </c>
      <c r="AW1898" t="s">
        <v>60</v>
      </c>
      <c r="AX1898" t="s">
        <v>68</v>
      </c>
      <c r="AY1898" t="s">
        <v>69</v>
      </c>
      <c r="AZ1898" t="b">
        <v>1</v>
      </c>
    </row>
    <row r="1899" spans="1:52" x14ac:dyDescent="0.3">
      <c r="A1899" t="s">
        <v>52</v>
      </c>
      <c r="B1899" t="s">
        <v>53</v>
      </c>
      <c r="C1899" t="s">
        <v>54</v>
      </c>
      <c r="D1899" t="s">
        <v>55</v>
      </c>
      <c r="E1899" t="s">
        <v>853</v>
      </c>
      <c r="F1899" t="s">
        <v>512</v>
      </c>
      <c r="G1899" t="s">
        <v>399</v>
      </c>
      <c r="H1899" t="s">
        <v>400</v>
      </c>
      <c r="I1899" t="s">
        <v>400</v>
      </c>
      <c r="J1899" t="s">
        <v>60</v>
      </c>
      <c r="K1899" t="s">
        <v>286</v>
      </c>
      <c r="L1899" t="s">
        <v>62</v>
      </c>
      <c r="M1899" t="s">
        <v>286</v>
      </c>
      <c r="N1899" t="s">
        <v>401</v>
      </c>
      <c r="O1899" t="s">
        <v>402</v>
      </c>
      <c r="P1899">
        <v>-19.639906</v>
      </c>
      <c r="Q1899">
        <v>-43.886059000000003</v>
      </c>
      <c r="R1899" s="2" t="str">
        <f>HYPERLINK("https://www.google.com/maps?q=-19.6399060,-43.8860590","Abrir no Google Maps")</f>
        <v>Abrir no Google Maps</v>
      </c>
      <c r="S1899">
        <v>3</v>
      </c>
      <c r="T1899">
        <v>256.0748811302048</v>
      </c>
      <c r="U1899">
        <v>4</v>
      </c>
      <c r="V1899">
        <v>0.99565217391304361</v>
      </c>
      <c r="W1899">
        <v>1</v>
      </c>
      <c r="X1899">
        <v>0.99565217391304361</v>
      </c>
      <c r="Y1899">
        <v>10</v>
      </c>
      <c r="Z1899">
        <v>205.06236700857289</v>
      </c>
      <c r="AA1899">
        <v>2</v>
      </c>
      <c r="AB1899">
        <v>3</v>
      </c>
      <c r="AC1899">
        <v>7</v>
      </c>
      <c r="AD1899">
        <v>24.9</v>
      </c>
      <c r="AE1899">
        <v>253</v>
      </c>
      <c r="AF1899">
        <v>12</v>
      </c>
      <c r="AG1899">
        <v>66</v>
      </c>
      <c r="AH1899">
        <v>32</v>
      </c>
      <c r="AI1899">
        <v>4.74</v>
      </c>
      <c r="AJ1899">
        <v>26.09</v>
      </c>
      <c r="AK1899">
        <v>12.65</v>
      </c>
      <c r="AL1899">
        <v>-19.639789499999949</v>
      </c>
      <c r="AM1899">
        <v>-43.885737855031408</v>
      </c>
      <c r="AN1899">
        <v>-19.639789499999949</v>
      </c>
      <c r="AO1899">
        <v>-43.885737855031408</v>
      </c>
      <c r="AP1899">
        <v>-19.639906</v>
      </c>
      <c r="AQ1899">
        <v>-43.886059000000003</v>
      </c>
      <c r="AR1899">
        <v>36.081349702130403</v>
      </c>
      <c r="AS1899" t="s">
        <v>65</v>
      </c>
      <c r="AT1899">
        <v>1</v>
      </c>
      <c r="AU1899" t="s">
        <v>403</v>
      </c>
      <c r="AV1899" t="s">
        <v>404</v>
      </c>
      <c r="AW1899" t="s">
        <v>60</v>
      </c>
      <c r="AX1899" t="s">
        <v>68</v>
      </c>
      <c r="AY1899" t="s">
        <v>69</v>
      </c>
      <c r="AZ1899" t="b">
        <v>1</v>
      </c>
    </row>
    <row r="1900" spans="1:52" x14ac:dyDescent="0.3">
      <c r="A1900" t="s">
        <v>52</v>
      </c>
      <c r="B1900" t="s">
        <v>53</v>
      </c>
      <c r="C1900" t="s">
        <v>54</v>
      </c>
      <c r="D1900" t="s">
        <v>55</v>
      </c>
      <c r="E1900" t="s">
        <v>853</v>
      </c>
      <c r="F1900" t="s">
        <v>512</v>
      </c>
      <c r="G1900" t="s">
        <v>284</v>
      </c>
      <c r="H1900" t="s">
        <v>285</v>
      </c>
      <c r="I1900" t="s">
        <v>285</v>
      </c>
      <c r="J1900" t="s">
        <v>60</v>
      </c>
      <c r="K1900" t="s">
        <v>286</v>
      </c>
      <c r="L1900" t="s">
        <v>62</v>
      </c>
      <c r="M1900" t="s">
        <v>286</v>
      </c>
      <c r="N1900" t="s">
        <v>287</v>
      </c>
      <c r="O1900" t="s">
        <v>288</v>
      </c>
      <c r="P1900">
        <v>-19.639790000000001</v>
      </c>
      <c r="Q1900">
        <v>-43.882798999999999</v>
      </c>
      <c r="R1900" s="2" t="str">
        <f>HYPERLINK("https://www.google.com/maps?q=-19.6397900,-43.8827990","Abrir no Google Maps")</f>
        <v>Abrir no Google Maps</v>
      </c>
      <c r="S1900">
        <v>3</v>
      </c>
      <c r="T1900">
        <v>242.7052058134478</v>
      </c>
      <c r="U1900">
        <v>4</v>
      </c>
      <c r="V1900">
        <v>0.98291925465838526</v>
      </c>
      <c r="W1900">
        <v>1</v>
      </c>
      <c r="X1900">
        <v>0.98291925465838526</v>
      </c>
      <c r="Y1900">
        <v>10</v>
      </c>
      <c r="Z1900">
        <v>187.2088809462339</v>
      </c>
      <c r="AA1900">
        <v>2</v>
      </c>
      <c r="AB1900">
        <v>3</v>
      </c>
      <c r="AC1900">
        <v>7</v>
      </c>
      <c r="AD1900">
        <v>24.9</v>
      </c>
      <c r="AE1900">
        <v>253</v>
      </c>
      <c r="AF1900">
        <v>12</v>
      </c>
      <c r="AG1900">
        <v>66</v>
      </c>
      <c r="AH1900">
        <v>32</v>
      </c>
      <c r="AI1900">
        <v>4.74</v>
      </c>
      <c r="AJ1900">
        <v>26.09</v>
      </c>
      <c r="AK1900">
        <v>12.65</v>
      </c>
      <c r="AL1900">
        <v>-19.639855599999951</v>
      </c>
      <c r="AM1900">
        <v>-43.882909745178452</v>
      </c>
      <c r="AN1900">
        <v>-19.639855599999951</v>
      </c>
      <c r="AO1900">
        <v>-43.882909745178452</v>
      </c>
      <c r="AP1900">
        <v>-19.639790000000001</v>
      </c>
      <c r="AQ1900">
        <v>-43.882798999999999</v>
      </c>
      <c r="AR1900">
        <v>13.716486068571211</v>
      </c>
      <c r="AS1900" t="s">
        <v>65</v>
      </c>
      <c r="AT1900">
        <v>1</v>
      </c>
      <c r="AU1900" t="s">
        <v>289</v>
      </c>
      <c r="AV1900" t="s">
        <v>290</v>
      </c>
      <c r="AW1900" t="s">
        <v>60</v>
      </c>
      <c r="AX1900" t="s">
        <v>68</v>
      </c>
      <c r="AY1900" t="s">
        <v>69</v>
      </c>
      <c r="AZ1900" t="b">
        <v>1</v>
      </c>
    </row>
    <row r="1901" spans="1:52" x14ac:dyDescent="0.3">
      <c r="A1901" t="s">
        <v>52</v>
      </c>
      <c r="B1901" t="s">
        <v>53</v>
      </c>
      <c r="C1901" t="s">
        <v>54</v>
      </c>
      <c r="D1901" t="s">
        <v>55</v>
      </c>
      <c r="E1901" t="s">
        <v>853</v>
      </c>
      <c r="F1901" t="s">
        <v>512</v>
      </c>
      <c r="G1901" t="s">
        <v>291</v>
      </c>
      <c r="H1901" t="s">
        <v>292</v>
      </c>
      <c r="I1901" t="s">
        <v>292</v>
      </c>
      <c r="J1901" t="s">
        <v>60</v>
      </c>
      <c r="K1901" t="s">
        <v>286</v>
      </c>
      <c r="L1901" t="s">
        <v>62</v>
      </c>
      <c r="M1901" t="s">
        <v>286</v>
      </c>
      <c r="N1901" t="s">
        <v>293</v>
      </c>
      <c r="O1901" t="s">
        <v>294</v>
      </c>
      <c r="P1901">
        <v>-19.640333999999999</v>
      </c>
      <c r="Q1901">
        <v>-43.880004999999997</v>
      </c>
      <c r="R1901" s="2" t="str">
        <f>HYPERLINK("https://www.google.com/maps?q=-19.6403340,-43.8800050","Abrir no Google Maps")</f>
        <v>Abrir no Google Maps</v>
      </c>
      <c r="S1901">
        <v>3</v>
      </c>
      <c r="T1901">
        <v>276.80943817309782</v>
      </c>
      <c r="U1901">
        <v>4</v>
      </c>
      <c r="V1901">
        <v>0.96296296296296302</v>
      </c>
      <c r="W1901">
        <v>1</v>
      </c>
      <c r="X1901">
        <v>0.96296296296296302</v>
      </c>
      <c r="Y1901">
        <v>10</v>
      </c>
      <c r="Z1901">
        <v>361.98332038983392</v>
      </c>
      <c r="AA1901">
        <v>2</v>
      </c>
      <c r="AB1901">
        <v>3</v>
      </c>
      <c r="AC1901">
        <v>7</v>
      </c>
      <c r="AD1901">
        <v>24.9</v>
      </c>
      <c r="AE1901">
        <v>253</v>
      </c>
      <c r="AF1901">
        <v>12</v>
      </c>
      <c r="AG1901">
        <v>66</v>
      </c>
      <c r="AH1901">
        <v>32</v>
      </c>
      <c r="AI1901">
        <v>4.74</v>
      </c>
      <c r="AJ1901">
        <v>26.09</v>
      </c>
      <c r="AK1901">
        <v>12.65</v>
      </c>
      <c r="AL1901">
        <v>-19.640260249999951</v>
      </c>
      <c r="AM1901">
        <v>-43.880090474326408</v>
      </c>
      <c r="AN1901">
        <v>-19.640260249999951</v>
      </c>
      <c r="AO1901">
        <v>-43.880090474326408</v>
      </c>
      <c r="AP1901">
        <v>-19.640333999999999</v>
      </c>
      <c r="AQ1901">
        <v>-43.880004999999997</v>
      </c>
      <c r="AR1901">
        <v>12.153556195359609</v>
      </c>
      <c r="AS1901" t="s">
        <v>65</v>
      </c>
      <c r="AT1901">
        <v>1</v>
      </c>
      <c r="AU1901" t="s">
        <v>295</v>
      </c>
      <c r="AV1901" t="s">
        <v>296</v>
      </c>
      <c r="AW1901" t="s">
        <v>60</v>
      </c>
      <c r="AX1901" t="s">
        <v>68</v>
      </c>
      <c r="AY1901" t="s">
        <v>69</v>
      </c>
      <c r="AZ1901" t="b">
        <v>1</v>
      </c>
    </row>
    <row r="1902" spans="1:52" x14ac:dyDescent="0.3">
      <c r="A1902" t="s">
        <v>52</v>
      </c>
      <c r="B1902" t="s">
        <v>53</v>
      </c>
      <c r="C1902" t="s">
        <v>54</v>
      </c>
      <c r="D1902" t="s">
        <v>55</v>
      </c>
      <c r="E1902" t="s">
        <v>853</v>
      </c>
      <c r="F1902" t="s">
        <v>512</v>
      </c>
      <c r="G1902" t="s">
        <v>405</v>
      </c>
      <c r="H1902" t="s">
        <v>406</v>
      </c>
      <c r="I1902" t="s">
        <v>406</v>
      </c>
      <c r="J1902" t="s">
        <v>60</v>
      </c>
      <c r="K1902" t="s">
        <v>286</v>
      </c>
      <c r="L1902" t="s">
        <v>62</v>
      </c>
      <c r="M1902" t="s">
        <v>286</v>
      </c>
      <c r="N1902" t="s">
        <v>407</v>
      </c>
      <c r="O1902" t="s">
        <v>408</v>
      </c>
      <c r="P1902">
        <v>-19.646345</v>
      </c>
      <c r="Q1902">
        <v>-43.882294999999999</v>
      </c>
      <c r="R1902" s="2" t="str">
        <f>HYPERLINK("https://www.google.com/maps?q=-19.6463450,-43.8822950","Abrir no Google Maps")</f>
        <v>Abrir no Google Maps</v>
      </c>
      <c r="S1902">
        <v>3</v>
      </c>
      <c r="T1902">
        <v>450.3180538635894</v>
      </c>
      <c r="U1902">
        <v>4</v>
      </c>
      <c r="V1902">
        <v>0.9629032258064516</v>
      </c>
      <c r="W1902">
        <v>1</v>
      </c>
      <c r="X1902">
        <v>0.9629032258064516</v>
      </c>
      <c r="Y1902">
        <v>10</v>
      </c>
      <c r="Z1902">
        <v>349.23341775902583</v>
      </c>
      <c r="AA1902">
        <v>2</v>
      </c>
      <c r="AB1902">
        <v>3</v>
      </c>
      <c r="AC1902">
        <v>7</v>
      </c>
      <c r="AD1902">
        <v>24.9</v>
      </c>
      <c r="AE1902">
        <v>253</v>
      </c>
      <c r="AF1902">
        <v>12</v>
      </c>
      <c r="AG1902">
        <v>66</v>
      </c>
      <c r="AH1902">
        <v>32</v>
      </c>
      <c r="AI1902">
        <v>4.74</v>
      </c>
      <c r="AJ1902">
        <v>26.09</v>
      </c>
      <c r="AK1902">
        <v>12.65</v>
      </c>
      <c r="AL1902">
        <v>-19.646391649999941</v>
      </c>
      <c r="AM1902">
        <v>-43.882007396993302</v>
      </c>
      <c r="AN1902">
        <v>-19.646391649999941</v>
      </c>
      <c r="AO1902">
        <v>-43.882007396993302</v>
      </c>
      <c r="AP1902">
        <v>-19.646345</v>
      </c>
      <c r="AQ1902">
        <v>-43.882294999999999</v>
      </c>
      <c r="AR1902">
        <v>30.596105513395301</v>
      </c>
      <c r="AS1902" t="s">
        <v>65</v>
      </c>
      <c r="AT1902">
        <v>1</v>
      </c>
      <c r="AU1902" t="s">
        <v>409</v>
      </c>
      <c r="AV1902" t="s">
        <v>410</v>
      </c>
      <c r="AW1902" t="s">
        <v>60</v>
      </c>
      <c r="AX1902" t="s">
        <v>68</v>
      </c>
      <c r="AY1902" t="s">
        <v>69</v>
      </c>
      <c r="AZ1902" t="b">
        <v>1</v>
      </c>
    </row>
    <row r="1903" spans="1:52" x14ac:dyDescent="0.3">
      <c r="A1903" t="s">
        <v>52</v>
      </c>
      <c r="B1903" t="s">
        <v>53</v>
      </c>
      <c r="C1903" t="s">
        <v>54</v>
      </c>
      <c r="D1903" t="s">
        <v>55</v>
      </c>
      <c r="E1903" t="s">
        <v>853</v>
      </c>
      <c r="F1903" t="s">
        <v>512</v>
      </c>
      <c r="G1903" t="s">
        <v>525</v>
      </c>
      <c r="H1903" t="s">
        <v>526</v>
      </c>
      <c r="I1903" t="s">
        <v>526</v>
      </c>
      <c r="J1903" t="s">
        <v>60</v>
      </c>
      <c r="K1903" t="s">
        <v>286</v>
      </c>
      <c r="L1903" t="s">
        <v>62</v>
      </c>
      <c r="M1903" t="s">
        <v>286</v>
      </c>
      <c r="N1903" t="s">
        <v>527</v>
      </c>
      <c r="O1903" t="s">
        <v>113</v>
      </c>
      <c r="P1903">
        <v>-19.629049999999999</v>
      </c>
      <c r="Q1903">
        <v>-43.887543000000001</v>
      </c>
      <c r="R1903" s="2" t="str">
        <f>HYPERLINK("https://www.google.com/maps?q=-19.6290500,-43.8875430","Abrir no Google Maps")</f>
        <v>Abrir no Google Maps</v>
      </c>
      <c r="S1903">
        <v>3</v>
      </c>
      <c r="T1903">
        <v>420.9244758141914</v>
      </c>
      <c r="U1903">
        <v>3</v>
      </c>
      <c r="V1903">
        <v>0.98369565217391319</v>
      </c>
      <c r="W1903">
        <v>0.85</v>
      </c>
      <c r="X1903">
        <v>0.83614130434782619</v>
      </c>
      <c r="Y1903">
        <v>18</v>
      </c>
      <c r="Z1903">
        <v>298.16529694300579</v>
      </c>
      <c r="AA1903">
        <v>2</v>
      </c>
      <c r="AB1903">
        <v>3</v>
      </c>
      <c r="AC1903">
        <v>7</v>
      </c>
      <c r="AD1903">
        <v>24.9</v>
      </c>
      <c r="AE1903">
        <v>253</v>
      </c>
      <c r="AF1903">
        <v>12</v>
      </c>
      <c r="AG1903">
        <v>66</v>
      </c>
      <c r="AH1903">
        <v>32</v>
      </c>
      <c r="AI1903">
        <v>4.74</v>
      </c>
      <c r="AJ1903">
        <v>26.09</v>
      </c>
      <c r="AK1903">
        <v>12.65</v>
      </c>
      <c r="AL1903">
        <v>-19.62914789999996</v>
      </c>
      <c r="AM1903">
        <v>-43.887659532387332</v>
      </c>
      <c r="AN1903">
        <v>-19.62914789999996</v>
      </c>
      <c r="AO1903">
        <v>-43.887659532387332</v>
      </c>
      <c r="AP1903">
        <v>-19.629049999999999</v>
      </c>
      <c r="AQ1903">
        <v>-43.887543000000001</v>
      </c>
      <c r="AR1903">
        <v>16.372645779361299</v>
      </c>
      <c r="AS1903" t="s">
        <v>65</v>
      </c>
      <c r="AT1903">
        <v>1</v>
      </c>
      <c r="AU1903" t="s">
        <v>528</v>
      </c>
      <c r="AV1903" t="s">
        <v>529</v>
      </c>
      <c r="AW1903" t="s">
        <v>60</v>
      </c>
      <c r="AX1903" t="s">
        <v>68</v>
      </c>
      <c r="AY1903" t="s">
        <v>69</v>
      </c>
      <c r="AZ1903" t="b">
        <v>1</v>
      </c>
    </row>
    <row r="1904" spans="1:52" x14ac:dyDescent="0.3">
      <c r="A1904" t="s">
        <v>52</v>
      </c>
      <c r="B1904" t="s">
        <v>53</v>
      </c>
      <c r="C1904" t="s">
        <v>54</v>
      </c>
      <c r="D1904" t="s">
        <v>55</v>
      </c>
      <c r="E1904" t="s">
        <v>853</v>
      </c>
      <c r="F1904" t="s">
        <v>512</v>
      </c>
      <c r="G1904" t="s">
        <v>388</v>
      </c>
      <c r="H1904" t="s">
        <v>389</v>
      </c>
      <c r="I1904" t="s">
        <v>389</v>
      </c>
      <c r="J1904" t="s">
        <v>60</v>
      </c>
      <c r="K1904" t="s">
        <v>185</v>
      </c>
      <c r="L1904" t="s">
        <v>62</v>
      </c>
      <c r="M1904" t="s">
        <v>185</v>
      </c>
      <c r="N1904" t="s">
        <v>390</v>
      </c>
      <c r="O1904" t="s">
        <v>391</v>
      </c>
      <c r="P1904">
        <v>-19.628802</v>
      </c>
      <c r="Q1904">
        <v>-43.891649000000001</v>
      </c>
      <c r="R1904" s="2" t="str">
        <f>HYPERLINK("https://www.google.com/maps?q=-19.6288020,-43.8916490","Abrir no Google Maps")</f>
        <v>Abrir no Google Maps</v>
      </c>
      <c r="S1904">
        <v>3</v>
      </c>
      <c r="T1904">
        <v>0</v>
      </c>
      <c r="U1904">
        <v>3</v>
      </c>
      <c r="V1904">
        <v>0.99731182795698925</v>
      </c>
      <c r="W1904">
        <v>0.85</v>
      </c>
      <c r="X1904">
        <v>0.84771505376344081</v>
      </c>
      <c r="Y1904">
        <v>18</v>
      </c>
      <c r="Z1904">
        <v>117.5064585283839</v>
      </c>
      <c r="AA1904">
        <v>2</v>
      </c>
      <c r="AB1904">
        <v>3</v>
      </c>
      <c r="AC1904">
        <v>7</v>
      </c>
      <c r="AD1904">
        <v>24.9</v>
      </c>
      <c r="AE1904">
        <v>253</v>
      </c>
      <c r="AF1904">
        <v>12</v>
      </c>
      <c r="AG1904">
        <v>66</v>
      </c>
      <c r="AH1904">
        <v>32</v>
      </c>
      <c r="AI1904">
        <v>4.74</v>
      </c>
      <c r="AJ1904">
        <v>26.09</v>
      </c>
      <c r="AK1904">
        <v>12.65</v>
      </c>
      <c r="AL1904">
        <v>-19.628865499999961</v>
      </c>
      <c r="AM1904">
        <v>-43.891662391334172</v>
      </c>
      <c r="AN1904">
        <v>-19.628865499999961</v>
      </c>
      <c r="AO1904">
        <v>-43.891662391334172</v>
      </c>
      <c r="AP1904">
        <v>-19.628802</v>
      </c>
      <c r="AQ1904">
        <v>-43.891649000000001</v>
      </c>
      <c r="AR1904">
        <v>7.2069201904448459</v>
      </c>
      <c r="AS1904" t="s">
        <v>65</v>
      </c>
      <c r="AT1904">
        <v>1</v>
      </c>
      <c r="AU1904" t="s">
        <v>392</v>
      </c>
      <c r="AV1904" t="s">
        <v>393</v>
      </c>
      <c r="AW1904" t="s">
        <v>60</v>
      </c>
      <c r="AX1904" t="s">
        <v>68</v>
      </c>
      <c r="AY1904" t="s">
        <v>69</v>
      </c>
      <c r="AZ1904" t="b">
        <v>1</v>
      </c>
    </row>
    <row r="1905" spans="1:52" x14ac:dyDescent="0.3">
      <c r="A1905" t="s">
        <v>52</v>
      </c>
      <c r="B1905" t="s">
        <v>53</v>
      </c>
      <c r="C1905" t="s">
        <v>54</v>
      </c>
      <c r="D1905" t="s">
        <v>55</v>
      </c>
      <c r="E1905" t="s">
        <v>853</v>
      </c>
      <c r="F1905" t="s">
        <v>512</v>
      </c>
      <c r="G1905" t="s">
        <v>530</v>
      </c>
      <c r="H1905" t="s">
        <v>531</v>
      </c>
      <c r="I1905" t="s">
        <v>531</v>
      </c>
      <c r="J1905" t="s">
        <v>60</v>
      </c>
      <c r="K1905" t="s">
        <v>185</v>
      </c>
      <c r="L1905" t="s">
        <v>62</v>
      </c>
      <c r="M1905" t="s">
        <v>185</v>
      </c>
      <c r="N1905" t="s">
        <v>532</v>
      </c>
      <c r="O1905" t="s">
        <v>533</v>
      </c>
      <c r="P1905">
        <v>-19.625264000000001</v>
      </c>
      <c r="Q1905">
        <v>-43.889451000000001</v>
      </c>
      <c r="R1905" s="2" t="str">
        <f>HYPERLINK("https://www.google.com/maps?q=-19.6252640,-43.8894510","Abrir no Google Maps")</f>
        <v>Abrir no Google Maps</v>
      </c>
      <c r="S1905">
        <v>3</v>
      </c>
      <c r="T1905">
        <v>466.11340370665903</v>
      </c>
      <c r="U1905">
        <v>3</v>
      </c>
      <c r="V1905">
        <v>1</v>
      </c>
      <c r="W1905">
        <v>0.85</v>
      </c>
      <c r="X1905">
        <v>0.85</v>
      </c>
      <c r="Y1905">
        <v>18</v>
      </c>
      <c r="Z1905">
        <v>320.77337440837812</v>
      </c>
      <c r="AA1905">
        <v>2</v>
      </c>
      <c r="AB1905">
        <v>3</v>
      </c>
      <c r="AC1905">
        <v>7</v>
      </c>
      <c r="AD1905">
        <v>24.9</v>
      </c>
      <c r="AE1905">
        <v>253</v>
      </c>
      <c r="AF1905">
        <v>12</v>
      </c>
      <c r="AG1905">
        <v>66</v>
      </c>
      <c r="AH1905">
        <v>32</v>
      </c>
      <c r="AI1905">
        <v>4.74</v>
      </c>
      <c r="AJ1905">
        <v>26.09</v>
      </c>
      <c r="AK1905">
        <v>12.65</v>
      </c>
      <c r="AL1905">
        <v>-19.62516189999997</v>
      </c>
      <c r="AM1905">
        <v>-43.88954614566876</v>
      </c>
      <c r="AN1905">
        <v>-19.62516189999997</v>
      </c>
      <c r="AO1905">
        <v>-43.88954614566876</v>
      </c>
      <c r="AP1905">
        <v>-19.625264000000001</v>
      </c>
      <c r="AQ1905">
        <v>-43.889451000000001</v>
      </c>
      <c r="AR1905">
        <v>15.12310549834147</v>
      </c>
      <c r="AS1905" t="s">
        <v>65</v>
      </c>
      <c r="AT1905">
        <v>1</v>
      </c>
      <c r="AU1905" t="s">
        <v>534</v>
      </c>
      <c r="AV1905" t="s">
        <v>535</v>
      </c>
      <c r="AW1905" t="s">
        <v>60</v>
      </c>
      <c r="AX1905" t="s">
        <v>68</v>
      </c>
      <c r="AY1905" t="s">
        <v>69</v>
      </c>
      <c r="AZ1905" t="b">
        <v>1</v>
      </c>
    </row>
    <row r="1906" spans="1:52" x14ac:dyDescent="0.3">
      <c r="A1906" t="s">
        <v>52</v>
      </c>
      <c r="B1906" t="s">
        <v>53</v>
      </c>
      <c r="C1906" t="s">
        <v>54</v>
      </c>
      <c r="D1906" t="s">
        <v>55</v>
      </c>
      <c r="E1906" t="s">
        <v>853</v>
      </c>
      <c r="F1906" t="s">
        <v>512</v>
      </c>
      <c r="G1906" t="s">
        <v>536</v>
      </c>
      <c r="H1906" t="s">
        <v>537</v>
      </c>
      <c r="I1906" t="s">
        <v>537</v>
      </c>
      <c r="J1906" t="s">
        <v>60</v>
      </c>
      <c r="K1906" t="s">
        <v>185</v>
      </c>
      <c r="L1906" t="s">
        <v>62</v>
      </c>
      <c r="M1906" t="s">
        <v>185</v>
      </c>
      <c r="N1906" t="s">
        <v>538</v>
      </c>
      <c r="O1906" t="s">
        <v>408</v>
      </c>
      <c r="P1906">
        <v>-19.630147999999998</v>
      </c>
      <c r="Q1906">
        <v>-43.893844000000001</v>
      </c>
      <c r="R1906" s="2" t="str">
        <f>HYPERLINK("https://www.google.com/maps?q=-19.6301480,-43.8938440","Abrir no Google Maps")</f>
        <v>Abrir no Google Maps</v>
      </c>
      <c r="S1906">
        <v>3</v>
      </c>
      <c r="T1906">
        <v>262.94285160220159</v>
      </c>
      <c r="U1906">
        <v>3</v>
      </c>
      <c r="V1906">
        <v>0.98214285714285721</v>
      </c>
      <c r="W1906">
        <v>0.85</v>
      </c>
      <c r="X1906">
        <v>0.8348214285714286</v>
      </c>
      <c r="Y1906">
        <v>18</v>
      </c>
      <c r="Z1906">
        <v>351.25774094845309</v>
      </c>
      <c r="AA1906">
        <v>2</v>
      </c>
      <c r="AB1906">
        <v>3</v>
      </c>
      <c r="AC1906">
        <v>7</v>
      </c>
      <c r="AD1906">
        <v>24.9</v>
      </c>
      <c r="AE1906">
        <v>253</v>
      </c>
      <c r="AF1906">
        <v>12</v>
      </c>
      <c r="AG1906">
        <v>66</v>
      </c>
      <c r="AH1906">
        <v>32</v>
      </c>
      <c r="AI1906">
        <v>4.74</v>
      </c>
      <c r="AJ1906">
        <v>26.09</v>
      </c>
      <c r="AK1906">
        <v>12.65</v>
      </c>
      <c r="AL1906">
        <v>-19.630177599999939</v>
      </c>
      <c r="AM1906">
        <v>-43.893752755034278</v>
      </c>
      <c r="AN1906">
        <v>-19.630177599999939</v>
      </c>
      <c r="AO1906">
        <v>-43.893752755034278</v>
      </c>
      <c r="AP1906">
        <v>-19.630147999999998</v>
      </c>
      <c r="AQ1906">
        <v>-43.893844000000001</v>
      </c>
      <c r="AR1906">
        <v>10.1185927114604</v>
      </c>
      <c r="AS1906" t="s">
        <v>65</v>
      </c>
      <c r="AT1906">
        <v>1</v>
      </c>
      <c r="AU1906" t="s">
        <v>539</v>
      </c>
      <c r="AV1906" t="s">
        <v>540</v>
      </c>
      <c r="AW1906" t="s">
        <v>60</v>
      </c>
      <c r="AX1906" t="s">
        <v>68</v>
      </c>
      <c r="AY1906" t="s">
        <v>69</v>
      </c>
      <c r="AZ1906" t="b">
        <v>1</v>
      </c>
    </row>
    <row r="1907" spans="1:52" x14ac:dyDescent="0.3">
      <c r="A1907" t="s">
        <v>52</v>
      </c>
      <c r="B1907" t="s">
        <v>53</v>
      </c>
      <c r="C1907" t="s">
        <v>54</v>
      </c>
      <c r="D1907" t="s">
        <v>55</v>
      </c>
      <c r="E1907" t="s">
        <v>853</v>
      </c>
      <c r="F1907" t="s">
        <v>512</v>
      </c>
      <c r="G1907" t="s">
        <v>541</v>
      </c>
      <c r="H1907" t="s">
        <v>542</v>
      </c>
      <c r="I1907" t="s">
        <v>542</v>
      </c>
      <c r="J1907" t="s">
        <v>60</v>
      </c>
      <c r="K1907" t="s">
        <v>445</v>
      </c>
      <c r="L1907" t="s">
        <v>62</v>
      </c>
      <c r="M1907" t="s">
        <v>445</v>
      </c>
      <c r="N1907" t="s">
        <v>543</v>
      </c>
      <c r="O1907" t="s">
        <v>328</v>
      </c>
      <c r="P1907">
        <v>-19.642263</v>
      </c>
      <c r="Q1907">
        <v>-43.881428999999997</v>
      </c>
      <c r="R1907" s="2" t="str">
        <f>HYPERLINK("https://www.google.com/maps?q=-19.6422630,-43.8814290","Abrir no Google Maps")</f>
        <v>Abrir no Google Maps</v>
      </c>
      <c r="S1907">
        <v>3</v>
      </c>
      <c r="T1907">
        <v>0</v>
      </c>
      <c r="U1907">
        <v>3</v>
      </c>
      <c r="V1907">
        <v>0.97368421052631582</v>
      </c>
      <c r="W1907">
        <v>0.85</v>
      </c>
      <c r="X1907">
        <v>0.82763157894736838</v>
      </c>
      <c r="Y1907">
        <v>10</v>
      </c>
      <c r="Z1907">
        <v>162.4764384685345</v>
      </c>
      <c r="AA1907">
        <v>2</v>
      </c>
      <c r="AB1907">
        <v>3</v>
      </c>
      <c r="AC1907">
        <v>7</v>
      </c>
      <c r="AD1907">
        <v>24.9</v>
      </c>
      <c r="AE1907">
        <v>253</v>
      </c>
      <c r="AF1907">
        <v>12</v>
      </c>
      <c r="AG1907">
        <v>66</v>
      </c>
      <c r="AH1907">
        <v>32</v>
      </c>
      <c r="AI1907">
        <v>4.74</v>
      </c>
      <c r="AJ1907">
        <v>26.09</v>
      </c>
      <c r="AK1907">
        <v>12.65</v>
      </c>
      <c r="AL1907">
        <v>-19.642346249999949</v>
      </c>
      <c r="AM1907">
        <v>-43.881546938715289</v>
      </c>
      <c r="AN1907">
        <v>-19.642346249999939</v>
      </c>
      <c r="AO1907">
        <v>-43.881546938715289</v>
      </c>
      <c r="AP1907">
        <v>-19.642263</v>
      </c>
      <c r="AQ1907">
        <v>-43.881428999999997</v>
      </c>
      <c r="AR1907">
        <v>15.45239906956777</v>
      </c>
      <c r="AS1907" t="s">
        <v>65</v>
      </c>
      <c r="AT1907">
        <v>1</v>
      </c>
      <c r="AU1907" t="s">
        <v>544</v>
      </c>
      <c r="AV1907" t="s">
        <v>545</v>
      </c>
      <c r="AW1907" t="s">
        <v>60</v>
      </c>
      <c r="AX1907" t="s">
        <v>68</v>
      </c>
      <c r="AY1907" t="s">
        <v>69</v>
      </c>
      <c r="AZ1907" t="b">
        <v>1</v>
      </c>
    </row>
    <row r="1908" spans="1:52" x14ac:dyDescent="0.3">
      <c r="A1908" t="s">
        <v>52</v>
      </c>
      <c r="B1908" t="s">
        <v>53</v>
      </c>
      <c r="C1908" t="s">
        <v>54</v>
      </c>
      <c r="D1908" t="s">
        <v>55</v>
      </c>
      <c r="E1908" t="s">
        <v>853</v>
      </c>
      <c r="F1908" t="s">
        <v>512</v>
      </c>
      <c r="G1908" t="s">
        <v>546</v>
      </c>
      <c r="H1908" t="s">
        <v>547</v>
      </c>
      <c r="I1908" t="s">
        <v>547</v>
      </c>
      <c r="J1908" t="s">
        <v>60</v>
      </c>
      <c r="K1908" t="s">
        <v>445</v>
      </c>
      <c r="L1908" t="s">
        <v>62</v>
      </c>
      <c r="M1908" t="s">
        <v>445</v>
      </c>
      <c r="N1908" t="s">
        <v>548</v>
      </c>
      <c r="O1908" t="s">
        <v>549</v>
      </c>
      <c r="P1908">
        <v>-19.642752999999999</v>
      </c>
      <c r="Q1908">
        <v>-43.879080999999999</v>
      </c>
      <c r="R1908" s="2" t="str">
        <f>HYPERLINK("https://www.google.com/maps?q=-19.6427530,-43.8790810","Abrir no Google Maps")</f>
        <v>Abrir no Google Maps</v>
      </c>
      <c r="S1908">
        <v>3</v>
      </c>
      <c r="T1908">
        <v>256.19518367376457</v>
      </c>
      <c r="U1908">
        <v>3</v>
      </c>
      <c r="V1908">
        <v>0.97844827586206895</v>
      </c>
      <c r="W1908">
        <v>0.85</v>
      </c>
      <c r="X1908">
        <v>0.83168103448275854</v>
      </c>
      <c r="Y1908">
        <v>10</v>
      </c>
      <c r="Z1908">
        <v>192.73978446408199</v>
      </c>
      <c r="AA1908">
        <v>2</v>
      </c>
      <c r="AB1908">
        <v>3</v>
      </c>
      <c r="AC1908">
        <v>7</v>
      </c>
      <c r="AD1908">
        <v>24.9</v>
      </c>
      <c r="AE1908">
        <v>253</v>
      </c>
      <c r="AF1908">
        <v>12</v>
      </c>
      <c r="AG1908">
        <v>66</v>
      </c>
      <c r="AH1908">
        <v>32</v>
      </c>
      <c r="AI1908">
        <v>4.74</v>
      </c>
      <c r="AJ1908">
        <v>26.09</v>
      </c>
      <c r="AK1908">
        <v>12.65</v>
      </c>
      <c r="AL1908">
        <v>-19.642703749999949</v>
      </c>
      <c r="AM1908">
        <v>-43.879132974738582</v>
      </c>
      <c r="AN1908">
        <v>-19.642703749999949</v>
      </c>
      <c r="AO1908">
        <v>-43.879132974738582</v>
      </c>
      <c r="AP1908">
        <v>-19.642752999999999</v>
      </c>
      <c r="AQ1908">
        <v>-43.879080999999999</v>
      </c>
      <c r="AR1908">
        <v>7.7298757823687696</v>
      </c>
      <c r="AS1908" t="s">
        <v>65</v>
      </c>
      <c r="AT1908">
        <v>1</v>
      </c>
      <c r="AU1908" t="s">
        <v>550</v>
      </c>
      <c r="AV1908" t="s">
        <v>551</v>
      </c>
      <c r="AW1908" t="s">
        <v>60</v>
      </c>
      <c r="AX1908" t="s">
        <v>68</v>
      </c>
      <c r="AY1908" t="s">
        <v>69</v>
      </c>
      <c r="AZ1908" t="b">
        <v>1</v>
      </c>
    </row>
    <row r="1909" spans="1:52" x14ac:dyDescent="0.3">
      <c r="A1909" t="s">
        <v>52</v>
      </c>
      <c r="B1909" t="s">
        <v>53</v>
      </c>
      <c r="C1909" t="s">
        <v>54</v>
      </c>
      <c r="D1909" t="s">
        <v>55</v>
      </c>
      <c r="E1909" t="s">
        <v>853</v>
      </c>
      <c r="F1909" t="s">
        <v>512</v>
      </c>
      <c r="G1909" t="s">
        <v>552</v>
      </c>
      <c r="H1909" t="s">
        <v>553</v>
      </c>
      <c r="I1909" t="s">
        <v>553</v>
      </c>
      <c r="J1909" t="s">
        <v>60</v>
      </c>
      <c r="K1909" t="s">
        <v>445</v>
      </c>
      <c r="L1909" t="s">
        <v>62</v>
      </c>
      <c r="M1909" t="s">
        <v>445</v>
      </c>
      <c r="N1909" t="s">
        <v>554</v>
      </c>
      <c r="O1909" t="s">
        <v>207</v>
      </c>
      <c r="P1909">
        <v>-19.641549999999999</v>
      </c>
      <c r="Q1909">
        <v>-43.873263999999999</v>
      </c>
      <c r="R1909" s="2" t="str">
        <f>HYPERLINK("https://www.google.com/maps?q=-19.6415500,-43.8732640","Abrir no Google Maps")</f>
        <v>Abrir no Google Maps</v>
      </c>
      <c r="S1909">
        <v>3</v>
      </c>
      <c r="T1909">
        <v>879.45465995735231</v>
      </c>
      <c r="U1909">
        <v>3</v>
      </c>
      <c r="V1909">
        <v>0.97413793103448276</v>
      </c>
      <c r="W1909">
        <v>0.85</v>
      </c>
      <c r="X1909">
        <v>0.82801724137931032</v>
      </c>
      <c r="Y1909">
        <v>10</v>
      </c>
      <c r="Z1909">
        <v>830.70905214077095</v>
      </c>
      <c r="AA1909">
        <v>2</v>
      </c>
      <c r="AB1909">
        <v>3</v>
      </c>
      <c r="AC1909">
        <v>7</v>
      </c>
      <c r="AD1909">
        <v>24.9</v>
      </c>
      <c r="AE1909">
        <v>253</v>
      </c>
      <c r="AF1909">
        <v>12</v>
      </c>
      <c r="AG1909">
        <v>66</v>
      </c>
      <c r="AH1909">
        <v>32</v>
      </c>
      <c r="AI1909">
        <v>4.74</v>
      </c>
      <c r="AJ1909">
        <v>26.09</v>
      </c>
      <c r="AK1909">
        <v>12.65</v>
      </c>
      <c r="AL1909">
        <v>-19.641459949999959</v>
      </c>
      <c r="AM1909">
        <v>-43.873212145688711</v>
      </c>
      <c r="AN1909">
        <v>-19.641459949999959</v>
      </c>
      <c r="AO1909">
        <v>-43.873212145688711</v>
      </c>
      <c r="AP1909">
        <v>-19.641549999999999</v>
      </c>
      <c r="AQ1909">
        <v>-43.873263999999999</v>
      </c>
      <c r="AR1909">
        <v>11.40368340137019</v>
      </c>
      <c r="AS1909" t="s">
        <v>65</v>
      </c>
      <c r="AT1909">
        <v>1</v>
      </c>
      <c r="AU1909" t="s">
        <v>555</v>
      </c>
      <c r="AV1909" t="s">
        <v>556</v>
      </c>
      <c r="AW1909" t="s">
        <v>60</v>
      </c>
      <c r="AX1909" t="s">
        <v>68</v>
      </c>
      <c r="AY1909" t="s">
        <v>69</v>
      </c>
      <c r="AZ1909" t="b">
        <v>1</v>
      </c>
    </row>
    <row r="1910" spans="1:52" x14ac:dyDescent="0.3">
      <c r="A1910" t="s">
        <v>52</v>
      </c>
      <c r="B1910" t="s">
        <v>53</v>
      </c>
      <c r="C1910" t="s">
        <v>54</v>
      </c>
      <c r="D1910" t="s">
        <v>55</v>
      </c>
      <c r="E1910" t="s">
        <v>853</v>
      </c>
      <c r="F1910" t="s">
        <v>512</v>
      </c>
      <c r="G1910" t="s">
        <v>557</v>
      </c>
      <c r="H1910" t="s">
        <v>558</v>
      </c>
      <c r="I1910" t="s">
        <v>558</v>
      </c>
      <c r="J1910" t="s">
        <v>60</v>
      </c>
      <c r="K1910" t="s">
        <v>445</v>
      </c>
      <c r="L1910" t="s">
        <v>62</v>
      </c>
      <c r="M1910" t="s">
        <v>445</v>
      </c>
      <c r="N1910" t="s">
        <v>559</v>
      </c>
      <c r="O1910" t="s">
        <v>560</v>
      </c>
      <c r="P1910">
        <v>-19.641839000000001</v>
      </c>
      <c r="Q1910">
        <v>-43.876227</v>
      </c>
      <c r="R1910" s="2" t="str">
        <f>HYPERLINK("https://www.google.com/maps?q=-19.6418390,-43.8762270","Abrir no Google Maps")</f>
        <v>Abrir no Google Maps</v>
      </c>
      <c r="S1910">
        <v>3</v>
      </c>
      <c r="T1910">
        <v>564.50471877254449</v>
      </c>
      <c r="U1910">
        <v>3</v>
      </c>
      <c r="V1910">
        <v>0.97554347826086962</v>
      </c>
      <c r="W1910">
        <v>0.85</v>
      </c>
      <c r="X1910">
        <v>0.82921195652173918</v>
      </c>
      <c r="Y1910">
        <v>10</v>
      </c>
      <c r="Z1910">
        <v>490.40238336341412</v>
      </c>
      <c r="AA1910">
        <v>2</v>
      </c>
      <c r="AB1910">
        <v>3</v>
      </c>
      <c r="AC1910">
        <v>7</v>
      </c>
      <c r="AD1910">
        <v>24.9</v>
      </c>
      <c r="AE1910">
        <v>253</v>
      </c>
      <c r="AF1910">
        <v>12</v>
      </c>
      <c r="AG1910">
        <v>66</v>
      </c>
      <c r="AH1910">
        <v>32</v>
      </c>
      <c r="AI1910">
        <v>4.74</v>
      </c>
      <c r="AJ1910">
        <v>26.09</v>
      </c>
      <c r="AK1910">
        <v>12.65</v>
      </c>
      <c r="AL1910">
        <v>-19.641880699999941</v>
      </c>
      <c r="AM1910">
        <v>-43.876185869580858</v>
      </c>
      <c r="AN1910">
        <v>-19.641880699999941</v>
      </c>
      <c r="AO1910">
        <v>-43.876185869580858</v>
      </c>
      <c r="AP1910">
        <v>-19.641839000000001</v>
      </c>
      <c r="AQ1910">
        <v>-43.876227</v>
      </c>
      <c r="AR1910">
        <v>6.3359121862683301</v>
      </c>
      <c r="AS1910" t="s">
        <v>65</v>
      </c>
      <c r="AT1910">
        <v>1</v>
      </c>
      <c r="AU1910" t="s">
        <v>561</v>
      </c>
      <c r="AV1910" t="s">
        <v>562</v>
      </c>
      <c r="AW1910" t="s">
        <v>60</v>
      </c>
      <c r="AX1910" t="s">
        <v>68</v>
      </c>
      <c r="AY1910" t="s">
        <v>69</v>
      </c>
      <c r="AZ1910" t="b">
        <v>1</v>
      </c>
    </row>
    <row r="1911" spans="1:52" x14ac:dyDescent="0.3">
      <c r="A1911" t="s">
        <v>52</v>
      </c>
      <c r="B1911" t="s">
        <v>53</v>
      </c>
      <c r="C1911" t="s">
        <v>54</v>
      </c>
      <c r="D1911" t="s">
        <v>55</v>
      </c>
      <c r="E1911" t="s">
        <v>853</v>
      </c>
      <c r="F1911" t="s">
        <v>512</v>
      </c>
      <c r="G1911" t="s">
        <v>569</v>
      </c>
      <c r="H1911" t="s">
        <v>570</v>
      </c>
      <c r="I1911" t="s">
        <v>570</v>
      </c>
      <c r="J1911" t="s">
        <v>60</v>
      </c>
      <c r="K1911" t="s">
        <v>445</v>
      </c>
      <c r="L1911" t="s">
        <v>62</v>
      </c>
      <c r="M1911" t="s">
        <v>445</v>
      </c>
      <c r="N1911" t="s">
        <v>571</v>
      </c>
      <c r="O1911" t="s">
        <v>572</v>
      </c>
      <c r="P1911">
        <v>-19.646602999999999</v>
      </c>
      <c r="Q1911">
        <v>-43.879826000000001</v>
      </c>
      <c r="R1911" s="2" t="str">
        <f>HYPERLINK("https://www.google.com/maps?q=-19.6466030,-43.8798260","Abrir no Google Maps")</f>
        <v>Abrir no Google Maps</v>
      </c>
      <c r="S1911">
        <v>3</v>
      </c>
      <c r="T1911">
        <v>497.89126003830972</v>
      </c>
      <c r="U1911">
        <v>3</v>
      </c>
      <c r="V1911">
        <v>0.96917808219178081</v>
      </c>
      <c r="W1911">
        <v>0.85</v>
      </c>
      <c r="X1911">
        <v>0.82380136986301367</v>
      </c>
      <c r="Y1911">
        <v>10</v>
      </c>
      <c r="Z1911">
        <v>228.69190976735251</v>
      </c>
      <c r="AA1911">
        <v>2</v>
      </c>
      <c r="AB1911">
        <v>3</v>
      </c>
      <c r="AC1911">
        <v>7</v>
      </c>
      <c r="AD1911">
        <v>24.9</v>
      </c>
      <c r="AE1911">
        <v>253</v>
      </c>
      <c r="AF1911">
        <v>12</v>
      </c>
      <c r="AG1911">
        <v>66</v>
      </c>
      <c r="AH1911">
        <v>32</v>
      </c>
      <c r="AI1911">
        <v>4.74</v>
      </c>
      <c r="AJ1911">
        <v>26.09</v>
      </c>
      <c r="AK1911">
        <v>12.65</v>
      </c>
      <c r="AL1911">
        <v>-19.646577499999982</v>
      </c>
      <c r="AM1911">
        <v>-43.879934131171261</v>
      </c>
      <c r="AN1911">
        <v>-19.646577499999971</v>
      </c>
      <c r="AO1911">
        <v>-43.879934131171261</v>
      </c>
      <c r="AP1911">
        <v>-19.646602999999999</v>
      </c>
      <c r="AQ1911">
        <v>-43.879826000000001</v>
      </c>
      <c r="AR1911">
        <v>11.68641198848764</v>
      </c>
      <c r="AS1911" t="s">
        <v>65</v>
      </c>
      <c r="AT1911">
        <v>1</v>
      </c>
      <c r="AU1911" t="s">
        <v>573</v>
      </c>
      <c r="AV1911" t="s">
        <v>574</v>
      </c>
      <c r="AW1911" t="s">
        <v>60</v>
      </c>
      <c r="AX1911" t="s">
        <v>68</v>
      </c>
      <c r="AY1911" t="s">
        <v>69</v>
      </c>
      <c r="AZ1911" t="b">
        <v>1</v>
      </c>
    </row>
    <row r="1912" spans="1:52" x14ac:dyDescent="0.3">
      <c r="A1912" t="s">
        <v>52</v>
      </c>
      <c r="B1912" t="s">
        <v>53</v>
      </c>
      <c r="C1912" t="s">
        <v>54</v>
      </c>
      <c r="D1912" t="s">
        <v>55</v>
      </c>
      <c r="E1912" t="s">
        <v>853</v>
      </c>
      <c r="F1912" t="s">
        <v>512</v>
      </c>
      <c r="G1912" t="s">
        <v>586</v>
      </c>
      <c r="H1912" t="s">
        <v>587</v>
      </c>
      <c r="I1912" t="s">
        <v>587</v>
      </c>
      <c r="J1912" t="s">
        <v>60</v>
      </c>
      <c r="K1912" t="s">
        <v>286</v>
      </c>
      <c r="L1912" t="s">
        <v>62</v>
      </c>
      <c r="M1912" t="s">
        <v>286</v>
      </c>
      <c r="N1912" t="s">
        <v>588</v>
      </c>
      <c r="O1912" t="s">
        <v>589</v>
      </c>
      <c r="P1912">
        <v>-19.638362999999998</v>
      </c>
      <c r="Q1912">
        <v>-43.887081000000002</v>
      </c>
      <c r="R1912" s="2" t="str">
        <f>HYPERLINK("https://www.google.com/maps?q=-19.6383630,-43.8870810","Abrir no Google Maps")</f>
        <v>Abrir no Google Maps</v>
      </c>
      <c r="S1912">
        <v>3</v>
      </c>
      <c r="T1912">
        <v>521.16909902210193</v>
      </c>
      <c r="U1912">
        <v>3</v>
      </c>
      <c r="V1912">
        <v>0.97965116279069764</v>
      </c>
      <c r="W1912">
        <v>0.85</v>
      </c>
      <c r="X1912">
        <v>0.83270348837209296</v>
      </c>
      <c r="Y1912">
        <v>10</v>
      </c>
      <c r="Z1912">
        <v>416.66355243950221</v>
      </c>
      <c r="AA1912">
        <v>2</v>
      </c>
      <c r="AB1912">
        <v>3</v>
      </c>
      <c r="AC1912">
        <v>7</v>
      </c>
      <c r="AD1912">
        <v>24.9</v>
      </c>
      <c r="AE1912">
        <v>253</v>
      </c>
      <c r="AF1912">
        <v>12</v>
      </c>
      <c r="AG1912">
        <v>66</v>
      </c>
      <c r="AH1912">
        <v>32</v>
      </c>
      <c r="AI1912">
        <v>4.74</v>
      </c>
      <c r="AJ1912">
        <v>26.09</v>
      </c>
      <c r="AK1912">
        <v>12.65</v>
      </c>
      <c r="AL1912">
        <v>-19.638074649999961</v>
      </c>
      <c r="AM1912">
        <v>-43.887517684870552</v>
      </c>
      <c r="AN1912">
        <v>-19.638074649999961</v>
      </c>
      <c r="AO1912">
        <v>-43.887517684870552</v>
      </c>
      <c r="AP1912">
        <v>-19.638362999999998</v>
      </c>
      <c r="AQ1912">
        <v>-43.887081000000002</v>
      </c>
      <c r="AR1912">
        <v>55.915550702564907</v>
      </c>
      <c r="AS1912" t="s">
        <v>65</v>
      </c>
      <c r="AT1912">
        <v>1</v>
      </c>
      <c r="AU1912" t="s">
        <v>590</v>
      </c>
      <c r="AV1912" t="s">
        <v>591</v>
      </c>
      <c r="AW1912" t="s">
        <v>60</v>
      </c>
      <c r="AX1912" t="s">
        <v>68</v>
      </c>
      <c r="AY1912" t="s">
        <v>69</v>
      </c>
      <c r="AZ1912" t="b">
        <v>1</v>
      </c>
    </row>
    <row r="1913" spans="1:52" x14ac:dyDescent="0.3">
      <c r="A1913" t="s">
        <v>52</v>
      </c>
      <c r="B1913" t="s">
        <v>53</v>
      </c>
      <c r="C1913" t="s">
        <v>54</v>
      </c>
      <c r="D1913" t="s">
        <v>55</v>
      </c>
      <c r="E1913" t="s">
        <v>853</v>
      </c>
      <c r="F1913" t="s">
        <v>512</v>
      </c>
      <c r="G1913" t="s">
        <v>411</v>
      </c>
      <c r="H1913" t="s">
        <v>412</v>
      </c>
      <c r="I1913" t="s">
        <v>412</v>
      </c>
      <c r="J1913" t="s">
        <v>60</v>
      </c>
      <c r="K1913" t="s">
        <v>179</v>
      </c>
      <c r="L1913" t="s">
        <v>62</v>
      </c>
      <c r="M1913" t="s">
        <v>179</v>
      </c>
      <c r="N1913" t="s">
        <v>413</v>
      </c>
      <c r="O1913" t="s">
        <v>414</v>
      </c>
      <c r="P1913">
        <v>-19.650079000000002</v>
      </c>
      <c r="Q1913">
        <v>-43.884253999999999</v>
      </c>
      <c r="R1913" s="2" t="str">
        <f>HYPERLINK("https://www.google.com/maps?q=-19.6500790,-43.8842540","Abrir no Google Maps")</f>
        <v>Abrir no Google Maps</v>
      </c>
      <c r="S1913">
        <v>3</v>
      </c>
      <c r="T1913">
        <v>797.21430129715498</v>
      </c>
      <c r="U1913">
        <v>3</v>
      </c>
      <c r="V1913">
        <v>0.8442982456140351</v>
      </c>
      <c r="W1913">
        <v>1</v>
      </c>
      <c r="X1913">
        <v>0.8442982456140351</v>
      </c>
      <c r="Y1913">
        <v>10</v>
      </c>
      <c r="Z1913">
        <v>774.04145012702554</v>
      </c>
      <c r="AA1913">
        <v>2</v>
      </c>
      <c r="AB1913">
        <v>3</v>
      </c>
      <c r="AC1913">
        <v>7</v>
      </c>
      <c r="AD1913">
        <v>24.9</v>
      </c>
      <c r="AE1913">
        <v>253</v>
      </c>
      <c r="AF1913">
        <v>12</v>
      </c>
      <c r="AG1913">
        <v>66</v>
      </c>
      <c r="AH1913">
        <v>32</v>
      </c>
      <c r="AI1913">
        <v>4.74</v>
      </c>
      <c r="AJ1913">
        <v>26.09</v>
      </c>
      <c r="AK1913">
        <v>12.65</v>
      </c>
      <c r="AL1913">
        <v>-19.649199399999961</v>
      </c>
      <c r="AM1913">
        <v>-43.883888390043637</v>
      </c>
      <c r="AN1913">
        <v>-19.649199399999961</v>
      </c>
      <c r="AO1913">
        <v>-43.883888390043637</v>
      </c>
      <c r="AP1913">
        <v>-19.650079000000002</v>
      </c>
      <c r="AQ1913">
        <v>-43.884253999999999</v>
      </c>
      <c r="AR1913">
        <v>105.1518915696123</v>
      </c>
      <c r="AS1913" t="s">
        <v>65</v>
      </c>
      <c r="AT1913">
        <v>1</v>
      </c>
      <c r="AU1913" t="s">
        <v>415</v>
      </c>
      <c r="AV1913" t="s">
        <v>416</v>
      </c>
      <c r="AW1913" t="s">
        <v>60</v>
      </c>
      <c r="AX1913" t="s">
        <v>68</v>
      </c>
      <c r="AY1913" t="s">
        <v>69</v>
      </c>
      <c r="AZ1913" t="b">
        <v>1</v>
      </c>
    </row>
    <row r="1914" spans="1:52" x14ac:dyDescent="0.3">
      <c r="A1914" t="s">
        <v>52</v>
      </c>
      <c r="B1914" t="s">
        <v>53</v>
      </c>
      <c r="C1914" t="s">
        <v>54</v>
      </c>
      <c r="D1914" t="s">
        <v>55</v>
      </c>
      <c r="E1914" t="s">
        <v>853</v>
      </c>
      <c r="F1914" t="s">
        <v>512</v>
      </c>
      <c r="G1914" t="s">
        <v>575</v>
      </c>
      <c r="H1914" t="s">
        <v>576</v>
      </c>
      <c r="I1914" t="s">
        <v>576</v>
      </c>
      <c r="J1914" t="s">
        <v>60</v>
      </c>
      <c r="K1914" t="s">
        <v>445</v>
      </c>
      <c r="L1914" t="s">
        <v>62</v>
      </c>
      <c r="M1914" t="s">
        <v>445</v>
      </c>
      <c r="N1914" t="s">
        <v>577</v>
      </c>
      <c r="O1914" t="s">
        <v>214</v>
      </c>
      <c r="P1914">
        <v>-19.639865</v>
      </c>
      <c r="Q1914">
        <v>-43.877858000000003</v>
      </c>
      <c r="R1914" s="2" t="str">
        <f>HYPERLINK("https://www.google.com/maps?q=-19.6398650,-43.8778580","Abrir no Google Maps")</f>
        <v>Abrir no Google Maps</v>
      </c>
      <c r="S1914">
        <v>3</v>
      </c>
      <c r="T1914">
        <v>497.47318171010488</v>
      </c>
      <c r="U1914">
        <v>3</v>
      </c>
      <c r="V1914">
        <v>0.97872340425531923</v>
      </c>
      <c r="W1914">
        <v>0.85</v>
      </c>
      <c r="X1914">
        <v>0.83191489361702131</v>
      </c>
      <c r="Y1914">
        <v>10</v>
      </c>
      <c r="Z1914">
        <v>547.08184956634818</v>
      </c>
      <c r="AA1914">
        <v>2</v>
      </c>
      <c r="AB1914">
        <v>3</v>
      </c>
      <c r="AC1914">
        <v>7</v>
      </c>
      <c r="AD1914">
        <v>24.9</v>
      </c>
      <c r="AE1914">
        <v>253</v>
      </c>
      <c r="AF1914">
        <v>12</v>
      </c>
      <c r="AG1914">
        <v>66</v>
      </c>
      <c r="AH1914">
        <v>32</v>
      </c>
      <c r="AI1914">
        <v>4.74</v>
      </c>
      <c r="AJ1914">
        <v>26.09</v>
      </c>
      <c r="AK1914">
        <v>12.65</v>
      </c>
      <c r="AL1914">
        <v>-19.639907499999961</v>
      </c>
      <c r="AM1914">
        <v>-43.877561677180587</v>
      </c>
      <c r="AN1914">
        <v>-19.639907499999961</v>
      </c>
      <c r="AO1914">
        <v>-43.877561677180587</v>
      </c>
      <c r="AP1914">
        <v>-19.639865</v>
      </c>
      <c r="AQ1914">
        <v>-43.877858000000003</v>
      </c>
      <c r="AR1914">
        <v>31.4257813556037</v>
      </c>
      <c r="AS1914" t="s">
        <v>65</v>
      </c>
      <c r="AT1914">
        <v>1</v>
      </c>
      <c r="AU1914" t="s">
        <v>578</v>
      </c>
      <c r="AV1914" t="s">
        <v>579</v>
      </c>
      <c r="AW1914" t="s">
        <v>60</v>
      </c>
      <c r="AX1914" t="s">
        <v>68</v>
      </c>
      <c r="AY1914" t="s">
        <v>69</v>
      </c>
      <c r="AZ1914" t="b">
        <v>1</v>
      </c>
    </row>
    <row r="1915" spans="1:52" x14ac:dyDescent="0.3">
      <c r="A1915" t="s">
        <v>52</v>
      </c>
      <c r="B1915" t="s">
        <v>53</v>
      </c>
      <c r="C1915" t="s">
        <v>54</v>
      </c>
      <c r="D1915" t="s">
        <v>55</v>
      </c>
      <c r="E1915" t="s">
        <v>853</v>
      </c>
      <c r="F1915" t="s">
        <v>512</v>
      </c>
      <c r="G1915" t="s">
        <v>563</v>
      </c>
      <c r="H1915" t="s">
        <v>564</v>
      </c>
      <c r="I1915" t="s">
        <v>564</v>
      </c>
      <c r="J1915" t="s">
        <v>60</v>
      </c>
      <c r="K1915" t="s">
        <v>445</v>
      </c>
      <c r="L1915" t="s">
        <v>62</v>
      </c>
      <c r="M1915" t="s">
        <v>445</v>
      </c>
      <c r="N1915" t="s">
        <v>565</v>
      </c>
      <c r="O1915" t="s">
        <v>566</v>
      </c>
      <c r="P1915">
        <v>-19.645859000000002</v>
      </c>
      <c r="Q1915">
        <v>-43.878008000000001</v>
      </c>
      <c r="R1915" s="2" t="str">
        <f>HYPERLINK("https://www.google.com/maps?q=-19.6458590,-43.8780080","Abrir no Google Maps")</f>
        <v>Abrir no Google Maps</v>
      </c>
      <c r="S1915">
        <v>3</v>
      </c>
      <c r="T1915">
        <v>535.60651658514928</v>
      </c>
      <c r="U1915">
        <v>2</v>
      </c>
      <c r="V1915">
        <v>0.95370370370370361</v>
      </c>
      <c r="W1915">
        <v>0.85</v>
      </c>
      <c r="X1915">
        <v>0.81064814814814801</v>
      </c>
      <c r="Y1915">
        <v>10</v>
      </c>
      <c r="Z1915">
        <v>356.77070476702067</v>
      </c>
      <c r="AA1915">
        <v>2</v>
      </c>
      <c r="AB1915">
        <v>3</v>
      </c>
      <c r="AC1915">
        <v>7</v>
      </c>
      <c r="AD1915">
        <v>24.9</v>
      </c>
      <c r="AE1915">
        <v>253</v>
      </c>
      <c r="AF1915">
        <v>12</v>
      </c>
      <c r="AG1915">
        <v>66</v>
      </c>
      <c r="AH1915">
        <v>32</v>
      </c>
      <c r="AI1915">
        <v>4.74</v>
      </c>
      <c r="AJ1915">
        <v>26.09</v>
      </c>
      <c r="AK1915">
        <v>12.65</v>
      </c>
      <c r="AL1915">
        <v>-19.645894599999959</v>
      </c>
      <c r="AM1915">
        <v>-43.878073476665591</v>
      </c>
      <c r="AN1915">
        <v>-19.645894599999959</v>
      </c>
      <c r="AO1915">
        <v>-43.878073476665591</v>
      </c>
      <c r="AP1915">
        <v>-19.645859000000002</v>
      </c>
      <c r="AQ1915">
        <v>-43.878008000000001</v>
      </c>
      <c r="AR1915">
        <v>7.9263849189726594</v>
      </c>
      <c r="AS1915" t="s">
        <v>65</v>
      </c>
      <c r="AT1915">
        <v>1</v>
      </c>
      <c r="AU1915" t="s">
        <v>567</v>
      </c>
      <c r="AV1915" t="s">
        <v>568</v>
      </c>
      <c r="AW1915" t="s">
        <v>60</v>
      </c>
      <c r="AX1915" t="s">
        <v>68</v>
      </c>
      <c r="AY1915" t="s">
        <v>69</v>
      </c>
      <c r="AZ1915" t="b">
        <v>1</v>
      </c>
    </row>
    <row r="1916" spans="1:52" x14ac:dyDescent="0.3">
      <c r="A1916" t="s">
        <v>52</v>
      </c>
      <c r="B1916" t="s">
        <v>53</v>
      </c>
      <c r="C1916" t="s">
        <v>54</v>
      </c>
      <c r="D1916" t="s">
        <v>55</v>
      </c>
      <c r="E1916" t="s">
        <v>853</v>
      </c>
      <c r="F1916" t="s">
        <v>512</v>
      </c>
      <c r="G1916" t="s">
        <v>580</v>
      </c>
      <c r="H1916" t="s">
        <v>581</v>
      </c>
      <c r="I1916" t="s">
        <v>581</v>
      </c>
      <c r="J1916" t="s">
        <v>60</v>
      </c>
      <c r="K1916" t="s">
        <v>179</v>
      </c>
      <c r="L1916" t="s">
        <v>62</v>
      </c>
      <c r="M1916" t="s">
        <v>179</v>
      </c>
      <c r="N1916" t="s">
        <v>582</v>
      </c>
      <c r="O1916" t="s">
        <v>583</v>
      </c>
      <c r="P1916">
        <v>-19.651917999999998</v>
      </c>
      <c r="Q1916">
        <v>-43.888081</v>
      </c>
      <c r="R1916" s="2" t="str">
        <f>HYPERLINK("https://www.google.com/maps?q=-19.6519180,-43.8880810","Abrir no Google Maps")</f>
        <v>Abrir no Google Maps</v>
      </c>
      <c r="S1916">
        <v>3</v>
      </c>
      <c r="T1916">
        <v>1192.758363020145</v>
      </c>
      <c r="U1916">
        <v>2</v>
      </c>
      <c r="V1916">
        <v>0.86363636363636365</v>
      </c>
      <c r="W1916">
        <v>0.85</v>
      </c>
      <c r="X1916">
        <v>0.73409090909090913</v>
      </c>
      <c r="Y1916">
        <v>10</v>
      </c>
      <c r="Z1916">
        <v>1164.020417046748</v>
      </c>
      <c r="AA1916">
        <v>2</v>
      </c>
      <c r="AB1916">
        <v>3</v>
      </c>
      <c r="AC1916">
        <v>7</v>
      </c>
      <c r="AD1916">
        <v>24.9</v>
      </c>
      <c r="AE1916">
        <v>253</v>
      </c>
      <c r="AF1916">
        <v>12</v>
      </c>
      <c r="AG1916">
        <v>66</v>
      </c>
      <c r="AH1916">
        <v>32</v>
      </c>
      <c r="AI1916">
        <v>4.74</v>
      </c>
      <c r="AJ1916">
        <v>26.09</v>
      </c>
      <c r="AK1916">
        <v>12.65</v>
      </c>
      <c r="AL1916">
        <v>-19.65182809999996</v>
      </c>
      <c r="AM1916">
        <v>-43.887955347266519</v>
      </c>
      <c r="AN1916">
        <v>-19.65182809999996</v>
      </c>
      <c r="AO1916">
        <v>-43.887955347266519</v>
      </c>
      <c r="AP1916">
        <v>-19.651917999999998</v>
      </c>
      <c r="AQ1916">
        <v>-43.888081</v>
      </c>
      <c r="AR1916">
        <v>16.543262936495491</v>
      </c>
      <c r="AS1916" t="s">
        <v>65</v>
      </c>
      <c r="AT1916">
        <v>1</v>
      </c>
      <c r="AU1916" t="s">
        <v>584</v>
      </c>
      <c r="AV1916" t="s">
        <v>585</v>
      </c>
      <c r="AW1916" t="s">
        <v>60</v>
      </c>
      <c r="AX1916" t="s">
        <v>68</v>
      </c>
      <c r="AY1916" t="s">
        <v>69</v>
      </c>
      <c r="AZ1916" t="b">
        <v>1</v>
      </c>
    </row>
    <row r="1917" spans="1:52" x14ac:dyDescent="0.3">
      <c r="A1917" t="s">
        <v>52</v>
      </c>
      <c r="B1917" t="s">
        <v>53</v>
      </c>
      <c r="C1917" t="s">
        <v>54</v>
      </c>
      <c r="D1917" t="s">
        <v>55</v>
      </c>
      <c r="E1917" t="s">
        <v>853</v>
      </c>
      <c r="F1917" t="s">
        <v>512</v>
      </c>
      <c r="G1917" t="s">
        <v>592</v>
      </c>
      <c r="H1917" t="s">
        <v>593</v>
      </c>
      <c r="I1917" t="s">
        <v>593</v>
      </c>
      <c r="J1917" t="s">
        <v>60</v>
      </c>
      <c r="K1917" t="s">
        <v>445</v>
      </c>
      <c r="L1917" t="s">
        <v>62</v>
      </c>
      <c r="M1917" t="s">
        <v>445</v>
      </c>
      <c r="N1917" t="s">
        <v>594</v>
      </c>
      <c r="O1917" t="s">
        <v>477</v>
      </c>
      <c r="P1917">
        <v>-19.640709000000001</v>
      </c>
      <c r="Q1917">
        <v>-43.868687999999999</v>
      </c>
      <c r="R1917" s="2" t="str">
        <f>HYPERLINK("https://www.google.com/maps?q=-19.6407090,-43.8686880","Abrir no Google Maps")</f>
        <v>Abrir no Google Maps</v>
      </c>
      <c r="S1917">
        <v>1</v>
      </c>
      <c r="T1917">
        <v>1174.9679995958841</v>
      </c>
      <c r="U1917">
        <v>4</v>
      </c>
      <c r="V1917">
        <v>0.9654605263157896</v>
      </c>
      <c r="W1917">
        <v>1</v>
      </c>
      <c r="X1917">
        <v>0.9654605263157896</v>
      </c>
      <c r="Y1917">
        <v>10</v>
      </c>
      <c r="Z1917">
        <v>1230.8029594060461</v>
      </c>
      <c r="AA1917">
        <v>2</v>
      </c>
      <c r="AB1917">
        <v>3</v>
      </c>
      <c r="AC1917">
        <v>7</v>
      </c>
      <c r="AD1917">
        <v>24.9</v>
      </c>
      <c r="AE1917">
        <v>253</v>
      </c>
      <c r="AF1917">
        <v>12</v>
      </c>
      <c r="AG1917">
        <v>66</v>
      </c>
      <c r="AH1917">
        <v>32</v>
      </c>
      <c r="AI1917">
        <v>4.74</v>
      </c>
      <c r="AJ1917">
        <v>26.09</v>
      </c>
      <c r="AK1917">
        <v>12.65</v>
      </c>
      <c r="AL1917">
        <v>-19.641057949999979</v>
      </c>
      <c r="AM1917">
        <v>-43.868800137485707</v>
      </c>
      <c r="AN1917">
        <v>-19.641057949999979</v>
      </c>
      <c r="AO1917">
        <v>-43.868800137485707</v>
      </c>
      <c r="AP1917">
        <v>-19.640709000000001</v>
      </c>
      <c r="AQ1917">
        <v>-43.868687999999999</v>
      </c>
      <c r="AR1917">
        <v>40.585293798071682</v>
      </c>
      <c r="AS1917" t="s">
        <v>65</v>
      </c>
      <c r="AT1917">
        <v>1</v>
      </c>
      <c r="AU1917" t="s">
        <v>595</v>
      </c>
      <c r="AV1917" t="s">
        <v>596</v>
      </c>
      <c r="AW1917" t="s">
        <v>60</v>
      </c>
      <c r="AX1917" t="s">
        <v>68</v>
      </c>
      <c r="AY1917" t="s">
        <v>69</v>
      </c>
      <c r="AZ1917" t="b">
        <v>1</v>
      </c>
    </row>
    <row r="1918" spans="1:52" x14ac:dyDescent="0.3">
      <c r="A1918" t="s">
        <v>52</v>
      </c>
      <c r="B1918" t="s">
        <v>53</v>
      </c>
      <c r="C1918" t="s">
        <v>54</v>
      </c>
      <c r="D1918" t="s">
        <v>55</v>
      </c>
      <c r="E1918" t="s">
        <v>853</v>
      </c>
      <c r="F1918" t="s">
        <v>512</v>
      </c>
      <c r="G1918" t="s">
        <v>597</v>
      </c>
      <c r="H1918" t="s">
        <v>598</v>
      </c>
      <c r="I1918" t="s">
        <v>598</v>
      </c>
      <c r="J1918" t="s">
        <v>60</v>
      </c>
      <c r="K1918" t="s">
        <v>445</v>
      </c>
      <c r="L1918" t="s">
        <v>62</v>
      </c>
      <c r="M1918" t="s">
        <v>445</v>
      </c>
      <c r="N1918" t="s">
        <v>599</v>
      </c>
      <c r="O1918" t="s">
        <v>391</v>
      </c>
      <c r="P1918">
        <v>-19.637060999999999</v>
      </c>
      <c r="Q1918">
        <v>-43.871026000000001</v>
      </c>
      <c r="R1918" s="2" t="str">
        <f>HYPERLINK("https://www.google.com/maps?q=-19.6370610,-43.8710260","Abrir no Google Maps")</f>
        <v>Abrir no Google Maps</v>
      </c>
      <c r="S1918">
        <v>1</v>
      </c>
      <c r="T1918">
        <v>737.61884389282102</v>
      </c>
      <c r="U1918">
        <v>4</v>
      </c>
      <c r="V1918">
        <v>0.9786324786324786</v>
      </c>
      <c r="W1918">
        <v>1</v>
      </c>
      <c r="X1918">
        <v>0.9786324786324786</v>
      </c>
      <c r="Y1918">
        <v>10</v>
      </c>
      <c r="Z1918">
        <v>1331.4501394006061</v>
      </c>
      <c r="AA1918">
        <v>2</v>
      </c>
      <c r="AB1918">
        <v>3</v>
      </c>
      <c r="AC1918">
        <v>7</v>
      </c>
      <c r="AD1918">
        <v>24.9</v>
      </c>
      <c r="AE1918">
        <v>253</v>
      </c>
      <c r="AF1918">
        <v>12</v>
      </c>
      <c r="AG1918">
        <v>66</v>
      </c>
      <c r="AH1918">
        <v>32</v>
      </c>
      <c r="AI1918">
        <v>4.74</v>
      </c>
      <c r="AJ1918">
        <v>26.09</v>
      </c>
      <c r="AK1918">
        <v>12.65</v>
      </c>
      <c r="AL1918">
        <v>-19.637111899999951</v>
      </c>
      <c r="AM1918">
        <v>-43.870888931681193</v>
      </c>
      <c r="AN1918">
        <v>-19.637111899999951</v>
      </c>
      <c r="AO1918">
        <v>-43.870888931681193</v>
      </c>
      <c r="AP1918">
        <v>-19.637060999999999</v>
      </c>
      <c r="AQ1918">
        <v>-43.871026000000001</v>
      </c>
      <c r="AR1918">
        <v>15.44770924391884</v>
      </c>
      <c r="AS1918" t="s">
        <v>65</v>
      </c>
      <c r="AT1918">
        <v>1</v>
      </c>
      <c r="AU1918" t="s">
        <v>600</v>
      </c>
      <c r="AV1918" t="s">
        <v>601</v>
      </c>
      <c r="AW1918" t="s">
        <v>60</v>
      </c>
      <c r="AX1918" t="s">
        <v>68</v>
      </c>
      <c r="AY1918" t="s">
        <v>69</v>
      </c>
      <c r="AZ1918" t="b">
        <v>1</v>
      </c>
    </row>
    <row r="1919" spans="1:52" x14ac:dyDescent="0.3">
      <c r="A1919" t="s">
        <v>52</v>
      </c>
      <c r="B1919" t="s">
        <v>53</v>
      </c>
      <c r="C1919" t="s">
        <v>54</v>
      </c>
      <c r="D1919" t="s">
        <v>55</v>
      </c>
      <c r="E1919" t="s">
        <v>853</v>
      </c>
      <c r="F1919" t="s">
        <v>512</v>
      </c>
      <c r="G1919" t="s">
        <v>602</v>
      </c>
      <c r="H1919" t="s">
        <v>603</v>
      </c>
      <c r="I1919" t="s">
        <v>603</v>
      </c>
      <c r="J1919" t="s">
        <v>60</v>
      </c>
      <c r="K1919" t="s">
        <v>185</v>
      </c>
      <c r="L1919" t="s">
        <v>62</v>
      </c>
      <c r="M1919" t="s">
        <v>185</v>
      </c>
      <c r="N1919" t="s">
        <v>604</v>
      </c>
      <c r="O1919" t="s">
        <v>341</v>
      </c>
      <c r="P1919">
        <v>-19.624801999999999</v>
      </c>
      <c r="Q1919">
        <v>-43.891128999999999</v>
      </c>
      <c r="R1919" s="2" t="str">
        <f>HYPERLINK("https://www.google.com/maps?q=-19.6248020,-43.8911290","Abrir no Google Maps")</f>
        <v>Abrir no Google Maps</v>
      </c>
      <c r="S1919">
        <v>1</v>
      </c>
      <c r="T1919">
        <v>340.53720321500958</v>
      </c>
      <c r="U1919">
        <v>3</v>
      </c>
      <c r="V1919">
        <v>1</v>
      </c>
      <c r="W1919">
        <v>0.85</v>
      </c>
      <c r="X1919">
        <v>0.85</v>
      </c>
      <c r="Y1919">
        <v>18</v>
      </c>
      <c r="Z1919">
        <v>362.68114540183888</v>
      </c>
      <c r="AA1919">
        <v>2</v>
      </c>
      <c r="AB1919">
        <v>3</v>
      </c>
      <c r="AC1919">
        <v>7</v>
      </c>
      <c r="AD1919">
        <v>24.9</v>
      </c>
      <c r="AE1919">
        <v>253</v>
      </c>
      <c r="AF1919">
        <v>12</v>
      </c>
      <c r="AG1919">
        <v>66</v>
      </c>
      <c r="AH1919">
        <v>32</v>
      </c>
      <c r="AI1919">
        <v>4.74</v>
      </c>
      <c r="AJ1919">
        <v>26.09</v>
      </c>
      <c r="AK1919">
        <v>12.65</v>
      </c>
      <c r="AL1919">
        <v>-19.625033299999959</v>
      </c>
      <c r="AM1919">
        <v>-43.891084256403538</v>
      </c>
      <c r="AN1919">
        <v>-19.625033299999959</v>
      </c>
      <c r="AO1919">
        <v>-43.891084256403538</v>
      </c>
      <c r="AP1919">
        <v>-19.624801999999999</v>
      </c>
      <c r="AQ1919">
        <v>-43.891128999999999</v>
      </c>
      <c r="AR1919">
        <v>26.172240371022362</v>
      </c>
      <c r="AS1919" t="s">
        <v>65</v>
      </c>
      <c r="AT1919">
        <v>1</v>
      </c>
      <c r="AU1919" t="s">
        <v>605</v>
      </c>
      <c r="AV1919" t="s">
        <v>606</v>
      </c>
      <c r="AW1919" t="s">
        <v>60</v>
      </c>
      <c r="AX1919" t="s">
        <v>68</v>
      </c>
      <c r="AY1919" t="s">
        <v>69</v>
      </c>
      <c r="AZ1919" t="b">
        <v>1</v>
      </c>
    </row>
    <row r="1920" spans="1:52" x14ac:dyDescent="0.3">
      <c r="A1920" t="s">
        <v>52</v>
      </c>
      <c r="B1920" t="s">
        <v>53</v>
      </c>
      <c r="C1920" t="s">
        <v>54</v>
      </c>
      <c r="D1920" t="s">
        <v>55</v>
      </c>
      <c r="E1920" t="s">
        <v>853</v>
      </c>
      <c r="F1920" t="s">
        <v>512</v>
      </c>
      <c r="G1920" t="s">
        <v>123</v>
      </c>
      <c r="H1920" t="s">
        <v>607</v>
      </c>
      <c r="I1920" t="s">
        <v>607</v>
      </c>
      <c r="J1920" t="s">
        <v>60</v>
      </c>
      <c r="K1920" t="s">
        <v>333</v>
      </c>
      <c r="L1920" t="s">
        <v>62</v>
      </c>
      <c r="M1920" t="s">
        <v>333</v>
      </c>
      <c r="N1920" t="s">
        <v>125</v>
      </c>
      <c r="O1920" t="s">
        <v>608</v>
      </c>
      <c r="P1920">
        <v>-19.636002999999999</v>
      </c>
      <c r="Q1920">
        <v>-43.908445</v>
      </c>
      <c r="R1920" s="2" t="str">
        <f>HYPERLINK("https://www.google.com/maps?q=-19.6360030,-43.9084450","Abrir no Google Maps")</f>
        <v>Abrir no Google Maps</v>
      </c>
      <c r="S1920">
        <v>1</v>
      </c>
      <c r="T1920">
        <v>612.64850802557942</v>
      </c>
      <c r="U1920">
        <v>2</v>
      </c>
      <c r="V1920">
        <v>0.95901639344262302</v>
      </c>
      <c r="W1920">
        <v>0.85</v>
      </c>
      <c r="X1920">
        <v>0.81516393442622959</v>
      </c>
      <c r="Y1920">
        <v>10</v>
      </c>
      <c r="Z1920">
        <v>606.91793961222209</v>
      </c>
      <c r="AA1920">
        <v>2</v>
      </c>
      <c r="AB1920">
        <v>3</v>
      </c>
      <c r="AC1920">
        <v>7</v>
      </c>
      <c r="AD1920">
        <v>24.9</v>
      </c>
      <c r="AE1920">
        <v>253</v>
      </c>
      <c r="AF1920">
        <v>12</v>
      </c>
      <c r="AG1920">
        <v>66</v>
      </c>
      <c r="AH1920">
        <v>32</v>
      </c>
      <c r="AI1920">
        <v>4.74</v>
      </c>
      <c r="AJ1920">
        <v>26.09</v>
      </c>
      <c r="AK1920">
        <v>12.65</v>
      </c>
      <c r="AL1920">
        <v>-19.63618049999997</v>
      </c>
      <c r="AM1920">
        <v>-43.908471095478113</v>
      </c>
      <c r="AN1920">
        <v>-19.63618049999997</v>
      </c>
      <c r="AO1920">
        <v>-43.908471095478113</v>
      </c>
      <c r="AP1920">
        <v>-19.636002999999999</v>
      </c>
      <c r="AQ1920">
        <v>-43.908445</v>
      </c>
      <c r="AR1920">
        <v>19.947824476218141</v>
      </c>
      <c r="AS1920" t="s">
        <v>65</v>
      </c>
      <c r="AT1920">
        <v>1</v>
      </c>
      <c r="AU1920" t="s">
        <v>609</v>
      </c>
      <c r="AV1920" t="s">
        <v>610</v>
      </c>
      <c r="AW1920" t="s">
        <v>60</v>
      </c>
      <c r="AX1920" t="s">
        <v>68</v>
      </c>
      <c r="AY1920" t="s">
        <v>69</v>
      </c>
      <c r="AZ1920" t="b">
        <v>1</v>
      </c>
    </row>
    <row r="1921" spans="1:52" x14ac:dyDescent="0.3">
      <c r="A1921" t="s">
        <v>52</v>
      </c>
      <c r="B1921" t="s">
        <v>53</v>
      </c>
      <c r="C1921" t="s">
        <v>54</v>
      </c>
      <c r="D1921" t="s">
        <v>55</v>
      </c>
      <c r="E1921" t="s">
        <v>853</v>
      </c>
      <c r="F1921" t="s">
        <v>512</v>
      </c>
      <c r="G1921" t="s">
        <v>611</v>
      </c>
      <c r="H1921" t="s">
        <v>612</v>
      </c>
      <c r="I1921" t="s">
        <v>612</v>
      </c>
      <c r="J1921" t="s">
        <v>60</v>
      </c>
      <c r="K1921" t="s">
        <v>445</v>
      </c>
      <c r="L1921" t="s">
        <v>62</v>
      </c>
      <c r="M1921" t="s">
        <v>445</v>
      </c>
      <c r="N1921" t="s">
        <v>613</v>
      </c>
      <c r="O1921" t="s">
        <v>94</v>
      </c>
      <c r="P1921">
        <v>-19.639271999999998</v>
      </c>
      <c r="Q1921">
        <v>-43.875624000000002</v>
      </c>
      <c r="R1921" s="2" t="str">
        <f>HYPERLINK("https://www.google.com/maps?q=-19.6392720,-43.8756240","Abrir no Google Maps")</f>
        <v>Abrir no Google Maps</v>
      </c>
      <c r="S1921">
        <v>1</v>
      </c>
      <c r="T1921">
        <v>618.4798639458262</v>
      </c>
      <c r="U1921">
        <v>2</v>
      </c>
      <c r="V1921">
        <v>0.9609375</v>
      </c>
      <c r="W1921">
        <v>0.85</v>
      </c>
      <c r="X1921">
        <v>0.81679687499999998</v>
      </c>
      <c r="Y1921">
        <v>10</v>
      </c>
      <c r="Z1921">
        <v>724.62991660382431</v>
      </c>
      <c r="AA1921">
        <v>2</v>
      </c>
      <c r="AB1921">
        <v>3</v>
      </c>
      <c r="AC1921">
        <v>7</v>
      </c>
      <c r="AD1921">
        <v>24.9</v>
      </c>
      <c r="AE1921">
        <v>253</v>
      </c>
      <c r="AF1921">
        <v>12</v>
      </c>
      <c r="AG1921">
        <v>66</v>
      </c>
      <c r="AH1921">
        <v>32</v>
      </c>
      <c r="AI1921">
        <v>4.74</v>
      </c>
      <c r="AJ1921">
        <v>26.09</v>
      </c>
      <c r="AK1921">
        <v>12.65</v>
      </c>
      <c r="AL1921">
        <v>-19.639239899999978</v>
      </c>
      <c r="AM1921">
        <v>-43.875497463228079</v>
      </c>
      <c r="AN1921">
        <v>-19.639239899999978</v>
      </c>
      <c r="AO1921">
        <v>-43.875497463228079</v>
      </c>
      <c r="AP1921">
        <v>-19.639271999999998</v>
      </c>
      <c r="AQ1921">
        <v>-43.875624000000002</v>
      </c>
      <c r="AR1921">
        <v>13.73946951590594</v>
      </c>
      <c r="AS1921" t="s">
        <v>65</v>
      </c>
      <c r="AT1921">
        <v>1</v>
      </c>
      <c r="AU1921" t="s">
        <v>614</v>
      </c>
      <c r="AV1921" t="s">
        <v>615</v>
      </c>
      <c r="AW1921" t="s">
        <v>60</v>
      </c>
      <c r="AX1921" t="s">
        <v>68</v>
      </c>
      <c r="AY1921" t="s">
        <v>69</v>
      </c>
      <c r="AZ1921" t="b">
        <v>1</v>
      </c>
    </row>
    <row r="1922" spans="1:52" x14ac:dyDescent="0.3">
      <c r="A1922" t="s">
        <v>52</v>
      </c>
      <c r="B1922" t="s">
        <v>53</v>
      </c>
      <c r="C1922" t="s">
        <v>54</v>
      </c>
      <c r="D1922" t="s">
        <v>55</v>
      </c>
      <c r="E1922" t="s">
        <v>860</v>
      </c>
      <c r="F1922" t="s">
        <v>57</v>
      </c>
      <c r="G1922" t="s">
        <v>70</v>
      </c>
      <c r="H1922" t="s">
        <v>71</v>
      </c>
      <c r="I1922" t="s">
        <v>71</v>
      </c>
      <c r="J1922" t="s">
        <v>60</v>
      </c>
      <c r="K1922" t="s">
        <v>72</v>
      </c>
      <c r="L1922" t="s">
        <v>62</v>
      </c>
      <c r="M1922" t="s">
        <v>72</v>
      </c>
      <c r="N1922" t="s">
        <v>73</v>
      </c>
      <c r="O1922" t="s">
        <v>74</v>
      </c>
      <c r="P1922">
        <v>-19.632581999999999</v>
      </c>
      <c r="Q1922">
        <v>-43.902416000000002</v>
      </c>
      <c r="R1922" s="2" t="str">
        <f>HYPERLINK("https://www.google.com/maps?q=-19.6325820,-43.9024160","Abrir no Google Maps")</f>
        <v>Abrir no Google Maps</v>
      </c>
      <c r="S1922">
        <v>4</v>
      </c>
      <c r="T1922">
        <v>0</v>
      </c>
      <c r="U1922">
        <v>4</v>
      </c>
      <c r="V1922">
        <v>0.14420803782505909</v>
      </c>
      <c r="W1922">
        <v>1</v>
      </c>
      <c r="X1922">
        <v>0.14420803782505909</v>
      </c>
      <c r="Y1922">
        <v>10</v>
      </c>
      <c r="Z1922">
        <v>146.6968158874696</v>
      </c>
      <c r="AA1922">
        <v>2</v>
      </c>
      <c r="AB1922">
        <v>3</v>
      </c>
      <c r="AC1922">
        <v>7</v>
      </c>
      <c r="AD1922">
        <v>25.18</v>
      </c>
      <c r="AE1922">
        <v>253</v>
      </c>
      <c r="AF1922">
        <v>17</v>
      </c>
      <c r="AG1922">
        <v>57</v>
      </c>
      <c r="AH1922">
        <v>32</v>
      </c>
      <c r="AI1922">
        <v>6.72</v>
      </c>
      <c r="AJ1922">
        <v>22.53</v>
      </c>
      <c r="AK1922">
        <v>12.65</v>
      </c>
      <c r="AL1922">
        <v>-19.63271449999996</v>
      </c>
      <c r="AM1922">
        <v>-43.902649897389402</v>
      </c>
      <c r="AN1922">
        <v>-19.63271449999996</v>
      </c>
      <c r="AO1922">
        <v>-43.902649897389402</v>
      </c>
      <c r="AP1922">
        <v>-19.632581999999999</v>
      </c>
      <c r="AQ1922">
        <v>-43.902416000000002</v>
      </c>
      <c r="AR1922">
        <v>28.617753432996459</v>
      </c>
      <c r="AS1922" t="s">
        <v>65</v>
      </c>
      <c r="AT1922">
        <v>1</v>
      </c>
      <c r="AU1922" t="s">
        <v>75</v>
      </c>
      <c r="AV1922" t="s">
        <v>76</v>
      </c>
      <c r="AW1922" t="s">
        <v>60</v>
      </c>
      <c r="AX1922" t="s">
        <v>68</v>
      </c>
      <c r="AY1922" t="s">
        <v>69</v>
      </c>
      <c r="AZ1922" t="b">
        <v>1</v>
      </c>
    </row>
    <row r="1923" spans="1:52" x14ac:dyDescent="0.3">
      <c r="A1923" t="s">
        <v>52</v>
      </c>
      <c r="B1923" t="s">
        <v>53</v>
      </c>
      <c r="C1923" t="s">
        <v>54</v>
      </c>
      <c r="D1923" t="s">
        <v>55</v>
      </c>
      <c r="E1923" t="s">
        <v>860</v>
      </c>
      <c r="F1923" t="s">
        <v>57</v>
      </c>
      <c r="G1923" t="s">
        <v>77</v>
      </c>
      <c r="H1923" t="s">
        <v>78</v>
      </c>
      <c r="I1923" t="s">
        <v>78</v>
      </c>
      <c r="J1923" t="s">
        <v>60</v>
      </c>
      <c r="K1923" t="s">
        <v>79</v>
      </c>
      <c r="L1923" t="s">
        <v>62</v>
      </c>
      <c r="M1923" t="s">
        <v>79</v>
      </c>
      <c r="N1923" t="s">
        <v>80</v>
      </c>
      <c r="O1923" t="s">
        <v>81</v>
      </c>
      <c r="P1923">
        <v>-19.632463999999999</v>
      </c>
      <c r="Q1923">
        <v>-43.904927999999998</v>
      </c>
      <c r="R1923" s="2" t="str">
        <f>HYPERLINK("https://www.google.com/maps?q=-19.6324640,-43.9049280","Abrir no Google Maps")</f>
        <v>Abrir no Google Maps</v>
      </c>
      <c r="S1923">
        <v>4</v>
      </c>
      <c r="T1923">
        <v>244.1735197453369</v>
      </c>
      <c r="U1923">
        <v>4</v>
      </c>
      <c r="V1923">
        <v>8.11965811965812E-2</v>
      </c>
      <c r="W1923">
        <v>1</v>
      </c>
      <c r="X1923">
        <v>8.11965811965812E-2</v>
      </c>
      <c r="Y1923">
        <v>10</v>
      </c>
      <c r="Z1923">
        <v>287.26068152447448</v>
      </c>
      <c r="AA1923">
        <v>2</v>
      </c>
      <c r="AB1923">
        <v>3</v>
      </c>
      <c r="AC1923">
        <v>7</v>
      </c>
      <c r="AD1923">
        <v>25.18</v>
      </c>
      <c r="AE1923">
        <v>253</v>
      </c>
      <c r="AF1923">
        <v>17</v>
      </c>
      <c r="AG1923">
        <v>57</v>
      </c>
      <c r="AH1923">
        <v>32</v>
      </c>
      <c r="AI1923">
        <v>6.72</v>
      </c>
      <c r="AJ1923">
        <v>22.53</v>
      </c>
      <c r="AK1923">
        <v>12.65</v>
      </c>
      <c r="AL1923">
        <v>-19.63247099999996</v>
      </c>
      <c r="AM1923">
        <v>-43.904964174285787</v>
      </c>
      <c r="AN1923">
        <v>-19.63247099999996</v>
      </c>
      <c r="AO1923">
        <v>-43.904964174285787</v>
      </c>
      <c r="AP1923">
        <v>-19.632463999999999</v>
      </c>
      <c r="AQ1923">
        <v>-43.904927999999998</v>
      </c>
      <c r="AR1923">
        <v>3.8720457500200469</v>
      </c>
      <c r="AS1923" t="s">
        <v>65</v>
      </c>
      <c r="AT1923">
        <v>1</v>
      </c>
      <c r="AU1923" t="s">
        <v>82</v>
      </c>
      <c r="AV1923" t="s">
        <v>83</v>
      </c>
      <c r="AW1923" t="s">
        <v>60</v>
      </c>
      <c r="AX1923" t="s">
        <v>68</v>
      </c>
      <c r="AY1923" t="s">
        <v>69</v>
      </c>
      <c r="AZ1923" t="b">
        <v>1</v>
      </c>
    </row>
    <row r="1924" spans="1:52" x14ac:dyDescent="0.3">
      <c r="A1924" t="s">
        <v>52</v>
      </c>
      <c r="B1924" t="s">
        <v>53</v>
      </c>
      <c r="C1924" t="s">
        <v>54</v>
      </c>
      <c r="D1924" t="s">
        <v>55</v>
      </c>
      <c r="E1924" t="s">
        <v>860</v>
      </c>
      <c r="F1924" t="s">
        <v>57</v>
      </c>
      <c r="G1924" t="s">
        <v>805</v>
      </c>
      <c r="H1924" t="s">
        <v>806</v>
      </c>
      <c r="I1924" t="s">
        <v>806</v>
      </c>
      <c r="J1924" t="s">
        <v>60</v>
      </c>
      <c r="K1924" t="s">
        <v>185</v>
      </c>
      <c r="L1924" t="s">
        <v>62</v>
      </c>
      <c r="M1924" t="s">
        <v>185</v>
      </c>
      <c r="N1924" t="s">
        <v>807</v>
      </c>
      <c r="O1924" t="s">
        <v>808</v>
      </c>
      <c r="P1924">
        <v>-19.627182000000001</v>
      </c>
      <c r="Q1924">
        <v>-43.902304999999998</v>
      </c>
      <c r="R1924" s="2" t="str">
        <f>HYPERLINK("https://www.google.com/maps?q=-19.6271820,-43.9023050","Abrir no Google Maps")</f>
        <v>Abrir no Google Maps</v>
      </c>
      <c r="S1924">
        <v>4</v>
      </c>
      <c r="T1924">
        <v>616.79254108479665</v>
      </c>
      <c r="U1924">
        <v>4</v>
      </c>
      <c r="V1924">
        <v>5.6547619047618999E-2</v>
      </c>
      <c r="W1924">
        <v>0.85</v>
      </c>
      <c r="X1924">
        <v>4.8065476190476152E-2</v>
      </c>
      <c r="Y1924">
        <v>7</v>
      </c>
      <c r="Z1924">
        <v>380.94095493365262</v>
      </c>
      <c r="AA1924">
        <v>2</v>
      </c>
      <c r="AB1924">
        <v>3</v>
      </c>
      <c r="AC1924">
        <v>7</v>
      </c>
      <c r="AD1924">
        <v>25.18</v>
      </c>
      <c r="AE1924">
        <v>253</v>
      </c>
      <c r="AF1924">
        <v>17</v>
      </c>
      <c r="AG1924">
        <v>57</v>
      </c>
      <c r="AH1924">
        <v>32</v>
      </c>
      <c r="AI1924">
        <v>6.72</v>
      </c>
      <c r="AJ1924">
        <v>22.53</v>
      </c>
      <c r="AK1924">
        <v>12.65</v>
      </c>
      <c r="AL1924">
        <v>-19.62716294999996</v>
      </c>
      <c r="AM1924">
        <v>-43.902133386240209</v>
      </c>
      <c r="AN1924">
        <v>-19.62716294999996</v>
      </c>
      <c r="AO1924">
        <v>-43.902133386240209</v>
      </c>
      <c r="AP1924">
        <v>-19.627182000000001</v>
      </c>
      <c r="AQ1924">
        <v>-43.902304999999998</v>
      </c>
      <c r="AR1924">
        <v>18.118597424375309</v>
      </c>
      <c r="AS1924" t="s">
        <v>65</v>
      </c>
      <c r="AT1924">
        <v>1</v>
      </c>
      <c r="AU1924" t="s">
        <v>809</v>
      </c>
      <c r="AV1924" t="s">
        <v>810</v>
      </c>
      <c r="AW1924" t="s">
        <v>60</v>
      </c>
      <c r="AX1924" t="s">
        <v>68</v>
      </c>
      <c r="AY1924" t="s">
        <v>69</v>
      </c>
      <c r="AZ1924" t="b">
        <v>1</v>
      </c>
    </row>
    <row r="1925" spans="1:52" x14ac:dyDescent="0.3">
      <c r="A1925" t="s">
        <v>52</v>
      </c>
      <c r="B1925" t="s">
        <v>53</v>
      </c>
      <c r="C1925" t="s">
        <v>54</v>
      </c>
      <c r="D1925" t="s">
        <v>55</v>
      </c>
      <c r="E1925" t="s">
        <v>860</v>
      </c>
      <c r="F1925" t="s">
        <v>57</v>
      </c>
      <c r="G1925" t="s">
        <v>177</v>
      </c>
      <c r="H1925" t="s">
        <v>178</v>
      </c>
      <c r="I1925" t="s">
        <v>178</v>
      </c>
      <c r="J1925" t="s">
        <v>60</v>
      </c>
      <c r="K1925" t="s">
        <v>179</v>
      </c>
      <c r="L1925" t="s">
        <v>62</v>
      </c>
      <c r="M1925" t="s">
        <v>179</v>
      </c>
      <c r="N1925" t="s">
        <v>180</v>
      </c>
      <c r="O1925" t="s">
        <v>120</v>
      </c>
      <c r="P1925">
        <v>-19.651526</v>
      </c>
      <c r="Q1925">
        <v>-43.891382999999998</v>
      </c>
      <c r="R1925" s="2" t="str">
        <f>HYPERLINK("https://www.google.com/maps?q=-19.6515260,-43.8913830","Abrir no Google Maps")</f>
        <v>Abrir no Google Maps</v>
      </c>
      <c r="S1925">
        <v>4</v>
      </c>
      <c r="T1925">
        <v>925.67779296789433</v>
      </c>
      <c r="U1925">
        <v>4</v>
      </c>
      <c r="V1925">
        <v>5.1587301587301501E-2</v>
      </c>
      <c r="W1925">
        <v>1</v>
      </c>
      <c r="X1925">
        <v>5.1587301587301501E-2</v>
      </c>
      <c r="Y1925">
        <v>7</v>
      </c>
      <c r="Z1925">
        <v>1193.102297436121</v>
      </c>
      <c r="AA1925">
        <v>2</v>
      </c>
      <c r="AB1925">
        <v>3</v>
      </c>
      <c r="AC1925">
        <v>7</v>
      </c>
      <c r="AD1925">
        <v>25.18</v>
      </c>
      <c r="AE1925">
        <v>253</v>
      </c>
      <c r="AF1925">
        <v>17</v>
      </c>
      <c r="AG1925">
        <v>57</v>
      </c>
      <c r="AH1925">
        <v>32</v>
      </c>
      <c r="AI1925">
        <v>6.72</v>
      </c>
      <c r="AJ1925">
        <v>22.53</v>
      </c>
      <c r="AK1925">
        <v>12.65</v>
      </c>
      <c r="AL1925">
        <v>-19.651590199999958</v>
      </c>
      <c r="AM1925">
        <v>-43.891399191449963</v>
      </c>
      <c r="AN1925">
        <v>-19.651590199999958</v>
      </c>
      <c r="AO1925">
        <v>-43.891399191449963</v>
      </c>
      <c r="AP1925">
        <v>-19.651526</v>
      </c>
      <c r="AQ1925">
        <v>-43.891382999999998</v>
      </c>
      <c r="AR1925">
        <v>7.3455622550785931</v>
      </c>
      <c r="AS1925" t="s">
        <v>65</v>
      </c>
      <c r="AT1925">
        <v>1</v>
      </c>
      <c r="AU1925" t="s">
        <v>181</v>
      </c>
      <c r="AV1925" t="s">
        <v>182</v>
      </c>
      <c r="AW1925" t="s">
        <v>60</v>
      </c>
      <c r="AX1925" t="s">
        <v>68</v>
      </c>
      <c r="AY1925" t="s">
        <v>69</v>
      </c>
      <c r="AZ1925" t="b">
        <v>1</v>
      </c>
    </row>
    <row r="1926" spans="1:52" x14ac:dyDescent="0.3">
      <c r="A1926" t="s">
        <v>52</v>
      </c>
      <c r="B1926" t="s">
        <v>53</v>
      </c>
      <c r="C1926" t="s">
        <v>54</v>
      </c>
      <c r="D1926" t="s">
        <v>55</v>
      </c>
      <c r="E1926" t="s">
        <v>860</v>
      </c>
      <c r="F1926" t="s">
        <v>57</v>
      </c>
      <c r="G1926" t="s">
        <v>104</v>
      </c>
      <c r="H1926" t="s">
        <v>105</v>
      </c>
      <c r="I1926" t="s">
        <v>105</v>
      </c>
      <c r="J1926" t="s">
        <v>60</v>
      </c>
      <c r="K1926" t="s">
        <v>99</v>
      </c>
      <c r="L1926" t="s">
        <v>62</v>
      </c>
      <c r="M1926" t="s">
        <v>99</v>
      </c>
      <c r="N1926" t="s">
        <v>106</v>
      </c>
      <c r="O1926" t="s">
        <v>107</v>
      </c>
      <c r="P1926">
        <v>-19.627993</v>
      </c>
      <c r="Q1926">
        <v>-43.904820000000001</v>
      </c>
      <c r="R1926" s="2" t="str">
        <f>HYPERLINK("https://www.google.com/maps?q=-19.6279930,-43.9048200","Abrir no Google Maps")</f>
        <v>Abrir no Google Maps</v>
      </c>
      <c r="S1926">
        <v>4</v>
      </c>
      <c r="T1926">
        <v>573.16526621674666</v>
      </c>
      <c r="U1926">
        <v>4</v>
      </c>
      <c r="V1926">
        <v>0.17366946778711481</v>
      </c>
      <c r="W1926">
        <v>1</v>
      </c>
      <c r="X1926">
        <v>0.17366946778711481</v>
      </c>
      <c r="Y1926">
        <v>7</v>
      </c>
      <c r="Z1926">
        <v>659.04372306144853</v>
      </c>
      <c r="AA1926">
        <v>2</v>
      </c>
      <c r="AB1926">
        <v>3</v>
      </c>
      <c r="AC1926">
        <v>7</v>
      </c>
      <c r="AD1926">
        <v>25.18</v>
      </c>
      <c r="AE1926">
        <v>253</v>
      </c>
      <c r="AF1926">
        <v>17</v>
      </c>
      <c r="AG1926">
        <v>57</v>
      </c>
      <c r="AH1926">
        <v>32</v>
      </c>
      <c r="AI1926">
        <v>6.72</v>
      </c>
      <c r="AJ1926">
        <v>22.53</v>
      </c>
      <c r="AK1926">
        <v>12.65</v>
      </c>
      <c r="AL1926">
        <v>-19.627956249999951</v>
      </c>
      <c r="AM1926">
        <v>-43.904807634206207</v>
      </c>
      <c r="AN1926">
        <v>-19.627956249999951</v>
      </c>
      <c r="AO1926">
        <v>-43.904807634206207</v>
      </c>
      <c r="AP1926">
        <v>-19.627993</v>
      </c>
      <c r="AQ1926">
        <v>-43.904820000000001</v>
      </c>
      <c r="AR1926">
        <v>4.291557430205998</v>
      </c>
      <c r="AS1926" t="s">
        <v>65</v>
      </c>
      <c r="AT1926">
        <v>1</v>
      </c>
      <c r="AU1926" t="s">
        <v>108</v>
      </c>
      <c r="AV1926" t="s">
        <v>103</v>
      </c>
      <c r="AW1926" t="s">
        <v>60</v>
      </c>
      <c r="AX1926" t="s">
        <v>68</v>
      </c>
      <c r="AY1926" t="s">
        <v>69</v>
      </c>
      <c r="AZ1926" t="b">
        <v>1</v>
      </c>
    </row>
    <row r="1927" spans="1:52" x14ac:dyDescent="0.3">
      <c r="A1927" t="s">
        <v>52</v>
      </c>
      <c r="B1927" t="s">
        <v>53</v>
      </c>
      <c r="C1927" t="s">
        <v>54</v>
      </c>
      <c r="D1927" t="s">
        <v>55</v>
      </c>
      <c r="E1927" t="s">
        <v>860</v>
      </c>
      <c r="F1927" t="s">
        <v>57</v>
      </c>
      <c r="G1927" t="s">
        <v>183</v>
      </c>
      <c r="H1927" t="s">
        <v>184</v>
      </c>
      <c r="I1927" t="s">
        <v>184</v>
      </c>
      <c r="J1927" t="s">
        <v>60</v>
      </c>
      <c r="K1927" t="s">
        <v>185</v>
      </c>
      <c r="L1927" t="s">
        <v>62</v>
      </c>
      <c r="M1927" t="s">
        <v>185</v>
      </c>
      <c r="N1927" t="s">
        <v>186</v>
      </c>
      <c r="O1927" t="s">
        <v>187</v>
      </c>
      <c r="P1927">
        <v>-19.628589000000002</v>
      </c>
      <c r="Q1927">
        <v>-43.900232000000003</v>
      </c>
      <c r="R1927" s="2" t="str">
        <f>HYPERLINK("https://www.google.com/maps?q=-19.6285890,-43.9002320","Abrir no Google Maps")</f>
        <v>Abrir no Google Maps</v>
      </c>
      <c r="S1927">
        <v>4</v>
      </c>
      <c r="T1927">
        <v>479.31588622283061</v>
      </c>
      <c r="U1927">
        <v>4</v>
      </c>
      <c r="V1927">
        <v>0.19503546099290781</v>
      </c>
      <c r="W1927">
        <v>0.85</v>
      </c>
      <c r="X1927">
        <v>0.16578014184397161</v>
      </c>
      <c r="Y1927">
        <v>6</v>
      </c>
      <c r="Z1927">
        <v>383.34726345998263</v>
      </c>
      <c r="AA1927">
        <v>2</v>
      </c>
      <c r="AB1927">
        <v>3</v>
      </c>
      <c r="AC1927">
        <v>7</v>
      </c>
      <c r="AD1927">
        <v>25.18</v>
      </c>
      <c r="AE1927">
        <v>253</v>
      </c>
      <c r="AF1927">
        <v>17</v>
      </c>
      <c r="AG1927">
        <v>57</v>
      </c>
      <c r="AH1927">
        <v>32</v>
      </c>
      <c r="AI1927">
        <v>6.72</v>
      </c>
      <c r="AJ1927">
        <v>22.53</v>
      </c>
      <c r="AK1927">
        <v>12.65</v>
      </c>
      <c r="AL1927">
        <v>-19.628813749999949</v>
      </c>
      <c r="AM1927">
        <v>-43.90066394563523</v>
      </c>
      <c r="AN1927">
        <v>-19.628813749999949</v>
      </c>
      <c r="AO1927">
        <v>-43.90066394563523</v>
      </c>
      <c r="AP1927">
        <v>-19.628589000000002</v>
      </c>
      <c r="AQ1927">
        <v>-43.900232000000003</v>
      </c>
      <c r="AR1927">
        <v>51.741071441894853</v>
      </c>
      <c r="AS1927" t="s">
        <v>65</v>
      </c>
      <c r="AT1927">
        <v>1</v>
      </c>
      <c r="AU1927" t="s">
        <v>188</v>
      </c>
      <c r="AV1927" t="s">
        <v>189</v>
      </c>
      <c r="AW1927" t="s">
        <v>60</v>
      </c>
      <c r="AX1927" t="s">
        <v>68</v>
      </c>
      <c r="AY1927" t="s">
        <v>69</v>
      </c>
      <c r="AZ1927" t="b">
        <v>1</v>
      </c>
    </row>
    <row r="1928" spans="1:52" x14ac:dyDescent="0.3">
      <c r="A1928" t="s">
        <v>52</v>
      </c>
      <c r="B1928" t="s">
        <v>53</v>
      </c>
      <c r="C1928" t="s">
        <v>54</v>
      </c>
      <c r="D1928" t="s">
        <v>55</v>
      </c>
      <c r="E1928" t="s">
        <v>860</v>
      </c>
      <c r="F1928" t="s">
        <v>57</v>
      </c>
      <c r="G1928" t="s">
        <v>811</v>
      </c>
      <c r="H1928" t="s">
        <v>812</v>
      </c>
      <c r="I1928" t="s">
        <v>812</v>
      </c>
      <c r="J1928" t="s">
        <v>60</v>
      </c>
      <c r="K1928" t="s">
        <v>164</v>
      </c>
      <c r="L1928" t="s">
        <v>62</v>
      </c>
      <c r="M1928" t="s">
        <v>164</v>
      </c>
      <c r="N1928" t="s">
        <v>813</v>
      </c>
      <c r="O1928" t="s">
        <v>814</v>
      </c>
      <c r="P1928">
        <v>-19.634674</v>
      </c>
      <c r="Q1928">
        <v>-43.900888000000002</v>
      </c>
      <c r="R1928" s="2" t="str">
        <f>HYPERLINK("https://www.google.com/maps?q=-19.6346740,-43.9008880","Abrir no Google Maps")</f>
        <v>Abrir no Google Maps</v>
      </c>
      <c r="S1928">
        <v>4</v>
      </c>
      <c r="T1928">
        <v>311.85903972102687</v>
      </c>
      <c r="U1928">
        <v>4</v>
      </c>
      <c r="V1928">
        <v>5.90717299578059E-2</v>
      </c>
      <c r="W1928">
        <v>0.85</v>
      </c>
      <c r="X1928">
        <v>5.0210970464135023E-2</v>
      </c>
      <c r="Y1928">
        <v>4</v>
      </c>
      <c r="Z1928">
        <v>230.52904534963079</v>
      </c>
      <c r="AA1928">
        <v>2</v>
      </c>
      <c r="AB1928">
        <v>3</v>
      </c>
      <c r="AC1928">
        <v>7</v>
      </c>
      <c r="AD1928">
        <v>25.18</v>
      </c>
      <c r="AE1928">
        <v>253</v>
      </c>
      <c r="AF1928">
        <v>17</v>
      </c>
      <c r="AG1928">
        <v>57</v>
      </c>
      <c r="AH1928">
        <v>32</v>
      </c>
      <c r="AI1928">
        <v>6.72</v>
      </c>
      <c r="AJ1928">
        <v>22.53</v>
      </c>
      <c r="AK1928">
        <v>12.65</v>
      </c>
      <c r="AL1928">
        <v>-19.635003349999941</v>
      </c>
      <c r="AM1928">
        <v>-43.900915244132108</v>
      </c>
      <c r="AN1928">
        <v>-19.635003349999941</v>
      </c>
      <c r="AO1928">
        <v>-43.900915244132108</v>
      </c>
      <c r="AP1928">
        <v>-19.634674</v>
      </c>
      <c r="AQ1928">
        <v>-43.900888000000002</v>
      </c>
      <c r="AR1928">
        <v>36.774348521463253</v>
      </c>
      <c r="AS1928" t="s">
        <v>65</v>
      </c>
      <c r="AT1928">
        <v>1</v>
      </c>
      <c r="AU1928" t="s">
        <v>815</v>
      </c>
      <c r="AV1928" t="s">
        <v>816</v>
      </c>
      <c r="AW1928" t="s">
        <v>60</v>
      </c>
      <c r="AX1928" t="s">
        <v>68</v>
      </c>
      <c r="AY1928" t="s">
        <v>69</v>
      </c>
      <c r="AZ1928" t="b">
        <v>1</v>
      </c>
    </row>
    <row r="1929" spans="1:52" x14ac:dyDescent="0.3">
      <c r="A1929" t="s">
        <v>52</v>
      </c>
      <c r="B1929" t="s">
        <v>53</v>
      </c>
      <c r="C1929" t="s">
        <v>54</v>
      </c>
      <c r="D1929" t="s">
        <v>55</v>
      </c>
      <c r="E1929" t="s">
        <v>860</v>
      </c>
      <c r="F1929" t="s">
        <v>57</v>
      </c>
      <c r="G1929" t="s">
        <v>109</v>
      </c>
      <c r="H1929" t="s">
        <v>110</v>
      </c>
      <c r="I1929" t="s">
        <v>110</v>
      </c>
      <c r="J1929" t="s">
        <v>60</v>
      </c>
      <c r="K1929" t="s">
        <v>111</v>
      </c>
      <c r="L1929" t="s">
        <v>62</v>
      </c>
      <c r="M1929" t="s">
        <v>111</v>
      </c>
      <c r="N1929" t="s">
        <v>112</v>
      </c>
      <c r="O1929" t="s">
        <v>113</v>
      </c>
      <c r="P1929">
        <v>-19.654686000000002</v>
      </c>
      <c r="Q1929">
        <v>-43.907240000000002</v>
      </c>
      <c r="R1929" s="2" t="str">
        <f>HYPERLINK("https://www.google.com/maps?q=-19.6546860,-43.9072400","Abrir no Google Maps")</f>
        <v>Abrir no Google Maps</v>
      </c>
      <c r="S1929">
        <v>4</v>
      </c>
      <c r="T1929">
        <v>824.24450564548704</v>
      </c>
      <c r="U1929">
        <v>4</v>
      </c>
      <c r="V1929">
        <v>8.6956521739130405E-2</v>
      </c>
      <c r="W1929">
        <v>1</v>
      </c>
      <c r="X1929">
        <v>8.6956521739130405E-2</v>
      </c>
      <c r="Y1929">
        <v>4</v>
      </c>
      <c r="Z1929">
        <v>524.70106879290392</v>
      </c>
      <c r="AA1929">
        <v>2</v>
      </c>
      <c r="AB1929">
        <v>3</v>
      </c>
      <c r="AC1929">
        <v>7</v>
      </c>
      <c r="AD1929">
        <v>25.18</v>
      </c>
      <c r="AE1929">
        <v>253</v>
      </c>
      <c r="AF1929">
        <v>17</v>
      </c>
      <c r="AG1929">
        <v>57</v>
      </c>
      <c r="AH1929">
        <v>32</v>
      </c>
      <c r="AI1929">
        <v>6.72</v>
      </c>
      <c r="AJ1929">
        <v>22.53</v>
      </c>
      <c r="AK1929">
        <v>12.65</v>
      </c>
      <c r="AL1929">
        <v>-19.65511684999996</v>
      </c>
      <c r="AM1929">
        <v>-43.905662999837993</v>
      </c>
      <c r="AN1929">
        <v>-19.65511684999996</v>
      </c>
      <c r="AO1929">
        <v>-43.905662999837993</v>
      </c>
      <c r="AP1929">
        <v>-19.654686000000002</v>
      </c>
      <c r="AQ1929">
        <v>-43.907240000000002</v>
      </c>
      <c r="AR1929">
        <v>172.13969981835351</v>
      </c>
      <c r="AS1929" t="s">
        <v>65</v>
      </c>
      <c r="AT1929">
        <v>1</v>
      </c>
      <c r="AU1929" t="s">
        <v>114</v>
      </c>
      <c r="AV1929" t="s">
        <v>115</v>
      </c>
      <c r="AW1929" t="s">
        <v>60</v>
      </c>
      <c r="AX1929" t="s">
        <v>68</v>
      </c>
      <c r="AY1929" t="s">
        <v>69</v>
      </c>
      <c r="AZ1929" t="b">
        <v>1</v>
      </c>
    </row>
    <row r="1930" spans="1:52" x14ac:dyDescent="0.3">
      <c r="A1930" t="s">
        <v>52</v>
      </c>
      <c r="B1930" t="s">
        <v>53</v>
      </c>
      <c r="C1930" t="s">
        <v>54</v>
      </c>
      <c r="D1930" t="s">
        <v>55</v>
      </c>
      <c r="E1930" t="s">
        <v>860</v>
      </c>
      <c r="F1930" t="s">
        <v>57</v>
      </c>
      <c r="G1930" t="s">
        <v>116</v>
      </c>
      <c r="H1930" t="s">
        <v>117</v>
      </c>
      <c r="I1930" t="s">
        <v>117</v>
      </c>
      <c r="J1930" t="s">
        <v>60</v>
      </c>
      <c r="K1930" t="s">
        <v>118</v>
      </c>
      <c r="L1930" t="s">
        <v>62</v>
      </c>
      <c r="M1930" t="s">
        <v>118</v>
      </c>
      <c r="N1930" t="s">
        <v>119</v>
      </c>
      <c r="O1930" t="s">
        <v>120</v>
      </c>
      <c r="P1930">
        <v>-19.663869999999999</v>
      </c>
      <c r="Q1930">
        <v>-43.904916999999998</v>
      </c>
      <c r="R1930" s="2" t="str">
        <f>HYPERLINK("https://www.google.com/maps?q=-19.6638700,-43.9049170","Abrir no Google Maps")</f>
        <v>Abrir no Google Maps</v>
      </c>
      <c r="S1930">
        <v>4</v>
      </c>
      <c r="T1930">
        <v>0</v>
      </c>
      <c r="U1930">
        <v>4</v>
      </c>
      <c r="V1930">
        <v>0.19444444444444439</v>
      </c>
      <c r="W1930">
        <v>1</v>
      </c>
      <c r="X1930">
        <v>0.19444444444444439</v>
      </c>
      <c r="Y1930">
        <v>4</v>
      </c>
      <c r="Z1930">
        <v>1169.476938179705</v>
      </c>
      <c r="AA1930">
        <v>2</v>
      </c>
      <c r="AB1930">
        <v>3</v>
      </c>
      <c r="AC1930">
        <v>7</v>
      </c>
      <c r="AD1930">
        <v>25.18</v>
      </c>
      <c r="AE1930">
        <v>253</v>
      </c>
      <c r="AF1930">
        <v>17</v>
      </c>
      <c r="AG1930">
        <v>57</v>
      </c>
      <c r="AH1930">
        <v>32</v>
      </c>
      <c r="AI1930">
        <v>6.72</v>
      </c>
      <c r="AJ1930">
        <v>22.53</v>
      </c>
      <c r="AK1930">
        <v>12.65</v>
      </c>
      <c r="AL1930">
        <v>-19.657063599999962</v>
      </c>
      <c r="AM1930">
        <v>-43.898074976464507</v>
      </c>
      <c r="AN1930">
        <v>-19.657063599999962</v>
      </c>
      <c r="AO1930">
        <v>-43.898074976464507</v>
      </c>
      <c r="AP1930">
        <v>-19.663869999999999</v>
      </c>
      <c r="AQ1930">
        <v>-43.904916999999998</v>
      </c>
      <c r="AR1930">
        <v>1043.3426220355029</v>
      </c>
      <c r="AS1930" t="s">
        <v>65</v>
      </c>
      <c r="AT1930">
        <v>1</v>
      </c>
      <c r="AU1930" t="s">
        <v>121</v>
      </c>
      <c r="AV1930" t="s">
        <v>122</v>
      </c>
      <c r="AW1930" t="s">
        <v>60</v>
      </c>
      <c r="AX1930" t="s">
        <v>68</v>
      </c>
      <c r="AY1930" t="s">
        <v>69</v>
      </c>
      <c r="AZ1930" t="b">
        <v>1</v>
      </c>
    </row>
    <row r="1931" spans="1:52" x14ac:dyDescent="0.3">
      <c r="A1931" t="s">
        <v>52</v>
      </c>
      <c r="B1931" t="s">
        <v>53</v>
      </c>
      <c r="C1931" t="s">
        <v>54</v>
      </c>
      <c r="D1931" t="s">
        <v>55</v>
      </c>
      <c r="E1931" t="s">
        <v>860</v>
      </c>
      <c r="F1931" t="s">
        <v>57</v>
      </c>
      <c r="G1931" t="s">
        <v>204</v>
      </c>
      <c r="H1931" t="s">
        <v>205</v>
      </c>
      <c r="I1931" t="s">
        <v>205</v>
      </c>
      <c r="J1931" t="s">
        <v>60</v>
      </c>
      <c r="K1931" t="s">
        <v>171</v>
      </c>
      <c r="L1931" t="s">
        <v>62</v>
      </c>
      <c r="M1931" t="s">
        <v>171</v>
      </c>
      <c r="N1931" t="s">
        <v>206</v>
      </c>
      <c r="O1931" t="s">
        <v>207</v>
      </c>
      <c r="P1931">
        <v>-19.674109000000001</v>
      </c>
      <c r="Q1931">
        <v>-43.890711000000003</v>
      </c>
      <c r="R1931" s="2" t="str">
        <f>HYPERLINK("https://www.google.com/maps?q=-19.6741090,-43.8907110","Abrir no Google Maps")</f>
        <v>Abrir no Google Maps</v>
      </c>
      <c r="S1931">
        <v>4</v>
      </c>
      <c r="T1931">
        <v>396.53059443764772</v>
      </c>
      <c r="U1931">
        <v>4</v>
      </c>
      <c r="V1931">
        <v>5.1796157059314903E-2</v>
      </c>
      <c r="W1931">
        <v>1</v>
      </c>
      <c r="X1931">
        <v>5.1796157059314903E-2</v>
      </c>
      <c r="Y1931">
        <v>3</v>
      </c>
      <c r="Z1931">
        <v>499.22520255557538</v>
      </c>
      <c r="AA1931">
        <v>2</v>
      </c>
      <c r="AB1931">
        <v>3</v>
      </c>
      <c r="AC1931">
        <v>7</v>
      </c>
      <c r="AD1931">
        <v>25.18</v>
      </c>
      <c r="AE1931">
        <v>253</v>
      </c>
      <c r="AF1931">
        <v>17</v>
      </c>
      <c r="AG1931">
        <v>57</v>
      </c>
      <c r="AH1931">
        <v>32</v>
      </c>
      <c r="AI1931">
        <v>6.72</v>
      </c>
      <c r="AJ1931">
        <v>22.53</v>
      </c>
      <c r="AK1931">
        <v>12.65</v>
      </c>
      <c r="AL1931">
        <v>-19.67362479999997</v>
      </c>
      <c r="AM1931">
        <v>-43.89068378253377</v>
      </c>
      <c r="AN1931">
        <v>-19.67362479999997</v>
      </c>
      <c r="AO1931">
        <v>-43.89068378253377</v>
      </c>
      <c r="AP1931">
        <v>-19.674109000000001</v>
      </c>
      <c r="AQ1931">
        <v>-43.890711000000003</v>
      </c>
      <c r="AR1931">
        <v>53.976595260276227</v>
      </c>
      <c r="AS1931" t="s">
        <v>65</v>
      </c>
      <c r="AT1931">
        <v>1</v>
      </c>
      <c r="AU1931" t="s">
        <v>208</v>
      </c>
      <c r="AV1931" t="s">
        <v>209</v>
      </c>
      <c r="AW1931" t="s">
        <v>60</v>
      </c>
      <c r="AX1931" t="s">
        <v>68</v>
      </c>
      <c r="AY1931" t="s">
        <v>69</v>
      </c>
      <c r="AZ1931" t="b">
        <v>1</v>
      </c>
    </row>
    <row r="1932" spans="1:52" x14ac:dyDescent="0.3">
      <c r="A1932" t="s">
        <v>52</v>
      </c>
      <c r="B1932" t="s">
        <v>53</v>
      </c>
      <c r="C1932" t="s">
        <v>54</v>
      </c>
      <c r="D1932" t="s">
        <v>55</v>
      </c>
      <c r="E1932" t="s">
        <v>860</v>
      </c>
      <c r="F1932" t="s">
        <v>57</v>
      </c>
      <c r="G1932" t="s">
        <v>123</v>
      </c>
      <c r="H1932" t="s">
        <v>124</v>
      </c>
      <c r="I1932" t="s">
        <v>124</v>
      </c>
      <c r="J1932" t="s">
        <v>60</v>
      </c>
      <c r="K1932" t="s">
        <v>72</v>
      </c>
      <c r="L1932" t="s">
        <v>62</v>
      </c>
      <c r="M1932" t="s">
        <v>72</v>
      </c>
      <c r="N1932" t="s">
        <v>125</v>
      </c>
      <c r="O1932" t="s">
        <v>126</v>
      </c>
      <c r="P1932">
        <v>-19.634015000000002</v>
      </c>
      <c r="Q1932">
        <v>-43.918776000000001</v>
      </c>
      <c r="R1932" s="2" t="str">
        <f>HYPERLINK("https://www.google.com/maps?q=-19.6340150,-43.9187760","Abrir no Google Maps")</f>
        <v>Abrir no Google Maps</v>
      </c>
      <c r="S1932">
        <v>4</v>
      </c>
      <c r="T1932">
        <v>525.62818365919122</v>
      </c>
      <c r="U1932">
        <v>4</v>
      </c>
      <c r="V1932">
        <v>0.27397260273972601</v>
      </c>
      <c r="W1932">
        <v>1</v>
      </c>
      <c r="X1932">
        <v>0.27397260273972601</v>
      </c>
      <c r="Y1932">
        <v>3</v>
      </c>
      <c r="Z1932">
        <v>474.91441433808131</v>
      </c>
      <c r="AA1932">
        <v>2</v>
      </c>
      <c r="AB1932">
        <v>3</v>
      </c>
      <c r="AC1932">
        <v>7</v>
      </c>
      <c r="AD1932">
        <v>25.18</v>
      </c>
      <c r="AE1932">
        <v>253</v>
      </c>
      <c r="AF1932">
        <v>17</v>
      </c>
      <c r="AG1932">
        <v>57</v>
      </c>
      <c r="AH1932">
        <v>32</v>
      </c>
      <c r="AI1932">
        <v>6.72</v>
      </c>
      <c r="AJ1932">
        <v>22.53</v>
      </c>
      <c r="AK1932">
        <v>12.65</v>
      </c>
      <c r="AL1932">
        <v>-19.63405809999994</v>
      </c>
      <c r="AM1932">
        <v>-43.919666391328043</v>
      </c>
      <c r="AN1932">
        <v>-19.63405809999994</v>
      </c>
      <c r="AO1932">
        <v>-43.919666391328029</v>
      </c>
      <c r="AP1932">
        <v>-19.634015000000002</v>
      </c>
      <c r="AQ1932">
        <v>-43.918776000000001</v>
      </c>
      <c r="AR1932">
        <v>93.478621134470259</v>
      </c>
      <c r="AS1932" t="s">
        <v>65</v>
      </c>
      <c r="AT1932">
        <v>1</v>
      </c>
      <c r="AU1932" t="s">
        <v>127</v>
      </c>
      <c r="AV1932" t="s">
        <v>128</v>
      </c>
      <c r="AW1932" t="s">
        <v>60</v>
      </c>
      <c r="AX1932" t="s">
        <v>68</v>
      </c>
      <c r="AY1932" t="s">
        <v>69</v>
      </c>
      <c r="AZ1932" t="b">
        <v>1</v>
      </c>
    </row>
    <row r="1933" spans="1:52" x14ac:dyDescent="0.3">
      <c r="A1933" t="s">
        <v>52</v>
      </c>
      <c r="B1933" t="s">
        <v>53</v>
      </c>
      <c r="C1933" t="s">
        <v>54</v>
      </c>
      <c r="D1933" t="s">
        <v>55</v>
      </c>
      <c r="E1933" t="s">
        <v>860</v>
      </c>
      <c r="F1933" t="s">
        <v>57</v>
      </c>
      <c r="G1933" t="s">
        <v>129</v>
      </c>
      <c r="H1933" t="s">
        <v>130</v>
      </c>
      <c r="I1933" t="s">
        <v>130</v>
      </c>
      <c r="J1933" t="s">
        <v>60</v>
      </c>
      <c r="K1933" t="s">
        <v>131</v>
      </c>
      <c r="L1933" t="s">
        <v>62</v>
      </c>
      <c r="M1933" t="s">
        <v>131</v>
      </c>
      <c r="N1933" t="s">
        <v>132</v>
      </c>
      <c r="O1933" t="s">
        <v>133</v>
      </c>
      <c r="P1933">
        <v>-19.632088</v>
      </c>
      <c r="Q1933">
        <v>-43.916114999999998</v>
      </c>
      <c r="R1933" s="2" t="str">
        <f>HYPERLINK("https://www.google.com/maps?q=-19.6320880,-43.9161150","Abrir no Google Maps")</f>
        <v>Abrir no Google Maps</v>
      </c>
      <c r="S1933">
        <v>4</v>
      </c>
      <c r="T1933">
        <v>566.5346232632869</v>
      </c>
      <c r="U1933">
        <v>4</v>
      </c>
      <c r="V1933">
        <v>0.33333333333333331</v>
      </c>
      <c r="W1933">
        <v>1</v>
      </c>
      <c r="X1933">
        <v>0.33333333333333331</v>
      </c>
      <c r="Y1933">
        <v>3</v>
      </c>
      <c r="Z1933">
        <v>488.06597434012792</v>
      </c>
      <c r="AA1933">
        <v>2</v>
      </c>
      <c r="AB1933">
        <v>3</v>
      </c>
      <c r="AC1933">
        <v>7</v>
      </c>
      <c r="AD1933">
        <v>25.18</v>
      </c>
      <c r="AE1933">
        <v>253</v>
      </c>
      <c r="AF1933">
        <v>17</v>
      </c>
      <c r="AG1933">
        <v>57</v>
      </c>
      <c r="AH1933">
        <v>32</v>
      </c>
      <c r="AI1933">
        <v>6.72</v>
      </c>
      <c r="AJ1933">
        <v>22.53</v>
      </c>
      <c r="AK1933">
        <v>12.65</v>
      </c>
      <c r="AL1933">
        <v>-19.632034449999939</v>
      </c>
      <c r="AM1933">
        <v>-43.916174776913351</v>
      </c>
      <c r="AN1933">
        <v>-19.632034449999939</v>
      </c>
      <c r="AO1933">
        <v>-43.916174776913351</v>
      </c>
      <c r="AP1933">
        <v>-19.632088</v>
      </c>
      <c r="AQ1933">
        <v>-43.916114999999998</v>
      </c>
      <c r="AR1933">
        <v>8.6497324882263911</v>
      </c>
      <c r="AS1933" t="s">
        <v>65</v>
      </c>
      <c r="AT1933">
        <v>1</v>
      </c>
      <c r="AU1933" t="s">
        <v>134</v>
      </c>
      <c r="AV1933" t="s">
        <v>135</v>
      </c>
      <c r="AW1933" t="s">
        <v>60</v>
      </c>
      <c r="AX1933" t="s">
        <v>68</v>
      </c>
      <c r="AY1933" t="s">
        <v>69</v>
      </c>
      <c r="AZ1933" t="b">
        <v>1</v>
      </c>
    </row>
    <row r="1934" spans="1:52" x14ac:dyDescent="0.3">
      <c r="A1934" t="s">
        <v>52</v>
      </c>
      <c r="B1934" t="s">
        <v>53</v>
      </c>
      <c r="C1934" t="s">
        <v>54</v>
      </c>
      <c r="D1934" t="s">
        <v>55</v>
      </c>
      <c r="E1934" t="s">
        <v>860</v>
      </c>
      <c r="F1934" t="s">
        <v>57</v>
      </c>
      <c r="G1934" t="s">
        <v>129</v>
      </c>
      <c r="H1934" t="s">
        <v>136</v>
      </c>
      <c r="I1934" t="s">
        <v>136</v>
      </c>
      <c r="J1934" t="s">
        <v>60</v>
      </c>
      <c r="K1934" t="s">
        <v>131</v>
      </c>
      <c r="L1934" t="s">
        <v>62</v>
      </c>
      <c r="M1934" t="s">
        <v>131</v>
      </c>
      <c r="N1934" t="s">
        <v>132</v>
      </c>
      <c r="O1934" t="s">
        <v>133</v>
      </c>
      <c r="P1934">
        <v>-19.632290999999999</v>
      </c>
      <c r="Q1934">
        <v>-43.916542999999997</v>
      </c>
      <c r="R1934" s="2" t="str">
        <f>HYPERLINK("https://www.google.com/maps?q=-19.6322910,-43.9165430","Abrir no Google Maps")</f>
        <v>Abrir no Google Maps</v>
      </c>
      <c r="S1934">
        <v>4</v>
      </c>
      <c r="T1934">
        <v>556.95255545673058</v>
      </c>
      <c r="U1934">
        <v>4</v>
      </c>
      <c r="V1934">
        <v>0.33333333333333331</v>
      </c>
      <c r="W1934">
        <v>1</v>
      </c>
      <c r="X1934">
        <v>0.33333333333333331</v>
      </c>
      <c r="Y1934">
        <v>3</v>
      </c>
      <c r="Z1934">
        <v>479.66756878400719</v>
      </c>
      <c r="AA1934">
        <v>2</v>
      </c>
      <c r="AB1934">
        <v>3</v>
      </c>
      <c r="AC1934">
        <v>7</v>
      </c>
      <c r="AD1934">
        <v>25.18</v>
      </c>
      <c r="AE1934">
        <v>253</v>
      </c>
      <c r="AF1934">
        <v>17</v>
      </c>
      <c r="AG1934">
        <v>57</v>
      </c>
      <c r="AH1934">
        <v>32</v>
      </c>
      <c r="AI1934">
        <v>6.72</v>
      </c>
      <c r="AJ1934">
        <v>22.53</v>
      </c>
      <c r="AK1934">
        <v>12.65</v>
      </c>
      <c r="AL1934">
        <v>-19.63215424999996</v>
      </c>
      <c r="AM1934">
        <v>-43.916542189528307</v>
      </c>
      <c r="AN1934">
        <v>-19.63215424999996</v>
      </c>
      <c r="AO1934">
        <v>-43.916542189528307</v>
      </c>
      <c r="AP1934">
        <v>-19.632290999999999</v>
      </c>
      <c r="AQ1934">
        <v>-43.916542999999997</v>
      </c>
      <c r="AR1934">
        <v>15.22324717984722</v>
      </c>
      <c r="AS1934" t="s">
        <v>65</v>
      </c>
      <c r="AT1934">
        <v>1</v>
      </c>
      <c r="AU1934" t="s">
        <v>137</v>
      </c>
      <c r="AV1934" t="s">
        <v>138</v>
      </c>
      <c r="AW1934" t="s">
        <v>60</v>
      </c>
      <c r="AX1934" t="s">
        <v>68</v>
      </c>
      <c r="AY1934" t="s">
        <v>69</v>
      </c>
      <c r="AZ1934" t="b">
        <v>1</v>
      </c>
    </row>
    <row r="1935" spans="1:52" x14ac:dyDescent="0.3">
      <c r="A1935" t="s">
        <v>52</v>
      </c>
      <c r="B1935" t="s">
        <v>53</v>
      </c>
      <c r="C1935" t="s">
        <v>54</v>
      </c>
      <c r="D1935" t="s">
        <v>55</v>
      </c>
      <c r="E1935" t="s">
        <v>860</v>
      </c>
      <c r="F1935" t="s">
        <v>57</v>
      </c>
      <c r="G1935" t="s">
        <v>139</v>
      </c>
      <c r="H1935" t="s">
        <v>140</v>
      </c>
      <c r="I1935" t="s">
        <v>140</v>
      </c>
      <c r="J1935" t="s">
        <v>60</v>
      </c>
      <c r="K1935" t="s">
        <v>79</v>
      </c>
      <c r="L1935" t="s">
        <v>62</v>
      </c>
      <c r="M1935" t="s">
        <v>79</v>
      </c>
      <c r="N1935" t="s">
        <v>141</v>
      </c>
      <c r="O1935" t="s">
        <v>142</v>
      </c>
      <c r="P1935">
        <v>-19.628888</v>
      </c>
      <c r="Q1935">
        <v>-43.912554</v>
      </c>
      <c r="R1935" s="2" t="str">
        <f>HYPERLINK("https://www.google.com/maps?q=-19.6288880,-43.9125540","Abrir no Google Maps")</f>
        <v>Abrir no Google Maps</v>
      </c>
      <c r="S1935">
        <v>4</v>
      </c>
      <c r="T1935">
        <v>1013.629555558835</v>
      </c>
      <c r="U1935">
        <v>4</v>
      </c>
      <c r="V1935">
        <v>0.33012820512820512</v>
      </c>
      <c r="W1935">
        <v>0.85</v>
      </c>
      <c r="X1935">
        <v>0.28060897435897442</v>
      </c>
      <c r="Y1935">
        <v>3</v>
      </c>
      <c r="Z1935">
        <v>950.42126394515765</v>
      </c>
      <c r="AA1935">
        <v>2</v>
      </c>
      <c r="AB1935">
        <v>3</v>
      </c>
      <c r="AC1935">
        <v>7</v>
      </c>
      <c r="AD1935">
        <v>25.18</v>
      </c>
      <c r="AE1935">
        <v>253</v>
      </c>
      <c r="AF1935">
        <v>17</v>
      </c>
      <c r="AG1935">
        <v>57</v>
      </c>
      <c r="AH1935">
        <v>32</v>
      </c>
      <c r="AI1935">
        <v>6.72</v>
      </c>
      <c r="AJ1935">
        <v>22.53</v>
      </c>
      <c r="AK1935">
        <v>12.65</v>
      </c>
      <c r="AL1935">
        <v>-19.628472899999959</v>
      </c>
      <c r="AM1935">
        <v>-43.912746118821246</v>
      </c>
      <c r="AN1935">
        <v>-19.628472899999959</v>
      </c>
      <c r="AO1935">
        <v>-43.912746118821246</v>
      </c>
      <c r="AP1935">
        <v>-19.628888</v>
      </c>
      <c r="AQ1935">
        <v>-43.912554</v>
      </c>
      <c r="AR1935">
        <v>50.408750888077009</v>
      </c>
      <c r="AS1935" t="s">
        <v>65</v>
      </c>
      <c r="AT1935">
        <v>1</v>
      </c>
      <c r="AU1935" t="s">
        <v>143</v>
      </c>
      <c r="AV1935" t="s">
        <v>144</v>
      </c>
      <c r="AW1935" t="s">
        <v>60</v>
      </c>
      <c r="AX1935" t="s">
        <v>68</v>
      </c>
      <c r="AY1935" t="s">
        <v>69</v>
      </c>
      <c r="AZ1935" t="b">
        <v>1</v>
      </c>
    </row>
    <row r="1936" spans="1:52" x14ac:dyDescent="0.3">
      <c r="A1936" t="s">
        <v>52</v>
      </c>
      <c r="B1936" t="s">
        <v>53</v>
      </c>
      <c r="C1936" t="s">
        <v>54</v>
      </c>
      <c r="D1936" t="s">
        <v>55</v>
      </c>
      <c r="E1936" t="s">
        <v>860</v>
      </c>
      <c r="F1936" t="s">
        <v>57</v>
      </c>
      <c r="G1936" t="s">
        <v>151</v>
      </c>
      <c r="H1936" t="s">
        <v>152</v>
      </c>
      <c r="I1936" t="s">
        <v>152</v>
      </c>
      <c r="J1936" t="s">
        <v>60</v>
      </c>
      <c r="K1936" t="s">
        <v>72</v>
      </c>
      <c r="L1936" t="s">
        <v>62</v>
      </c>
      <c r="M1936" t="s">
        <v>72</v>
      </c>
      <c r="N1936" t="s">
        <v>153</v>
      </c>
      <c r="O1936" t="s">
        <v>81</v>
      </c>
      <c r="P1936">
        <v>-19.635065999999998</v>
      </c>
      <c r="Q1936">
        <v>-43.916640000000001</v>
      </c>
      <c r="R1936" s="2" t="str">
        <f>HYPERLINK("https://www.google.com/maps?q=-19.6350660,-43.9166400","Abrir no Google Maps")</f>
        <v>Abrir no Google Maps</v>
      </c>
      <c r="S1936">
        <v>4</v>
      </c>
      <c r="T1936">
        <v>245.09875796292749</v>
      </c>
      <c r="U1936">
        <v>4</v>
      </c>
      <c r="V1936">
        <v>3.90625E-2</v>
      </c>
      <c r="W1936">
        <v>1</v>
      </c>
      <c r="X1936">
        <v>3.90625E-2</v>
      </c>
      <c r="Y1936">
        <v>3</v>
      </c>
      <c r="Z1936">
        <v>207.74356419317499</v>
      </c>
      <c r="AA1936">
        <v>2</v>
      </c>
      <c r="AB1936">
        <v>3</v>
      </c>
      <c r="AC1936">
        <v>7</v>
      </c>
      <c r="AD1936">
        <v>25.18</v>
      </c>
      <c r="AE1936">
        <v>253</v>
      </c>
      <c r="AF1936">
        <v>17</v>
      </c>
      <c r="AG1936">
        <v>57</v>
      </c>
      <c r="AH1936">
        <v>32</v>
      </c>
      <c r="AI1936">
        <v>6.72</v>
      </c>
      <c r="AJ1936">
        <v>22.53</v>
      </c>
      <c r="AK1936">
        <v>12.65</v>
      </c>
      <c r="AL1936">
        <v>-19.63505579999995</v>
      </c>
      <c r="AM1936">
        <v>-43.916633303072622</v>
      </c>
      <c r="AN1936">
        <v>-19.63505579999995</v>
      </c>
      <c r="AO1936">
        <v>-43.916633303072622</v>
      </c>
      <c r="AP1936">
        <v>-19.635065999999998</v>
      </c>
      <c r="AQ1936">
        <v>-43.916640000000001</v>
      </c>
      <c r="AR1936">
        <v>1.335026849412978</v>
      </c>
      <c r="AS1936" t="s">
        <v>65</v>
      </c>
      <c r="AT1936">
        <v>1</v>
      </c>
      <c r="AU1936" t="s">
        <v>154</v>
      </c>
      <c r="AV1936" t="s">
        <v>155</v>
      </c>
      <c r="AW1936" t="s">
        <v>60</v>
      </c>
      <c r="AX1936" t="s">
        <v>68</v>
      </c>
      <c r="AY1936" t="s">
        <v>69</v>
      </c>
      <c r="AZ1936" t="b">
        <v>1</v>
      </c>
    </row>
    <row r="1937" spans="1:52" x14ac:dyDescent="0.3">
      <c r="A1937" t="s">
        <v>52</v>
      </c>
      <c r="B1937" t="s">
        <v>53</v>
      </c>
      <c r="C1937" t="s">
        <v>54</v>
      </c>
      <c r="D1937" t="s">
        <v>55</v>
      </c>
      <c r="E1937" t="s">
        <v>860</v>
      </c>
      <c r="F1937" t="s">
        <v>57</v>
      </c>
      <c r="G1937" t="s">
        <v>637</v>
      </c>
      <c r="H1937" t="s">
        <v>638</v>
      </c>
      <c r="I1937" t="s">
        <v>638</v>
      </c>
      <c r="J1937" t="s">
        <v>60</v>
      </c>
      <c r="K1937" t="s">
        <v>164</v>
      </c>
      <c r="L1937" t="s">
        <v>62</v>
      </c>
      <c r="M1937" t="s">
        <v>164</v>
      </c>
      <c r="N1937" t="s">
        <v>515</v>
      </c>
      <c r="O1937" t="s">
        <v>639</v>
      </c>
      <c r="P1937">
        <v>-19.649045000000001</v>
      </c>
      <c r="Q1937">
        <v>-43.906213000000001</v>
      </c>
      <c r="R1937" s="2" t="str">
        <f>HYPERLINK("https://www.google.com/maps?q=-19.6490450,-43.9062130","Abrir no Google Maps")</f>
        <v>Abrir no Google Maps</v>
      </c>
      <c r="S1937">
        <v>4</v>
      </c>
      <c r="T1937">
        <v>354.5775313741824</v>
      </c>
      <c r="U1937">
        <v>4</v>
      </c>
      <c r="V1937">
        <v>4.9999999999999899E-2</v>
      </c>
      <c r="W1937">
        <v>0.85</v>
      </c>
      <c r="X1937">
        <v>4.2499999999999913E-2</v>
      </c>
      <c r="Y1937">
        <v>1</v>
      </c>
      <c r="Z1937">
        <v>313.4728845052731</v>
      </c>
      <c r="AA1937">
        <v>2</v>
      </c>
      <c r="AB1937">
        <v>3</v>
      </c>
      <c r="AC1937">
        <v>7</v>
      </c>
      <c r="AD1937">
        <v>25.18</v>
      </c>
      <c r="AE1937">
        <v>253</v>
      </c>
      <c r="AF1937">
        <v>17</v>
      </c>
      <c r="AG1937">
        <v>57</v>
      </c>
      <c r="AH1937">
        <v>32</v>
      </c>
      <c r="AI1937">
        <v>6.72</v>
      </c>
      <c r="AJ1937">
        <v>22.53</v>
      </c>
      <c r="AK1937">
        <v>12.65</v>
      </c>
      <c r="AL1937">
        <v>-19.64957229999996</v>
      </c>
      <c r="AM1937">
        <v>-43.905865971426437</v>
      </c>
      <c r="AN1937">
        <v>-19.64957229999996</v>
      </c>
      <c r="AO1937">
        <v>-43.905865971426437</v>
      </c>
      <c r="AP1937">
        <v>-19.649045000000001</v>
      </c>
      <c r="AQ1937">
        <v>-43.906213000000001</v>
      </c>
      <c r="AR1937">
        <v>69.059379686882949</v>
      </c>
      <c r="AS1937" t="s">
        <v>65</v>
      </c>
      <c r="AT1937">
        <v>1</v>
      </c>
      <c r="AU1937" t="s">
        <v>640</v>
      </c>
      <c r="AV1937" t="s">
        <v>641</v>
      </c>
      <c r="AW1937" t="s">
        <v>60</v>
      </c>
      <c r="AX1937" t="s">
        <v>68</v>
      </c>
      <c r="AY1937" t="s">
        <v>69</v>
      </c>
      <c r="AZ1937" t="b">
        <v>1</v>
      </c>
    </row>
    <row r="1938" spans="1:52" x14ac:dyDescent="0.3">
      <c r="A1938" t="s">
        <v>52</v>
      </c>
      <c r="B1938" t="s">
        <v>53</v>
      </c>
      <c r="C1938" t="s">
        <v>54</v>
      </c>
      <c r="D1938" t="s">
        <v>55</v>
      </c>
      <c r="E1938" t="s">
        <v>860</v>
      </c>
      <c r="F1938" t="s">
        <v>57</v>
      </c>
      <c r="G1938" t="s">
        <v>169</v>
      </c>
      <c r="H1938" t="s">
        <v>170</v>
      </c>
      <c r="I1938" t="s">
        <v>170</v>
      </c>
      <c r="J1938" t="s">
        <v>60</v>
      </c>
      <c r="K1938" t="s">
        <v>171</v>
      </c>
      <c r="L1938" t="s">
        <v>62</v>
      </c>
      <c r="M1938" t="s">
        <v>171</v>
      </c>
      <c r="N1938" t="s">
        <v>172</v>
      </c>
      <c r="O1938" t="s">
        <v>173</v>
      </c>
      <c r="P1938">
        <v>-19.676233</v>
      </c>
      <c r="Q1938">
        <v>-43.88861</v>
      </c>
      <c r="R1938" s="2" t="str">
        <f>HYPERLINK("https://www.google.com/maps?q=-19.6762330,-43.8886100","Abrir no Google Maps")</f>
        <v>Abrir no Google Maps</v>
      </c>
      <c r="S1938">
        <v>4</v>
      </c>
      <c r="T1938">
        <v>209.5772620412292</v>
      </c>
      <c r="U1938">
        <v>4</v>
      </c>
      <c r="V1938">
        <v>5.6022408963585402E-2</v>
      </c>
      <c r="W1938">
        <v>1</v>
      </c>
      <c r="X1938">
        <v>5.6022408963585402E-2</v>
      </c>
      <c r="Y1938">
        <v>0</v>
      </c>
      <c r="Z1938">
        <v>194.26571923644971</v>
      </c>
      <c r="AA1938">
        <v>2</v>
      </c>
      <c r="AB1938">
        <v>3</v>
      </c>
      <c r="AC1938">
        <v>7</v>
      </c>
      <c r="AD1938">
        <v>25.18</v>
      </c>
      <c r="AE1938">
        <v>253</v>
      </c>
      <c r="AF1938">
        <v>17</v>
      </c>
      <c r="AG1938">
        <v>57</v>
      </c>
      <c r="AH1938">
        <v>32</v>
      </c>
      <c r="AI1938">
        <v>6.72</v>
      </c>
      <c r="AJ1938">
        <v>22.53</v>
      </c>
      <c r="AK1938">
        <v>12.65</v>
      </c>
      <c r="AL1938">
        <v>-19.676097449999961</v>
      </c>
      <c r="AM1938">
        <v>-43.888455613153738</v>
      </c>
      <c r="AN1938">
        <v>-19.676097449999961</v>
      </c>
      <c r="AO1938">
        <v>-43.888455613153738</v>
      </c>
      <c r="AP1938">
        <v>-19.676233</v>
      </c>
      <c r="AQ1938">
        <v>-43.88861</v>
      </c>
      <c r="AR1938">
        <v>22.126352434234079</v>
      </c>
      <c r="AS1938" t="s">
        <v>65</v>
      </c>
      <c r="AT1938">
        <v>1</v>
      </c>
      <c r="AU1938" t="s">
        <v>174</v>
      </c>
      <c r="AV1938" t="s">
        <v>175</v>
      </c>
      <c r="AW1938" t="s">
        <v>60</v>
      </c>
      <c r="AX1938" t="s">
        <v>68</v>
      </c>
      <c r="AY1938" t="s">
        <v>69</v>
      </c>
      <c r="AZ1938" t="b">
        <v>1</v>
      </c>
    </row>
    <row r="1939" spans="1:52" x14ac:dyDescent="0.3">
      <c r="A1939" t="s">
        <v>52</v>
      </c>
      <c r="B1939" t="s">
        <v>53</v>
      </c>
      <c r="C1939" t="s">
        <v>54</v>
      </c>
      <c r="D1939" t="s">
        <v>55</v>
      </c>
      <c r="E1939" t="s">
        <v>860</v>
      </c>
      <c r="F1939" t="s">
        <v>176</v>
      </c>
      <c r="G1939" t="s">
        <v>58</v>
      </c>
      <c r="H1939" t="s">
        <v>59</v>
      </c>
      <c r="I1939" t="s">
        <v>59</v>
      </c>
      <c r="J1939" t="s">
        <v>60</v>
      </c>
      <c r="K1939" t="s">
        <v>61</v>
      </c>
      <c r="L1939" t="s">
        <v>62</v>
      </c>
      <c r="M1939" t="s">
        <v>61</v>
      </c>
      <c r="N1939" t="s">
        <v>63</v>
      </c>
      <c r="O1939" t="s">
        <v>64</v>
      </c>
      <c r="P1939">
        <v>-19.631502000000001</v>
      </c>
      <c r="Q1939">
        <v>-43.910241999999997</v>
      </c>
      <c r="R1939" s="2" t="str">
        <f>HYPERLINK("https://www.google.com/maps?q=-19.6315020,-43.9102420","Abrir no Google Maps")</f>
        <v>Abrir no Google Maps</v>
      </c>
      <c r="S1939">
        <v>4</v>
      </c>
      <c r="T1939">
        <v>789.20099406682743</v>
      </c>
      <c r="U1939">
        <v>3</v>
      </c>
      <c r="V1939">
        <v>6.5616797900261998E-3</v>
      </c>
      <c r="W1939">
        <v>1</v>
      </c>
      <c r="X1939">
        <v>6.5616797900261998E-3</v>
      </c>
      <c r="Y1939">
        <v>10</v>
      </c>
      <c r="Z1939">
        <v>691.44930074509864</v>
      </c>
      <c r="AA1939">
        <v>2</v>
      </c>
      <c r="AB1939">
        <v>3</v>
      </c>
      <c r="AC1939">
        <v>7</v>
      </c>
      <c r="AD1939">
        <v>25.18</v>
      </c>
      <c r="AE1939">
        <v>253</v>
      </c>
      <c r="AF1939">
        <v>17</v>
      </c>
      <c r="AG1939">
        <v>57</v>
      </c>
      <c r="AH1939">
        <v>32</v>
      </c>
      <c r="AI1939">
        <v>6.72</v>
      </c>
      <c r="AJ1939">
        <v>22.53</v>
      </c>
      <c r="AK1939">
        <v>12.65</v>
      </c>
      <c r="AL1939">
        <v>-19.631719749999949</v>
      </c>
      <c r="AM1939">
        <v>-43.910102324517517</v>
      </c>
      <c r="AN1939">
        <v>-19.631719749999949</v>
      </c>
      <c r="AO1939">
        <v>-43.910102324517517</v>
      </c>
      <c r="AP1939">
        <v>-19.631502000000001</v>
      </c>
      <c r="AQ1939">
        <v>-43.910241999999997</v>
      </c>
      <c r="AR1939">
        <v>28.320416429206599</v>
      </c>
      <c r="AS1939" t="s">
        <v>65</v>
      </c>
      <c r="AT1939">
        <v>1</v>
      </c>
      <c r="AU1939" t="s">
        <v>66</v>
      </c>
      <c r="AV1939" t="s">
        <v>67</v>
      </c>
      <c r="AW1939" t="s">
        <v>60</v>
      </c>
      <c r="AX1939" t="s">
        <v>68</v>
      </c>
      <c r="AY1939" t="s">
        <v>69</v>
      </c>
      <c r="AZ1939" t="b">
        <v>1</v>
      </c>
    </row>
    <row r="1940" spans="1:52" x14ac:dyDescent="0.3">
      <c r="A1940" t="s">
        <v>52</v>
      </c>
      <c r="B1940" t="s">
        <v>53</v>
      </c>
      <c r="C1940" t="s">
        <v>54</v>
      </c>
      <c r="D1940" t="s">
        <v>55</v>
      </c>
      <c r="E1940" t="s">
        <v>860</v>
      </c>
      <c r="F1940" t="s">
        <v>176</v>
      </c>
      <c r="G1940" t="s">
        <v>513</v>
      </c>
      <c r="H1940" t="s">
        <v>514</v>
      </c>
      <c r="I1940" t="s">
        <v>514</v>
      </c>
      <c r="J1940" t="s">
        <v>60</v>
      </c>
      <c r="K1940" t="s">
        <v>185</v>
      </c>
      <c r="L1940" t="s">
        <v>62</v>
      </c>
      <c r="M1940" t="s">
        <v>185</v>
      </c>
      <c r="N1940" t="s">
        <v>515</v>
      </c>
      <c r="O1940" t="s">
        <v>516</v>
      </c>
      <c r="P1940">
        <v>-19.63184</v>
      </c>
      <c r="Q1940">
        <v>-43.899625999999998</v>
      </c>
      <c r="R1940" s="2" t="str">
        <f>HYPERLINK("https://www.google.com/maps?q=-19.6318400,-43.8996260","Abrir no Google Maps")</f>
        <v>Abrir no Google Maps</v>
      </c>
      <c r="S1940">
        <v>4</v>
      </c>
      <c r="T1940">
        <v>317.05369638212568</v>
      </c>
      <c r="U1940">
        <v>3</v>
      </c>
      <c r="V1940">
        <v>4.12698412698412E-2</v>
      </c>
      <c r="W1940">
        <v>0.85</v>
      </c>
      <c r="X1940">
        <v>3.5079365079365023E-2</v>
      </c>
      <c r="Y1940">
        <v>10</v>
      </c>
      <c r="Z1940">
        <v>467.39112963581732</v>
      </c>
      <c r="AA1940">
        <v>2</v>
      </c>
      <c r="AB1940">
        <v>3</v>
      </c>
      <c r="AC1940">
        <v>7</v>
      </c>
      <c r="AD1940">
        <v>25.18</v>
      </c>
      <c r="AE1940">
        <v>253</v>
      </c>
      <c r="AF1940">
        <v>17</v>
      </c>
      <c r="AG1940">
        <v>57</v>
      </c>
      <c r="AH1940">
        <v>32</v>
      </c>
      <c r="AI1940">
        <v>6.72</v>
      </c>
      <c r="AJ1940">
        <v>22.53</v>
      </c>
      <c r="AK1940">
        <v>12.65</v>
      </c>
      <c r="AL1940">
        <v>-19.631819699999941</v>
      </c>
      <c r="AM1940">
        <v>-43.89977767057065</v>
      </c>
      <c r="AN1940">
        <v>-19.631819699999941</v>
      </c>
      <c r="AO1940">
        <v>-43.89977767057065</v>
      </c>
      <c r="AP1940">
        <v>-19.63184</v>
      </c>
      <c r="AQ1940">
        <v>-43.899625999999998</v>
      </c>
      <c r="AR1940">
        <v>16.062279375806241</v>
      </c>
      <c r="AS1940" t="s">
        <v>65</v>
      </c>
      <c r="AT1940">
        <v>1</v>
      </c>
      <c r="AU1940" t="s">
        <v>517</v>
      </c>
      <c r="AV1940" t="s">
        <v>518</v>
      </c>
      <c r="AW1940" t="s">
        <v>60</v>
      </c>
      <c r="AX1940" t="s">
        <v>68</v>
      </c>
      <c r="AY1940" t="s">
        <v>69</v>
      </c>
      <c r="AZ1940" t="b">
        <v>1</v>
      </c>
    </row>
    <row r="1941" spans="1:52" x14ac:dyDescent="0.3">
      <c r="A1941" t="s">
        <v>52</v>
      </c>
      <c r="B1941" t="s">
        <v>53</v>
      </c>
      <c r="C1941" t="s">
        <v>54</v>
      </c>
      <c r="D1941" t="s">
        <v>55</v>
      </c>
      <c r="E1941" t="s">
        <v>860</v>
      </c>
      <c r="F1941" t="s">
        <v>176</v>
      </c>
      <c r="G1941" t="s">
        <v>519</v>
      </c>
      <c r="H1941" t="s">
        <v>520</v>
      </c>
      <c r="I1941" t="s">
        <v>520</v>
      </c>
      <c r="J1941" t="s">
        <v>60</v>
      </c>
      <c r="K1941" t="s">
        <v>72</v>
      </c>
      <c r="L1941" t="s">
        <v>62</v>
      </c>
      <c r="M1941" t="s">
        <v>72</v>
      </c>
      <c r="N1941" t="s">
        <v>521</v>
      </c>
      <c r="O1941" t="s">
        <v>522</v>
      </c>
      <c r="P1941">
        <v>-19.634713000000001</v>
      </c>
      <c r="Q1941">
        <v>-43.908909999999999</v>
      </c>
      <c r="R1941" s="2" t="str">
        <f>HYPERLINK("https://www.google.com/maps?q=-19.6347130,-43.9089100","Abrir no Google Maps")</f>
        <v>Abrir no Google Maps</v>
      </c>
      <c r="S1941">
        <v>4</v>
      </c>
      <c r="T1941">
        <v>700.74700083720154</v>
      </c>
      <c r="U1941">
        <v>3</v>
      </c>
      <c r="V1941">
        <v>1.8867924528301799E-2</v>
      </c>
      <c r="W1941">
        <v>0.85</v>
      </c>
      <c r="X1941">
        <v>1.6037735849056531E-2</v>
      </c>
      <c r="Y1941">
        <v>10</v>
      </c>
      <c r="Z1941">
        <v>557.86159429038207</v>
      </c>
      <c r="AA1941">
        <v>2</v>
      </c>
      <c r="AB1941">
        <v>3</v>
      </c>
      <c r="AC1941">
        <v>7</v>
      </c>
      <c r="AD1941">
        <v>25.18</v>
      </c>
      <c r="AE1941">
        <v>253</v>
      </c>
      <c r="AF1941">
        <v>17</v>
      </c>
      <c r="AG1941">
        <v>57</v>
      </c>
      <c r="AH1941">
        <v>32</v>
      </c>
      <c r="AI1941">
        <v>6.72</v>
      </c>
      <c r="AJ1941">
        <v>22.53</v>
      </c>
      <c r="AK1941">
        <v>12.65</v>
      </c>
      <c r="AL1941">
        <v>-19.634626949999959</v>
      </c>
      <c r="AM1941">
        <v>-43.909020333181857</v>
      </c>
      <c r="AN1941">
        <v>-19.634626949999959</v>
      </c>
      <c r="AO1941">
        <v>-43.909020333181857</v>
      </c>
      <c r="AP1941">
        <v>-19.634713000000001</v>
      </c>
      <c r="AQ1941">
        <v>-43.908909999999999</v>
      </c>
      <c r="AR1941">
        <v>15.01933861967664</v>
      </c>
      <c r="AS1941" t="s">
        <v>65</v>
      </c>
      <c r="AT1941">
        <v>1</v>
      </c>
      <c r="AU1941" t="s">
        <v>523</v>
      </c>
      <c r="AV1941" t="s">
        <v>524</v>
      </c>
      <c r="AW1941" t="s">
        <v>60</v>
      </c>
      <c r="AX1941" t="s">
        <v>68</v>
      </c>
      <c r="AY1941" t="s">
        <v>69</v>
      </c>
      <c r="AZ1941" t="b">
        <v>1</v>
      </c>
    </row>
    <row r="1942" spans="1:52" x14ac:dyDescent="0.3">
      <c r="A1942" t="s">
        <v>52</v>
      </c>
      <c r="B1942" t="s">
        <v>53</v>
      </c>
      <c r="C1942" t="s">
        <v>54</v>
      </c>
      <c r="D1942" t="s">
        <v>55</v>
      </c>
      <c r="E1942" t="s">
        <v>860</v>
      </c>
      <c r="F1942" t="s">
        <v>176</v>
      </c>
      <c r="G1942" t="s">
        <v>91</v>
      </c>
      <c r="H1942" t="s">
        <v>92</v>
      </c>
      <c r="I1942" t="s">
        <v>92</v>
      </c>
      <c r="J1942" t="s">
        <v>60</v>
      </c>
      <c r="K1942" t="s">
        <v>86</v>
      </c>
      <c r="L1942" t="s">
        <v>62</v>
      </c>
      <c r="M1942" t="s">
        <v>86</v>
      </c>
      <c r="N1942" t="s">
        <v>93</v>
      </c>
      <c r="O1942" t="s">
        <v>94</v>
      </c>
      <c r="P1942">
        <v>-19.630676999999999</v>
      </c>
      <c r="Q1942">
        <v>-43.907255999999997</v>
      </c>
      <c r="R1942" s="2" t="str">
        <f>HYPERLINK("https://www.google.com/maps?q=-19.6306770,-43.9072560","Abrir no Google Maps")</f>
        <v>Abrir no Google Maps</v>
      </c>
      <c r="S1942">
        <v>4</v>
      </c>
      <c r="T1942">
        <v>545.39374622597825</v>
      </c>
      <c r="U1942">
        <v>3</v>
      </c>
      <c r="V1942">
        <v>1.4619883040935601E-2</v>
      </c>
      <c r="W1942">
        <v>1</v>
      </c>
      <c r="X1942">
        <v>1.4619883040935601E-2</v>
      </c>
      <c r="Y1942">
        <v>10</v>
      </c>
      <c r="Z1942">
        <v>559.94033759457182</v>
      </c>
      <c r="AA1942">
        <v>2</v>
      </c>
      <c r="AB1942">
        <v>3</v>
      </c>
      <c r="AC1942">
        <v>7</v>
      </c>
      <c r="AD1942">
        <v>25.18</v>
      </c>
      <c r="AE1942">
        <v>253</v>
      </c>
      <c r="AF1942">
        <v>17</v>
      </c>
      <c r="AG1942">
        <v>57</v>
      </c>
      <c r="AH1942">
        <v>32</v>
      </c>
      <c r="AI1942">
        <v>6.72</v>
      </c>
      <c r="AJ1942">
        <v>22.53</v>
      </c>
      <c r="AK1942">
        <v>12.65</v>
      </c>
      <c r="AL1942">
        <v>-19.630448649999941</v>
      </c>
      <c r="AM1942">
        <v>-43.907268502495313</v>
      </c>
      <c r="AN1942">
        <v>-19.630448649999941</v>
      </c>
      <c r="AO1942">
        <v>-43.907268502495313</v>
      </c>
      <c r="AP1942">
        <v>-19.630676999999999</v>
      </c>
      <c r="AQ1942">
        <v>-43.907255999999997</v>
      </c>
      <c r="AR1942">
        <v>25.453700276562468</v>
      </c>
      <c r="AS1942" t="s">
        <v>65</v>
      </c>
      <c r="AT1942">
        <v>1</v>
      </c>
      <c r="AU1942" t="s">
        <v>95</v>
      </c>
      <c r="AV1942" t="s">
        <v>96</v>
      </c>
      <c r="AW1942" t="s">
        <v>60</v>
      </c>
      <c r="AX1942" t="s">
        <v>68</v>
      </c>
      <c r="AY1942" t="s">
        <v>69</v>
      </c>
      <c r="AZ1942" t="b">
        <v>1</v>
      </c>
    </row>
    <row r="1943" spans="1:52" x14ac:dyDescent="0.3">
      <c r="A1943" t="s">
        <v>52</v>
      </c>
      <c r="B1943" t="s">
        <v>53</v>
      </c>
      <c r="C1943" t="s">
        <v>54</v>
      </c>
      <c r="D1943" t="s">
        <v>55</v>
      </c>
      <c r="E1943" t="s">
        <v>860</v>
      </c>
      <c r="F1943" t="s">
        <v>176</v>
      </c>
      <c r="G1943" t="s">
        <v>97</v>
      </c>
      <c r="H1943" t="s">
        <v>98</v>
      </c>
      <c r="I1943" t="s">
        <v>98</v>
      </c>
      <c r="J1943" t="s">
        <v>60</v>
      </c>
      <c r="K1943" t="s">
        <v>99</v>
      </c>
      <c r="L1943" t="s">
        <v>62</v>
      </c>
      <c r="M1943" t="s">
        <v>99</v>
      </c>
      <c r="N1943" t="s">
        <v>100</v>
      </c>
      <c r="O1943" t="s">
        <v>101</v>
      </c>
      <c r="P1943">
        <v>-19.629822000000001</v>
      </c>
      <c r="Q1943">
        <v>-43.905341</v>
      </c>
      <c r="R1943" s="2" t="str">
        <f>HYPERLINK("https://www.google.com/maps?q=-19.6298220,-43.9053410","Abrir no Google Maps")</f>
        <v>Abrir no Google Maps</v>
      </c>
      <c r="S1943">
        <v>4</v>
      </c>
      <c r="T1943">
        <v>441.30597341744129</v>
      </c>
      <c r="U1943">
        <v>3</v>
      </c>
      <c r="V1943">
        <v>2.2598870056497099E-2</v>
      </c>
      <c r="W1943">
        <v>1</v>
      </c>
      <c r="X1943">
        <v>2.2598870056497099E-2</v>
      </c>
      <c r="Y1943">
        <v>10</v>
      </c>
      <c r="Z1943">
        <v>513.56493751010987</v>
      </c>
      <c r="AA1943">
        <v>2</v>
      </c>
      <c r="AB1943">
        <v>3</v>
      </c>
      <c r="AC1943">
        <v>7</v>
      </c>
      <c r="AD1943">
        <v>25.18</v>
      </c>
      <c r="AE1943">
        <v>253</v>
      </c>
      <c r="AF1943">
        <v>17</v>
      </c>
      <c r="AG1943">
        <v>57</v>
      </c>
      <c r="AH1943">
        <v>32</v>
      </c>
      <c r="AI1943">
        <v>6.72</v>
      </c>
      <c r="AJ1943">
        <v>22.53</v>
      </c>
      <c r="AK1943">
        <v>12.65</v>
      </c>
      <c r="AL1943">
        <v>-19.629671599999941</v>
      </c>
      <c r="AM1943">
        <v>-43.905369597920988</v>
      </c>
      <c r="AN1943">
        <v>-19.629671599999931</v>
      </c>
      <c r="AO1943">
        <v>-43.905369597920988</v>
      </c>
      <c r="AP1943">
        <v>-19.629822000000001</v>
      </c>
      <c r="AQ1943">
        <v>-43.905341</v>
      </c>
      <c r="AR1943">
        <v>17.008917699186132</v>
      </c>
      <c r="AS1943" t="s">
        <v>65</v>
      </c>
      <c r="AT1943">
        <v>1</v>
      </c>
      <c r="AU1943" t="s">
        <v>102</v>
      </c>
      <c r="AV1943" t="s">
        <v>103</v>
      </c>
      <c r="AW1943" t="s">
        <v>60</v>
      </c>
      <c r="AX1943" t="s">
        <v>68</v>
      </c>
      <c r="AY1943" t="s">
        <v>69</v>
      </c>
      <c r="AZ1943" t="b">
        <v>1</v>
      </c>
    </row>
    <row r="1944" spans="1:52" x14ac:dyDescent="0.3">
      <c r="A1944" t="s">
        <v>52</v>
      </c>
      <c r="B1944" t="s">
        <v>53</v>
      </c>
      <c r="C1944" t="s">
        <v>54</v>
      </c>
      <c r="D1944" t="s">
        <v>55</v>
      </c>
      <c r="E1944" t="s">
        <v>860</v>
      </c>
      <c r="F1944" t="s">
        <v>176</v>
      </c>
      <c r="G1944" t="s">
        <v>190</v>
      </c>
      <c r="H1944" t="s">
        <v>191</v>
      </c>
      <c r="I1944" t="s">
        <v>191</v>
      </c>
      <c r="J1944" t="s">
        <v>60</v>
      </c>
      <c r="K1944" t="s">
        <v>192</v>
      </c>
      <c r="L1944" t="s">
        <v>62</v>
      </c>
      <c r="M1944" t="s">
        <v>192</v>
      </c>
      <c r="N1944" t="s">
        <v>193</v>
      </c>
      <c r="O1944" t="s">
        <v>194</v>
      </c>
      <c r="P1944">
        <v>-19.654112000000001</v>
      </c>
      <c r="Q1944">
        <v>-43.910761999999998</v>
      </c>
      <c r="R1944" s="2" t="str">
        <f>HYPERLINK("https://www.google.com/maps?q=-19.6541120,-43.9107620","Abrir no Google Maps")</f>
        <v>Abrir no Google Maps</v>
      </c>
      <c r="S1944">
        <v>4</v>
      </c>
      <c r="T1944">
        <v>1080.0524626304521</v>
      </c>
      <c r="U1944">
        <v>3</v>
      </c>
      <c r="V1944">
        <v>2.0833333333333301E-2</v>
      </c>
      <c r="W1944">
        <v>1</v>
      </c>
      <c r="X1944">
        <v>2.0833333333333301E-2</v>
      </c>
      <c r="Y1944">
        <v>4</v>
      </c>
      <c r="Z1944">
        <v>666.99022879086885</v>
      </c>
      <c r="AA1944">
        <v>2</v>
      </c>
      <c r="AB1944">
        <v>3</v>
      </c>
      <c r="AC1944">
        <v>7</v>
      </c>
      <c r="AD1944">
        <v>25.18</v>
      </c>
      <c r="AE1944">
        <v>253</v>
      </c>
      <c r="AF1944">
        <v>17</v>
      </c>
      <c r="AG1944">
        <v>57</v>
      </c>
      <c r="AH1944">
        <v>32</v>
      </c>
      <c r="AI1944">
        <v>6.72</v>
      </c>
      <c r="AJ1944">
        <v>22.53</v>
      </c>
      <c r="AK1944">
        <v>12.65</v>
      </c>
      <c r="AL1944">
        <v>-19.653869149999959</v>
      </c>
      <c r="AM1944">
        <v>-43.911142816432779</v>
      </c>
      <c r="AN1944">
        <v>-19.653869149999959</v>
      </c>
      <c r="AO1944">
        <v>-43.911142816432779</v>
      </c>
      <c r="AP1944">
        <v>-19.654112000000001</v>
      </c>
      <c r="AQ1944">
        <v>-43.910761999999998</v>
      </c>
      <c r="AR1944">
        <v>48.214810864237499</v>
      </c>
      <c r="AS1944" t="s">
        <v>65</v>
      </c>
      <c r="AT1944">
        <v>1</v>
      </c>
      <c r="AU1944" t="s">
        <v>195</v>
      </c>
      <c r="AV1944" t="s">
        <v>196</v>
      </c>
      <c r="AW1944" t="s">
        <v>60</v>
      </c>
      <c r="AX1944" t="s">
        <v>68</v>
      </c>
      <c r="AY1944" t="s">
        <v>69</v>
      </c>
      <c r="AZ1944" t="b">
        <v>1</v>
      </c>
    </row>
    <row r="1945" spans="1:52" x14ac:dyDescent="0.3">
      <c r="A1945" t="s">
        <v>52</v>
      </c>
      <c r="B1945" t="s">
        <v>53</v>
      </c>
      <c r="C1945" t="s">
        <v>54</v>
      </c>
      <c r="D1945" t="s">
        <v>55</v>
      </c>
      <c r="E1945" t="s">
        <v>860</v>
      </c>
      <c r="F1945" t="s">
        <v>176</v>
      </c>
      <c r="G1945" t="s">
        <v>197</v>
      </c>
      <c r="H1945" t="s">
        <v>198</v>
      </c>
      <c r="I1945" t="s">
        <v>198</v>
      </c>
      <c r="J1945" t="s">
        <v>60</v>
      </c>
      <c r="K1945" t="s">
        <v>199</v>
      </c>
      <c r="L1945" t="s">
        <v>62</v>
      </c>
      <c r="M1945" t="s">
        <v>199</v>
      </c>
      <c r="N1945" t="s">
        <v>200</v>
      </c>
      <c r="O1945" t="s">
        <v>201</v>
      </c>
      <c r="P1945">
        <v>-19.639250000000001</v>
      </c>
      <c r="Q1945">
        <v>-43.916449999999998</v>
      </c>
      <c r="R1945" s="2" t="str">
        <f>HYPERLINK("https://www.google.com/maps?q=-19.6392500,-43.9164500","Abrir no Google Maps")</f>
        <v>Abrir no Google Maps</v>
      </c>
      <c r="S1945">
        <v>4</v>
      </c>
      <c r="T1945">
        <v>249.46350881074861</v>
      </c>
      <c r="U1945">
        <v>3</v>
      </c>
      <c r="V1945">
        <v>9.8039215686274005E-3</v>
      </c>
      <c r="W1945">
        <v>1</v>
      </c>
      <c r="X1945">
        <v>9.8039215686274005E-3</v>
      </c>
      <c r="Y1945">
        <v>3</v>
      </c>
      <c r="Z1945">
        <v>267.54148787490578</v>
      </c>
      <c r="AA1945">
        <v>2</v>
      </c>
      <c r="AB1945">
        <v>3</v>
      </c>
      <c r="AC1945">
        <v>7</v>
      </c>
      <c r="AD1945">
        <v>25.18</v>
      </c>
      <c r="AE1945">
        <v>253</v>
      </c>
      <c r="AF1945">
        <v>17</v>
      </c>
      <c r="AG1945">
        <v>57</v>
      </c>
      <c r="AH1945">
        <v>32</v>
      </c>
      <c r="AI1945">
        <v>6.72</v>
      </c>
      <c r="AJ1945">
        <v>22.53</v>
      </c>
      <c r="AK1945">
        <v>12.65</v>
      </c>
      <c r="AL1945">
        <v>-19.639331149999951</v>
      </c>
      <c r="AM1945">
        <v>-43.916434187886892</v>
      </c>
      <c r="AN1945">
        <v>-19.639331149999951</v>
      </c>
      <c r="AO1945">
        <v>-43.916434187886892</v>
      </c>
      <c r="AP1945">
        <v>-19.639250000000001</v>
      </c>
      <c r="AQ1945">
        <v>-43.916449999999998</v>
      </c>
      <c r="AR1945">
        <v>9.1844750188843953</v>
      </c>
      <c r="AS1945" t="s">
        <v>65</v>
      </c>
      <c r="AT1945">
        <v>1</v>
      </c>
      <c r="AU1945" t="s">
        <v>202</v>
      </c>
      <c r="AV1945" t="s">
        <v>203</v>
      </c>
      <c r="AW1945" t="s">
        <v>60</v>
      </c>
      <c r="AX1945" t="s">
        <v>68</v>
      </c>
      <c r="AY1945" t="s">
        <v>69</v>
      </c>
      <c r="AZ1945" t="b">
        <v>1</v>
      </c>
    </row>
    <row r="1946" spans="1:52" x14ac:dyDescent="0.3">
      <c r="A1946" t="s">
        <v>52</v>
      </c>
      <c r="B1946" t="s">
        <v>53</v>
      </c>
      <c r="C1946" t="s">
        <v>54</v>
      </c>
      <c r="D1946" t="s">
        <v>55</v>
      </c>
      <c r="E1946" t="s">
        <v>860</v>
      </c>
      <c r="F1946" t="s">
        <v>176</v>
      </c>
      <c r="G1946" t="s">
        <v>145</v>
      </c>
      <c r="H1946" t="s">
        <v>146</v>
      </c>
      <c r="I1946" t="s">
        <v>146</v>
      </c>
      <c r="J1946" t="s">
        <v>60</v>
      </c>
      <c r="K1946" t="s">
        <v>147</v>
      </c>
      <c r="L1946" t="s">
        <v>62</v>
      </c>
      <c r="M1946" t="s">
        <v>147</v>
      </c>
      <c r="N1946" t="s">
        <v>148</v>
      </c>
      <c r="O1946" t="s">
        <v>81</v>
      </c>
      <c r="P1946">
        <v>-19.629356999999999</v>
      </c>
      <c r="Q1946">
        <v>-43.916857</v>
      </c>
      <c r="R1946" s="2" t="str">
        <f>HYPERLINK("https://www.google.com/maps?q=-19.6293570,-43.9168570","Abrir no Google Maps")</f>
        <v>Abrir no Google Maps</v>
      </c>
      <c r="S1946">
        <v>4</v>
      </c>
      <c r="T1946">
        <v>834.49898564045827</v>
      </c>
      <c r="U1946">
        <v>3</v>
      </c>
      <c r="V1946">
        <v>1.3227513227513201E-2</v>
      </c>
      <c r="W1946">
        <v>1</v>
      </c>
      <c r="X1946">
        <v>1.3227513227513201E-2</v>
      </c>
      <c r="Y1946">
        <v>3</v>
      </c>
      <c r="Z1946">
        <v>774.2841152512085</v>
      </c>
      <c r="AA1946">
        <v>2</v>
      </c>
      <c r="AB1946">
        <v>3</v>
      </c>
      <c r="AC1946">
        <v>7</v>
      </c>
      <c r="AD1946">
        <v>25.18</v>
      </c>
      <c r="AE1946">
        <v>253</v>
      </c>
      <c r="AF1946">
        <v>17</v>
      </c>
      <c r="AG1946">
        <v>57</v>
      </c>
      <c r="AH1946">
        <v>32</v>
      </c>
      <c r="AI1946">
        <v>6.72</v>
      </c>
      <c r="AJ1946">
        <v>22.53</v>
      </c>
      <c r="AK1946">
        <v>12.65</v>
      </c>
      <c r="AL1946">
        <v>-19.62962324999998</v>
      </c>
      <c r="AM1946">
        <v>-43.916419823634037</v>
      </c>
      <c r="AN1946">
        <v>-19.62962324999998</v>
      </c>
      <c r="AO1946">
        <v>-43.916419823634051</v>
      </c>
      <c r="AP1946">
        <v>-19.629356999999999</v>
      </c>
      <c r="AQ1946">
        <v>-43.916857</v>
      </c>
      <c r="AR1946">
        <v>54.585757388798442</v>
      </c>
      <c r="AS1946" t="s">
        <v>65</v>
      </c>
      <c r="AT1946">
        <v>1</v>
      </c>
      <c r="AU1946" t="s">
        <v>149</v>
      </c>
      <c r="AV1946" t="s">
        <v>150</v>
      </c>
      <c r="AW1946" t="s">
        <v>60</v>
      </c>
      <c r="AX1946" t="s">
        <v>68</v>
      </c>
      <c r="AY1946" t="s">
        <v>69</v>
      </c>
      <c r="AZ1946" t="b">
        <v>1</v>
      </c>
    </row>
    <row r="1947" spans="1:52" x14ac:dyDescent="0.3">
      <c r="A1947" t="s">
        <v>52</v>
      </c>
      <c r="B1947" t="s">
        <v>53</v>
      </c>
      <c r="C1947" t="s">
        <v>54</v>
      </c>
      <c r="D1947" t="s">
        <v>55</v>
      </c>
      <c r="E1947" t="s">
        <v>860</v>
      </c>
      <c r="F1947" t="s">
        <v>176</v>
      </c>
      <c r="G1947" t="s">
        <v>217</v>
      </c>
      <c r="H1947" t="s">
        <v>218</v>
      </c>
      <c r="I1947" t="s">
        <v>218</v>
      </c>
      <c r="J1947" t="s">
        <v>60</v>
      </c>
      <c r="K1947" t="s">
        <v>219</v>
      </c>
      <c r="L1947" t="s">
        <v>62</v>
      </c>
      <c r="M1947" t="s">
        <v>219</v>
      </c>
      <c r="N1947" t="s">
        <v>220</v>
      </c>
      <c r="O1947" t="s">
        <v>221</v>
      </c>
      <c r="P1947">
        <v>-19.668924000000001</v>
      </c>
      <c r="Q1947">
        <v>-43.888824</v>
      </c>
      <c r="R1947" s="2" t="str">
        <f>HYPERLINK("https://www.google.com/maps?q=-19.6689240,-43.8888240","Abrir no Google Maps")</f>
        <v>Abrir no Google Maps</v>
      </c>
      <c r="S1947">
        <v>4</v>
      </c>
      <c r="T1947">
        <v>911.82770913869297</v>
      </c>
      <c r="U1947">
        <v>3</v>
      </c>
      <c r="V1947">
        <v>1.3605442176870699E-2</v>
      </c>
      <c r="W1947">
        <v>1</v>
      </c>
      <c r="X1947">
        <v>1.3605442176870699E-2</v>
      </c>
      <c r="Y1947">
        <v>3</v>
      </c>
      <c r="Z1947">
        <v>306.43809582423751</v>
      </c>
      <c r="AA1947">
        <v>2</v>
      </c>
      <c r="AB1947">
        <v>3</v>
      </c>
      <c r="AC1947">
        <v>7</v>
      </c>
      <c r="AD1947">
        <v>25.18</v>
      </c>
      <c r="AE1947">
        <v>253</v>
      </c>
      <c r="AF1947">
        <v>17</v>
      </c>
      <c r="AG1947">
        <v>57</v>
      </c>
      <c r="AH1947">
        <v>32</v>
      </c>
      <c r="AI1947">
        <v>6.72</v>
      </c>
      <c r="AJ1947">
        <v>22.53</v>
      </c>
      <c r="AK1947">
        <v>12.65</v>
      </c>
      <c r="AL1947">
        <v>-19.669015399999981</v>
      </c>
      <c r="AM1947">
        <v>-43.88883436988452</v>
      </c>
      <c r="AN1947">
        <v>-19.669015399999971</v>
      </c>
      <c r="AO1947">
        <v>-43.88883436988452</v>
      </c>
      <c r="AP1947">
        <v>-19.668924000000001</v>
      </c>
      <c r="AQ1947">
        <v>-43.888824</v>
      </c>
      <c r="AR1947">
        <v>10.23254983885769</v>
      </c>
      <c r="AS1947" t="s">
        <v>65</v>
      </c>
      <c r="AT1947">
        <v>1</v>
      </c>
      <c r="AU1947" t="s">
        <v>222</v>
      </c>
      <c r="AV1947" t="s">
        <v>223</v>
      </c>
      <c r="AW1947" t="s">
        <v>60</v>
      </c>
      <c r="AX1947" t="s">
        <v>68</v>
      </c>
      <c r="AY1947" t="s">
        <v>69</v>
      </c>
      <c r="AZ1947" t="b">
        <v>1</v>
      </c>
    </row>
    <row r="1948" spans="1:52" x14ac:dyDescent="0.3">
      <c r="A1948" t="s">
        <v>52</v>
      </c>
      <c r="B1948" t="s">
        <v>53</v>
      </c>
      <c r="C1948" t="s">
        <v>54</v>
      </c>
      <c r="D1948" t="s">
        <v>55</v>
      </c>
      <c r="E1948" t="s">
        <v>860</v>
      </c>
      <c r="F1948" t="s">
        <v>176</v>
      </c>
      <c r="G1948" t="s">
        <v>228</v>
      </c>
      <c r="H1948" t="s">
        <v>229</v>
      </c>
      <c r="I1948" t="s">
        <v>229</v>
      </c>
      <c r="J1948" t="s">
        <v>60</v>
      </c>
      <c r="K1948" t="s">
        <v>199</v>
      </c>
      <c r="L1948" t="s">
        <v>62</v>
      </c>
      <c r="M1948" t="s">
        <v>199</v>
      </c>
      <c r="N1948" t="s">
        <v>230</v>
      </c>
      <c r="O1948" t="s">
        <v>88</v>
      </c>
      <c r="P1948">
        <v>-19.637703999999999</v>
      </c>
      <c r="Q1948">
        <v>-43.913817999999999</v>
      </c>
      <c r="R1948" s="2" t="str">
        <f>HYPERLINK("https://www.google.com/maps?q=-19.6377040,-43.9138180","Abrir no Google Maps")</f>
        <v>Abrir no Google Maps</v>
      </c>
      <c r="S1948">
        <v>4</v>
      </c>
      <c r="T1948">
        <v>216.67225021659709</v>
      </c>
      <c r="U1948">
        <v>3</v>
      </c>
      <c r="V1948">
        <v>1.9184652278177401E-2</v>
      </c>
      <c r="W1948">
        <v>1</v>
      </c>
      <c r="X1948">
        <v>1.9184652278177401E-2</v>
      </c>
      <c r="Y1948">
        <v>3</v>
      </c>
      <c r="Z1948">
        <v>250.25912407368671</v>
      </c>
      <c r="AA1948">
        <v>2</v>
      </c>
      <c r="AB1948">
        <v>3</v>
      </c>
      <c r="AC1948">
        <v>7</v>
      </c>
      <c r="AD1948">
        <v>25.18</v>
      </c>
      <c r="AE1948">
        <v>253</v>
      </c>
      <c r="AF1948">
        <v>17</v>
      </c>
      <c r="AG1948">
        <v>57</v>
      </c>
      <c r="AH1948">
        <v>32</v>
      </c>
      <c r="AI1948">
        <v>6.72</v>
      </c>
      <c r="AJ1948">
        <v>22.53</v>
      </c>
      <c r="AK1948">
        <v>12.65</v>
      </c>
      <c r="AL1948">
        <v>-19.637548049999939</v>
      </c>
      <c r="AM1948">
        <v>-43.91383458447649</v>
      </c>
      <c r="AN1948">
        <v>-19.637548049999939</v>
      </c>
      <c r="AO1948">
        <v>-43.91383458447649</v>
      </c>
      <c r="AP1948">
        <v>-19.637703999999999</v>
      </c>
      <c r="AQ1948">
        <v>-43.913817999999999</v>
      </c>
      <c r="AR1948">
        <v>17.44721566371809</v>
      </c>
      <c r="AS1948" t="s">
        <v>65</v>
      </c>
      <c r="AT1948">
        <v>1</v>
      </c>
      <c r="AU1948" t="s">
        <v>231</v>
      </c>
      <c r="AV1948" t="s">
        <v>232</v>
      </c>
      <c r="AW1948" t="s">
        <v>60</v>
      </c>
      <c r="AX1948" t="s">
        <v>68</v>
      </c>
      <c r="AY1948" t="s">
        <v>69</v>
      </c>
      <c r="AZ1948" t="b">
        <v>1</v>
      </c>
    </row>
    <row r="1949" spans="1:52" x14ac:dyDescent="0.3">
      <c r="A1949" t="s">
        <v>52</v>
      </c>
      <c r="B1949" t="s">
        <v>53</v>
      </c>
      <c r="C1949" t="s">
        <v>54</v>
      </c>
      <c r="D1949" t="s">
        <v>55</v>
      </c>
      <c r="E1949" t="s">
        <v>860</v>
      </c>
      <c r="F1949" t="s">
        <v>176</v>
      </c>
      <c r="G1949" t="s">
        <v>156</v>
      </c>
      <c r="H1949" t="s">
        <v>157</v>
      </c>
      <c r="I1949" t="s">
        <v>157</v>
      </c>
      <c r="J1949" t="s">
        <v>60</v>
      </c>
      <c r="K1949" t="s">
        <v>79</v>
      </c>
      <c r="L1949" t="s">
        <v>62</v>
      </c>
      <c r="M1949" t="s">
        <v>79</v>
      </c>
      <c r="N1949" t="s">
        <v>158</v>
      </c>
      <c r="O1949" t="s">
        <v>159</v>
      </c>
      <c r="P1949">
        <v>-19.634687</v>
      </c>
      <c r="Q1949">
        <v>-43.912925999999999</v>
      </c>
      <c r="R1949" s="2" t="str">
        <f>HYPERLINK("https://www.google.com/maps?q=-19.6346870,-43.9129260","Abrir no Google Maps")</f>
        <v>Abrir no Google Maps</v>
      </c>
      <c r="S1949">
        <v>4</v>
      </c>
      <c r="T1949">
        <v>363.69725005634331</v>
      </c>
      <c r="U1949">
        <v>3</v>
      </c>
      <c r="V1949">
        <v>1.8062397372742199E-2</v>
      </c>
      <c r="W1949">
        <v>1</v>
      </c>
      <c r="X1949">
        <v>1.8062397372742199E-2</v>
      </c>
      <c r="Y1949">
        <v>3</v>
      </c>
      <c r="Z1949">
        <v>343.04088334900467</v>
      </c>
      <c r="AA1949">
        <v>2</v>
      </c>
      <c r="AB1949">
        <v>3</v>
      </c>
      <c r="AC1949">
        <v>7</v>
      </c>
      <c r="AD1949">
        <v>25.18</v>
      </c>
      <c r="AE1949">
        <v>253</v>
      </c>
      <c r="AF1949">
        <v>17</v>
      </c>
      <c r="AG1949">
        <v>57</v>
      </c>
      <c r="AH1949">
        <v>32</v>
      </c>
      <c r="AI1949">
        <v>6.72</v>
      </c>
      <c r="AJ1949">
        <v>22.53</v>
      </c>
      <c r="AK1949">
        <v>12.65</v>
      </c>
      <c r="AL1949">
        <v>-19.635145849999962</v>
      </c>
      <c r="AM1949">
        <v>-43.913103387269381</v>
      </c>
      <c r="AN1949">
        <v>-19.635145849999962</v>
      </c>
      <c r="AO1949">
        <v>-43.913103387269381</v>
      </c>
      <c r="AP1949">
        <v>-19.634687</v>
      </c>
      <c r="AQ1949">
        <v>-43.912925999999999</v>
      </c>
      <c r="AR1949">
        <v>54.359794849827942</v>
      </c>
      <c r="AS1949" t="s">
        <v>65</v>
      </c>
      <c r="AT1949">
        <v>1</v>
      </c>
      <c r="AU1949" t="s">
        <v>160</v>
      </c>
      <c r="AV1949" t="s">
        <v>161</v>
      </c>
      <c r="AW1949" t="s">
        <v>60</v>
      </c>
      <c r="AX1949" t="s">
        <v>68</v>
      </c>
      <c r="AY1949" t="s">
        <v>69</v>
      </c>
      <c r="AZ1949" t="b">
        <v>1</v>
      </c>
    </row>
    <row r="1950" spans="1:52" x14ac:dyDescent="0.3">
      <c r="A1950" t="s">
        <v>52</v>
      </c>
      <c r="B1950" t="s">
        <v>53</v>
      </c>
      <c r="C1950" t="s">
        <v>54</v>
      </c>
      <c r="D1950" t="s">
        <v>55</v>
      </c>
      <c r="E1950" t="s">
        <v>860</v>
      </c>
      <c r="F1950" t="s">
        <v>176</v>
      </c>
      <c r="G1950" t="s">
        <v>252</v>
      </c>
      <c r="H1950" t="s">
        <v>253</v>
      </c>
      <c r="I1950" t="s">
        <v>253</v>
      </c>
      <c r="J1950" t="s">
        <v>60</v>
      </c>
      <c r="K1950" t="s">
        <v>164</v>
      </c>
      <c r="L1950" t="s">
        <v>62</v>
      </c>
      <c r="M1950" t="s">
        <v>164</v>
      </c>
      <c r="N1950" t="s">
        <v>254</v>
      </c>
      <c r="O1950" t="s">
        <v>255</v>
      </c>
      <c r="P1950">
        <v>-19.652244</v>
      </c>
      <c r="Q1950">
        <v>-43.906869</v>
      </c>
      <c r="R1950" s="2" t="str">
        <f>HYPERLINK("https://www.google.com/maps?q=-19.6522440,-43.9068690","Abrir no Google Maps")</f>
        <v>Abrir no Google Maps</v>
      </c>
      <c r="S1950">
        <v>4</v>
      </c>
      <c r="T1950">
        <v>659.98887289357856</v>
      </c>
      <c r="U1950">
        <v>3</v>
      </c>
      <c r="V1950">
        <v>9.9502487562189001E-3</v>
      </c>
      <c r="W1950">
        <v>1</v>
      </c>
      <c r="X1950">
        <v>9.9502487562189001E-3</v>
      </c>
      <c r="Y1950">
        <v>1</v>
      </c>
      <c r="Z1950">
        <v>607.69009953455907</v>
      </c>
      <c r="AA1950">
        <v>2</v>
      </c>
      <c r="AB1950">
        <v>3</v>
      </c>
      <c r="AC1950">
        <v>7</v>
      </c>
      <c r="AD1950">
        <v>25.18</v>
      </c>
      <c r="AE1950">
        <v>253</v>
      </c>
      <c r="AF1950">
        <v>17</v>
      </c>
      <c r="AG1950">
        <v>57</v>
      </c>
      <c r="AH1950">
        <v>32</v>
      </c>
      <c r="AI1950">
        <v>6.72</v>
      </c>
      <c r="AJ1950">
        <v>22.53</v>
      </c>
      <c r="AK1950">
        <v>12.65</v>
      </c>
      <c r="AL1950">
        <v>-19.65225609999996</v>
      </c>
      <c r="AM1950">
        <v>-43.906862663911163</v>
      </c>
      <c r="AN1950">
        <v>-19.65225609999996</v>
      </c>
      <c r="AO1950">
        <v>-43.906862663911149</v>
      </c>
      <c r="AP1950">
        <v>-19.652244</v>
      </c>
      <c r="AQ1950">
        <v>-43.906869</v>
      </c>
      <c r="AR1950">
        <v>1.501852076897872</v>
      </c>
      <c r="AS1950" t="s">
        <v>65</v>
      </c>
      <c r="AT1950">
        <v>1</v>
      </c>
      <c r="AU1950" t="s">
        <v>256</v>
      </c>
      <c r="AV1950" t="s">
        <v>257</v>
      </c>
      <c r="AW1950" t="s">
        <v>60</v>
      </c>
      <c r="AX1950" t="s">
        <v>68</v>
      </c>
      <c r="AY1950" t="s">
        <v>69</v>
      </c>
      <c r="AZ1950" t="b">
        <v>1</v>
      </c>
    </row>
    <row r="1951" spans="1:52" x14ac:dyDescent="0.3">
      <c r="A1951" t="s">
        <v>52</v>
      </c>
      <c r="B1951" t="s">
        <v>53</v>
      </c>
      <c r="C1951" t="s">
        <v>54</v>
      </c>
      <c r="D1951" t="s">
        <v>55</v>
      </c>
      <c r="E1951" t="s">
        <v>860</v>
      </c>
      <c r="F1951" t="s">
        <v>176</v>
      </c>
      <c r="G1951" t="s">
        <v>258</v>
      </c>
      <c r="H1951" t="s">
        <v>259</v>
      </c>
      <c r="I1951" t="s">
        <v>259</v>
      </c>
      <c r="J1951" t="s">
        <v>60</v>
      </c>
      <c r="K1951" t="s">
        <v>192</v>
      </c>
      <c r="L1951" t="s">
        <v>62</v>
      </c>
      <c r="M1951" t="s">
        <v>192</v>
      </c>
      <c r="N1951" t="s">
        <v>260</v>
      </c>
      <c r="O1951" t="s">
        <v>261</v>
      </c>
      <c r="P1951">
        <v>-19.651322</v>
      </c>
      <c r="Q1951">
        <v>-43.909526999999997</v>
      </c>
      <c r="R1951" s="2" t="str">
        <f>HYPERLINK("https://www.google.com/maps?q=-19.6513220,-43.9095270","Abrir no Google Maps")</f>
        <v>Abrir no Google Maps</v>
      </c>
      <c r="S1951">
        <v>4</v>
      </c>
      <c r="T1951">
        <v>818.75599819160288</v>
      </c>
      <c r="U1951">
        <v>3</v>
      </c>
      <c r="V1951">
        <v>1.09289617486338E-2</v>
      </c>
      <c r="W1951">
        <v>1</v>
      </c>
      <c r="X1951">
        <v>1.09289617486338E-2</v>
      </c>
      <c r="Y1951">
        <v>1</v>
      </c>
      <c r="Z1951">
        <v>730.53961508554767</v>
      </c>
      <c r="AA1951">
        <v>2</v>
      </c>
      <c r="AB1951">
        <v>3</v>
      </c>
      <c r="AC1951">
        <v>7</v>
      </c>
      <c r="AD1951">
        <v>25.18</v>
      </c>
      <c r="AE1951">
        <v>253</v>
      </c>
      <c r="AF1951">
        <v>17</v>
      </c>
      <c r="AG1951">
        <v>57</v>
      </c>
      <c r="AH1951">
        <v>32</v>
      </c>
      <c r="AI1951">
        <v>6.72</v>
      </c>
      <c r="AJ1951">
        <v>22.53</v>
      </c>
      <c r="AK1951">
        <v>12.65</v>
      </c>
      <c r="AL1951">
        <v>-19.65143184999997</v>
      </c>
      <c r="AM1951">
        <v>-43.910059983056307</v>
      </c>
      <c r="AN1951">
        <v>-19.65143184999997</v>
      </c>
      <c r="AO1951">
        <v>-43.910059983056307</v>
      </c>
      <c r="AP1951">
        <v>-19.651322</v>
      </c>
      <c r="AQ1951">
        <v>-43.909526999999997</v>
      </c>
      <c r="AR1951">
        <v>57.198416395481701</v>
      </c>
      <c r="AS1951" t="s">
        <v>65</v>
      </c>
      <c r="AT1951">
        <v>1</v>
      </c>
      <c r="AU1951" t="s">
        <v>262</v>
      </c>
      <c r="AV1951" t="s">
        <v>263</v>
      </c>
      <c r="AW1951" t="s">
        <v>60</v>
      </c>
      <c r="AX1951" t="s">
        <v>68</v>
      </c>
      <c r="AY1951" t="s">
        <v>69</v>
      </c>
      <c r="AZ1951" t="b">
        <v>1</v>
      </c>
    </row>
    <row r="1952" spans="1:52" x14ac:dyDescent="0.3">
      <c r="A1952" t="s">
        <v>52</v>
      </c>
      <c r="B1952" t="s">
        <v>53</v>
      </c>
      <c r="C1952" t="s">
        <v>54</v>
      </c>
      <c r="D1952" t="s">
        <v>55</v>
      </c>
      <c r="E1952" t="s">
        <v>860</v>
      </c>
      <c r="F1952" t="s">
        <v>176</v>
      </c>
      <c r="G1952" t="s">
        <v>622</v>
      </c>
      <c r="H1952" t="s">
        <v>623</v>
      </c>
      <c r="I1952" t="s">
        <v>623</v>
      </c>
      <c r="J1952" t="s">
        <v>60</v>
      </c>
      <c r="K1952" t="s">
        <v>219</v>
      </c>
      <c r="L1952" t="s">
        <v>62</v>
      </c>
      <c r="M1952" t="s">
        <v>219</v>
      </c>
      <c r="N1952" t="s">
        <v>624</v>
      </c>
      <c r="O1952" t="s">
        <v>113</v>
      </c>
      <c r="P1952">
        <v>-19.670276999999999</v>
      </c>
      <c r="Q1952">
        <v>-43.893808</v>
      </c>
      <c r="R1952" s="2" t="str">
        <f>HYPERLINK("https://www.google.com/maps?q=-19.6702770,-43.8938080","Abrir no Google Maps")</f>
        <v>Abrir no Google Maps</v>
      </c>
      <c r="S1952">
        <v>4</v>
      </c>
      <c r="T1952">
        <v>846.9753608437735</v>
      </c>
      <c r="U1952">
        <v>3</v>
      </c>
      <c r="V1952">
        <v>9.0702947845804002E-3</v>
      </c>
      <c r="W1952">
        <v>1</v>
      </c>
      <c r="X1952">
        <v>9.0702947845804002E-3</v>
      </c>
      <c r="Y1952">
        <v>1</v>
      </c>
      <c r="Z1952">
        <v>600.43160852236622</v>
      </c>
      <c r="AA1952">
        <v>2</v>
      </c>
      <c r="AB1952">
        <v>3</v>
      </c>
      <c r="AC1952">
        <v>7</v>
      </c>
      <c r="AD1952">
        <v>25.18</v>
      </c>
      <c r="AE1952">
        <v>253</v>
      </c>
      <c r="AF1952">
        <v>17</v>
      </c>
      <c r="AG1952">
        <v>57</v>
      </c>
      <c r="AH1952">
        <v>32</v>
      </c>
      <c r="AI1952">
        <v>6.72</v>
      </c>
      <c r="AJ1952">
        <v>22.53</v>
      </c>
      <c r="AK1952">
        <v>12.65</v>
      </c>
      <c r="AL1952">
        <v>-19.670319349999971</v>
      </c>
      <c r="AM1952">
        <v>-43.893716431206371</v>
      </c>
      <c r="AN1952">
        <v>-19.670319349999971</v>
      </c>
      <c r="AO1952">
        <v>-43.893716431206371</v>
      </c>
      <c r="AP1952">
        <v>-19.670276999999999</v>
      </c>
      <c r="AQ1952">
        <v>-43.893808</v>
      </c>
      <c r="AR1952">
        <v>10.693863517034069</v>
      </c>
      <c r="AS1952" t="s">
        <v>65</v>
      </c>
      <c r="AT1952">
        <v>1</v>
      </c>
      <c r="AU1952" t="s">
        <v>625</v>
      </c>
      <c r="AV1952" t="s">
        <v>626</v>
      </c>
      <c r="AW1952" t="s">
        <v>60</v>
      </c>
      <c r="AX1952" t="s">
        <v>68</v>
      </c>
      <c r="AY1952" t="s">
        <v>69</v>
      </c>
      <c r="AZ1952" t="b">
        <v>1</v>
      </c>
    </row>
    <row r="1953" spans="1:52" x14ac:dyDescent="0.3">
      <c r="A1953" t="s">
        <v>52</v>
      </c>
      <c r="B1953" t="s">
        <v>53</v>
      </c>
      <c r="C1953" t="s">
        <v>54</v>
      </c>
      <c r="D1953" t="s">
        <v>55</v>
      </c>
      <c r="E1953" t="s">
        <v>860</v>
      </c>
      <c r="F1953" t="s">
        <v>176</v>
      </c>
      <c r="G1953" t="s">
        <v>217</v>
      </c>
      <c r="H1953" t="s">
        <v>264</v>
      </c>
      <c r="I1953" t="s">
        <v>264</v>
      </c>
      <c r="J1953" t="s">
        <v>60</v>
      </c>
      <c r="K1953" t="s">
        <v>219</v>
      </c>
      <c r="L1953" t="s">
        <v>62</v>
      </c>
      <c r="M1953" t="s">
        <v>219</v>
      </c>
      <c r="N1953" t="s">
        <v>220</v>
      </c>
      <c r="O1953" t="s">
        <v>265</v>
      </c>
      <c r="P1953">
        <v>-19.668958</v>
      </c>
      <c r="Q1953">
        <v>-43.890619999999998</v>
      </c>
      <c r="R1953" s="2" t="str">
        <f>HYPERLINK("https://www.google.com/maps?q=-19.6689580,-43.8906200","Abrir no Google Maps")</f>
        <v>Abrir no Google Maps</v>
      </c>
      <c r="S1953">
        <v>4</v>
      </c>
      <c r="T1953">
        <v>893.53138484322108</v>
      </c>
      <c r="U1953">
        <v>3</v>
      </c>
      <c r="V1953">
        <v>2.52525252525252E-2</v>
      </c>
      <c r="W1953">
        <v>1</v>
      </c>
      <c r="X1953">
        <v>2.52525252525252E-2</v>
      </c>
      <c r="Y1953">
        <v>1</v>
      </c>
      <c r="Z1953">
        <v>336.68220024294959</v>
      </c>
      <c r="AA1953">
        <v>2</v>
      </c>
      <c r="AB1953">
        <v>3</v>
      </c>
      <c r="AC1953">
        <v>7</v>
      </c>
      <c r="AD1953">
        <v>25.18</v>
      </c>
      <c r="AE1953">
        <v>253</v>
      </c>
      <c r="AF1953">
        <v>17</v>
      </c>
      <c r="AG1953">
        <v>57</v>
      </c>
      <c r="AH1953">
        <v>32</v>
      </c>
      <c r="AI1953">
        <v>6.72</v>
      </c>
      <c r="AJ1953">
        <v>22.53</v>
      </c>
      <c r="AK1953">
        <v>12.65</v>
      </c>
      <c r="AL1953">
        <v>-19.669114549999961</v>
      </c>
      <c r="AM1953">
        <v>-43.890740893526242</v>
      </c>
      <c r="AN1953">
        <v>-19.669114549999961</v>
      </c>
      <c r="AO1953">
        <v>-43.890740893526242</v>
      </c>
      <c r="AP1953">
        <v>-19.668958</v>
      </c>
      <c r="AQ1953">
        <v>-43.890619999999998</v>
      </c>
      <c r="AR1953">
        <v>21.54764375256557</v>
      </c>
      <c r="AS1953" t="s">
        <v>65</v>
      </c>
      <c r="AT1953">
        <v>1</v>
      </c>
      <c r="AU1953" t="s">
        <v>266</v>
      </c>
      <c r="AV1953" t="s">
        <v>267</v>
      </c>
      <c r="AW1953" t="s">
        <v>60</v>
      </c>
      <c r="AX1953" t="s">
        <v>68</v>
      </c>
      <c r="AY1953" t="s">
        <v>69</v>
      </c>
      <c r="AZ1953" t="b">
        <v>1</v>
      </c>
    </row>
    <row r="1954" spans="1:52" x14ac:dyDescent="0.3">
      <c r="A1954" t="s">
        <v>52</v>
      </c>
      <c r="B1954" t="s">
        <v>53</v>
      </c>
      <c r="C1954" t="s">
        <v>54</v>
      </c>
      <c r="D1954" t="s">
        <v>55</v>
      </c>
      <c r="E1954" t="s">
        <v>860</v>
      </c>
      <c r="F1954" t="s">
        <v>176</v>
      </c>
      <c r="G1954" t="s">
        <v>273</v>
      </c>
      <c r="H1954" t="s">
        <v>274</v>
      </c>
      <c r="I1954" t="s">
        <v>274</v>
      </c>
      <c r="J1954" t="s">
        <v>60</v>
      </c>
      <c r="K1954" t="s">
        <v>171</v>
      </c>
      <c r="L1954" t="s">
        <v>62</v>
      </c>
      <c r="M1954" t="s">
        <v>171</v>
      </c>
      <c r="N1954" t="s">
        <v>275</v>
      </c>
      <c r="O1954" t="s">
        <v>276</v>
      </c>
      <c r="P1954">
        <v>-19.679956000000001</v>
      </c>
      <c r="Q1954">
        <v>-43.888520999999997</v>
      </c>
      <c r="R1954" s="2" t="str">
        <f>HYPERLINK("https://www.google.com/maps?q=-19.6799560,-43.8885210","Abrir no Google Maps")</f>
        <v>Abrir no Google Maps</v>
      </c>
      <c r="S1954">
        <v>4</v>
      </c>
      <c r="T1954">
        <v>346.2974251077423</v>
      </c>
      <c r="U1954">
        <v>3</v>
      </c>
      <c r="V1954">
        <v>2.25442834138486E-2</v>
      </c>
      <c r="W1954">
        <v>1</v>
      </c>
      <c r="X1954">
        <v>2.25442834138486E-2</v>
      </c>
      <c r="Y1954">
        <v>0</v>
      </c>
      <c r="Z1954">
        <v>223.68420981797229</v>
      </c>
      <c r="AA1954">
        <v>2</v>
      </c>
      <c r="AB1954">
        <v>3</v>
      </c>
      <c r="AC1954">
        <v>7</v>
      </c>
      <c r="AD1954">
        <v>25.18</v>
      </c>
      <c r="AE1954">
        <v>253</v>
      </c>
      <c r="AF1954">
        <v>17</v>
      </c>
      <c r="AG1954">
        <v>57</v>
      </c>
      <c r="AH1954">
        <v>32</v>
      </c>
      <c r="AI1954">
        <v>6.72</v>
      </c>
      <c r="AJ1954">
        <v>22.53</v>
      </c>
      <c r="AK1954">
        <v>12.65</v>
      </c>
      <c r="AL1954">
        <v>-19.67989189999998</v>
      </c>
      <c r="AM1954">
        <v>-43.888485157753777</v>
      </c>
      <c r="AN1954">
        <v>-19.67989189999998</v>
      </c>
      <c r="AO1954">
        <v>-43.888485157753777</v>
      </c>
      <c r="AP1954">
        <v>-19.679956000000001</v>
      </c>
      <c r="AQ1954">
        <v>-43.888520999999997</v>
      </c>
      <c r="AR1954">
        <v>8.0641961934087583</v>
      </c>
      <c r="AS1954" t="s">
        <v>65</v>
      </c>
      <c r="AT1954">
        <v>1</v>
      </c>
      <c r="AU1954" t="s">
        <v>277</v>
      </c>
      <c r="AV1954" t="s">
        <v>278</v>
      </c>
      <c r="AW1954" t="s">
        <v>60</v>
      </c>
      <c r="AX1954" t="s">
        <v>68</v>
      </c>
      <c r="AY1954" t="s">
        <v>69</v>
      </c>
      <c r="AZ1954" t="b">
        <v>1</v>
      </c>
    </row>
    <row r="1955" spans="1:52" x14ac:dyDescent="0.3">
      <c r="A1955" t="s">
        <v>52</v>
      </c>
      <c r="B1955" t="s">
        <v>53</v>
      </c>
      <c r="C1955" t="s">
        <v>54</v>
      </c>
      <c r="D1955" t="s">
        <v>55</v>
      </c>
      <c r="E1955" t="s">
        <v>860</v>
      </c>
      <c r="F1955" t="s">
        <v>176</v>
      </c>
      <c r="G1955" t="s">
        <v>279</v>
      </c>
      <c r="H1955" t="s">
        <v>280</v>
      </c>
      <c r="I1955" t="s">
        <v>280</v>
      </c>
      <c r="J1955" t="s">
        <v>60</v>
      </c>
      <c r="K1955" t="s">
        <v>171</v>
      </c>
      <c r="L1955" t="s">
        <v>62</v>
      </c>
      <c r="M1955" t="s">
        <v>171</v>
      </c>
      <c r="N1955" t="s">
        <v>281</v>
      </c>
      <c r="O1955" t="s">
        <v>282</v>
      </c>
      <c r="P1955">
        <v>-19.677088000000001</v>
      </c>
      <c r="Q1955">
        <v>-43.890014000000001</v>
      </c>
      <c r="R1955" s="2" t="str">
        <f>HYPERLINK("https://www.google.com/maps?q=-19.6770880,-43.8900140","Abrir no Google Maps")</f>
        <v>Abrir no Google Maps</v>
      </c>
      <c r="S1955">
        <v>4</v>
      </c>
      <c r="T1955">
        <v>0</v>
      </c>
      <c r="U1955">
        <v>3</v>
      </c>
      <c r="V1955">
        <v>2.5210084033613401E-2</v>
      </c>
      <c r="W1955">
        <v>1</v>
      </c>
      <c r="X1955">
        <v>2.5210084033613401E-2</v>
      </c>
      <c r="Y1955">
        <v>0</v>
      </c>
      <c r="Z1955">
        <v>151.75635194559609</v>
      </c>
      <c r="AA1955">
        <v>2</v>
      </c>
      <c r="AB1955">
        <v>3</v>
      </c>
      <c r="AC1955">
        <v>7</v>
      </c>
      <c r="AD1955">
        <v>25.18</v>
      </c>
      <c r="AE1955">
        <v>253</v>
      </c>
      <c r="AF1955">
        <v>17</v>
      </c>
      <c r="AG1955">
        <v>57</v>
      </c>
      <c r="AH1955">
        <v>32</v>
      </c>
      <c r="AI1955">
        <v>6.72</v>
      </c>
      <c r="AJ1955">
        <v>22.53</v>
      </c>
      <c r="AK1955">
        <v>12.65</v>
      </c>
      <c r="AL1955">
        <v>-19.677165649999949</v>
      </c>
      <c r="AM1955">
        <v>-43.890106299611283</v>
      </c>
      <c r="AN1955">
        <v>-19.677165649999949</v>
      </c>
      <c r="AO1955">
        <v>-43.890106299611283</v>
      </c>
      <c r="AP1955">
        <v>-19.677088000000001</v>
      </c>
      <c r="AQ1955">
        <v>-43.890014000000001</v>
      </c>
      <c r="AR1955">
        <v>12.973833126778279</v>
      </c>
      <c r="AS1955" t="s">
        <v>65</v>
      </c>
      <c r="AT1955">
        <v>1</v>
      </c>
      <c r="AU1955" t="s">
        <v>283</v>
      </c>
      <c r="AV1955" t="s">
        <v>175</v>
      </c>
      <c r="AW1955" t="s">
        <v>60</v>
      </c>
      <c r="AX1955" t="s">
        <v>68</v>
      </c>
      <c r="AY1955" t="s">
        <v>69</v>
      </c>
      <c r="AZ1955" t="b">
        <v>1</v>
      </c>
    </row>
    <row r="1956" spans="1:52" x14ac:dyDescent="0.3">
      <c r="A1956" t="s">
        <v>52</v>
      </c>
      <c r="B1956" t="s">
        <v>53</v>
      </c>
      <c r="C1956" t="s">
        <v>54</v>
      </c>
      <c r="D1956" t="s">
        <v>55</v>
      </c>
      <c r="E1956" t="s">
        <v>860</v>
      </c>
      <c r="F1956" t="s">
        <v>176</v>
      </c>
      <c r="G1956" t="s">
        <v>388</v>
      </c>
      <c r="H1956" t="s">
        <v>389</v>
      </c>
      <c r="I1956" t="s">
        <v>389</v>
      </c>
      <c r="J1956" t="s">
        <v>60</v>
      </c>
      <c r="K1956" t="s">
        <v>185</v>
      </c>
      <c r="L1956" t="s">
        <v>62</v>
      </c>
      <c r="M1956" t="s">
        <v>185</v>
      </c>
      <c r="N1956" t="s">
        <v>390</v>
      </c>
      <c r="O1956" t="s">
        <v>391</v>
      </c>
      <c r="P1956">
        <v>-19.628802</v>
      </c>
      <c r="Q1956">
        <v>-43.891649000000001</v>
      </c>
      <c r="R1956" s="2" t="str">
        <f>HYPERLINK("https://www.google.com/maps?q=-19.6288020,-43.8916490","Abrir no Google Maps")</f>
        <v>Abrir no Google Maps</v>
      </c>
      <c r="S1956">
        <v>3</v>
      </c>
      <c r="T1956">
        <v>0</v>
      </c>
      <c r="U1956">
        <v>4</v>
      </c>
      <c r="V1956">
        <v>0.16845878136200709</v>
      </c>
      <c r="W1956">
        <v>0.85</v>
      </c>
      <c r="X1956">
        <v>0.14318996415770599</v>
      </c>
      <c r="Y1956">
        <v>18</v>
      </c>
      <c r="Z1956">
        <v>117.5064585283839</v>
      </c>
      <c r="AA1956">
        <v>2</v>
      </c>
      <c r="AB1956">
        <v>3</v>
      </c>
      <c r="AC1956">
        <v>7</v>
      </c>
      <c r="AD1956">
        <v>25.18</v>
      </c>
      <c r="AE1956">
        <v>253</v>
      </c>
      <c r="AF1956">
        <v>17</v>
      </c>
      <c r="AG1956">
        <v>57</v>
      </c>
      <c r="AH1956">
        <v>32</v>
      </c>
      <c r="AI1956">
        <v>6.72</v>
      </c>
      <c r="AJ1956">
        <v>22.53</v>
      </c>
      <c r="AK1956">
        <v>12.65</v>
      </c>
      <c r="AL1956">
        <v>-19.628865499999961</v>
      </c>
      <c r="AM1956">
        <v>-43.891662391334172</v>
      </c>
      <c r="AN1956">
        <v>-19.628865499999961</v>
      </c>
      <c r="AO1956">
        <v>-43.891662391334172</v>
      </c>
      <c r="AP1956">
        <v>-19.628802</v>
      </c>
      <c r="AQ1956">
        <v>-43.891649000000001</v>
      </c>
      <c r="AR1956">
        <v>7.2069201904448459</v>
      </c>
      <c r="AS1956" t="s">
        <v>65</v>
      </c>
      <c r="AT1956">
        <v>1</v>
      </c>
      <c r="AU1956" t="s">
        <v>392</v>
      </c>
      <c r="AV1956" t="s">
        <v>393</v>
      </c>
      <c r="AW1956" t="s">
        <v>60</v>
      </c>
      <c r="AX1956" t="s">
        <v>68</v>
      </c>
      <c r="AY1956" t="s">
        <v>69</v>
      </c>
      <c r="AZ1956" t="b">
        <v>1</v>
      </c>
    </row>
    <row r="1957" spans="1:52" x14ac:dyDescent="0.3">
      <c r="A1957" t="s">
        <v>52</v>
      </c>
      <c r="B1957" t="s">
        <v>53</v>
      </c>
      <c r="C1957" t="s">
        <v>54</v>
      </c>
      <c r="D1957" t="s">
        <v>55</v>
      </c>
      <c r="E1957" t="s">
        <v>860</v>
      </c>
      <c r="F1957" t="s">
        <v>176</v>
      </c>
      <c r="G1957" t="s">
        <v>530</v>
      </c>
      <c r="H1957" t="s">
        <v>531</v>
      </c>
      <c r="I1957" t="s">
        <v>531</v>
      </c>
      <c r="J1957" t="s">
        <v>60</v>
      </c>
      <c r="K1957" t="s">
        <v>185</v>
      </c>
      <c r="L1957" t="s">
        <v>62</v>
      </c>
      <c r="M1957" t="s">
        <v>185</v>
      </c>
      <c r="N1957" t="s">
        <v>532</v>
      </c>
      <c r="O1957" t="s">
        <v>533</v>
      </c>
      <c r="P1957">
        <v>-19.625264000000001</v>
      </c>
      <c r="Q1957">
        <v>-43.889451000000001</v>
      </c>
      <c r="R1957" s="2" t="str">
        <f>HYPERLINK("https://www.google.com/maps?q=-19.6252640,-43.8894510","Abrir no Google Maps")</f>
        <v>Abrir no Google Maps</v>
      </c>
      <c r="S1957">
        <v>3</v>
      </c>
      <c r="T1957">
        <v>466.11340370665903</v>
      </c>
      <c r="U1957">
        <v>4</v>
      </c>
      <c r="V1957">
        <v>9.9567099567099498E-2</v>
      </c>
      <c r="W1957">
        <v>0.85</v>
      </c>
      <c r="X1957">
        <v>8.4632034632034572E-2</v>
      </c>
      <c r="Y1957">
        <v>18</v>
      </c>
      <c r="Z1957">
        <v>320.77337440837812</v>
      </c>
      <c r="AA1957">
        <v>2</v>
      </c>
      <c r="AB1957">
        <v>3</v>
      </c>
      <c r="AC1957">
        <v>7</v>
      </c>
      <c r="AD1957">
        <v>25.18</v>
      </c>
      <c r="AE1957">
        <v>253</v>
      </c>
      <c r="AF1957">
        <v>17</v>
      </c>
      <c r="AG1957">
        <v>57</v>
      </c>
      <c r="AH1957">
        <v>32</v>
      </c>
      <c r="AI1957">
        <v>6.72</v>
      </c>
      <c r="AJ1957">
        <v>22.53</v>
      </c>
      <c r="AK1957">
        <v>12.65</v>
      </c>
      <c r="AL1957">
        <v>-19.62516189999997</v>
      </c>
      <c r="AM1957">
        <v>-43.88954614566876</v>
      </c>
      <c r="AN1957">
        <v>-19.62516189999997</v>
      </c>
      <c r="AO1957">
        <v>-43.88954614566876</v>
      </c>
      <c r="AP1957">
        <v>-19.625264000000001</v>
      </c>
      <c r="AQ1957">
        <v>-43.889451000000001</v>
      </c>
      <c r="AR1957">
        <v>15.12310549834147</v>
      </c>
      <c r="AS1957" t="s">
        <v>65</v>
      </c>
      <c r="AT1957">
        <v>1</v>
      </c>
      <c r="AU1957" t="s">
        <v>534</v>
      </c>
      <c r="AV1957" t="s">
        <v>535</v>
      </c>
      <c r="AW1957" t="s">
        <v>60</v>
      </c>
      <c r="AX1957" t="s">
        <v>68</v>
      </c>
      <c r="AY1957" t="s">
        <v>69</v>
      </c>
      <c r="AZ1957" t="b">
        <v>1</v>
      </c>
    </row>
    <row r="1958" spans="1:52" x14ac:dyDescent="0.3">
      <c r="A1958" t="s">
        <v>52</v>
      </c>
      <c r="B1958" t="s">
        <v>53</v>
      </c>
      <c r="C1958" t="s">
        <v>54</v>
      </c>
      <c r="D1958" t="s">
        <v>55</v>
      </c>
      <c r="E1958" t="s">
        <v>860</v>
      </c>
      <c r="F1958" t="s">
        <v>176</v>
      </c>
      <c r="G1958" t="s">
        <v>536</v>
      </c>
      <c r="H1958" t="s">
        <v>537</v>
      </c>
      <c r="I1958" t="s">
        <v>537</v>
      </c>
      <c r="J1958" t="s">
        <v>60</v>
      </c>
      <c r="K1958" t="s">
        <v>185</v>
      </c>
      <c r="L1958" t="s">
        <v>62</v>
      </c>
      <c r="M1958" t="s">
        <v>185</v>
      </c>
      <c r="N1958" t="s">
        <v>538</v>
      </c>
      <c r="O1958" t="s">
        <v>408</v>
      </c>
      <c r="P1958">
        <v>-19.630147999999998</v>
      </c>
      <c r="Q1958">
        <v>-43.893844000000001</v>
      </c>
      <c r="R1958" s="2" t="str">
        <f>HYPERLINK("https://www.google.com/maps?q=-19.6301480,-43.8938440","Abrir no Google Maps")</f>
        <v>Abrir no Google Maps</v>
      </c>
      <c r="S1958">
        <v>3</v>
      </c>
      <c r="T1958">
        <v>262.94285160220159</v>
      </c>
      <c r="U1958">
        <v>4</v>
      </c>
      <c r="V1958">
        <v>7.1428571428571397E-2</v>
      </c>
      <c r="W1958">
        <v>0.85</v>
      </c>
      <c r="X1958">
        <v>6.0714285714285693E-2</v>
      </c>
      <c r="Y1958">
        <v>18</v>
      </c>
      <c r="Z1958">
        <v>351.25774094845309</v>
      </c>
      <c r="AA1958">
        <v>2</v>
      </c>
      <c r="AB1958">
        <v>3</v>
      </c>
      <c r="AC1958">
        <v>7</v>
      </c>
      <c r="AD1958">
        <v>25.18</v>
      </c>
      <c r="AE1958">
        <v>253</v>
      </c>
      <c r="AF1958">
        <v>17</v>
      </c>
      <c r="AG1958">
        <v>57</v>
      </c>
      <c r="AH1958">
        <v>32</v>
      </c>
      <c r="AI1958">
        <v>6.72</v>
      </c>
      <c r="AJ1958">
        <v>22.53</v>
      </c>
      <c r="AK1958">
        <v>12.65</v>
      </c>
      <c r="AL1958">
        <v>-19.630177599999939</v>
      </c>
      <c r="AM1958">
        <v>-43.893752755034278</v>
      </c>
      <c r="AN1958">
        <v>-19.630177599999939</v>
      </c>
      <c r="AO1958">
        <v>-43.893752755034278</v>
      </c>
      <c r="AP1958">
        <v>-19.630147999999998</v>
      </c>
      <c r="AQ1958">
        <v>-43.893844000000001</v>
      </c>
      <c r="AR1958">
        <v>10.1185927114604</v>
      </c>
      <c r="AS1958" t="s">
        <v>65</v>
      </c>
      <c r="AT1958">
        <v>1</v>
      </c>
      <c r="AU1958" t="s">
        <v>539</v>
      </c>
      <c r="AV1958" t="s">
        <v>540</v>
      </c>
      <c r="AW1958" t="s">
        <v>60</v>
      </c>
      <c r="AX1958" t="s">
        <v>68</v>
      </c>
      <c r="AY1958" t="s">
        <v>69</v>
      </c>
      <c r="AZ1958" t="b">
        <v>1</v>
      </c>
    </row>
    <row r="1959" spans="1:52" x14ac:dyDescent="0.3">
      <c r="A1959" t="s">
        <v>52</v>
      </c>
      <c r="B1959" t="s">
        <v>53</v>
      </c>
      <c r="C1959" t="s">
        <v>54</v>
      </c>
      <c r="D1959" t="s">
        <v>55</v>
      </c>
      <c r="E1959" t="s">
        <v>860</v>
      </c>
      <c r="F1959" t="s">
        <v>176</v>
      </c>
      <c r="G1959" t="s">
        <v>399</v>
      </c>
      <c r="H1959" t="s">
        <v>400</v>
      </c>
      <c r="I1959" t="s">
        <v>400</v>
      </c>
      <c r="J1959" t="s">
        <v>60</v>
      </c>
      <c r="K1959" t="s">
        <v>286</v>
      </c>
      <c r="L1959" t="s">
        <v>62</v>
      </c>
      <c r="M1959" t="s">
        <v>286</v>
      </c>
      <c r="N1959" t="s">
        <v>401</v>
      </c>
      <c r="O1959" t="s">
        <v>402</v>
      </c>
      <c r="P1959">
        <v>-19.639906</v>
      </c>
      <c r="Q1959">
        <v>-43.886059000000003</v>
      </c>
      <c r="R1959" s="2" t="str">
        <f>HYPERLINK("https://www.google.com/maps?q=-19.6399060,-43.8860590","Abrir no Google Maps")</f>
        <v>Abrir no Google Maps</v>
      </c>
      <c r="S1959">
        <v>3</v>
      </c>
      <c r="T1959">
        <v>256.0748811302048</v>
      </c>
      <c r="U1959">
        <v>4</v>
      </c>
      <c r="V1959">
        <v>5.2173913043478203E-2</v>
      </c>
      <c r="W1959">
        <v>1</v>
      </c>
      <c r="X1959">
        <v>5.2173913043478203E-2</v>
      </c>
      <c r="Y1959">
        <v>10</v>
      </c>
      <c r="Z1959">
        <v>205.06236700857289</v>
      </c>
      <c r="AA1959">
        <v>2</v>
      </c>
      <c r="AB1959">
        <v>3</v>
      </c>
      <c r="AC1959">
        <v>7</v>
      </c>
      <c r="AD1959">
        <v>25.18</v>
      </c>
      <c r="AE1959">
        <v>253</v>
      </c>
      <c r="AF1959">
        <v>17</v>
      </c>
      <c r="AG1959">
        <v>57</v>
      </c>
      <c r="AH1959">
        <v>32</v>
      </c>
      <c r="AI1959">
        <v>6.72</v>
      </c>
      <c r="AJ1959">
        <v>22.53</v>
      </c>
      <c r="AK1959">
        <v>12.65</v>
      </c>
      <c r="AL1959">
        <v>-19.639789499999949</v>
      </c>
      <c r="AM1959">
        <v>-43.885737855031408</v>
      </c>
      <c r="AN1959">
        <v>-19.639789499999949</v>
      </c>
      <c r="AO1959">
        <v>-43.885737855031408</v>
      </c>
      <c r="AP1959">
        <v>-19.639906</v>
      </c>
      <c r="AQ1959">
        <v>-43.886059000000003</v>
      </c>
      <c r="AR1959">
        <v>36.081349702130403</v>
      </c>
      <c r="AS1959" t="s">
        <v>65</v>
      </c>
      <c r="AT1959">
        <v>1</v>
      </c>
      <c r="AU1959" t="s">
        <v>403</v>
      </c>
      <c r="AV1959" t="s">
        <v>404</v>
      </c>
      <c r="AW1959" t="s">
        <v>60</v>
      </c>
      <c r="AX1959" t="s">
        <v>68</v>
      </c>
      <c r="AY1959" t="s">
        <v>69</v>
      </c>
      <c r="AZ1959" t="b">
        <v>1</v>
      </c>
    </row>
    <row r="1960" spans="1:52" x14ac:dyDescent="0.3">
      <c r="A1960" t="s">
        <v>52</v>
      </c>
      <c r="B1960" t="s">
        <v>53</v>
      </c>
      <c r="C1960" t="s">
        <v>54</v>
      </c>
      <c r="D1960" t="s">
        <v>55</v>
      </c>
      <c r="E1960" t="s">
        <v>860</v>
      </c>
      <c r="F1960" t="s">
        <v>176</v>
      </c>
      <c r="G1960" t="s">
        <v>284</v>
      </c>
      <c r="H1960" t="s">
        <v>285</v>
      </c>
      <c r="I1960" t="s">
        <v>285</v>
      </c>
      <c r="J1960" t="s">
        <v>60</v>
      </c>
      <c r="K1960" t="s">
        <v>286</v>
      </c>
      <c r="L1960" t="s">
        <v>62</v>
      </c>
      <c r="M1960" t="s">
        <v>286</v>
      </c>
      <c r="N1960" t="s">
        <v>287</v>
      </c>
      <c r="O1960" t="s">
        <v>288</v>
      </c>
      <c r="P1960">
        <v>-19.639790000000001</v>
      </c>
      <c r="Q1960">
        <v>-43.882798999999999</v>
      </c>
      <c r="R1960" s="2" t="str">
        <f>HYPERLINK("https://www.google.com/maps?q=-19.6397900,-43.8827990","Abrir no Google Maps")</f>
        <v>Abrir no Google Maps</v>
      </c>
      <c r="S1960">
        <v>3</v>
      </c>
      <c r="T1960">
        <v>242.7052058134478</v>
      </c>
      <c r="U1960">
        <v>4</v>
      </c>
      <c r="V1960">
        <v>5.3830227743271203E-2</v>
      </c>
      <c r="W1960">
        <v>1</v>
      </c>
      <c r="X1960">
        <v>5.3830227743271203E-2</v>
      </c>
      <c r="Y1960">
        <v>10</v>
      </c>
      <c r="Z1960">
        <v>187.2088809462339</v>
      </c>
      <c r="AA1960">
        <v>2</v>
      </c>
      <c r="AB1960">
        <v>3</v>
      </c>
      <c r="AC1960">
        <v>7</v>
      </c>
      <c r="AD1960">
        <v>25.18</v>
      </c>
      <c r="AE1960">
        <v>253</v>
      </c>
      <c r="AF1960">
        <v>17</v>
      </c>
      <c r="AG1960">
        <v>57</v>
      </c>
      <c r="AH1960">
        <v>32</v>
      </c>
      <c r="AI1960">
        <v>6.72</v>
      </c>
      <c r="AJ1960">
        <v>22.53</v>
      </c>
      <c r="AK1960">
        <v>12.65</v>
      </c>
      <c r="AL1960">
        <v>-19.639855599999951</v>
      </c>
      <c r="AM1960">
        <v>-43.882909745178452</v>
      </c>
      <c r="AN1960">
        <v>-19.639855599999951</v>
      </c>
      <c r="AO1960">
        <v>-43.882909745178452</v>
      </c>
      <c r="AP1960">
        <v>-19.639790000000001</v>
      </c>
      <c r="AQ1960">
        <v>-43.882798999999999</v>
      </c>
      <c r="AR1960">
        <v>13.716486068571211</v>
      </c>
      <c r="AS1960" t="s">
        <v>65</v>
      </c>
      <c r="AT1960">
        <v>1</v>
      </c>
      <c r="AU1960" t="s">
        <v>289</v>
      </c>
      <c r="AV1960" t="s">
        <v>290</v>
      </c>
      <c r="AW1960" t="s">
        <v>60</v>
      </c>
      <c r="AX1960" t="s">
        <v>68</v>
      </c>
      <c r="AY1960" t="s">
        <v>69</v>
      </c>
      <c r="AZ1960" t="b">
        <v>1</v>
      </c>
    </row>
    <row r="1961" spans="1:52" x14ac:dyDescent="0.3">
      <c r="A1961" t="s">
        <v>52</v>
      </c>
      <c r="B1961" t="s">
        <v>53</v>
      </c>
      <c r="C1961" t="s">
        <v>54</v>
      </c>
      <c r="D1961" t="s">
        <v>55</v>
      </c>
      <c r="E1961" t="s">
        <v>860</v>
      </c>
      <c r="F1961" t="s">
        <v>176</v>
      </c>
      <c r="G1961" t="s">
        <v>777</v>
      </c>
      <c r="H1961" t="s">
        <v>778</v>
      </c>
      <c r="I1961" t="s">
        <v>778</v>
      </c>
      <c r="J1961" t="s">
        <v>60</v>
      </c>
      <c r="K1961" t="s">
        <v>352</v>
      </c>
      <c r="L1961" t="s">
        <v>62</v>
      </c>
      <c r="M1961" t="s">
        <v>352</v>
      </c>
      <c r="N1961" t="s">
        <v>779</v>
      </c>
      <c r="O1961" t="s">
        <v>780</v>
      </c>
      <c r="P1961">
        <v>-19.579518</v>
      </c>
      <c r="Q1961">
        <v>-43.909238000000002</v>
      </c>
      <c r="R1961" s="2" t="str">
        <f>HYPERLINK("https://www.google.com/maps?q=-19.5795180,-43.9092380","Abrir no Google Maps")</f>
        <v>Abrir no Google Maps</v>
      </c>
      <c r="S1961">
        <v>3</v>
      </c>
      <c r="T1961">
        <v>1293.9709096326289</v>
      </c>
      <c r="U1961">
        <v>4</v>
      </c>
      <c r="V1961">
        <v>0.217391304347826</v>
      </c>
      <c r="W1961">
        <v>0.85</v>
      </c>
      <c r="X1961">
        <v>0.18478260869565211</v>
      </c>
      <c r="Y1961">
        <v>7</v>
      </c>
      <c r="Z1961">
        <v>1024.030940986815</v>
      </c>
      <c r="AA1961">
        <v>2</v>
      </c>
      <c r="AB1961">
        <v>3</v>
      </c>
      <c r="AC1961">
        <v>7</v>
      </c>
      <c r="AD1961">
        <v>25.18</v>
      </c>
      <c r="AE1961">
        <v>253</v>
      </c>
      <c r="AF1961">
        <v>17</v>
      </c>
      <c r="AG1961">
        <v>57</v>
      </c>
      <c r="AH1961">
        <v>32</v>
      </c>
      <c r="AI1961">
        <v>6.72</v>
      </c>
      <c r="AJ1961">
        <v>22.53</v>
      </c>
      <c r="AK1961">
        <v>12.65</v>
      </c>
      <c r="AL1961">
        <v>-19.579767999999941</v>
      </c>
      <c r="AM1961">
        <v>-43.909514457818823</v>
      </c>
      <c r="AN1961">
        <v>-19.579767999999941</v>
      </c>
      <c r="AO1961">
        <v>-43.909514457818823</v>
      </c>
      <c r="AP1961">
        <v>-19.579518</v>
      </c>
      <c r="AQ1961">
        <v>-43.909238000000002</v>
      </c>
      <c r="AR1961">
        <v>40.190312724728379</v>
      </c>
      <c r="AS1961" t="s">
        <v>65</v>
      </c>
      <c r="AT1961">
        <v>1</v>
      </c>
      <c r="AU1961" t="s">
        <v>781</v>
      </c>
      <c r="AV1961" t="s">
        <v>782</v>
      </c>
      <c r="AW1961" t="s">
        <v>60</v>
      </c>
      <c r="AX1961" t="s">
        <v>68</v>
      </c>
      <c r="AY1961" t="s">
        <v>69</v>
      </c>
      <c r="AZ1961" t="b">
        <v>1</v>
      </c>
    </row>
    <row r="1962" spans="1:52" x14ac:dyDescent="0.3">
      <c r="A1962" t="s">
        <v>52</v>
      </c>
      <c r="B1962" t="s">
        <v>53</v>
      </c>
      <c r="C1962" t="s">
        <v>54</v>
      </c>
      <c r="D1962" t="s">
        <v>55</v>
      </c>
      <c r="E1962" t="s">
        <v>860</v>
      </c>
      <c r="F1962" t="s">
        <v>176</v>
      </c>
      <c r="G1962" t="s">
        <v>309</v>
      </c>
      <c r="H1962" t="s">
        <v>310</v>
      </c>
      <c r="I1962" t="s">
        <v>310</v>
      </c>
      <c r="J1962" t="s">
        <v>60</v>
      </c>
      <c r="K1962" t="s">
        <v>311</v>
      </c>
      <c r="L1962" t="s">
        <v>62</v>
      </c>
      <c r="M1962" t="s">
        <v>311</v>
      </c>
      <c r="N1962" t="s">
        <v>312</v>
      </c>
      <c r="O1962" t="s">
        <v>313</v>
      </c>
      <c r="P1962">
        <v>-19.576996999999999</v>
      </c>
      <c r="Q1962">
        <v>-43.919024999999998</v>
      </c>
      <c r="R1962" s="2" t="str">
        <f>HYPERLINK("https://www.google.com/maps?q=-19.5769970,-43.9190250","Abrir no Google Maps")</f>
        <v>Abrir no Google Maps</v>
      </c>
      <c r="S1962">
        <v>3</v>
      </c>
      <c r="T1962">
        <v>316.64266747869789</v>
      </c>
      <c r="U1962">
        <v>4</v>
      </c>
      <c r="V1962">
        <v>0.33333333333333331</v>
      </c>
      <c r="W1962">
        <v>0.85</v>
      </c>
      <c r="X1962">
        <v>0.28333333333333333</v>
      </c>
      <c r="Y1962">
        <v>5</v>
      </c>
      <c r="Z1962">
        <v>411.74435151529269</v>
      </c>
      <c r="AA1962">
        <v>2</v>
      </c>
      <c r="AB1962">
        <v>3</v>
      </c>
      <c r="AC1962">
        <v>7</v>
      </c>
      <c r="AD1962">
        <v>25.18</v>
      </c>
      <c r="AE1962">
        <v>253</v>
      </c>
      <c r="AF1962">
        <v>17</v>
      </c>
      <c r="AG1962">
        <v>57</v>
      </c>
      <c r="AH1962">
        <v>32</v>
      </c>
      <c r="AI1962">
        <v>6.72</v>
      </c>
      <c r="AJ1962">
        <v>22.53</v>
      </c>
      <c r="AK1962">
        <v>12.65</v>
      </c>
      <c r="AL1962">
        <v>-19.576964999999941</v>
      </c>
      <c r="AM1962">
        <v>-43.919068241233632</v>
      </c>
      <c r="AN1962">
        <v>-19.576964999999941</v>
      </c>
      <c r="AO1962">
        <v>-43.919068241233632</v>
      </c>
      <c r="AP1962">
        <v>-19.576996999999999</v>
      </c>
      <c r="AQ1962">
        <v>-43.919024999999998</v>
      </c>
      <c r="AR1962">
        <v>5.7670575161946216</v>
      </c>
      <c r="AS1962" t="s">
        <v>65</v>
      </c>
      <c r="AT1962">
        <v>1</v>
      </c>
      <c r="AU1962" t="s">
        <v>314</v>
      </c>
      <c r="AV1962" t="s">
        <v>315</v>
      </c>
      <c r="AW1962" t="s">
        <v>60</v>
      </c>
      <c r="AX1962" t="s">
        <v>68</v>
      </c>
      <c r="AY1962" t="s">
        <v>69</v>
      </c>
      <c r="AZ1962" t="b">
        <v>1</v>
      </c>
    </row>
    <row r="1963" spans="1:52" x14ac:dyDescent="0.3">
      <c r="A1963" t="s">
        <v>52</v>
      </c>
      <c r="B1963" t="s">
        <v>53</v>
      </c>
      <c r="C1963" t="s">
        <v>54</v>
      </c>
      <c r="D1963" t="s">
        <v>55</v>
      </c>
      <c r="E1963" t="s">
        <v>860</v>
      </c>
      <c r="F1963" t="s">
        <v>176</v>
      </c>
      <c r="G1963" t="s">
        <v>309</v>
      </c>
      <c r="H1963" t="s">
        <v>316</v>
      </c>
      <c r="I1963" t="s">
        <v>316</v>
      </c>
      <c r="J1963" t="s">
        <v>60</v>
      </c>
      <c r="K1963" t="s">
        <v>311</v>
      </c>
      <c r="L1963" t="s">
        <v>62</v>
      </c>
      <c r="M1963" t="s">
        <v>311</v>
      </c>
      <c r="N1963" t="s">
        <v>317</v>
      </c>
      <c r="O1963" t="s">
        <v>313</v>
      </c>
      <c r="P1963">
        <v>-19.580131999999999</v>
      </c>
      <c r="Q1963">
        <v>-43.918303000000002</v>
      </c>
      <c r="R1963" s="2" t="str">
        <f>HYPERLINK("https://www.google.com/maps?q=-19.5801320,-43.9183030","Abrir no Google Maps")</f>
        <v>Abrir no Google Maps</v>
      </c>
      <c r="S1963">
        <v>3</v>
      </c>
      <c r="T1963">
        <v>665.05989403461285</v>
      </c>
      <c r="U1963">
        <v>4</v>
      </c>
      <c r="V1963">
        <v>0.33333333333333331</v>
      </c>
      <c r="W1963">
        <v>1</v>
      </c>
      <c r="X1963">
        <v>0.33333333333333331</v>
      </c>
      <c r="Y1963">
        <v>5</v>
      </c>
      <c r="Z1963">
        <v>743.64474333505098</v>
      </c>
      <c r="AA1963">
        <v>2</v>
      </c>
      <c r="AB1963">
        <v>3</v>
      </c>
      <c r="AC1963">
        <v>7</v>
      </c>
      <c r="AD1963">
        <v>25.18</v>
      </c>
      <c r="AE1963">
        <v>253</v>
      </c>
      <c r="AF1963">
        <v>17</v>
      </c>
      <c r="AG1963">
        <v>57</v>
      </c>
      <c r="AH1963">
        <v>32</v>
      </c>
      <c r="AI1963">
        <v>6.72</v>
      </c>
      <c r="AJ1963">
        <v>22.53</v>
      </c>
      <c r="AK1963">
        <v>12.65</v>
      </c>
      <c r="AL1963">
        <v>-19.58010349999995</v>
      </c>
      <c r="AM1963">
        <v>-43.918363319288602</v>
      </c>
      <c r="AN1963">
        <v>-19.58010349999995</v>
      </c>
      <c r="AO1963">
        <v>-43.918363319288602</v>
      </c>
      <c r="AP1963">
        <v>-19.580131999999999</v>
      </c>
      <c r="AQ1963">
        <v>-43.918303000000002</v>
      </c>
      <c r="AR1963">
        <v>7.0773977790944862</v>
      </c>
      <c r="AS1963" t="s">
        <v>65</v>
      </c>
      <c r="AT1963">
        <v>1</v>
      </c>
      <c r="AU1963" t="s">
        <v>318</v>
      </c>
      <c r="AV1963" t="s">
        <v>319</v>
      </c>
      <c r="AW1963" t="s">
        <v>60</v>
      </c>
      <c r="AX1963" t="s">
        <v>68</v>
      </c>
      <c r="AY1963" t="s">
        <v>69</v>
      </c>
      <c r="AZ1963" t="b">
        <v>1</v>
      </c>
    </row>
    <row r="1964" spans="1:52" x14ac:dyDescent="0.3">
      <c r="A1964" t="s">
        <v>52</v>
      </c>
      <c r="B1964" t="s">
        <v>53</v>
      </c>
      <c r="C1964" t="s">
        <v>54</v>
      </c>
      <c r="D1964" t="s">
        <v>55</v>
      </c>
      <c r="E1964" t="s">
        <v>860</v>
      </c>
      <c r="F1964" t="s">
        <v>176</v>
      </c>
      <c r="G1964" t="s">
        <v>309</v>
      </c>
      <c r="H1964" t="s">
        <v>320</v>
      </c>
      <c r="I1964" t="s">
        <v>320</v>
      </c>
      <c r="J1964" t="s">
        <v>60</v>
      </c>
      <c r="K1964" t="s">
        <v>311</v>
      </c>
      <c r="L1964" t="s">
        <v>62</v>
      </c>
      <c r="M1964" t="s">
        <v>311</v>
      </c>
      <c r="N1964" t="s">
        <v>321</v>
      </c>
      <c r="O1964" t="s">
        <v>313</v>
      </c>
      <c r="P1964">
        <v>-19.578469999999999</v>
      </c>
      <c r="Q1964">
        <v>-43.918922000000002</v>
      </c>
      <c r="R1964" s="2" t="str">
        <f>HYPERLINK("https://www.google.com/maps?q=-19.5784700,-43.9189220","Abrir no Google Maps")</f>
        <v>Abrir no Google Maps</v>
      </c>
      <c r="S1964">
        <v>3</v>
      </c>
      <c r="T1964">
        <v>474.92456146278471</v>
      </c>
      <c r="U1964">
        <v>4</v>
      </c>
      <c r="V1964">
        <v>0.33333333333333331</v>
      </c>
      <c r="W1964">
        <v>0.85</v>
      </c>
      <c r="X1964">
        <v>0.28333333333333333</v>
      </c>
      <c r="Y1964">
        <v>5</v>
      </c>
      <c r="Z1964">
        <v>562.61594151292854</v>
      </c>
      <c r="AA1964">
        <v>2</v>
      </c>
      <c r="AB1964">
        <v>3</v>
      </c>
      <c r="AC1964">
        <v>7</v>
      </c>
      <c r="AD1964">
        <v>25.18</v>
      </c>
      <c r="AE1964">
        <v>253</v>
      </c>
      <c r="AF1964">
        <v>17</v>
      </c>
      <c r="AG1964">
        <v>57</v>
      </c>
      <c r="AH1964">
        <v>32</v>
      </c>
      <c r="AI1964">
        <v>6.72</v>
      </c>
      <c r="AJ1964">
        <v>22.53</v>
      </c>
      <c r="AK1964">
        <v>12.65</v>
      </c>
      <c r="AL1964">
        <v>-19.578483899999959</v>
      </c>
      <c r="AM1964">
        <v>-43.918967993509547</v>
      </c>
      <c r="AN1964">
        <v>-19.578483899999959</v>
      </c>
      <c r="AO1964">
        <v>-43.918967993509547</v>
      </c>
      <c r="AP1964">
        <v>-19.578469999999999</v>
      </c>
      <c r="AQ1964">
        <v>-43.918922000000002</v>
      </c>
      <c r="AR1964">
        <v>5.0660669465561501</v>
      </c>
      <c r="AS1964" t="s">
        <v>65</v>
      </c>
      <c r="AT1964">
        <v>1</v>
      </c>
      <c r="AU1964" t="s">
        <v>322</v>
      </c>
      <c r="AV1964" t="s">
        <v>323</v>
      </c>
      <c r="AW1964" t="s">
        <v>60</v>
      </c>
      <c r="AX1964" t="s">
        <v>68</v>
      </c>
      <c r="AY1964" t="s">
        <v>69</v>
      </c>
      <c r="AZ1964" t="b">
        <v>1</v>
      </c>
    </row>
    <row r="1965" spans="1:52" x14ac:dyDescent="0.3">
      <c r="A1965" t="s">
        <v>52</v>
      </c>
      <c r="B1965" t="s">
        <v>53</v>
      </c>
      <c r="C1965" t="s">
        <v>54</v>
      </c>
      <c r="D1965" t="s">
        <v>55</v>
      </c>
      <c r="E1965" t="s">
        <v>860</v>
      </c>
      <c r="F1965" t="s">
        <v>176</v>
      </c>
      <c r="G1965" t="s">
        <v>758</v>
      </c>
      <c r="H1965" t="s">
        <v>759</v>
      </c>
      <c r="I1965" t="s">
        <v>759</v>
      </c>
      <c r="J1965" t="s">
        <v>60</v>
      </c>
      <c r="K1965" t="s">
        <v>445</v>
      </c>
      <c r="L1965" t="s">
        <v>62</v>
      </c>
      <c r="M1965" t="s">
        <v>445</v>
      </c>
      <c r="N1965" t="s">
        <v>760</v>
      </c>
      <c r="O1965" t="s">
        <v>379</v>
      </c>
      <c r="P1965">
        <v>-19.646125999999999</v>
      </c>
      <c r="Q1965">
        <v>-43.876871999999999</v>
      </c>
      <c r="R1965" s="2" t="str">
        <f>HYPERLINK("https://www.google.com/maps?q=-19.6461260,-43.8768720","Abrir no Google Maps")</f>
        <v>Abrir no Google Maps</v>
      </c>
      <c r="S1965">
        <v>3</v>
      </c>
      <c r="T1965">
        <v>736.04226763619943</v>
      </c>
      <c r="U1965">
        <v>4</v>
      </c>
      <c r="V1965">
        <v>6.5420560747663503E-2</v>
      </c>
      <c r="W1965">
        <v>0.85</v>
      </c>
      <c r="X1965">
        <v>5.5607476635513978E-2</v>
      </c>
      <c r="Y1965">
        <v>3</v>
      </c>
      <c r="Z1965">
        <v>682.87127274669569</v>
      </c>
      <c r="AA1965">
        <v>2</v>
      </c>
      <c r="AB1965">
        <v>3</v>
      </c>
      <c r="AC1965">
        <v>7</v>
      </c>
      <c r="AD1965">
        <v>25.18</v>
      </c>
      <c r="AE1965">
        <v>253</v>
      </c>
      <c r="AF1965">
        <v>17</v>
      </c>
      <c r="AG1965">
        <v>57</v>
      </c>
      <c r="AH1965">
        <v>32</v>
      </c>
      <c r="AI1965">
        <v>6.72</v>
      </c>
      <c r="AJ1965">
        <v>22.53</v>
      </c>
      <c r="AK1965">
        <v>12.65</v>
      </c>
      <c r="AL1965">
        <v>-19.646915499999949</v>
      </c>
      <c r="AM1965">
        <v>-43.876446468943627</v>
      </c>
      <c r="AN1965">
        <v>-19.646915499999949</v>
      </c>
      <c r="AO1965">
        <v>-43.876446468943627</v>
      </c>
      <c r="AP1965">
        <v>-19.646125999999999</v>
      </c>
      <c r="AQ1965">
        <v>-43.876871999999999</v>
      </c>
      <c r="AR1965">
        <v>98.561710335478438</v>
      </c>
      <c r="AS1965" t="s">
        <v>65</v>
      </c>
      <c r="AT1965">
        <v>1</v>
      </c>
      <c r="AU1965" t="s">
        <v>761</v>
      </c>
      <c r="AV1965" t="s">
        <v>762</v>
      </c>
      <c r="AW1965" t="s">
        <v>60</v>
      </c>
      <c r="AX1965" t="s">
        <v>68</v>
      </c>
      <c r="AY1965" t="s">
        <v>69</v>
      </c>
      <c r="AZ1965" t="b">
        <v>1</v>
      </c>
    </row>
    <row r="1966" spans="1:52" x14ac:dyDescent="0.3">
      <c r="A1966" t="s">
        <v>52</v>
      </c>
      <c r="B1966" t="s">
        <v>53</v>
      </c>
      <c r="C1966" t="s">
        <v>54</v>
      </c>
      <c r="D1966" t="s">
        <v>55</v>
      </c>
      <c r="E1966" t="s">
        <v>860</v>
      </c>
      <c r="F1966" t="s">
        <v>176</v>
      </c>
      <c r="G1966" t="s">
        <v>796</v>
      </c>
      <c r="H1966" t="s">
        <v>797</v>
      </c>
      <c r="I1966" t="s">
        <v>797</v>
      </c>
      <c r="J1966" t="s">
        <v>60</v>
      </c>
      <c r="K1966" t="s">
        <v>445</v>
      </c>
      <c r="L1966" t="s">
        <v>62</v>
      </c>
      <c r="M1966" t="s">
        <v>445</v>
      </c>
      <c r="N1966" t="s">
        <v>798</v>
      </c>
      <c r="O1966" t="s">
        <v>799</v>
      </c>
      <c r="P1966">
        <v>-19.646691000000001</v>
      </c>
      <c r="Q1966">
        <v>-43.869399000000001</v>
      </c>
      <c r="R1966" s="2" t="str">
        <f>HYPERLINK("https://www.google.com/maps?q=-19.6466910,-43.8693990","Abrir no Google Maps")</f>
        <v>Abrir no Google Maps</v>
      </c>
      <c r="S1966">
        <v>3</v>
      </c>
      <c r="T1966">
        <v>691.85004669252203</v>
      </c>
      <c r="U1966">
        <v>4</v>
      </c>
      <c r="V1966">
        <v>6.19047619047619E-2</v>
      </c>
      <c r="W1966">
        <v>0.85</v>
      </c>
      <c r="X1966">
        <v>5.2619047619047607E-2</v>
      </c>
      <c r="Y1966">
        <v>3</v>
      </c>
      <c r="Z1966">
        <v>773.49707673382704</v>
      </c>
      <c r="AA1966">
        <v>2</v>
      </c>
      <c r="AB1966">
        <v>3</v>
      </c>
      <c r="AC1966">
        <v>7</v>
      </c>
      <c r="AD1966">
        <v>25.18</v>
      </c>
      <c r="AE1966">
        <v>253</v>
      </c>
      <c r="AF1966">
        <v>17</v>
      </c>
      <c r="AG1966">
        <v>57</v>
      </c>
      <c r="AH1966">
        <v>32</v>
      </c>
      <c r="AI1966">
        <v>6.72</v>
      </c>
      <c r="AJ1966">
        <v>22.53</v>
      </c>
      <c r="AK1966">
        <v>12.65</v>
      </c>
      <c r="AL1966">
        <v>-19.64655974999997</v>
      </c>
      <c r="AM1966">
        <v>-43.868051939786007</v>
      </c>
      <c r="AN1966">
        <v>-19.64655974999997</v>
      </c>
      <c r="AO1966">
        <v>-43.868051939786007</v>
      </c>
      <c r="AP1966">
        <v>-19.646691000000001</v>
      </c>
      <c r="AQ1966">
        <v>-43.869399000000001</v>
      </c>
      <c r="AR1966">
        <v>141.9788417417804</v>
      </c>
      <c r="AS1966" t="s">
        <v>65</v>
      </c>
      <c r="AT1966">
        <v>1</v>
      </c>
      <c r="AU1966" t="s">
        <v>800</v>
      </c>
      <c r="AV1966" t="s">
        <v>801</v>
      </c>
      <c r="AW1966" t="s">
        <v>60</v>
      </c>
      <c r="AX1966" t="s">
        <v>68</v>
      </c>
      <c r="AY1966" t="s">
        <v>69</v>
      </c>
      <c r="AZ1966" t="b">
        <v>1</v>
      </c>
    </row>
    <row r="1967" spans="1:52" x14ac:dyDescent="0.3">
      <c r="A1967" t="s">
        <v>52</v>
      </c>
      <c r="B1967" t="s">
        <v>53</v>
      </c>
      <c r="C1967" t="s">
        <v>54</v>
      </c>
      <c r="D1967" t="s">
        <v>55</v>
      </c>
      <c r="E1967" t="s">
        <v>860</v>
      </c>
      <c r="F1967" t="s">
        <v>176</v>
      </c>
      <c r="G1967" t="s">
        <v>664</v>
      </c>
      <c r="H1967" t="s">
        <v>861</v>
      </c>
      <c r="I1967" t="s">
        <v>861</v>
      </c>
      <c r="J1967" t="s">
        <v>60</v>
      </c>
      <c r="K1967" t="s">
        <v>862</v>
      </c>
      <c r="L1967" t="s">
        <v>62</v>
      </c>
      <c r="M1967" t="s">
        <v>862</v>
      </c>
      <c r="N1967" t="s">
        <v>720</v>
      </c>
      <c r="O1967" t="s">
        <v>863</v>
      </c>
      <c r="P1967">
        <v>-19.663723999999998</v>
      </c>
      <c r="Q1967">
        <v>-43.865124000000002</v>
      </c>
      <c r="R1967" s="2" t="str">
        <f>HYPERLINK("https://www.google.com/maps?q=-19.6637240,-43.8651240","Abrir no Google Maps")</f>
        <v>Abrir no Google Maps</v>
      </c>
      <c r="S1967">
        <v>3</v>
      </c>
      <c r="T1967">
        <v>1691.367651243487</v>
      </c>
      <c r="U1967">
        <v>4</v>
      </c>
      <c r="V1967">
        <v>5.5555555555555497E-2</v>
      </c>
      <c r="W1967">
        <v>0.85</v>
      </c>
      <c r="X1967">
        <v>4.7222222222222172E-2</v>
      </c>
      <c r="Y1967">
        <v>3</v>
      </c>
      <c r="Z1967">
        <v>1581.6963661946411</v>
      </c>
      <c r="AA1967">
        <v>2</v>
      </c>
      <c r="AB1967">
        <v>3</v>
      </c>
      <c r="AC1967">
        <v>7</v>
      </c>
      <c r="AD1967">
        <v>25.18</v>
      </c>
      <c r="AE1967">
        <v>253</v>
      </c>
      <c r="AF1967">
        <v>17</v>
      </c>
      <c r="AG1967">
        <v>57</v>
      </c>
      <c r="AH1967">
        <v>32</v>
      </c>
      <c r="AI1967">
        <v>6.72</v>
      </c>
      <c r="AJ1967">
        <v>22.53</v>
      </c>
      <c r="AK1967">
        <v>12.65</v>
      </c>
      <c r="AL1967">
        <v>-19.66679944999996</v>
      </c>
      <c r="AM1967">
        <v>-43.865889403783846</v>
      </c>
      <c r="AN1967">
        <v>-19.66679944999996</v>
      </c>
      <c r="AO1967">
        <v>-43.865889403783846</v>
      </c>
      <c r="AP1967">
        <v>-19.663723999999998</v>
      </c>
      <c r="AQ1967">
        <v>-43.865124000000002</v>
      </c>
      <c r="AR1967">
        <v>351.63518996020389</v>
      </c>
      <c r="AS1967" t="s">
        <v>65</v>
      </c>
      <c r="AT1967">
        <v>1</v>
      </c>
      <c r="AU1967" t="s">
        <v>864</v>
      </c>
      <c r="AV1967" t="s">
        <v>865</v>
      </c>
      <c r="AW1967" t="s">
        <v>60</v>
      </c>
      <c r="AX1967" t="s">
        <v>68</v>
      </c>
      <c r="AY1967" t="s">
        <v>69</v>
      </c>
      <c r="AZ1967" t="b">
        <v>1</v>
      </c>
    </row>
    <row r="1968" spans="1:52" x14ac:dyDescent="0.3">
      <c r="A1968" t="s">
        <v>52</v>
      </c>
      <c r="B1968" t="s">
        <v>53</v>
      </c>
      <c r="C1968" t="s">
        <v>54</v>
      </c>
      <c r="D1968" t="s">
        <v>55</v>
      </c>
      <c r="E1968" t="s">
        <v>860</v>
      </c>
      <c r="F1968" t="s">
        <v>176</v>
      </c>
      <c r="G1968" t="s">
        <v>350</v>
      </c>
      <c r="H1968" t="s">
        <v>351</v>
      </c>
      <c r="I1968" t="s">
        <v>351</v>
      </c>
      <c r="J1968" t="s">
        <v>60</v>
      </c>
      <c r="K1968" t="s">
        <v>352</v>
      </c>
      <c r="L1968" t="s">
        <v>62</v>
      </c>
      <c r="M1968" t="s">
        <v>352</v>
      </c>
      <c r="N1968" t="s">
        <v>353</v>
      </c>
      <c r="O1968" t="s">
        <v>354</v>
      </c>
      <c r="P1968">
        <v>-19.595734</v>
      </c>
      <c r="Q1968">
        <v>-43.900387000000002</v>
      </c>
      <c r="R1968" s="2" t="str">
        <f>HYPERLINK("https://www.google.com/maps?q=-19.5957340,-43.9003870","Abrir no Google Maps")</f>
        <v>Abrir no Google Maps</v>
      </c>
      <c r="S1968">
        <v>3</v>
      </c>
      <c r="T1968">
        <v>600.67809066127609</v>
      </c>
      <c r="U1968">
        <v>4</v>
      </c>
      <c r="V1968">
        <v>0.32980599647266312</v>
      </c>
      <c r="W1968">
        <v>1</v>
      </c>
      <c r="X1968">
        <v>0.32980599647266312</v>
      </c>
      <c r="Y1968">
        <v>2</v>
      </c>
      <c r="Z1968">
        <v>676.06682548988681</v>
      </c>
      <c r="AA1968">
        <v>2</v>
      </c>
      <c r="AB1968">
        <v>3</v>
      </c>
      <c r="AC1968">
        <v>7</v>
      </c>
      <c r="AD1968">
        <v>25.18</v>
      </c>
      <c r="AE1968">
        <v>253</v>
      </c>
      <c r="AF1968">
        <v>17</v>
      </c>
      <c r="AG1968">
        <v>57</v>
      </c>
      <c r="AH1968">
        <v>32</v>
      </c>
      <c r="AI1968">
        <v>6.72</v>
      </c>
      <c r="AJ1968">
        <v>22.53</v>
      </c>
      <c r="AK1968">
        <v>12.65</v>
      </c>
      <c r="AL1968">
        <v>-19.595574149999951</v>
      </c>
      <c r="AM1968">
        <v>-43.900265035317688</v>
      </c>
      <c r="AN1968">
        <v>-19.595574149999951</v>
      </c>
      <c r="AO1968">
        <v>-43.900265035317688</v>
      </c>
      <c r="AP1968">
        <v>-19.595734</v>
      </c>
      <c r="AQ1968">
        <v>-43.900387000000002</v>
      </c>
      <c r="AR1968">
        <v>21.91456243504582</v>
      </c>
      <c r="AS1968" t="s">
        <v>65</v>
      </c>
      <c r="AT1968">
        <v>1</v>
      </c>
      <c r="AU1968" t="s">
        <v>355</v>
      </c>
      <c r="AV1968" t="s">
        <v>356</v>
      </c>
      <c r="AW1968" t="s">
        <v>60</v>
      </c>
      <c r="AX1968" t="s">
        <v>68</v>
      </c>
      <c r="AY1968" t="s">
        <v>69</v>
      </c>
      <c r="AZ1968" t="b">
        <v>1</v>
      </c>
    </row>
    <row r="1969" spans="1:52" x14ac:dyDescent="0.3">
      <c r="A1969" t="s">
        <v>52</v>
      </c>
      <c r="B1969" t="s">
        <v>53</v>
      </c>
      <c r="C1969" t="s">
        <v>54</v>
      </c>
      <c r="D1969" t="s">
        <v>55</v>
      </c>
      <c r="E1969" t="s">
        <v>860</v>
      </c>
      <c r="F1969" t="s">
        <v>176</v>
      </c>
      <c r="G1969" t="s">
        <v>371</v>
      </c>
      <c r="H1969" t="s">
        <v>496</v>
      </c>
      <c r="I1969" t="s">
        <v>496</v>
      </c>
      <c r="J1969" t="s">
        <v>60</v>
      </c>
      <c r="K1969" t="s">
        <v>352</v>
      </c>
      <c r="L1969" t="s">
        <v>62</v>
      </c>
      <c r="M1969" t="s">
        <v>352</v>
      </c>
      <c r="N1969" t="s">
        <v>497</v>
      </c>
      <c r="O1969" t="s">
        <v>120</v>
      </c>
      <c r="P1969">
        <v>-19.599603999999999</v>
      </c>
      <c r="Q1969">
        <v>-43.899650000000001</v>
      </c>
      <c r="R1969" s="2" t="str">
        <f>HYPERLINK("https://www.google.com/maps?q=-19.5996040,-43.8996500","Abrir no Google Maps")</f>
        <v>Abrir no Google Maps</v>
      </c>
      <c r="S1969">
        <v>3</v>
      </c>
      <c r="T1969">
        <v>381.13553853255752</v>
      </c>
      <c r="U1969">
        <v>4</v>
      </c>
      <c r="V1969">
        <v>9.0342679127725797E-2</v>
      </c>
      <c r="W1969">
        <v>0.85</v>
      </c>
      <c r="X1969">
        <v>7.6791277258566923E-2</v>
      </c>
      <c r="Y1969">
        <v>2</v>
      </c>
      <c r="Z1969">
        <v>445.30611048306139</v>
      </c>
      <c r="AA1969">
        <v>2</v>
      </c>
      <c r="AB1969">
        <v>3</v>
      </c>
      <c r="AC1969">
        <v>7</v>
      </c>
      <c r="AD1969">
        <v>25.18</v>
      </c>
      <c r="AE1969">
        <v>253</v>
      </c>
      <c r="AF1969">
        <v>17</v>
      </c>
      <c r="AG1969">
        <v>57</v>
      </c>
      <c r="AH1969">
        <v>32</v>
      </c>
      <c r="AI1969">
        <v>6.72</v>
      </c>
      <c r="AJ1969">
        <v>22.53</v>
      </c>
      <c r="AK1969">
        <v>12.65</v>
      </c>
      <c r="AL1969">
        <v>-19.59984999999995</v>
      </c>
      <c r="AM1969">
        <v>-43.90070409772008</v>
      </c>
      <c r="AN1969">
        <v>-19.59984999999995</v>
      </c>
      <c r="AO1969">
        <v>-43.90070409772008</v>
      </c>
      <c r="AP1969">
        <v>-19.599603999999999</v>
      </c>
      <c r="AQ1969">
        <v>-43.899650000000001</v>
      </c>
      <c r="AR1969">
        <v>113.8846460473157</v>
      </c>
      <c r="AS1969" t="s">
        <v>65</v>
      </c>
      <c r="AT1969">
        <v>1</v>
      </c>
      <c r="AU1969" t="s">
        <v>498</v>
      </c>
      <c r="AV1969" t="s">
        <v>499</v>
      </c>
      <c r="AW1969" t="s">
        <v>60</v>
      </c>
      <c r="AX1969" t="s">
        <v>68</v>
      </c>
      <c r="AY1969" t="s">
        <v>69</v>
      </c>
      <c r="AZ1969" t="b">
        <v>1</v>
      </c>
    </row>
    <row r="1970" spans="1:52" x14ac:dyDescent="0.3">
      <c r="A1970" t="s">
        <v>52</v>
      </c>
      <c r="B1970" t="s">
        <v>53</v>
      </c>
      <c r="C1970" t="s">
        <v>54</v>
      </c>
      <c r="D1970" t="s">
        <v>55</v>
      </c>
      <c r="E1970" t="s">
        <v>860</v>
      </c>
      <c r="F1970" t="s">
        <v>176</v>
      </c>
      <c r="G1970" t="s">
        <v>350</v>
      </c>
      <c r="H1970" t="s">
        <v>363</v>
      </c>
      <c r="I1970" t="s">
        <v>363</v>
      </c>
      <c r="J1970" t="s">
        <v>60</v>
      </c>
      <c r="K1970" t="s">
        <v>364</v>
      </c>
      <c r="L1970" t="s">
        <v>62</v>
      </c>
      <c r="M1970" t="s">
        <v>364</v>
      </c>
      <c r="N1970" t="s">
        <v>353</v>
      </c>
      <c r="O1970" t="s">
        <v>365</v>
      </c>
      <c r="P1970">
        <v>-19.594657000000002</v>
      </c>
      <c r="Q1970">
        <v>-43.901567</v>
      </c>
      <c r="R1970" s="2" t="str">
        <f>HYPERLINK("https://www.google.com/maps?q=-19.5946570,-43.9015670","Abrir no Google Maps")</f>
        <v>Abrir no Google Maps</v>
      </c>
      <c r="S1970">
        <v>3</v>
      </c>
      <c r="T1970">
        <v>592.43040989358553</v>
      </c>
      <c r="U1970">
        <v>4</v>
      </c>
      <c r="V1970">
        <v>0.3125</v>
      </c>
      <c r="W1970">
        <v>1</v>
      </c>
      <c r="X1970">
        <v>0.3125</v>
      </c>
      <c r="Y1970">
        <v>2</v>
      </c>
      <c r="Z1970">
        <v>597.4493869225131</v>
      </c>
      <c r="AA1970">
        <v>2</v>
      </c>
      <c r="AB1970">
        <v>3</v>
      </c>
      <c r="AC1970">
        <v>7</v>
      </c>
      <c r="AD1970">
        <v>25.18</v>
      </c>
      <c r="AE1970">
        <v>253</v>
      </c>
      <c r="AF1970">
        <v>17</v>
      </c>
      <c r="AG1970">
        <v>57</v>
      </c>
      <c r="AH1970">
        <v>32</v>
      </c>
      <c r="AI1970">
        <v>6.72</v>
      </c>
      <c r="AJ1970">
        <v>22.53</v>
      </c>
      <c r="AK1970">
        <v>12.65</v>
      </c>
      <c r="AL1970">
        <v>-19.59470494999994</v>
      </c>
      <c r="AM1970">
        <v>-43.901629434678291</v>
      </c>
      <c r="AN1970">
        <v>-19.59470494999994</v>
      </c>
      <c r="AO1970">
        <v>-43.901629434678291</v>
      </c>
      <c r="AP1970">
        <v>-19.594657000000002</v>
      </c>
      <c r="AQ1970">
        <v>-43.901567</v>
      </c>
      <c r="AR1970">
        <v>8.4477696105165858</v>
      </c>
      <c r="AS1970" t="s">
        <v>65</v>
      </c>
      <c r="AT1970">
        <v>1</v>
      </c>
      <c r="AU1970" t="s">
        <v>366</v>
      </c>
      <c r="AV1970" t="s">
        <v>367</v>
      </c>
      <c r="AW1970" t="s">
        <v>60</v>
      </c>
      <c r="AX1970" t="s">
        <v>68</v>
      </c>
      <c r="AY1970" t="s">
        <v>69</v>
      </c>
      <c r="AZ1970" t="b">
        <v>1</v>
      </c>
    </row>
    <row r="1971" spans="1:52" x14ac:dyDescent="0.3">
      <c r="A1971" t="s">
        <v>52</v>
      </c>
      <c r="B1971" t="s">
        <v>53</v>
      </c>
      <c r="C1971" t="s">
        <v>54</v>
      </c>
      <c r="D1971" t="s">
        <v>55</v>
      </c>
      <c r="E1971" t="s">
        <v>860</v>
      </c>
      <c r="F1971" t="s">
        <v>176</v>
      </c>
      <c r="G1971" t="s">
        <v>350</v>
      </c>
      <c r="H1971" t="s">
        <v>368</v>
      </c>
      <c r="I1971" t="s">
        <v>368</v>
      </c>
      <c r="J1971" t="s">
        <v>60</v>
      </c>
      <c r="K1971" t="s">
        <v>364</v>
      </c>
      <c r="L1971" t="s">
        <v>62</v>
      </c>
      <c r="M1971" t="s">
        <v>364</v>
      </c>
      <c r="N1971" t="s">
        <v>353</v>
      </c>
      <c r="O1971" t="s">
        <v>365</v>
      </c>
      <c r="P1971">
        <v>-19.593221</v>
      </c>
      <c r="Q1971">
        <v>-43.901839000000002</v>
      </c>
      <c r="R1971" s="2" t="str">
        <f>HYPERLINK("https://www.google.com/maps?q=-19.5932210,-43.9018390","Abrir no Google Maps")</f>
        <v>Abrir no Google Maps</v>
      </c>
      <c r="S1971">
        <v>3</v>
      </c>
      <c r="T1971">
        <v>741.77482535005606</v>
      </c>
      <c r="U1971">
        <v>4</v>
      </c>
      <c r="V1971">
        <v>0.2982456140350877</v>
      </c>
      <c r="W1971">
        <v>0.85</v>
      </c>
      <c r="X1971">
        <v>0.25350877192982452</v>
      </c>
      <c r="Y1971">
        <v>2</v>
      </c>
      <c r="Z1971">
        <v>790.59331647558088</v>
      </c>
      <c r="AA1971">
        <v>2</v>
      </c>
      <c r="AB1971">
        <v>3</v>
      </c>
      <c r="AC1971">
        <v>7</v>
      </c>
      <c r="AD1971">
        <v>25.18</v>
      </c>
      <c r="AE1971">
        <v>253</v>
      </c>
      <c r="AF1971">
        <v>17</v>
      </c>
      <c r="AG1971">
        <v>57</v>
      </c>
      <c r="AH1971">
        <v>32</v>
      </c>
      <c r="AI1971">
        <v>6.72</v>
      </c>
      <c r="AJ1971">
        <v>22.53</v>
      </c>
      <c r="AK1971">
        <v>12.65</v>
      </c>
      <c r="AL1971">
        <v>-19.593187449999959</v>
      </c>
      <c r="AM1971">
        <v>-43.901700308057322</v>
      </c>
      <c r="AN1971">
        <v>-19.593187449999959</v>
      </c>
      <c r="AO1971">
        <v>-43.901700308057322</v>
      </c>
      <c r="AP1971">
        <v>-19.593221</v>
      </c>
      <c r="AQ1971">
        <v>-43.901839000000002</v>
      </c>
      <c r="AR1971">
        <v>15.017055708279431</v>
      </c>
      <c r="AS1971" t="s">
        <v>65</v>
      </c>
      <c r="AT1971">
        <v>1</v>
      </c>
      <c r="AU1971" t="s">
        <v>369</v>
      </c>
      <c r="AV1971" t="s">
        <v>370</v>
      </c>
      <c r="AW1971" t="s">
        <v>60</v>
      </c>
      <c r="AX1971" t="s">
        <v>68</v>
      </c>
      <c r="AY1971" t="s">
        <v>69</v>
      </c>
      <c r="AZ1971" t="b">
        <v>1</v>
      </c>
    </row>
    <row r="1972" spans="1:52" x14ac:dyDescent="0.3">
      <c r="A1972" t="s">
        <v>52</v>
      </c>
      <c r="B1972" t="s">
        <v>53</v>
      </c>
      <c r="C1972" t="s">
        <v>54</v>
      </c>
      <c r="D1972" t="s">
        <v>55</v>
      </c>
      <c r="E1972" t="s">
        <v>860</v>
      </c>
      <c r="F1972" t="s">
        <v>176</v>
      </c>
      <c r="G1972" t="s">
        <v>371</v>
      </c>
      <c r="H1972" t="s">
        <v>372</v>
      </c>
      <c r="I1972" t="s">
        <v>372</v>
      </c>
      <c r="J1972" t="s">
        <v>60</v>
      </c>
      <c r="K1972" t="s">
        <v>352</v>
      </c>
      <c r="L1972" t="s">
        <v>62</v>
      </c>
      <c r="M1972" t="s">
        <v>352</v>
      </c>
      <c r="N1972" t="s">
        <v>353</v>
      </c>
      <c r="O1972" t="s">
        <v>373</v>
      </c>
      <c r="P1972">
        <v>-19.596541999999999</v>
      </c>
      <c r="Q1972">
        <v>-43.900803000000003</v>
      </c>
      <c r="R1972" s="2" t="str">
        <f>HYPERLINK("https://www.google.com/maps?q=-19.5965420,-43.9008030","Abrir no Google Maps")</f>
        <v>Abrir no Google Maps</v>
      </c>
      <c r="S1972">
        <v>3</v>
      </c>
      <c r="T1972">
        <v>401.18305899095373</v>
      </c>
      <c r="U1972">
        <v>4</v>
      </c>
      <c r="V1972">
        <v>0.33333333333333331</v>
      </c>
      <c r="W1972">
        <v>1</v>
      </c>
      <c r="X1972">
        <v>0.33333333333333331</v>
      </c>
      <c r="Y1972">
        <v>2</v>
      </c>
      <c r="Z1972">
        <v>484.51228510119228</v>
      </c>
      <c r="AA1972">
        <v>2</v>
      </c>
      <c r="AB1972">
        <v>3</v>
      </c>
      <c r="AC1972">
        <v>7</v>
      </c>
      <c r="AD1972">
        <v>25.18</v>
      </c>
      <c r="AE1972">
        <v>253</v>
      </c>
      <c r="AF1972">
        <v>17</v>
      </c>
      <c r="AG1972">
        <v>57</v>
      </c>
      <c r="AH1972">
        <v>32</v>
      </c>
      <c r="AI1972">
        <v>6.72</v>
      </c>
      <c r="AJ1972">
        <v>22.53</v>
      </c>
      <c r="AK1972">
        <v>12.65</v>
      </c>
      <c r="AL1972">
        <v>-19.596464449999932</v>
      </c>
      <c r="AM1972">
        <v>-43.902090320142641</v>
      </c>
      <c r="AN1972">
        <v>-19.596464449999932</v>
      </c>
      <c r="AO1972">
        <v>-43.902090320142641</v>
      </c>
      <c r="AP1972">
        <v>-19.596541999999999</v>
      </c>
      <c r="AQ1972">
        <v>-43.900803000000003</v>
      </c>
      <c r="AR1972">
        <v>135.27975170069479</v>
      </c>
      <c r="AS1972" t="s">
        <v>65</v>
      </c>
      <c r="AT1972">
        <v>1</v>
      </c>
      <c r="AU1972" t="s">
        <v>374</v>
      </c>
      <c r="AV1972" t="s">
        <v>375</v>
      </c>
      <c r="AW1972" t="s">
        <v>60</v>
      </c>
      <c r="AX1972" t="s">
        <v>68</v>
      </c>
      <c r="AY1972" t="s">
        <v>69</v>
      </c>
      <c r="AZ1972" t="b">
        <v>1</v>
      </c>
    </row>
    <row r="1973" spans="1:52" x14ac:dyDescent="0.3">
      <c r="A1973" t="s">
        <v>52</v>
      </c>
      <c r="B1973" t="s">
        <v>53</v>
      </c>
      <c r="C1973" t="s">
        <v>54</v>
      </c>
      <c r="D1973" t="s">
        <v>55</v>
      </c>
      <c r="E1973" t="s">
        <v>860</v>
      </c>
      <c r="F1973" t="s">
        <v>176</v>
      </c>
      <c r="G1973" t="s">
        <v>376</v>
      </c>
      <c r="H1973" t="s">
        <v>377</v>
      </c>
      <c r="I1973" t="s">
        <v>377</v>
      </c>
      <c r="J1973" t="s">
        <v>60</v>
      </c>
      <c r="K1973" t="s">
        <v>352</v>
      </c>
      <c r="L1973" t="s">
        <v>62</v>
      </c>
      <c r="M1973" t="s">
        <v>352</v>
      </c>
      <c r="N1973" t="s">
        <v>378</v>
      </c>
      <c r="O1973" t="s">
        <v>379</v>
      </c>
      <c r="P1973">
        <v>-19.596966999999999</v>
      </c>
      <c r="Q1973">
        <v>-43.90155</v>
      </c>
      <c r="R1973" s="2" t="str">
        <f>HYPERLINK("https://www.google.com/maps?q=-19.5969670,-43.9015500","Abrir no Google Maps")</f>
        <v>Abrir no Google Maps</v>
      </c>
      <c r="S1973">
        <v>3</v>
      </c>
      <c r="T1973">
        <v>366.5160120865408</v>
      </c>
      <c r="U1973">
        <v>4</v>
      </c>
      <c r="V1973">
        <v>0.33333333333333331</v>
      </c>
      <c r="W1973">
        <v>1</v>
      </c>
      <c r="X1973">
        <v>0.33333333333333331</v>
      </c>
      <c r="Y1973">
        <v>2</v>
      </c>
      <c r="Z1973">
        <v>437.88042928493138</v>
      </c>
      <c r="AA1973">
        <v>2</v>
      </c>
      <c r="AB1973">
        <v>3</v>
      </c>
      <c r="AC1973">
        <v>7</v>
      </c>
      <c r="AD1973">
        <v>25.18</v>
      </c>
      <c r="AE1973">
        <v>253</v>
      </c>
      <c r="AF1973">
        <v>17</v>
      </c>
      <c r="AG1973">
        <v>57</v>
      </c>
      <c r="AH1973">
        <v>32</v>
      </c>
      <c r="AI1973">
        <v>6.72</v>
      </c>
      <c r="AJ1973">
        <v>22.53</v>
      </c>
      <c r="AK1973">
        <v>12.65</v>
      </c>
      <c r="AL1973">
        <v>-19.597188549999942</v>
      </c>
      <c r="AM1973">
        <v>-43.901724335633787</v>
      </c>
      <c r="AN1973">
        <v>-19.597188549999942</v>
      </c>
      <c r="AO1973">
        <v>-43.901724335633787</v>
      </c>
      <c r="AP1973">
        <v>-19.596966999999999</v>
      </c>
      <c r="AQ1973">
        <v>-43.90155</v>
      </c>
      <c r="AR1973">
        <v>30.700556875456439</v>
      </c>
      <c r="AS1973" t="s">
        <v>65</v>
      </c>
      <c r="AT1973">
        <v>1</v>
      </c>
      <c r="AU1973" t="s">
        <v>380</v>
      </c>
      <c r="AV1973" t="s">
        <v>381</v>
      </c>
      <c r="AW1973" t="s">
        <v>60</v>
      </c>
      <c r="AX1973" t="s">
        <v>68</v>
      </c>
      <c r="AY1973" t="s">
        <v>69</v>
      </c>
      <c r="AZ1973" t="b">
        <v>1</v>
      </c>
    </row>
    <row r="1974" spans="1:52" x14ac:dyDescent="0.3">
      <c r="A1974" t="s">
        <v>52</v>
      </c>
      <c r="B1974" t="s">
        <v>53</v>
      </c>
      <c r="C1974" t="s">
        <v>54</v>
      </c>
      <c r="D1974" t="s">
        <v>55</v>
      </c>
      <c r="E1974" t="s">
        <v>860</v>
      </c>
      <c r="F1974" t="s">
        <v>176</v>
      </c>
      <c r="G1974" t="s">
        <v>382</v>
      </c>
      <c r="H1974" t="s">
        <v>383</v>
      </c>
      <c r="I1974" t="s">
        <v>383</v>
      </c>
      <c r="J1974" t="s">
        <v>60</v>
      </c>
      <c r="K1974" t="s">
        <v>185</v>
      </c>
      <c r="L1974" t="s">
        <v>62</v>
      </c>
      <c r="M1974" t="s">
        <v>185</v>
      </c>
      <c r="N1974" t="s">
        <v>384</v>
      </c>
      <c r="O1974" t="s">
        <v>385</v>
      </c>
      <c r="P1974">
        <v>-19.623774000000001</v>
      </c>
      <c r="Q1974">
        <v>-43.886352000000002</v>
      </c>
      <c r="R1974" s="2" t="str">
        <f>HYPERLINK("https://www.google.com/maps?q=-19.6237740,-43.8863520","Abrir no Google Maps")</f>
        <v>Abrir no Google Maps</v>
      </c>
      <c r="S1974">
        <v>3</v>
      </c>
      <c r="T1974">
        <v>818.17252856383368</v>
      </c>
      <c r="U1974">
        <v>4</v>
      </c>
      <c r="V1974">
        <v>9.4850948509485097E-2</v>
      </c>
      <c r="W1974">
        <v>1</v>
      </c>
      <c r="X1974">
        <v>9.4850948509485097E-2</v>
      </c>
      <c r="Y1974">
        <v>0</v>
      </c>
      <c r="Z1974">
        <v>327.32213182525902</v>
      </c>
      <c r="AA1974">
        <v>2</v>
      </c>
      <c r="AB1974">
        <v>3</v>
      </c>
      <c r="AC1974">
        <v>7</v>
      </c>
      <c r="AD1974">
        <v>25.18</v>
      </c>
      <c r="AE1974">
        <v>253</v>
      </c>
      <c r="AF1974">
        <v>17</v>
      </c>
      <c r="AG1974">
        <v>57</v>
      </c>
      <c r="AH1974">
        <v>32</v>
      </c>
      <c r="AI1974">
        <v>6.72</v>
      </c>
      <c r="AJ1974">
        <v>22.53</v>
      </c>
      <c r="AK1974">
        <v>12.65</v>
      </c>
      <c r="AL1974">
        <v>-19.623056299999941</v>
      </c>
      <c r="AM1974">
        <v>-43.886837120297002</v>
      </c>
      <c r="AN1974">
        <v>-19.623056299999941</v>
      </c>
      <c r="AO1974">
        <v>-43.886837120297002</v>
      </c>
      <c r="AP1974">
        <v>-19.623774000000001</v>
      </c>
      <c r="AQ1974">
        <v>-43.886352000000002</v>
      </c>
      <c r="AR1974">
        <v>94.713149059175393</v>
      </c>
      <c r="AS1974" t="s">
        <v>65</v>
      </c>
      <c r="AT1974">
        <v>1</v>
      </c>
      <c r="AU1974" t="s">
        <v>386</v>
      </c>
      <c r="AV1974" t="s">
        <v>387</v>
      </c>
      <c r="AW1974" t="s">
        <v>60</v>
      </c>
      <c r="AX1974" t="s">
        <v>68</v>
      </c>
      <c r="AY1974" t="s">
        <v>69</v>
      </c>
      <c r="AZ1974" t="b">
        <v>1</v>
      </c>
    </row>
    <row r="1975" spans="1:52" x14ac:dyDescent="0.3">
      <c r="A1975" t="s">
        <v>52</v>
      </c>
      <c r="B1975" t="s">
        <v>53</v>
      </c>
      <c r="C1975" t="s">
        <v>54</v>
      </c>
      <c r="D1975" t="s">
        <v>55</v>
      </c>
      <c r="E1975" t="s">
        <v>860</v>
      </c>
      <c r="F1975" t="s">
        <v>176</v>
      </c>
      <c r="G1975" t="s">
        <v>525</v>
      </c>
      <c r="H1975" t="s">
        <v>526</v>
      </c>
      <c r="I1975" t="s">
        <v>526</v>
      </c>
      <c r="J1975" t="s">
        <v>60</v>
      </c>
      <c r="K1975" t="s">
        <v>286</v>
      </c>
      <c r="L1975" t="s">
        <v>62</v>
      </c>
      <c r="M1975" t="s">
        <v>286</v>
      </c>
      <c r="N1975" t="s">
        <v>527</v>
      </c>
      <c r="O1975" t="s">
        <v>113</v>
      </c>
      <c r="P1975">
        <v>-19.629049999999999</v>
      </c>
      <c r="Q1975">
        <v>-43.887543000000001</v>
      </c>
      <c r="R1975" s="2" t="str">
        <f>HYPERLINK("https://www.google.com/maps?q=-19.6290500,-43.8875430","Abrir no Google Maps")</f>
        <v>Abrir no Google Maps</v>
      </c>
      <c r="S1975">
        <v>3</v>
      </c>
      <c r="T1975">
        <v>420.9244758141914</v>
      </c>
      <c r="U1975">
        <v>3</v>
      </c>
      <c r="V1975">
        <v>2.1739130434782601E-2</v>
      </c>
      <c r="W1975">
        <v>0.85</v>
      </c>
      <c r="X1975">
        <v>1.8478260869565211E-2</v>
      </c>
      <c r="Y1975">
        <v>18</v>
      </c>
      <c r="Z1975">
        <v>298.16529694300579</v>
      </c>
      <c r="AA1975">
        <v>2</v>
      </c>
      <c r="AB1975">
        <v>3</v>
      </c>
      <c r="AC1975">
        <v>7</v>
      </c>
      <c r="AD1975">
        <v>25.18</v>
      </c>
      <c r="AE1975">
        <v>253</v>
      </c>
      <c r="AF1975">
        <v>17</v>
      </c>
      <c r="AG1975">
        <v>57</v>
      </c>
      <c r="AH1975">
        <v>32</v>
      </c>
      <c r="AI1975">
        <v>6.72</v>
      </c>
      <c r="AJ1975">
        <v>22.53</v>
      </c>
      <c r="AK1975">
        <v>12.65</v>
      </c>
      <c r="AL1975">
        <v>-19.62914789999996</v>
      </c>
      <c r="AM1975">
        <v>-43.887659532387332</v>
      </c>
      <c r="AN1975">
        <v>-19.62914789999996</v>
      </c>
      <c r="AO1975">
        <v>-43.887659532387332</v>
      </c>
      <c r="AP1975">
        <v>-19.629049999999999</v>
      </c>
      <c r="AQ1975">
        <v>-43.887543000000001</v>
      </c>
      <c r="AR1975">
        <v>16.372645779361299</v>
      </c>
      <c r="AS1975" t="s">
        <v>65</v>
      </c>
      <c r="AT1975">
        <v>1</v>
      </c>
      <c r="AU1975" t="s">
        <v>528</v>
      </c>
      <c r="AV1975" t="s">
        <v>529</v>
      </c>
      <c r="AW1975" t="s">
        <v>60</v>
      </c>
      <c r="AX1975" t="s">
        <v>68</v>
      </c>
      <c r="AY1975" t="s">
        <v>69</v>
      </c>
      <c r="AZ1975" t="b">
        <v>1</v>
      </c>
    </row>
    <row r="1976" spans="1:52" x14ac:dyDescent="0.3">
      <c r="A1976" t="s">
        <v>52</v>
      </c>
      <c r="B1976" t="s">
        <v>53</v>
      </c>
      <c r="C1976" t="s">
        <v>54</v>
      </c>
      <c r="D1976" t="s">
        <v>55</v>
      </c>
      <c r="E1976" t="s">
        <v>860</v>
      </c>
      <c r="F1976" t="s">
        <v>176</v>
      </c>
      <c r="G1976" t="s">
        <v>394</v>
      </c>
      <c r="H1976" t="s">
        <v>395</v>
      </c>
      <c r="I1976" t="s">
        <v>395</v>
      </c>
      <c r="J1976" t="s">
        <v>60</v>
      </c>
      <c r="K1976" t="s">
        <v>286</v>
      </c>
      <c r="L1976" t="s">
        <v>62</v>
      </c>
      <c r="M1976" t="s">
        <v>286</v>
      </c>
      <c r="N1976" t="s">
        <v>396</v>
      </c>
      <c r="O1976" t="s">
        <v>88</v>
      </c>
      <c r="P1976">
        <v>-19.636932999999999</v>
      </c>
      <c r="Q1976">
        <v>-43.882691999999999</v>
      </c>
      <c r="R1976" s="2" t="str">
        <f>HYPERLINK("https://www.google.com/maps?q=-19.6369330,-43.8826920","Abrir no Google Maps")</f>
        <v>Abrir no Google Maps</v>
      </c>
      <c r="S1976">
        <v>3</v>
      </c>
      <c r="T1976">
        <v>523.52675813688109</v>
      </c>
      <c r="U1976">
        <v>3</v>
      </c>
      <c r="V1976">
        <v>2.69749518304431E-2</v>
      </c>
      <c r="W1976">
        <v>1</v>
      </c>
      <c r="X1976">
        <v>2.69749518304431E-2</v>
      </c>
      <c r="Y1976">
        <v>10</v>
      </c>
      <c r="Z1976">
        <v>372.58135532659509</v>
      </c>
      <c r="AA1976">
        <v>2</v>
      </c>
      <c r="AB1976">
        <v>3</v>
      </c>
      <c r="AC1976">
        <v>7</v>
      </c>
      <c r="AD1976">
        <v>25.18</v>
      </c>
      <c r="AE1976">
        <v>253</v>
      </c>
      <c r="AF1976">
        <v>17</v>
      </c>
      <c r="AG1976">
        <v>57</v>
      </c>
      <c r="AH1976">
        <v>32</v>
      </c>
      <c r="AI1976">
        <v>6.72</v>
      </c>
      <c r="AJ1976">
        <v>22.53</v>
      </c>
      <c r="AK1976">
        <v>12.65</v>
      </c>
      <c r="AL1976">
        <v>-19.637159949999951</v>
      </c>
      <c r="AM1976">
        <v>-43.882643289441461</v>
      </c>
      <c r="AN1976">
        <v>-19.637159949999951</v>
      </c>
      <c r="AO1976">
        <v>-43.882643289441461</v>
      </c>
      <c r="AP1976">
        <v>-19.636932999999999</v>
      </c>
      <c r="AQ1976">
        <v>-43.882691999999999</v>
      </c>
      <c r="AR1976">
        <v>25.775099947452478</v>
      </c>
      <c r="AS1976" t="s">
        <v>65</v>
      </c>
      <c r="AT1976">
        <v>1</v>
      </c>
      <c r="AU1976" t="s">
        <v>397</v>
      </c>
      <c r="AV1976" t="s">
        <v>398</v>
      </c>
      <c r="AW1976" t="s">
        <v>60</v>
      </c>
      <c r="AX1976" t="s">
        <v>68</v>
      </c>
      <c r="AY1976" t="s">
        <v>69</v>
      </c>
      <c r="AZ1976" t="b">
        <v>1</v>
      </c>
    </row>
    <row r="1977" spans="1:52" x14ac:dyDescent="0.3">
      <c r="A1977" t="s">
        <v>52</v>
      </c>
      <c r="B1977" t="s">
        <v>53</v>
      </c>
      <c r="C1977" t="s">
        <v>54</v>
      </c>
      <c r="D1977" t="s">
        <v>55</v>
      </c>
      <c r="E1977" t="s">
        <v>860</v>
      </c>
      <c r="F1977" t="s">
        <v>176</v>
      </c>
      <c r="G1977" t="s">
        <v>405</v>
      </c>
      <c r="H1977" t="s">
        <v>406</v>
      </c>
      <c r="I1977" t="s">
        <v>406</v>
      </c>
      <c r="J1977" t="s">
        <v>60</v>
      </c>
      <c r="K1977" t="s">
        <v>286</v>
      </c>
      <c r="L1977" t="s">
        <v>62</v>
      </c>
      <c r="M1977" t="s">
        <v>286</v>
      </c>
      <c r="N1977" t="s">
        <v>407</v>
      </c>
      <c r="O1977" t="s">
        <v>408</v>
      </c>
      <c r="P1977">
        <v>-19.646345</v>
      </c>
      <c r="Q1977">
        <v>-43.882294999999999</v>
      </c>
      <c r="R1977" s="2" t="str">
        <f>HYPERLINK("https://www.google.com/maps?q=-19.6463450,-43.8822950","Abrir no Google Maps")</f>
        <v>Abrir no Google Maps</v>
      </c>
      <c r="S1977">
        <v>3</v>
      </c>
      <c r="T1977">
        <v>450.3180538635894</v>
      </c>
      <c r="U1977">
        <v>3</v>
      </c>
      <c r="V1977">
        <v>3.6559139784946203E-2</v>
      </c>
      <c r="W1977">
        <v>1</v>
      </c>
      <c r="X1977">
        <v>3.6559139784946203E-2</v>
      </c>
      <c r="Y1977">
        <v>10</v>
      </c>
      <c r="Z1977">
        <v>349.23341775902583</v>
      </c>
      <c r="AA1977">
        <v>2</v>
      </c>
      <c r="AB1977">
        <v>3</v>
      </c>
      <c r="AC1977">
        <v>7</v>
      </c>
      <c r="AD1977">
        <v>25.18</v>
      </c>
      <c r="AE1977">
        <v>253</v>
      </c>
      <c r="AF1977">
        <v>17</v>
      </c>
      <c r="AG1977">
        <v>57</v>
      </c>
      <c r="AH1977">
        <v>32</v>
      </c>
      <c r="AI1977">
        <v>6.72</v>
      </c>
      <c r="AJ1977">
        <v>22.53</v>
      </c>
      <c r="AK1977">
        <v>12.65</v>
      </c>
      <c r="AL1977">
        <v>-19.646391649999941</v>
      </c>
      <c r="AM1977">
        <v>-43.882007396993302</v>
      </c>
      <c r="AN1977">
        <v>-19.646391649999941</v>
      </c>
      <c r="AO1977">
        <v>-43.882007396993302</v>
      </c>
      <c r="AP1977">
        <v>-19.646345</v>
      </c>
      <c r="AQ1977">
        <v>-43.882294999999999</v>
      </c>
      <c r="AR1977">
        <v>30.596105513395301</v>
      </c>
      <c r="AS1977" t="s">
        <v>65</v>
      </c>
      <c r="AT1977">
        <v>1</v>
      </c>
      <c r="AU1977" t="s">
        <v>409</v>
      </c>
      <c r="AV1977" t="s">
        <v>410</v>
      </c>
      <c r="AW1977" t="s">
        <v>60</v>
      </c>
      <c r="AX1977" t="s">
        <v>68</v>
      </c>
      <c r="AY1977" t="s">
        <v>69</v>
      </c>
      <c r="AZ1977" t="b">
        <v>1</v>
      </c>
    </row>
    <row r="1978" spans="1:52" x14ac:dyDescent="0.3">
      <c r="A1978" t="s">
        <v>52</v>
      </c>
      <c r="B1978" t="s">
        <v>53</v>
      </c>
      <c r="C1978" t="s">
        <v>54</v>
      </c>
      <c r="D1978" t="s">
        <v>55</v>
      </c>
      <c r="E1978" t="s">
        <v>860</v>
      </c>
      <c r="F1978" t="s">
        <v>176</v>
      </c>
      <c r="G1978" t="s">
        <v>580</v>
      </c>
      <c r="H1978" t="s">
        <v>581</v>
      </c>
      <c r="I1978" t="s">
        <v>581</v>
      </c>
      <c r="J1978" t="s">
        <v>60</v>
      </c>
      <c r="K1978" t="s">
        <v>179</v>
      </c>
      <c r="L1978" t="s">
        <v>62</v>
      </c>
      <c r="M1978" t="s">
        <v>179</v>
      </c>
      <c r="N1978" t="s">
        <v>582</v>
      </c>
      <c r="O1978" t="s">
        <v>583</v>
      </c>
      <c r="P1978">
        <v>-19.651917999999998</v>
      </c>
      <c r="Q1978">
        <v>-43.888081</v>
      </c>
      <c r="R1978" s="2" t="str">
        <f>HYPERLINK("https://www.google.com/maps?q=-19.6519180,-43.8880810","Abrir no Google Maps")</f>
        <v>Abrir no Google Maps</v>
      </c>
      <c r="S1978">
        <v>3</v>
      </c>
      <c r="T1978">
        <v>1192.758363020145</v>
      </c>
      <c r="U1978">
        <v>3</v>
      </c>
      <c r="V1978">
        <v>2.02020202020202E-2</v>
      </c>
      <c r="W1978">
        <v>0.85</v>
      </c>
      <c r="X1978">
        <v>1.7171717171717171E-2</v>
      </c>
      <c r="Y1978">
        <v>10</v>
      </c>
      <c r="Z1978">
        <v>1164.020417046748</v>
      </c>
      <c r="AA1978">
        <v>2</v>
      </c>
      <c r="AB1978">
        <v>3</v>
      </c>
      <c r="AC1978">
        <v>7</v>
      </c>
      <c r="AD1978">
        <v>25.18</v>
      </c>
      <c r="AE1978">
        <v>253</v>
      </c>
      <c r="AF1978">
        <v>17</v>
      </c>
      <c r="AG1978">
        <v>57</v>
      </c>
      <c r="AH1978">
        <v>32</v>
      </c>
      <c r="AI1978">
        <v>6.72</v>
      </c>
      <c r="AJ1978">
        <v>22.53</v>
      </c>
      <c r="AK1978">
        <v>12.65</v>
      </c>
      <c r="AL1978">
        <v>-19.65182809999996</v>
      </c>
      <c r="AM1978">
        <v>-43.887955347266519</v>
      </c>
      <c r="AN1978">
        <v>-19.65182809999996</v>
      </c>
      <c r="AO1978">
        <v>-43.887955347266519</v>
      </c>
      <c r="AP1978">
        <v>-19.651917999999998</v>
      </c>
      <c r="AQ1978">
        <v>-43.888081</v>
      </c>
      <c r="AR1978">
        <v>16.543262936495491</v>
      </c>
      <c r="AS1978" t="s">
        <v>65</v>
      </c>
      <c r="AT1978">
        <v>1</v>
      </c>
      <c r="AU1978" t="s">
        <v>584</v>
      </c>
      <c r="AV1978" t="s">
        <v>585</v>
      </c>
      <c r="AW1978" t="s">
        <v>60</v>
      </c>
      <c r="AX1978" t="s">
        <v>68</v>
      </c>
      <c r="AY1978" t="s">
        <v>69</v>
      </c>
      <c r="AZ1978" t="b">
        <v>1</v>
      </c>
    </row>
    <row r="1979" spans="1:52" x14ac:dyDescent="0.3">
      <c r="A1979" t="s">
        <v>52</v>
      </c>
      <c r="B1979" t="s">
        <v>53</v>
      </c>
      <c r="C1979" t="s">
        <v>54</v>
      </c>
      <c r="D1979" t="s">
        <v>55</v>
      </c>
      <c r="E1979" t="s">
        <v>860</v>
      </c>
      <c r="F1979" t="s">
        <v>176</v>
      </c>
      <c r="G1979" t="s">
        <v>586</v>
      </c>
      <c r="H1979" t="s">
        <v>587</v>
      </c>
      <c r="I1979" t="s">
        <v>587</v>
      </c>
      <c r="J1979" t="s">
        <v>60</v>
      </c>
      <c r="K1979" t="s">
        <v>286</v>
      </c>
      <c r="L1979" t="s">
        <v>62</v>
      </c>
      <c r="M1979" t="s">
        <v>286</v>
      </c>
      <c r="N1979" t="s">
        <v>588</v>
      </c>
      <c r="O1979" t="s">
        <v>589</v>
      </c>
      <c r="P1979">
        <v>-19.638362999999998</v>
      </c>
      <c r="Q1979">
        <v>-43.887081000000002</v>
      </c>
      <c r="R1979" s="2" t="str">
        <f>HYPERLINK("https://www.google.com/maps?q=-19.6383630,-43.8870810","Abrir no Google Maps")</f>
        <v>Abrir no Google Maps</v>
      </c>
      <c r="S1979">
        <v>3</v>
      </c>
      <c r="T1979">
        <v>521.16909902210193</v>
      </c>
      <c r="U1979">
        <v>3</v>
      </c>
      <c r="V1979">
        <v>2.3255813953488299E-2</v>
      </c>
      <c r="W1979">
        <v>0.85</v>
      </c>
      <c r="X1979">
        <v>1.976744186046505E-2</v>
      </c>
      <c r="Y1979">
        <v>10</v>
      </c>
      <c r="Z1979">
        <v>416.66355243950221</v>
      </c>
      <c r="AA1979">
        <v>2</v>
      </c>
      <c r="AB1979">
        <v>3</v>
      </c>
      <c r="AC1979">
        <v>7</v>
      </c>
      <c r="AD1979">
        <v>25.18</v>
      </c>
      <c r="AE1979">
        <v>253</v>
      </c>
      <c r="AF1979">
        <v>17</v>
      </c>
      <c r="AG1979">
        <v>57</v>
      </c>
      <c r="AH1979">
        <v>32</v>
      </c>
      <c r="AI1979">
        <v>6.72</v>
      </c>
      <c r="AJ1979">
        <v>22.53</v>
      </c>
      <c r="AK1979">
        <v>12.65</v>
      </c>
      <c r="AL1979">
        <v>-19.638074649999961</v>
      </c>
      <c r="AM1979">
        <v>-43.887517684870552</v>
      </c>
      <c r="AN1979">
        <v>-19.638074649999961</v>
      </c>
      <c r="AO1979">
        <v>-43.887517684870552</v>
      </c>
      <c r="AP1979">
        <v>-19.638362999999998</v>
      </c>
      <c r="AQ1979">
        <v>-43.887081000000002</v>
      </c>
      <c r="AR1979">
        <v>55.915550702564907</v>
      </c>
      <c r="AS1979" t="s">
        <v>65</v>
      </c>
      <c r="AT1979">
        <v>1</v>
      </c>
      <c r="AU1979" t="s">
        <v>590</v>
      </c>
      <c r="AV1979" t="s">
        <v>591</v>
      </c>
      <c r="AW1979" t="s">
        <v>60</v>
      </c>
      <c r="AX1979" t="s">
        <v>68</v>
      </c>
      <c r="AY1979" t="s">
        <v>69</v>
      </c>
      <c r="AZ1979" t="b">
        <v>1</v>
      </c>
    </row>
    <row r="1980" spans="1:52" x14ac:dyDescent="0.3">
      <c r="A1980" t="s">
        <v>52</v>
      </c>
      <c r="B1980" t="s">
        <v>53</v>
      </c>
      <c r="C1980" t="s">
        <v>54</v>
      </c>
      <c r="D1980" t="s">
        <v>55</v>
      </c>
      <c r="E1980" t="s">
        <v>860</v>
      </c>
      <c r="F1980" t="s">
        <v>176</v>
      </c>
      <c r="G1980" t="s">
        <v>417</v>
      </c>
      <c r="H1980" t="s">
        <v>418</v>
      </c>
      <c r="I1980" t="s">
        <v>418</v>
      </c>
      <c r="J1980" t="s">
        <v>60</v>
      </c>
      <c r="K1980" t="s">
        <v>179</v>
      </c>
      <c r="L1980" t="s">
        <v>62</v>
      </c>
      <c r="M1980" t="s">
        <v>179</v>
      </c>
      <c r="N1980" t="s">
        <v>419</v>
      </c>
      <c r="O1980" t="s">
        <v>420</v>
      </c>
      <c r="P1980">
        <v>-19.646516999999999</v>
      </c>
      <c r="Q1980">
        <v>-43.889716</v>
      </c>
      <c r="R1980" s="2" t="str">
        <f>HYPERLINK("https://www.google.com/maps?q=-19.6465170,-43.8897160","Abrir no Google Maps")</f>
        <v>Abrir no Google Maps</v>
      </c>
      <c r="S1980">
        <v>3</v>
      </c>
      <c r="T1980">
        <v>796.8355517653099</v>
      </c>
      <c r="U1980">
        <v>3</v>
      </c>
      <c r="V1980">
        <v>2.4752475247524702E-2</v>
      </c>
      <c r="W1980">
        <v>1</v>
      </c>
      <c r="X1980">
        <v>2.4752475247524702E-2</v>
      </c>
      <c r="Y1980">
        <v>7</v>
      </c>
      <c r="Z1980">
        <v>749.72812632947034</v>
      </c>
      <c r="AA1980">
        <v>2</v>
      </c>
      <c r="AB1980">
        <v>3</v>
      </c>
      <c r="AC1980">
        <v>7</v>
      </c>
      <c r="AD1980">
        <v>25.18</v>
      </c>
      <c r="AE1980">
        <v>253</v>
      </c>
      <c r="AF1980">
        <v>17</v>
      </c>
      <c r="AG1980">
        <v>57</v>
      </c>
      <c r="AH1980">
        <v>32</v>
      </c>
      <c r="AI1980">
        <v>6.72</v>
      </c>
      <c r="AJ1980">
        <v>22.53</v>
      </c>
      <c r="AK1980">
        <v>12.65</v>
      </c>
      <c r="AL1980">
        <v>-19.646452649999961</v>
      </c>
      <c r="AM1980">
        <v>-43.88991036523079</v>
      </c>
      <c r="AN1980">
        <v>-19.646452649999961</v>
      </c>
      <c r="AO1980">
        <v>-43.88991036523079</v>
      </c>
      <c r="AP1980">
        <v>-19.646516999999999</v>
      </c>
      <c r="AQ1980">
        <v>-43.889716</v>
      </c>
      <c r="AR1980">
        <v>21.599617922669939</v>
      </c>
      <c r="AS1980" t="s">
        <v>65</v>
      </c>
      <c r="AT1980">
        <v>1</v>
      </c>
      <c r="AU1980" t="s">
        <v>421</v>
      </c>
      <c r="AV1980" t="s">
        <v>422</v>
      </c>
      <c r="AW1980" t="s">
        <v>60</v>
      </c>
      <c r="AX1980" t="s">
        <v>68</v>
      </c>
      <c r="AY1980" t="s">
        <v>69</v>
      </c>
      <c r="AZ1980" t="b">
        <v>1</v>
      </c>
    </row>
    <row r="1981" spans="1:52" x14ac:dyDescent="0.3">
      <c r="A1981" t="s">
        <v>52</v>
      </c>
      <c r="B1981" t="s">
        <v>53</v>
      </c>
      <c r="C1981" t="s">
        <v>54</v>
      </c>
      <c r="D1981" t="s">
        <v>55</v>
      </c>
      <c r="E1981" t="s">
        <v>860</v>
      </c>
      <c r="F1981" t="s">
        <v>176</v>
      </c>
      <c r="G1981" t="s">
        <v>228</v>
      </c>
      <c r="H1981" t="s">
        <v>423</v>
      </c>
      <c r="I1981" t="s">
        <v>423</v>
      </c>
      <c r="J1981" t="s">
        <v>60</v>
      </c>
      <c r="K1981" t="s">
        <v>286</v>
      </c>
      <c r="L1981" t="s">
        <v>62</v>
      </c>
      <c r="M1981" t="s">
        <v>286</v>
      </c>
      <c r="N1981" t="s">
        <v>230</v>
      </c>
      <c r="O1981" t="s">
        <v>424</v>
      </c>
      <c r="P1981">
        <v>-19.641656999999999</v>
      </c>
      <c r="Q1981">
        <v>-43.884228999999998</v>
      </c>
      <c r="R1981" s="2" t="str">
        <f>HYPERLINK("https://www.google.com/maps?q=-19.6416570,-43.8842290","Abrir no Google Maps")</f>
        <v>Abrir no Google Maps</v>
      </c>
      <c r="S1981">
        <v>3</v>
      </c>
      <c r="T1981">
        <v>0</v>
      </c>
      <c r="U1981">
        <v>3</v>
      </c>
      <c r="V1981">
        <v>1.85185185185185E-2</v>
      </c>
      <c r="W1981">
        <v>1</v>
      </c>
      <c r="X1981">
        <v>1.85185185185185E-2</v>
      </c>
      <c r="Y1981">
        <v>7</v>
      </c>
      <c r="Z1981">
        <v>67.727401070752876</v>
      </c>
      <c r="AA1981">
        <v>2</v>
      </c>
      <c r="AB1981">
        <v>3</v>
      </c>
      <c r="AC1981">
        <v>7</v>
      </c>
      <c r="AD1981">
        <v>25.18</v>
      </c>
      <c r="AE1981">
        <v>253</v>
      </c>
      <c r="AF1981">
        <v>17</v>
      </c>
      <c r="AG1981">
        <v>57</v>
      </c>
      <c r="AH1981">
        <v>32</v>
      </c>
      <c r="AI1981">
        <v>6.72</v>
      </c>
      <c r="AJ1981">
        <v>22.53</v>
      </c>
      <c r="AK1981">
        <v>12.65</v>
      </c>
      <c r="AL1981">
        <v>-19.641634199999942</v>
      </c>
      <c r="AM1981">
        <v>-43.884263743972831</v>
      </c>
      <c r="AN1981">
        <v>-19.641634199999942</v>
      </c>
      <c r="AO1981">
        <v>-43.884263743972831</v>
      </c>
      <c r="AP1981">
        <v>-19.641656999999999</v>
      </c>
      <c r="AQ1981">
        <v>-43.884228999999998</v>
      </c>
      <c r="AR1981">
        <v>4.4396888961435659</v>
      </c>
      <c r="AS1981" t="s">
        <v>65</v>
      </c>
      <c r="AT1981">
        <v>1</v>
      </c>
      <c r="AU1981" t="s">
        <v>425</v>
      </c>
      <c r="AV1981" t="s">
        <v>426</v>
      </c>
      <c r="AW1981" t="s">
        <v>60</v>
      </c>
      <c r="AX1981" t="s">
        <v>68</v>
      </c>
      <c r="AY1981" t="s">
        <v>69</v>
      </c>
      <c r="AZ1981" t="b">
        <v>1</v>
      </c>
    </row>
    <row r="1982" spans="1:52" x14ac:dyDescent="0.3">
      <c r="A1982" t="s">
        <v>52</v>
      </c>
      <c r="B1982" t="s">
        <v>53</v>
      </c>
      <c r="C1982" t="s">
        <v>54</v>
      </c>
      <c r="D1982" t="s">
        <v>55</v>
      </c>
      <c r="E1982" t="s">
        <v>860</v>
      </c>
      <c r="F1982" t="s">
        <v>176</v>
      </c>
      <c r="G1982" t="s">
        <v>854</v>
      </c>
      <c r="H1982" t="s">
        <v>855</v>
      </c>
      <c r="I1982" t="s">
        <v>855</v>
      </c>
      <c r="J1982" t="s">
        <v>60</v>
      </c>
      <c r="K1982" t="s">
        <v>286</v>
      </c>
      <c r="L1982" t="s">
        <v>62</v>
      </c>
      <c r="M1982" t="s">
        <v>286</v>
      </c>
      <c r="N1982" t="s">
        <v>856</v>
      </c>
      <c r="O1982" t="s">
        <v>857</v>
      </c>
      <c r="P1982">
        <v>-19.641672</v>
      </c>
      <c r="Q1982">
        <v>-43.886710999999998</v>
      </c>
      <c r="R1982" s="2" t="str">
        <f>HYPERLINK("https://www.google.com/maps?q=-19.6416720,-43.8867110","Abrir no Google Maps")</f>
        <v>Abrir no Google Maps</v>
      </c>
      <c r="S1982">
        <v>3</v>
      </c>
      <c r="T1982">
        <v>223.91242423049661</v>
      </c>
      <c r="U1982">
        <v>3</v>
      </c>
      <c r="V1982">
        <v>2.8248587570621399E-2</v>
      </c>
      <c r="W1982">
        <v>0.85</v>
      </c>
      <c r="X1982">
        <v>2.401129943502819E-2</v>
      </c>
      <c r="Y1982">
        <v>7</v>
      </c>
      <c r="Z1982">
        <v>228.81759417059521</v>
      </c>
      <c r="AA1982">
        <v>2</v>
      </c>
      <c r="AB1982">
        <v>3</v>
      </c>
      <c r="AC1982">
        <v>7</v>
      </c>
      <c r="AD1982">
        <v>25.18</v>
      </c>
      <c r="AE1982">
        <v>253</v>
      </c>
      <c r="AF1982">
        <v>17</v>
      </c>
      <c r="AG1982">
        <v>57</v>
      </c>
      <c r="AH1982">
        <v>32</v>
      </c>
      <c r="AI1982">
        <v>6.72</v>
      </c>
      <c r="AJ1982">
        <v>22.53</v>
      </c>
      <c r="AK1982">
        <v>12.65</v>
      </c>
      <c r="AL1982">
        <v>-19.641412699999961</v>
      </c>
      <c r="AM1982">
        <v>-43.88638630110426</v>
      </c>
      <c r="AN1982">
        <v>-19.641412699999961</v>
      </c>
      <c r="AO1982">
        <v>-43.88638630110426</v>
      </c>
      <c r="AP1982">
        <v>-19.641672</v>
      </c>
      <c r="AQ1982">
        <v>-43.886710999999998</v>
      </c>
      <c r="AR1982">
        <v>44.632785642359828</v>
      </c>
      <c r="AS1982" t="s">
        <v>65</v>
      </c>
      <c r="AT1982">
        <v>1</v>
      </c>
      <c r="AU1982" t="s">
        <v>858</v>
      </c>
      <c r="AV1982" t="s">
        <v>859</v>
      </c>
      <c r="AW1982" t="s">
        <v>60</v>
      </c>
      <c r="AX1982" t="s">
        <v>68</v>
      </c>
      <c r="AY1982" t="s">
        <v>69</v>
      </c>
      <c r="AZ1982" t="b">
        <v>1</v>
      </c>
    </row>
    <row r="1983" spans="1:52" x14ac:dyDescent="0.3">
      <c r="A1983" t="s">
        <v>52</v>
      </c>
      <c r="B1983" t="s">
        <v>53</v>
      </c>
      <c r="C1983" t="s">
        <v>54</v>
      </c>
      <c r="D1983" t="s">
        <v>55</v>
      </c>
      <c r="E1983" t="s">
        <v>860</v>
      </c>
      <c r="F1983" t="s">
        <v>176</v>
      </c>
      <c r="G1983" t="s">
        <v>866</v>
      </c>
      <c r="H1983" t="s">
        <v>867</v>
      </c>
      <c r="I1983" t="s">
        <v>867</v>
      </c>
      <c r="J1983" t="s">
        <v>60</v>
      </c>
      <c r="K1983" t="s">
        <v>179</v>
      </c>
      <c r="L1983" t="s">
        <v>62</v>
      </c>
      <c r="M1983" t="s">
        <v>179</v>
      </c>
      <c r="N1983" t="s">
        <v>868</v>
      </c>
      <c r="O1983" t="s">
        <v>869</v>
      </c>
      <c r="P1983">
        <v>-19.646858000000002</v>
      </c>
      <c r="Q1983">
        <v>-43.886454999999998</v>
      </c>
      <c r="R1983" s="2" t="str">
        <f>HYPERLINK("https://www.google.com/maps?q=-19.6468580,-43.8864550","Abrir no Google Maps")</f>
        <v>Abrir no Google Maps</v>
      </c>
      <c r="S1983">
        <v>3</v>
      </c>
      <c r="T1983">
        <v>633.61739124233247</v>
      </c>
      <c r="U1983">
        <v>3</v>
      </c>
      <c r="V1983">
        <v>3.1746031746031703E-2</v>
      </c>
      <c r="W1983">
        <v>0.85</v>
      </c>
      <c r="X1983">
        <v>2.6984126984126951E-2</v>
      </c>
      <c r="Y1983">
        <v>7</v>
      </c>
      <c r="Z1983">
        <v>674.20566084920199</v>
      </c>
      <c r="AA1983">
        <v>2</v>
      </c>
      <c r="AB1983">
        <v>3</v>
      </c>
      <c r="AC1983">
        <v>7</v>
      </c>
      <c r="AD1983">
        <v>25.18</v>
      </c>
      <c r="AE1983">
        <v>253</v>
      </c>
      <c r="AF1983">
        <v>17</v>
      </c>
      <c r="AG1983">
        <v>57</v>
      </c>
      <c r="AH1983">
        <v>32</v>
      </c>
      <c r="AI1983">
        <v>6.72</v>
      </c>
      <c r="AJ1983">
        <v>22.53</v>
      </c>
      <c r="AK1983">
        <v>12.65</v>
      </c>
      <c r="AL1983">
        <v>-19.647064299999951</v>
      </c>
      <c r="AM1983">
        <v>-43.886178336648193</v>
      </c>
      <c r="AN1983">
        <v>-19.647064299999951</v>
      </c>
      <c r="AO1983">
        <v>-43.886178336648193</v>
      </c>
      <c r="AP1983">
        <v>-19.646858000000002</v>
      </c>
      <c r="AQ1983">
        <v>-43.886454999999998</v>
      </c>
      <c r="AR1983">
        <v>36.996001401630338</v>
      </c>
      <c r="AS1983" t="s">
        <v>65</v>
      </c>
      <c r="AT1983">
        <v>1</v>
      </c>
      <c r="AU1983" t="s">
        <v>870</v>
      </c>
      <c r="AV1983" t="s">
        <v>871</v>
      </c>
      <c r="AW1983" t="s">
        <v>60</v>
      </c>
      <c r="AX1983" t="s">
        <v>68</v>
      </c>
      <c r="AY1983" t="s">
        <v>69</v>
      </c>
      <c r="AZ1983" t="b">
        <v>1</v>
      </c>
    </row>
    <row r="1984" spans="1:52" x14ac:dyDescent="0.3">
      <c r="A1984" t="s">
        <v>52</v>
      </c>
      <c r="B1984" t="s">
        <v>53</v>
      </c>
      <c r="C1984" t="s">
        <v>54</v>
      </c>
      <c r="D1984" t="s">
        <v>55</v>
      </c>
      <c r="E1984" t="s">
        <v>860</v>
      </c>
      <c r="F1984" t="s">
        <v>176</v>
      </c>
      <c r="G1984" t="s">
        <v>297</v>
      </c>
      <c r="H1984" t="s">
        <v>298</v>
      </c>
      <c r="I1984" t="s">
        <v>298</v>
      </c>
      <c r="J1984" t="s">
        <v>60</v>
      </c>
      <c r="K1984" t="s">
        <v>299</v>
      </c>
      <c r="L1984" t="s">
        <v>62</v>
      </c>
      <c r="M1984" t="s">
        <v>299</v>
      </c>
      <c r="N1984" t="s">
        <v>300</v>
      </c>
      <c r="O1984" t="s">
        <v>301</v>
      </c>
      <c r="P1984">
        <v>-19.679597000000001</v>
      </c>
      <c r="Q1984">
        <v>-43.912095000000001</v>
      </c>
      <c r="R1984" s="2" t="str">
        <f>HYPERLINK("https://www.google.com/maps?q=-19.6795970,-43.9120950","Abrir no Google Maps")</f>
        <v>Abrir no Google Maps</v>
      </c>
      <c r="S1984">
        <v>3</v>
      </c>
      <c r="T1984">
        <v>1581.3368267219889</v>
      </c>
      <c r="U1984">
        <v>3</v>
      </c>
      <c r="V1984">
        <v>1.98675496688741E-2</v>
      </c>
      <c r="W1984">
        <v>1</v>
      </c>
      <c r="X1984">
        <v>1.98675496688741E-2</v>
      </c>
      <c r="Y1984">
        <v>5</v>
      </c>
      <c r="Z1984">
        <v>2051.2590436749392</v>
      </c>
      <c r="AA1984">
        <v>2</v>
      </c>
      <c r="AB1984">
        <v>3</v>
      </c>
      <c r="AC1984">
        <v>7</v>
      </c>
      <c r="AD1984">
        <v>25.18</v>
      </c>
      <c r="AE1984">
        <v>253</v>
      </c>
      <c r="AF1984">
        <v>17</v>
      </c>
      <c r="AG1984">
        <v>57</v>
      </c>
      <c r="AH1984">
        <v>32</v>
      </c>
      <c r="AI1984">
        <v>6.72</v>
      </c>
      <c r="AJ1984">
        <v>22.53</v>
      </c>
      <c r="AK1984">
        <v>12.65</v>
      </c>
      <c r="AL1984">
        <v>-19.679572799999931</v>
      </c>
      <c r="AM1984">
        <v>-43.912071775440793</v>
      </c>
      <c r="AN1984">
        <v>-19.679572799999931</v>
      </c>
      <c r="AO1984">
        <v>-43.912071775440793</v>
      </c>
      <c r="AP1984">
        <v>-19.679597000000001</v>
      </c>
      <c r="AQ1984">
        <v>-43.912095000000001</v>
      </c>
      <c r="AR1984">
        <v>3.6308936744190978</v>
      </c>
      <c r="AS1984" t="s">
        <v>65</v>
      </c>
      <c r="AT1984">
        <v>1</v>
      </c>
      <c r="AU1984" t="s">
        <v>302</v>
      </c>
      <c r="AV1984" t="s">
        <v>303</v>
      </c>
      <c r="AW1984" t="s">
        <v>60</v>
      </c>
      <c r="AX1984" t="s">
        <v>68</v>
      </c>
      <c r="AY1984" t="s">
        <v>69</v>
      </c>
      <c r="AZ1984" t="b">
        <v>1</v>
      </c>
    </row>
    <row r="1985" spans="1:52" x14ac:dyDescent="0.3">
      <c r="A1985" t="s">
        <v>52</v>
      </c>
      <c r="B1985" t="s">
        <v>53</v>
      </c>
      <c r="C1985" t="s">
        <v>54</v>
      </c>
      <c r="D1985" t="s">
        <v>55</v>
      </c>
      <c r="E1985" t="s">
        <v>860</v>
      </c>
      <c r="F1985" t="s">
        <v>176</v>
      </c>
      <c r="G1985" t="s">
        <v>304</v>
      </c>
      <c r="H1985" t="s">
        <v>305</v>
      </c>
      <c r="I1985" t="s">
        <v>305</v>
      </c>
      <c r="J1985" t="s">
        <v>60</v>
      </c>
      <c r="K1985" t="s">
        <v>299</v>
      </c>
      <c r="L1985" t="s">
        <v>62</v>
      </c>
      <c r="M1985" t="s">
        <v>299</v>
      </c>
      <c r="N1985" t="s">
        <v>306</v>
      </c>
      <c r="O1985" t="s">
        <v>307</v>
      </c>
      <c r="P1985">
        <v>-19.681051</v>
      </c>
      <c r="Q1985">
        <v>-43.914375</v>
      </c>
      <c r="R1985" s="2" t="str">
        <f>HYPERLINK("https://www.google.com/maps?q=-19.6810510,-43.9143750","Abrir no Google Maps")</f>
        <v>Abrir no Google Maps</v>
      </c>
      <c r="S1985">
        <v>3</v>
      </c>
      <c r="T1985">
        <v>1793.507056919605</v>
      </c>
      <c r="U1985">
        <v>3</v>
      </c>
      <c r="V1985">
        <v>1.8648018648018599E-2</v>
      </c>
      <c r="W1985">
        <v>1</v>
      </c>
      <c r="X1985">
        <v>1.8648018648018599E-2</v>
      </c>
      <c r="Y1985">
        <v>5</v>
      </c>
      <c r="Z1985">
        <v>2183.7125920783069</v>
      </c>
      <c r="AA1985">
        <v>2</v>
      </c>
      <c r="AB1985">
        <v>3</v>
      </c>
      <c r="AC1985">
        <v>7</v>
      </c>
      <c r="AD1985">
        <v>25.18</v>
      </c>
      <c r="AE1985">
        <v>253</v>
      </c>
      <c r="AF1985">
        <v>17</v>
      </c>
      <c r="AG1985">
        <v>57</v>
      </c>
      <c r="AH1985">
        <v>32</v>
      </c>
      <c r="AI1985">
        <v>6.72</v>
      </c>
      <c r="AJ1985">
        <v>22.53</v>
      </c>
      <c r="AK1985">
        <v>12.65</v>
      </c>
      <c r="AL1985">
        <v>-19.680967149999962</v>
      </c>
      <c r="AM1985">
        <v>-43.914383884426663</v>
      </c>
      <c r="AN1985">
        <v>-19.680967149999962</v>
      </c>
      <c r="AO1985">
        <v>-43.914383884426663</v>
      </c>
      <c r="AP1985">
        <v>-19.681051</v>
      </c>
      <c r="AQ1985">
        <v>-43.914375</v>
      </c>
      <c r="AR1985">
        <v>9.3805201894968722</v>
      </c>
      <c r="AS1985" t="s">
        <v>65</v>
      </c>
      <c r="AT1985">
        <v>1</v>
      </c>
      <c r="AU1985" t="s">
        <v>308</v>
      </c>
      <c r="AV1985" t="s">
        <v>303</v>
      </c>
      <c r="AW1985" t="s">
        <v>60</v>
      </c>
      <c r="AX1985" t="s">
        <v>68</v>
      </c>
      <c r="AY1985" t="s">
        <v>69</v>
      </c>
      <c r="AZ1985" t="b">
        <v>1</v>
      </c>
    </row>
    <row r="1986" spans="1:52" x14ac:dyDescent="0.3">
      <c r="A1986" t="s">
        <v>52</v>
      </c>
      <c r="B1986" t="s">
        <v>53</v>
      </c>
      <c r="C1986" t="s">
        <v>54</v>
      </c>
      <c r="D1986" t="s">
        <v>55</v>
      </c>
      <c r="E1986" t="s">
        <v>860</v>
      </c>
      <c r="F1986" t="s">
        <v>176</v>
      </c>
      <c r="G1986" t="s">
        <v>771</v>
      </c>
      <c r="H1986" t="s">
        <v>772</v>
      </c>
      <c r="I1986" t="s">
        <v>772</v>
      </c>
      <c r="J1986" t="s">
        <v>60</v>
      </c>
      <c r="K1986" t="s">
        <v>311</v>
      </c>
      <c r="L1986" t="s">
        <v>62</v>
      </c>
      <c r="M1986" t="s">
        <v>311</v>
      </c>
      <c r="N1986" t="s">
        <v>773</v>
      </c>
      <c r="O1986" t="s">
        <v>282</v>
      </c>
      <c r="P1986">
        <v>-19.577828</v>
      </c>
      <c r="Q1986">
        <v>-43.913378999999999</v>
      </c>
      <c r="R1986" s="2" t="str">
        <f>HYPERLINK("https://www.google.com/maps?q=-19.5778280,-43.9133790","Abrir no Google Maps")</f>
        <v>Abrir no Google Maps</v>
      </c>
      <c r="S1986">
        <v>3</v>
      </c>
      <c r="T1986">
        <v>859.03342664962076</v>
      </c>
      <c r="U1986">
        <v>3</v>
      </c>
      <c r="V1986">
        <v>2.40963855421686E-2</v>
      </c>
      <c r="W1986">
        <v>0.85</v>
      </c>
      <c r="X1986">
        <v>2.0481927710843308E-2</v>
      </c>
      <c r="Y1986">
        <v>5</v>
      </c>
      <c r="Z1986">
        <v>914.62514325481504</v>
      </c>
      <c r="AA1986">
        <v>2</v>
      </c>
      <c r="AB1986">
        <v>3</v>
      </c>
      <c r="AC1986">
        <v>7</v>
      </c>
      <c r="AD1986">
        <v>25.18</v>
      </c>
      <c r="AE1986">
        <v>253</v>
      </c>
      <c r="AF1986">
        <v>17</v>
      </c>
      <c r="AG1986">
        <v>57</v>
      </c>
      <c r="AH1986">
        <v>32</v>
      </c>
      <c r="AI1986">
        <v>6.72</v>
      </c>
      <c r="AJ1986">
        <v>22.53</v>
      </c>
      <c r="AK1986">
        <v>12.65</v>
      </c>
      <c r="AL1986">
        <v>-19.578014799999949</v>
      </c>
      <c r="AM1986">
        <v>-43.913225677886878</v>
      </c>
      <c r="AN1986">
        <v>-19.578014799999949</v>
      </c>
      <c r="AO1986">
        <v>-43.913225677886878</v>
      </c>
      <c r="AP1986">
        <v>-19.577828</v>
      </c>
      <c r="AQ1986">
        <v>-43.913378999999999</v>
      </c>
      <c r="AR1986">
        <v>26.287162248725519</v>
      </c>
      <c r="AS1986" t="s">
        <v>65</v>
      </c>
      <c r="AT1986">
        <v>1</v>
      </c>
      <c r="AU1986" t="s">
        <v>774</v>
      </c>
      <c r="AV1986" t="s">
        <v>775</v>
      </c>
      <c r="AW1986" t="s">
        <v>60</v>
      </c>
      <c r="AX1986" t="s">
        <v>68</v>
      </c>
      <c r="AY1986" t="s">
        <v>69</v>
      </c>
      <c r="AZ1986" t="b">
        <v>1</v>
      </c>
    </row>
    <row r="1987" spans="1:52" x14ac:dyDescent="0.3">
      <c r="A1987" t="s">
        <v>52</v>
      </c>
      <c r="B1987" t="s">
        <v>53</v>
      </c>
      <c r="C1987" t="s">
        <v>54</v>
      </c>
      <c r="D1987" t="s">
        <v>55</v>
      </c>
      <c r="E1987" t="s">
        <v>860</v>
      </c>
      <c r="F1987" t="s">
        <v>176</v>
      </c>
      <c r="G1987" t="s">
        <v>438</v>
      </c>
      <c r="H1987" t="s">
        <v>439</v>
      </c>
      <c r="I1987" t="s">
        <v>439</v>
      </c>
      <c r="J1987" t="s">
        <v>60</v>
      </c>
      <c r="K1987" t="s">
        <v>199</v>
      </c>
      <c r="L1987" t="s">
        <v>62</v>
      </c>
      <c r="M1987" t="s">
        <v>199</v>
      </c>
      <c r="N1987" t="s">
        <v>440</v>
      </c>
      <c r="O1987" t="s">
        <v>120</v>
      </c>
      <c r="P1987">
        <v>-19.642907000000001</v>
      </c>
      <c r="Q1987">
        <v>-43.912584000000003</v>
      </c>
      <c r="R1987" s="2" t="str">
        <f>HYPERLINK("https://www.google.com/maps?q=-19.6429070,-43.9125840","Abrir no Google Maps")</f>
        <v>Abrir no Google Maps</v>
      </c>
      <c r="S1987">
        <v>3</v>
      </c>
      <c r="T1987">
        <v>0</v>
      </c>
      <c r="U1987">
        <v>3</v>
      </c>
      <c r="V1987">
        <v>2.0134228187919399E-2</v>
      </c>
      <c r="W1987">
        <v>1</v>
      </c>
      <c r="X1987">
        <v>2.0134228187919399E-2</v>
      </c>
      <c r="Y1987">
        <v>4</v>
      </c>
      <c r="Z1987">
        <v>617.66392653629225</v>
      </c>
      <c r="AA1987">
        <v>2</v>
      </c>
      <c r="AB1987">
        <v>3</v>
      </c>
      <c r="AC1987">
        <v>7</v>
      </c>
      <c r="AD1987">
        <v>25.18</v>
      </c>
      <c r="AE1987">
        <v>253</v>
      </c>
      <c r="AF1987">
        <v>17</v>
      </c>
      <c r="AG1987">
        <v>57</v>
      </c>
      <c r="AH1987">
        <v>32</v>
      </c>
      <c r="AI1987">
        <v>6.72</v>
      </c>
      <c r="AJ1987">
        <v>22.53</v>
      </c>
      <c r="AK1987">
        <v>12.65</v>
      </c>
      <c r="AL1987">
        <v>-19.64265969999996</v>
      </c>
      <c r="AM1987">
        <v>-43.912763285666202</v>
      </c>
      <c r="AN1987">
        <v>-19.64265969999996</v>
      </c>
      <c r="AO1987">
        <v>-43.912763285666202</v>
      </c>
      <c r="AP1987">
        <v>-19.642907000000001</v>
      </c>
      <c r="AQ1987">
        <v>-43.912584000000003</v>
      </c>
      <c r="AR1987">
        <v>33.334435483196202</v>
      </c>
      <c r="AS1987" t="s">
        <v>65</v>
      </c>
      <c r="AT1987">
        <v>1</v>
      </c>
      <c r="AU1987" t="s">
        <v>441</v>
      </c>
      <c r="AV1987" t="s">
        <v>442</v>
      </c>
      <c r="AW1987" t="s">
        <v>60</v>
      </c>
      <c r="AX1987" t="s">
        <v>68</v>
      </c>
      <c r="AY1987" t="s">
        <v>69</v>
      </c>
      <c r="AZ1987" t="b">
        <v>1</v>
      </c>
    </row>
    <row r="1988" spans="1:52" x14ac:dyDescent="0.3">
      <c r="A1988" t="s">
        <v>52</v>
      </c>
      <c r="B1988" t="s">
        <v>53</v>
      </c>
      <c r="C1988" t="s">
        <v>54</v>
      </c>
      <c r="D1988" t="s">
        <v>55</v>
      </c>
      <c r="E1988" t="s">
        <v>860</v>
      </c>
      <c r="F1988" t="s">
        <v>176</v>
      </c>
      <c r="G1988" t="s">
        <v>872</v>
      </c>
      <c r="H1988" t="s">
        <v>873</v>
      </c>
      <c r="I1988" t="s">
        <v>873</v>
      </c>
      <c r="J1988" t="s">
        <v>60</v>
      </c>
      <c r="K1988" t="s">
        <v>464</v>
      </c>
      <c r="L1988" t="s">
        <v>62</v>
      </c>
      <c r="M1988" t="s">
        <v>464</v>
      </c>
      <c r="N1988" t="s">
        <v>874</v>
      </c>
      <c r="O1988" t="s">
        <v>608</v>
      </c>
      <c r="P1988">
        <v>-19.651259</v>
      </c>
      <c r="Q1988">
        <v>-43.863239999999998</v>
      </c>
      <c r="R1988" s="2" t="str">
        <f>HYPERLINK("https://www.google.com/maps?q=-19.6512590,-43.8632400","Abrir no Google Maps")</f>
        <v>Abrir no Google Maps</v>
      </c>
      <c r="S1988">
        <v>3</v>
      </c>
      <c r="T1988">
        <v>781.55864614755615</v>
      </c>
      <c r="U1988">
        <v>3</v>
      </c>
      <c r="V1988">
        <v>3.2786885245901599E-2</v>
      </c>
      <c r="W1988">
        <v>0.85</v>
      </c>
      <c r="X1988">
        <v>2.7868852459016359E-2</v>
      </c>
      <c r="Y1988">
        <v>3</v>
      </c>
      <c r="Z1988">
        <v>927.00328437304347</v>
      </c>
      <c r="AA1988">
        <v>2</v>
      </c>
      <c r="AB1988">
        <v>3</v>
      </c>
      <c r="AC1988">
        <v>7</v>
      </c>
      <c r="AD1988">
        <v>25.18</v>
      </c>
      <c r="AE1988">
        <v>253</v>
      </c>
      <c r="AF1988">
        <v>17</v>
      </c>
      <c r="AG1988">
        <v>57</v>
      </c>
      <c r="AH1988">
        <v>32</v>
      </c>
      <c r="AI1988">
        <v>6.72</v>
      </c>
      <c r="AJ1988">
        <v>22.53</v>
      </c>
      <c r="AK1988">
        <v>12.65</v>
      </c>
      <c r="AL1988">
        <v>-19.651277199999949</v>
      </c>
      <c r="AM1988">
        <v>-43.863416815517532</v>
      </c>
      <c r="AN1988">
        <v>-19.651277199999949</v>
      </c>
      <c r="AO1988">
        <v>-43.863416815517532</v>
      </c>
      <c r="AP1988">
        <v>-19.651259</v>
      </c>
      <c r="AQ1988">
        <v>-43.863239999999998</v>
      </c>
      <c r="AR1988">
        <v>18.647089166391591</v>
      </c>
      <c r="AS1988" t="s">
        <v>65</v>
      </c>
      <c r="AT1988">
        <v>1</v>
      </c>
      <c r="AU1988" t="s">
        <v>875</v>
      </c>
      <c r="AV1988" t="s">
        <v>876</v>
      </c>
      <c r="AW1988" t="s">
        <v>60</v>
      </c>
      <c r="AX1988" t="s">
        <v>68</v>
      </c>
      <c r="AY1988" t="s">
        <v>69</v>
      </c>
      <c r="AZ1988" t="b">
        <v>1</v>
      </c>
    </row>
    <row r="1989" spans="1:52" x14ac:dyDescent="0.3">
      <c r="A1989" t="s">
        <v>52</v>
      </c>
      <c r="B1989" t="s">
        <v>53</v>
      </c>
      <c r="C1989" t="s">
        <v>54</v>
      </c>
      <c r="D1989" t="s">
        <v>55</v>
      </c>
      <c r="E1989" t="s">
        <v>860</v>
      </c>
      <c r="F1989" t="s">
        <v>176</v>
      </c>
      <c r="G1989" t="s">
        <v>462</v>
      </c>
      <c r="H1989" t="s">
        <v>463</v>
      </c>
      <c r="I1989" t="s">
        <v>463</v>
      </c>
      <c r="J1989" t="s">
        <v>60</v>
      </c>
      <c r="K1989" t="s">
        <v>464</v>
      </c>
      <c r="L1989" t="s">
        <v>62</v>
      </c>
      <c r="M1989" t="s">
        <v>464</v>
      </c>
      <c r="N1989" t="s">
        <v>465</v>
      </c>
      <c r="O1989" t="s">
        <v>414</v>
      </c>
      <c r="P1989">
        <v>-19.655408000000001</v>
      </c>
      <c r="Q1989">
        <v>-43.862772999999997</v>
      </c>
      <c r="R1989" s="2" t="str">
        <f>HYPERLINK("https://www.google.com/maps?q=-19.6554080,-43.8627730","Abrir no Google Maps")</f>
        <v>Abrir no Google Maps</v>
      </c>
      <c r="S1989">
        <v>3</v>
      </c>
      <c r="T1989">
        <v>877.50781603676592</v>
      </c>
      <c r="U1989">
        <v>3</v>
      </c>
      <c r="V1989">
        <v>2.2598870056497099E-2</v>
      </c>
      <c r="W1989">
        <v>1</v>
      </c>
      <c r="X1989">
        <v>2.2598870056497099E-2</v>
      </c>
      <c r="Y1989">
        <v>3</v>
      </c>
      <c r="Z1989">
        <v>1005.9680098732809</v>
      </c>
      <c r="AA1989">
        <v>2</v>
      </c>
      <c r="AB1989">
        <v>3</v>
      </c>
      <c r="AC1989">
        <v>7</v>
      </c>
      <c r="AD1989">
        <v>25.18</v>
      </c>
      <c r="AE1989">
        <v>253</v>
      </c>
      <c r="AF1989">
        <v>17</v>
      </c>
      <c r="AG1989">
        <v>57</v>
      </c>
      <c r="AH1989">
        <v>32</v>
      </c>
      <c r="AI1989">
        <v>6.72</v>
      </c>
      <c r="AJ1989">
        <v>22.53</v>
      </c>
      <c r="AK1989">
        <v>12.65</v>
      </c>
      <c r="AL1989">
        <v>-19.655455099999951</v>
      </c>
      <c r="AM1989">
        <v>-43.863149342001513</v>
      </c>
      <c r="AN1989">
        <v>-19.655455099999951</v>
      </c>
      <c r="AO1989">
        <v>-43.863149342001513</v>
      </c>
      <c r="AP1989">
        <v>-19.655408000000001</v>
      </c>
      <c r="AQ1989">
        <v>-43.862772999999997</v>
      </c>
      <c r="AR1989">
        <v>39.800175805630573</v>
      </c>
      <c r="AS1989" t="s">
        <v>65</v>
      </c>
      <c r="AT1989">
        <v>1</v>
      </c>
      <c r="AU1989" t="s">
        <v>466</v>
      </c>
      <c r="AV1989" t="s">
        <v>467</v>
      </c>
      <c r="AW1989" t="s">
        <v>60</v>
      </c>
      <c r="AX1989" t="s">
        <v>68</v>
      </c>
      <c r="AY1989" t="s">
        <v>69</v>
      </c>
      <c r="AZ1989" t="b">
        <v>1</v>
      </c>
    </row>
    <row r="1990" spans="1:52" x14ac:dyDescent="0.3">
      <c r="A1990" t="s">
        <v>52</v>
      </c>
      <c r="B1990" t="s">
        <v>53</v>
      </c>
      <c r="C1990" t="s">
        <v>54</v>
      </c>
      <c r="D1990" t="s">
        <v>55</v>
      </c>
      <c r="E1990" t="s">
        <v>860</v>
      </c>
      <c r="F1990" t="s">
        <v>176</v>
      </c>
      <c r="G1990" t="s">
        <v>763</v>
      </c>
      <c r="H1990" t="s">
        <v>764</v>
      </c>
      <c r="I1990" t="s">
        <v>764</v>
      </c>
      <c r="J1990" t="s">
        <v>60</v>
      </c>
      <c r="K1990" t="s">
        <v>765</v>
      </c>
      <c r="L1990" t="s">
        <v>62</v>
      </c>
      <c r="M1990" t="s">
        <v>765</v>
      </c>
      <c r="N1990" t="s">
        <v>766</v>
      </c>
      <c r="O1990" t="s">
        <v>767</v>
      </c>
      <c r="P1990">
        <v>-19.674292000000001</v>
      </c>
      <c r="Q1990">
        <v>-43.881830000000001</v>
      </c>
      <c r="R1990" s="2" t="str">
        <f>HYPERLINK("https://www.google.com/maps?q=-19.6742920,-43.8818300","Abrir no Google Maps")</f>
        <v>Abrir no Google Maps</v>
      </c>
      <c r="S1990">
        <v>3</v>
      </c>
      <c r="T1990">
        <v>0</v>
      </c>
      <c r="U1990">
        <v>3</v>
      </c>
      <c r="V1990">
        <v>2.7522935779816501E-2</v>
      </c>
      <c r="W1990">
        <v>0.85</v>
      </c>
      <c r="X1990">
        <v>2.3394495412844021E-2</v>
      </c>
      <c r="Y1990">
        <v>3</v>
      </c>
      <c r="Z1990">
        <v>531.841122174725</v>
      </c>
      <c r="AA1990">
        <v>2</v>
      </c>
      <c r="AB1990">
        <v>3</v>
      </c>
      <c r="AC1990">
        <v>7</v>
      </c>
      <c r="AD1990">
        <v>25.18</v>
      </c>
      <c r="AE1990">
        <v>253</v>
      </c>
      <c r="AF1990">
        <v>17</v>
      </c>
      <c r="AG1990">
        <v>57</v>
      </c>
      <c r="AH1990">
        <v>32</v>
      </c>
      <c r="AI1990">
        <v>6.72</v>
      </c>
      <c r="AJ1990">
        <v>22.53</v>
      </c>
      <c r="AK1990">
        <v>12.65</v>
      </c>
      <c r="AL1990">
        <v>-19.67484149999996</v>
      </c>
      <c r="AM1990">
        <v>-43.880858110906111</v>
      </c>
      <c r="AN1990">
        <v>-19.67484149999996</v>
      </c>
      <c r="AO1990">
        <v>-43.880858110906111</v>
      </c>
      <c r="AP1990">
        <v>-19.674292000000001</v>
      </c>
      <c r="AQ1990">
        <v>-43.881830000000001</v>
      </c>
      <c r="AR1990">
        <v>118.82842626598109</v>
      </c>
      <c r="AS1990" t="s">
        <v>65</v>
      </c>
      <c r="AT1990">
        <v>1</v>
      </c>
      <c r="AU1990" t="s">
        <v>768</v>
      </c>
      <c r="AV1990" t="s">
        <v>769</v>
      </c>
      <c r="AW1990" t="s">
        <v>60</v>
      </c>
      <c r="AX1990" t="s">
        <v>68</v>
      </c>
      <c r="AY1990" t="s">
        <v>69</v>
      </c>
      <c r="AZ1990" t="b">
        <v>1</v>
      </c>
    </row>
    <row r="1991" spans="1:52" x14ac:dyDescent="0.3">
      <c r="A1991" t="s">
        <v>52</v>
      </c>
      <c r="B1991" t="s">
        <v>53</v>
      </c>
      <c r="C1991" t="s">
        <v>54</v>
      </c>
      <c r="D1991" t="s">
        <v>55</v>
      </c>
      <c r="E1991" t="s">
        <v>860</v>
      </c>
      <c r="F1991" t="s">
        <v>176</v>
      </c>
      <c r="G1991" t="s">
        <v>338</v>
      </c>
      <c r="H1991" t="s">
        <v>339</v>
      </c>
      <c r="I1991" t="s">
        <v>339</v>
      </c>
      <c r="J1991" t="s">
        <v>60</v>
      </c>
      <c r="K1991" t="s">
        <v>219</v>
      </c>
      <c r="L1991" t="s">
        <v>62</v>
      </c>
      <c r="M1991" t="s">
        <v>219</v>
      </c>
      <c r="N1991" t="s">
        <v>340</v>
      </c>
      <c r="O1991" t="s">
        <v>341</v>
      </c>
      <c r="P1991">
        <v>-19.666964</v>
      </c>
      <c r="Q1991">
        <v>-43.884436999999998</v>
      </c>
      <c r="R1991" s="2" t="str">
        <f>HYPERLINK("https://www.google.com/maps?q=-19.6669640,-43.8844370","Abrir no Google Maps")</f>
        <v>Abrir no Google Maps</v>
      </c>
      <c r="S1991">
        <v>3</v>
      </c>
      <c r="T1991">
        <v>957.0047152726122</v>
      </c>
      <c r="U1991">
        <v>3</v>
      </c>
      <c r="V1991">
        <v>1.7948717948717899E-2</v>
      </c>
      <c r="W1991">
        <v>1</v>
      </c>
      <c r="X1991">
        <v>1.7948717948717899E-2</v>
      </c>
      <c r="Y1991">
        <v>3</v>
      </c>
      <c r="Z1991">
        <v>558.02655966087093</v>
      </c>
      <c r="AA1991">
        <v>2</v>
      </c>
      <c r="AB1991">
        <v>3</v>
      </c>
      <c r="AC1991">
        <v>7</v>
      </c>
      <c r="AD1991">
        <v>25.18</v>
      </c>
      <c r="AE1991">
        <v>253</v>
      </c>
      <c r="AF1991">
        <v>17</v>
      </c>
      <c r="AG1991">
        <v>57</v>
      </c>
      <c r="AH1991">
        <v>32</v>
      </c>
      <c r="AI1991">
        <v>6.72</v>
      </c>
      <c r="AJ1991">
        <v>22.53</v>
      </c>
      <c r="AK1991">
        <v>12.65</v>
      </c>
      <c r="AL1991">
        <v>-19.66693374999997</v>
      </c>
      <c r="AM1991">
        <v>-43.884551162820181</v>
      </c>
      <c r="AN1991">
        <v>-19.66693374999997</v>
      </c>
      <c r="AO1991">
        <v>-43.884551162820181</v>
      </c>
      <c r="AP1991">
        <v>-19.666964</v>
      </c>
      <c r="AQ1991">
        <v>-43.884436999999998</v>
      </c>
      <c r="AR1991">
        <v>12.43199920714442</v>
      </c>
      <c r="AS1991" t="s">
        <v>65</v>
      </c>
      <c r="AT1991">
        <v>1</v>
      </c>
      <c r="AU1991" t="s">
        <v>342</v>
      </c>
      <c r="AV1991" t="s">
        <v>343</v>
      </c>
      <c r="AW1991" t="s">
        <v>60</v>
      </c>
      <c r="AX1991" t="s">
        <v>68</v>
      </c>
      <c r="AY1991" t="s">
        <v>69</v>
      </c>
      <c r="AZ1991" t="b">
        <v>1</v>
      </c>
    </row>
    <row r="1992" spans="1:52" x14ac:dyDescent="0.3">
      <c r="A1992" t="s">
        <v>52</v>
      </c>
      <c r="B1992" t="s">
        <v>53</v>
      </c>
      <c r="C1992" t="s">
        <v>54</v>
      </c>
      <c r="D1992" t="s">
        <v>55</v>
      </c>
      <c r="E1992" t="s">
        <v>860</v>
      </c>
      <c r="F1992" t="s">
        <v>176</v>
      </c>
      <c r="G1992" t="s">
        <v>344</v>
      </c>
      <c r="H1992" t="s">
        <v>345</v>
      </c>
      <c r="I1992" t="s">
        <v>345</v>
      </c>
      <c r="J1992" t="s">
        <v>60</v>
      </c>
      <c r="K1992" t="s">
        <v>326</v>
      </c>
      <c r="L1992" t="s">
        <v>62</v>
      </c>
      <c r="M1992" t="s">
        <v>326</v>
      </c>
      <c r="N1992" t="s">
        <v>346</v>
      </c>
      <c r="O1992" t="s">
        <v>347</v>
      </c>
      <c r="P1992">
        <v>-19.659784999999999</v>
      </c>
      <c r="Q1992">
        <v>-43.868257999999997</v>
      </c>
      <c r="R1992" s="2" t="str">
        <f>HYPERLINK("https://www.google.com/maps?q=-19.6597850,-43.8682580","Abrir no Google Maps")</f>
        <v>Abrir no Google Maps</v>
      </c>
      <c r="S1992">
        <v>3</v>
      </c>
      <c r="T1992">
        <v>887.40196140413514</v>
      </c>
      <c r="U1992">
        <v>3</v>
      </c>
      <c r="V1992">
        <v>2.2598870056497099E-2</v>
      </c>
      <c r="W1992">
        <v>1</v>
      </c>
      <c r="X1992">
        <v>2.2598870056497099E-2</v>
      </c>
      <c r="Y1992">
        <v>3</v>
      </c>
      <c r="Z1992">
        <v>951.67106090939239</v>
      </c>
      <c r="AA1992">
        <v>2</v>
      </c>
      <c r="AB1992">
        <v>3</v>
      </c>
      <c r="AC1992">
        <v>7</v>
      </c>
      <c r="AD1992">
        <v>25.18</v>
      </c>
      <c r="AE1992">
        <v>253</v>
      </c>
      <c r="AF1992">
        <v>17</v>
      </c>
      <c r="AG1992">
        <v>57</v>
      </c>
      <c r="AH1992">
        <v>32</v>
      </c>
      <c r="AI1992">
        <v>6.72</v>
      </c>
      <c r="AJ1992">
        <v>22.53</v>
      </c>
      <c r="AK1992">
        <v>12.65</v>
      </c>
      <c r="AL1992">
        <v>-19.659938849999971</v>
      </c>
      <c r="AM1992">
        <v>-43.868426732971933</v>
      </c>
      <c r="AN1992">
        <v>-19.659938849999971</v>
      </c>
      <c r="AO1992">
        <v>-43.868426732971933</v>
      </c>
      <c r="AP1992">
        <v>-19.659784999999999</v>
      </c>
      <c r="AQ1992">
        <v>-43.868257999999997</v>
      </c>
      <c r="AR1992">
        <v>24.621113441172451</v>
      </c>
      <c r="AS1992" t="s">
        <v>65</v>
      </c>
      <c r="AT1992">
        <v>1</v>
      </c>
      <c r="AU1992" t="s">
        <v>348</v>
      </c>
      <c r="AV1992" t="s">
        <v>349</v>
      </c>
      <c r="AW1992" t="s">
        <v>60</v>
      </c>
      <c r="AX1992" t="s">
        <v>68</v>
      </c>
      <c r="AY1992" t="s">
        <v>69</v>
      </c>
      <c r="AZ1992" t="b">
        <v>1</v>
      </c>
    </row>
    <row r="1993" spans="1:52" x14ac:dyDescent="0.3">
      <c r="A1993" t="s">
        <v>52</v>
      </c>
      <c r="B1993" t="s">
        <v>53</v>
      </c>
      <c r="C1993" t="s">
        <v>54</v>
      </c>
      <c r="D1993" t="s">
        <v>55</v>
      </c>
      <c r="E1993" t="s">
        <v>860</v>
      </c>
      <c r="F1993" t="s">
        <v>176</v>
      </c>
      <c r="G1993" t="s">
        <v>479</v>
      </c>
      <c r="H1993" t="s">
        <v>480</v>
      </c>
      <c r="I1993" t="s">
        <v>480</v>
      </c>
      <c r="J1993" t="s">
        <v>60</v>
      </c>
      <c r="K1993" t="s">
        <v>286</v>
      </c>
      <c r="L1993" t="s">
        <v>62</v>
      </c>
      <c r="M1993" t="s">
        <v>286</v>
      </c>
      <c r="N1993" t="s">
        <v>481</v>
      </c>
      <c r="O1993" t="s">
        <v>159</v>
      </c>
      <c r="P1993">
        <v>-19.635337</v>
      </c>
      <c r="Q1993">
        <v>-43.884400999999997</v>
      </c>
      <c r="R1993" s="2" t="str">
        <f>HYPERLINK("https://www.google.com/maps?q=-19.6353370,-43.8844010","Abrir no Google Maps")</f>
        <v>Abrir no Google Maps</v>
      </c>
      <c r="S1993">
        <v>3</v>
      </c>
      <c r="T1993">
        <v>697.1404216088763</v>
      </c>
      <c r="U1993">
        <v>3</v>
      </c>
      <c r="V1993">
        <v>3.6458333333333301E-2</v>
      </c>
      <c r="W1993">
        <v>1</v>
      </c>
      <c r="X1993">
        <v>3.6458333333333301E-2</v>
      </c>
      <c r="Y1993">
        <v>2</v>
      </c>
      <c r="Z1993">
        <v>178.9017814618079</v>
      </c>
      <c r="AA1993">
        <v>2</v>
      </c>
      <c r="AB1993">
        <v>3</v>
      </c>
      <c r="AC1993">
        <v>7</v>
      </c>
      <c r="AD1993">
        <v>25.18</v>
      </c>
      <c r="AE1993">
        <v>253</v>
      </c>
      <c r="AF1993">
        <v>17</v>
      </c>
      <c r="AG1993">
        <v>57</v>
      </c>
      <c r="AH1993">
        <v>32</v>
      </c>
      <c r="AI1993">
        <v>6.72</v>
      </c>
      <c r="AJ1993">
        <v>22.53</v>
      </c>
      <c r="AK1993">
        <v>12.65</v>
      </c>
      <c r="AL1993">
        <v>-19.635338699999949</v>
      </c>
      <c r="AM1993">
        <v>-43.884486286355838</v>
      </c>
      <c r="AN1993">
        <v>-19.635338699999949</v>
      </c>
      <c r="AO1993">
        <v>-43.884486286355838</v>
      </c>
      <c r="AP1993">
        <v>-19.635337</v>
      </c>
      <c r="AQ1993">
        <v>-43.884400999999997</v>
      </c>
      <c r="AR1993">
        <v>8.9440024153343494</v>
      </c>
      <c r="AS1993" t="s">
        <v>65</v>
      </c>
      <c r="AT1993">
        <v>1</v>
      </c>
      <c r="AU1993" t="s">
        <v>482</v>
      </c>
      <c r="AV1993" t="s">
        <v>483</v>
      </c>
      <c r="AW1993" t="s">
        <v>60</v>
      </c>
      <c r="AX1993" t="s">
        <v>68</v>
      </c>
      <c r="AY1993" t="s">
        <v>69</v>
      </c>
      <c r="AZ1993" t="b">
        <v>1</v>
      </c>
    </row>
    <row r="1994" spans="1:52" x14ac:dyDescent="0.3">
      <c r="A1994" t="s">
        <v>52</v>
      </c>
      <c r="B1994" t="s">
        <v>53</v>
      </c>
      <c r="C1994" t="s">
        <v>54</v>
      </c>
      <c r="D1994" t="s">
        <v>55</v>
      </c>
      <c r="E1994" t="s">
        <v>860</v>
      </c>
      <c r="F1994" t="s">
        <v>176</v>
      </c>
      <c r="G1994" t="s">
        <v>728</v>
      </c>
      <c r="H1994" t="s">
        <v>729</v>
      </c>
      <c r="I1994" t="s">
        <v>729</v>
      </c>
      <c r="J1994" t="s">
        <v>60</v>
      </c>
      <c r="K1994" t="s">
        <v>730</v>
      </c>
      <c r="L1994" t="s">
        <v>62</v>
      </c>
      <c r="M1994" t="s">
        <v>730</v>
      </c>
      <c r="N1994" t="s">
        <v>731</v>
      </c>
      <c r="O1994" t="s">
        <v>732</v>
      </c>
      <c r="P1994">
        <v>-19.598894999999999</v>
      </c>
      <c r="Q1994">
        <v>-43.907265000000002</v>
      </c>
      <c r="R1994" s="2" t="str">
        <f>HYPERLINK("https://www.google.com/maps?q=-19.5988950,-43.9072650","Abrir no Google Maps")</f>
        <v>Abrir no Google Maps</v>
      </c>
      <c r="S1994">
        <v>3</v>
      </c>
      <c r="T1994">
        <v>308.81161626838701</v>
      </c>
      <c r="U1994">
        <v>3</v>
      </c>
      <c r="V1994">
        <v>3.1914893617021198E-2</v>
      </c>
      <c r="W1994">
        <v>0.85</v>
      </c>
      <c r="X1994">
        <v>2.712765957446802E-2</v>
      </c>
      <c r="Y1994">
        <v>2</v>
      </c>
      <c r="Z1994">
        <v>305.65808615712928</v>
      </c>
      <c r="AA1994">
        <v>2</v>
      </c>
      <c r="AB1994">
        <v>3</v>
      </c>
      <c r="AC1994">
        <v>7</v>
      </c>
      <c r="AD1994">
        <v>25.18</v>
      </c>
      <c r="AE1994">
        <v>253</v>
      </c>
      <c r="AF1994">
        <v>17</v>
      </c>
      <c r="AG1994">
        <v>57</v>
      </c>
      <c r="AH1994">
        <v>32</v>
      </c>
      <c r="AI1994">
        <v>6.72</v>
      </c>
      <c r="AJ1994">
        <v>22.53</v>
      </c>
      <c r="AK1994">
        <v>12.65</v>
      </c>
      <c r="AL1994">
        <v>-19.598929649999949</v>
      </c>
      <c r="AM1994">
        <v>-43.90720816146667</v>
      </c>
      <c r="AN1994">
        <v>-19.598929649999949</v>
      </c>
      <c r="AO1994">
        <v>-43.90720816146667</v>
      </c>
      <c r="AP1994">
        <v>-19.598894999999999</v>
      </c>
      <c r="AQ1994">
        <v>-43.907265000000002</v>
      </c>
      <c r="AR1994">
        <v>7.099864647387605</v>
      </c>
      <c r="AS1994" t="s">
        <v>65</v>
      </c>
      <c r="AT1994">
        <v>1</v>
      </c>
      <c r="AU1994" t="s">
        <v>733</v>
      </c>
      <c r="AV1994" t="s">
        <v>734</v>
      </c>
      <c r="AW1994" t="s">
        <v>60</v>
      </c>
      <c r="AX1994" t="s">
        <v>68</v>
      </c>
      <c r="AY1994" t="s">
        <v>69</v>
      </c>
      <c r="AZ1994" t="b">
        <v>1</v>
      </c>
    </row>
    <row r="1995" spans="1:52" x14ac:dyDescent="0.3">
      <c r="A1995" t="s">
        <v>52</v>
      </c>
      <c r="B1995" t="s">
        <v>53</v>
      </c>
      <c r="C1995" t="s">
        <v>54</v>
      </c>
      <c r="D1995" t="s">
        <v>55</v>
      </c>
      <c r="E1995" t="s">
        <v>860</v>
      </c>
      <c r="F1995" t="s">
        <v>176</v>
      </c>
      <c r="G1995" t="s">
        <v>838</v>
      </c>
      <c r="H1995" t="s">
        <v>839</v>
      </c>
      <c r="I1995" t="s">
        <v>839</v>
      </c>
      <c r="J1995" t="s">
        <v>60</v>
      </c>
      <c r="K1995" t="s">
        <v>286</v>
      </c>
      <c r="L1995" t="s">
        <v>62</v>
      </c>
      <c r="M1995" t="s">
        <v>286</v>
      </c>
      <c r="N1995" t="s">
        <v>840</v>
      </c>
      <c r="O1995" t="s">
        <v>841</v>
      </c>
      <c r="P1995">
        <v>-19.632566000000001</v>
      </c>
      <c r="Q1995">
        <v>-43.886761999999997</v>
      </c>
      <c r="R1995" s="2" t="str">
        <f>HYPERLINK("https://www.google.com/maps?q=-19.6325660,-43.8867620","Abrir no Google Maps")</f>
        <v>Abrir no Google Maps</v>
      </c>
      <c r="S1995">
        <v>3</v>
      </c>
      <c r="T1995">
        <v>617.08897174422054</v>
      </c>
      <c r="U1995">
        <v>3</v>
      </c>
      <c r="V1995">
        <v>2.2222222222222199E-2</v>
      </c>
      <c r="W1995">
        <v>0.85</v>
      </c>
      <c r="X1995">
        <v>1.8888888888888868E-2</v>
      </c>
      <c r="Y1995">
        <v>2</v>
      </c>
      <c r="Z1995">
        <v>207.97402585552319</v>
      </c>
      <c r="AA1995">
        <v>2</v>
      </c>
      <c r="AB1995">
        <v>3</v>
      </c>
      <c r="AC1995">
        <v>7</v>
      </c>
      <c r="AD1995">
        <v>25.18</v>
      </c>
      <c r="AE1995">
        <v>253</v>
      </c>
      <c r="AF1995">
        <v>17</v>
      </c>
      <c r="AG1995">
        <v>57</v>
      </c>
      <c r="AH1995">
        <v>32</v>
      </c>
      <c r="AI1995">
        <v>6.72</v>
      </c>
      <c r="AJ1995">
        <v>22.53</v>
      </c>
      <c r="AK1995">
        <v>12.65</v>
      </c>
      <c r="AL1995">
        <v>-19.632531149999949</v>
      </c>
      <c r="AM1995">
        <v>-43.887228227300241</v>
      </c>
      <c r="AN1995">
        <v>-19.632531149999949</v>
      </c>
      <c r="AO1995">
        <v>-43.887228227300241</v>
      </c>
      <c r="AP1995">
        <v>-19.632566000000001</v>
      </c>
      <c r="AQ1995">
        <v>-43.886761999999997</v>
      </c>
      <c r="AR1995">
        <v>49.036989382941393</v>
      </c>
      <c r="AS1995" t="s">
        <v>65</v>
      </c>
      <c r="AT1995">
        <v>1</v>
      </c>
      <c r="AU1995" t="s">
        <v>842</v>
      </c>
      <c r="AV1995" t="s">
        <v>843</v>
      </c>
      <c r="AW1995" t="s">
        <v>60</v>
      </c>
      <c r="AX1995" t="s">
        <v>68</v>
      </c>
      <c r="AY1995" t="s">
        <v>69</v>
      </c>
      <c r="AZ1995" t="b">
        <v>1</v>
      </c>
    </row>
    <row r="1996" spans="1:52" x14ac:dyDescent="0.3">
      <c r="A1996" t="s">
        <v>52</v>
      </c>
      <c r="B1996" t="s">
        <v>53</v>
      </c>
      <c r="C1996" t="s">
        <v>54</v>
      </c>
      <c r="D1996" t="s">
        <v>55</v>
      </c>
      <c r="E1996" t="s">
        <v>860</v>
      </c>
      <c r="F1996" t="s">
        <v>512</v>
      </c>
      <c r="G1996" t="s">
        <v>70</v>
      </c>
      <c r="H1996" t="s">
        <v>71</v>
      </c>
      <c r="I1996" t="s">
        <v>71</v>
      </c>
      <c r="J1996" t="s">
        <v>60</v>
      </c>
      <c r="K1996" t="s">
        <v>72</v>
      </c>
      <c r="L1996" t="s">
        <v>62</v>
      </c>
      <c r="M1996" t="s">
        <v>72</v>
      </c>
      <c r="N1996" t="s">
        <v>73</v>
      </c>
      <c r="O1996" t="s">
        <v>74</v>
      </c>
      <c r="P1996">
        <v>-19.632581999999999</v>
      </c>
      <c r="Q1996">
        <v>-43.902416000000002</v>
      </c>
      <c r="R1996" s="2" t="str">
        <f>HYPERLINK("https://www.google.com/maps?q=-19.6325820,-43.9024160","Abrir no Google Maps")</f>
        <v>Abrir no Google Maps</v>
      </c>
      <c r="S1996">
        <v>4</v>
      </c>
      <c r="T1996">
        <v>0</v>
      </c>
      <c r="U1996">
        <v>4</v>
      </c>
      <c r="V1996">
        <v>0.14420803782505909</v>
      </c>
      <c r="W1996">
        <v>1</v>
      </c>
      <c r="X1996">
        <v>0.14420803782505909</v>
      </c>
      <c r="Y1996">
        <v>10</v>
      </c>
      <c r="Z1996">
        <v>146.6968158874696</v>
      </c>
      <c r="AA1996">
        <v>2</v>
      </c>
      <c r="AB1996">
        <v>3</v>
      </c>
      <c r="AC1996">
        <v>7</v>
      </c>
      <c r="AD1996">
        <v>25.18</v>
      </c>
      <c r="AE1996">
        <v>253</v>
      </c>
      <c r="AF1996">
        <v>17</v>
      </c>
      <c r="AG1996">
        <v>57</v>
      </c>
      <c r="AH1996">
        <v>32</v>
      </c>
      <c r="AI1996">
        <v>6.72</v>
      </c>
      <c r="AJ1996">
        <v>22.53</v>
      </c>
      <c r="AK1996">
        <v>12.65</v>
      </c>
      <c r="AL1996">
        <v>-19.63271449999996</v>
      </c>
      <c r="AM1996">
        <v>-43.902649897389402</v>
      </c>
      <c r="AN1996">
        <v>-19.63271449999996</v>
      </c>
      <c r="AO1996">
        <v>-43.902649897389402</v>
      </c>
      <c r="AP1996">
        <v>-19.632581999999999</v>
      </c>
      <c r="AQ1996">
        <v>-43.902416000000002</v>
      </c>
      <c r="AR1996">
        <v>28.617753432996459</v>
      </c>
      <c r="AS1996" t="s">
        <v>65</v>
      </c>
      <c r="AT1996">
        <v>1</v>
      </c>
      <c r="AU1996" t="s">
        <v>75</v>
      </c>
      <c r="AV1996" t="s">
        <v>76</v>
      </c>
      <c r="AW1996" t="s">
        <v>60</v>
      </c>
      <c r="AX1996" t="s">
        <v>68</v>
      </c>
      <c r="AY1996" t="s">
        <v>69</v>
      </c>
      <c r="AZ1996" t="b">
        <v>1</v>
      </c>
    </row>
    <row r="1997" spans="1:52" x14ac:dyDescent="0.3">
      <c r="A1997" t="s">
        <v>52</v>
      </c>
      <c r="B1997" t="s">
        <v>53</v>
      </c>
      <c r="C1997" t="s">
        <v>54</v>
      </c>
      <c r="D1997" t="s">
        <v>55</v>
      </c>
      <c r="E1997" t="s">
        <v>860</v>
      </c>
      <c r="F1997" t="s">
        <v>512</v>
      </c>
      <c r="G1997" t="s">
        <v>77</v>
      </c>
      <c r="H1997" t="s">
        <v>78</v>
      </c>
      <c r="I1997" t="s">
        <v>78</v>
      </c>
      <c r="J1997" t="s">
        <v>60</v>
      </c>
      <c r="K1997" t="s">
        <v>79</v>
      </c>
      <c r="L1997" t="s">
        <v>62</v>
      </c>
      <c r="M1997" t="s">
        <v>79</v>
      </c>
      <c r="N1997" t="s">
        <v>80</v>
      </c>
      <c r="O1997" t="s">
        <v>81</v>
      </c>
      <c r="P1997">
        <v>-19.632463999999999</v>
      </c>
      <c r="Q1997">
        <v>-43.904927999999998</v>
      </c>
      <c r="R1997" s="2" t="str">
        <f>HYPERLINK("https://www.google.com/maps?q=-19.6324640,-43.9049280","Abrir no Google Maps")</f>
        <v>Abrir no Google Maps</v>
      </c>
      <c r="S1997">
        <v>4</v>
      </c>
      <c r="T1997">
        <v>244.1735197453369</v>
      </c>
      <c r="U1997">
        <v>4</v>
      </c>
      <c r="V1997">
        <v>8.11965811965812E-2</v>
      </c>
      <c r="W1997">
        <v>1</v>
      </c>
      <c r="X1997">
        <v>8.11965811965812E-2</v>
      </c>
      <c r="Y1997">
        <v>10</v>
      </c>
      <c r="Z1997">
        <v>287.26068152447448</v>
      </c>
      <c r="AA1997">
        <v>2</v>
      </c>
      <c r="AB1997">
        <v>3</v>
      </c>
      <c r="AC1997">
        <v>7</v>
      </c>
      <c r="AD1997">
        <v>25.18</v>
      </c>
      <c r="AE1997">
        <v>253</v>
      </c>
      <c r="AF1997">
        <v>17</v>
      </c>
      <c r="AG1997">
        <v>57</v>
      </c>
      <c r="AH1997">
        <v>32</v>
      </c>
      <c r="AI1997">
        <v>6.72</v>
      </c>
      <c r="AJ1997">
        <v>22.53</v>
      </c>
      <c r="AK1997">
        <v>12.65</v>
      </c>
      <c r="AL1997">
        <v>-19.63247099999996</v>
      </c>
      <c r="AM1997">
        <v>-43.904964174285787</v>
      </c>
      <c r="AN1997">
        <v>-19.63247099999996</v>
      </c>
      <c r="AO1997">
        <v>-43.904964174285787</v>
      </c>
      <c r="AP1997">
        <v>-19.632463999999999</v>
      </c>
      <c r="AQ1997">
        <v>-43.904927999999998</v>
      </c>
      <c r="AR1997">
        <v>3.8720457500200469</v>
      </c>
      <c r="AS1997" t="s">
        <v>65</v>
      </c>
      <c r="AT1997">
        <v>1</v>
      </c>
      <c r="AU1997" t="s">
        <v>82</v>
      </c>
      <c r="AV1997" t="s">
        <v>83</v>
      </c>
      <c r="AW1997" t="s">
        <v>60</v>
      </c>
      <c r="AX1997" t="s">
        <v>68</v>
      </c>
      <c r="AY1997" t="s">
        <v>69</v>
      </c>
      <c r="AZ1997" t="b">
        <v>1</v>
      </c>
    </row>
    <row r="1998" spans="1:52" x14ac:dyDescent="0.3">
      <c r="A1998" t="s">
        <v>52</v>
      </c>
      <c r="B1998" t="s">
        <v>53</v>
      </c>
      <c r="C1998" t="s">
        <v>54</v>
      </c>
      <c r="D1998" t="s">
        <v>55</v>
      </c>
      <c r="E1998" t="s">
        <v>860</v>
      </c>
      <c r="F1998" t="s">
        <v>512</v>
      </c>
      <c r="G1998" t="s">
        <v>58</v>
      </c>
      <c r="H1998" t="s">
        <v>59</v>
      </c>
      <c r="I1998" t="s">
        <v>59</v>
      </c>
      <c r="J1998" t="s">
        <v>60</v>
      </c>
      <c r="K1998" t="s">
        <v>61</v>
      </c>
      <c r="L1998" t="s">
        <v>62</v>
      </c>
      <c r="M1998" t="s">
        <v>61</v>
      </c>
      <c r="N1998" t="s">
        <v>63</v>
      </c>
      <c r="O1998" t="s">
        <v>64</v>
      </c>
      <c r="P1998">
        <v>-19.631502000000001</v>
      </c>
      <c r="Q1998">
        <v>-43.910241999999997</v>
      </c>
      <c r="R1998" s="2" t="str">
        <f>HYPERLINK("https://www.google.com/maps?q=-19.6315020,-43.9102420","Abrir no Google Maps")</f>
        <v>Abrir no Google Maps</v>
      </c>
      <c r="S1998">
        <v>4</v>
      </c>
      <c r="T1998">
        <v>789.20099406682743</v>
      </c>
      <c r="U1998">
        <v>3</v>
      </c>
      <c r="V1998">
        <v>6.5616797900261998E-3</v>
      </c>
      <c r="W1998">
        <v>1</v>
      </c>
      <c r="X1998">
        <v>6.5616797900261998E-3</v>
      </c>
      <c r="Y1998">
        <v>10</v>
      </c>
      <c r="Z1998">
        <v>691.44930074509864</v>
      </c>
      <c r="AA1998">
        <v>2</v>
      </c>
      <c r="AB1998">
        <v>3</v>
      </c>
      <c r="AC1998">
        <v>7</v>
      </c>
      <c r="AD1998">
        <v>25.18</v>
      </c>
      <c r="AE1998">
        <v>253</v>
      </c>
      <c r="AF1998">
        <v>17</v>
      </c>
      <c r="AG1998">
        <v>57</v>
      </c>
      <c r="AH1998">
        <v>32</v>
      </c>
      <c r="AI1998">
        <v>6.72</v>
      </c>
      <c r="AJ1998">
        <v>22.53</v>
      </c>
      <c r="AK1998">
        <v>12.65</v>
      </c>
      <c r="AL1998">
        <v>-19.631719749999949</v>
      </c>
      <c r="AM1998">
        <v>-43.910102324517517</v>
      </c>
      <c r="AN1998">
        <v>-19.631719749999949</v>
      </c>
      <c r="AO1998">
        <v>-43.910102324517517</v>
      </c>
      <c r="AP1998">
        <v>-19.631502000000001</v>
      </c>
      <c r="AQ1998">
        <v>-43.910241999999997</v>
      </c>
      <c r="AR1998">
        <v>28.320416429206599</v>
      </c>
      <c r="AS1998" t="s">
        <v>65</v>
      </c>
      <c r="AT1998">
        <v>1</v>
      </c>
      <c r="AU1998" t="s">
        <v>66</v>
      </c>
      <c r="AV1998" t="s">
        <v>67</v>
      </c>
      <c r="AW1998" t="s">
        <v>60</v>
      </c>
      <c r="AX1998" t="s">
        <v>68</v>
      </c>
      <c r="AY1998" t="s">
        <v>69</v>
      </c>
      <c r="AZ1998" t="b">
        <v>1</v>
      </c>
    </row>
    <row r="1999" spans="1:52" x14ac:dyDescent="0.3">
      <c r="A1999" t="s">
        <v>52</v>
      </c>
      <c r="B1999" t="s">
        <v>53</v>
      </c>
      <c r="C1999" t="s">
        <v>54</v>
      </c>
      <c r="D1999" t="s">
        <v>55</v>
      </c>
      <c r="E1999" t="s">
        <v>860</v>
      </c>
      <c r="F1999" t="s">
        <v>512</v>
      </c>
      <c r="G1999" t="s">
        <v>513</v>
      </c>
      <c r="H1999" t="s">
        <v>514</v>
      </c>
      <c r="I1999" t="s">
        <v>514</v>
      </c>
      <c r="J1999" t="s">
        <v>60</v>
      </c>
      <c r="K1999" t="s">
        <v>185</v>
      </c>
      <c r="L1999" t="s">
        <v>62</v>
      </c>
      <c r="M1999" t="s">
        <v>185</v>
      </c>
      <c r="N1999" t="s">
        <v>515</v>
      </c>
      <c r="O1999" t="s">
        <v>516</v>
      </c>
      <c r="P1999">
        <v>-19.63184</v>
      </c>
      <c r="Q1999">
        <v>-43.899625999999998</v>
      </c>
      <c r="R1999" s="2" t="str">
        <f>HYPERLINK("https://www.google.com/maps?q=-19.6318400,-43.8996260","Abrir no Google Maps")</f>
        <v>Abrir no Google Maps</v>
      </c>
      <c r="S1999">
        <v>4</v>
      </c>
      <c r="T1999">
        <v>317.05369638212568</v>
      </c>
      <c r="U1999">
        <v>3</v>
      </c>
      <c r="V1999">
        <v>4.12698412698412E-2</v>
      </c>
      <c r="W1999">
        <v>0.85</v>
      </c>
      <c r="X1999">
        <v>3.5079365079365023E-2</v>
      </c>
      <c r="Y1999">
        <v>10</v>
      </c>
      <c r="Z1999">
        <v>467.39112963581732</v>
      </c>
      <c r="AA1999">
        <v>2</v>
      </c>
      <c r="AB1999">
        <v>3</v>
      </c>
      <c r="AC1999">
        <v>7</v>
      </c>
      <c r="AD1999">
        <v>25.18</v>
      </c>
      <c r="AE1999">
        <v>253</v>
      </c>
      <c r="AF1999">
        <v>17</v>
      </c>
      <c r="AG1999">
        <v>57</v>
      </c>
      <c r="AH1999">
        <v>32</v>
      </c>
      <c r="AI1999">
        <v>6.72</v>
      </c>
      <c r="AJ1999">
        <v>22.53</v>
      </c>
      <c r="AK1999">
        <v>12.65</v>
      </c>
      <c r="AL1999">
        <v>-19.631819699999941</v>
      </c>
      <c r="AM1999">
        <v>-43.89977767057065</v>
      </c>
      <c r="AN1999">
        <v>-19.631819699999941</v>
      </c>
      <c r="AO1999">
        <v>-43.89977767057065</v>
      </c>
      <c r="AP1999">
        <v>-19.63184</v>
      </c>
      <c r="AQ1999">
        <v>-43.899625999999998</v>
      </c>
      <c r="AR1999">
        <v>16.062279375806241</v>
      </c>
      <c r="AS1999" t="s">
        <v>65</v>
      </c>
      <c r="AT1999">
        <v>1</v>
      </c>
      <c r="AU1999" t="s">
        <v>517</v>
      </c>
      <c r="AV1999" t="s">
        <v>518</v>
      </c>
      <c r="AW1999" t="s">
        <v>60</v>
      </c>
      <c r="AX1999" t="s">
        <v>68</v>
      </c>
      <c r="AY1999" t="s">
        <v>69</v>
      </c>
      <c r="AZ1999" t="b">
        <v>1</v>
      </c>
    </row>
    <row r="2000" spans="1:52" x14ac:dyDescent="0.3">
      <c r="A2000" t="s">
        <v>52</v>
      </c>
      <c r="B2000" t="s">
        <v>53</v>
      </c>
      <c r="C2000" t="s">
        <v>54</v>
      </c>
      <c r="D2000" t="s">
        <v>55</v>
      </c>
      <c r="E2000" t="s">
        <v>860</v>
      </c>
      <c r="F2000" t="s">
        <v>512</v>
      </c>
      <c r="G2000" t="s">
        <v>519</v>
      </c>
      <c r="H2000" t="s">
        <v>520</v>
      </c>
      <c r="I2000" t="s">
        <v>520</v>
      </c>
      <c r="J2000" t="s">
        <v>60</v>
      </c>
      <c r="K2000" t="s">
        <v>72</v>
      </c>
      <c r="L2000" t="s">
        <v>62</v>
      </c>
      <c r="M2000" t="s">
        <v>72</v>
      </c>
      <c r="N2000" t="s">
        <v>521</v>
      </c>
      <c r="O2000" t="s">
        <v>522</v>
      </c>
      <c r="P2000">
        <v>-19.634713000000001</v>
      </c>
      <c r="Q2000">
        <v>-43.908909999999999</v>
      </c>
      <c r="R2000" s="2" t="str">
        <f>HYPERLINK("https://www.google.com/maps?q=-19.6347130,-43.9089100","Abrir no Google Maps")</f>
        <v>Abrir no Google Maps</v>
      </c>
      <c r="S2000">
        <v>4</v>
      </c>
      <c r="T2000">
        <v>700.74700083720154</v>
      </c>
      <c r="U2000">
        <v>3</v>
      </c>
      <c r="V2000">
        <v>1.8867924528301799E-2</v>
      </c>
      <c r="W2000">
        <v>0.85</v>
      </c>
      <c r="X2000">
        <v>1.6037735849056531E-2</v>
      </c>
      <c r="Y2000">
        <v>10</v>
      </c>
      <c r="Z2000">
        <v>557.86159429038207</v>
      </c>
      <c r="AA2000">
        <v>2</v>
      </c>
      <c r="AB2000">
        <v>3</v>
      </c>
      <c r="AC2000">
        <v>7</v>
      </c>
      <c r="AD2000">
        <v>25.18</v>
      </c>
      <c r="AE2000">
        <v>253</v>
      </c>
      <c r="AF2000">
        <v>17</v>
      </c>
      <c r="AG2000">
        <v>57</v>
      </c>
      <c r="AH2000">
        <v>32</v>
      </c>
      <c r="AI2000">
        <v>6.72</v>
      </c>
      <c r="AJ2000">
        <v>22.53</v>
      </c>
      <c r="AK2000">
        <v>12.65</v>
      </c>
      <c r="AL2000">
        <v>-19.634626949999959</v>
      </c>
      <c r="AM2000">
        <v>-43.909020333181857</v>
      </c>
      <c r="AN2000">
        <v>-19.634626949999959</v>
      </c>
      <c r="AO2000">
        <v>-43.909020333181857</v>
      </c>
      <c r="AP2000">
        <v>-19.634713000000001</v>
      </c>
      <c r="AQ2000">
        <v>-43.908909999999999</v>
      </c>
      <c r="AR2000">
        <v>15.01933861967664</v>
      </c>
      <c r="AS2000" t="s">
        <v>65</v>
      </c>
      <c r="AT2000">
        <v>1</v>
      </c>
      <c r="AU2000" t="s">
        <v>523</v>
      </c>
      <c r="AV2000" t="s">
        <v>524</v>
      </c>
      <c r="AW2000" t="s">
        <v>60</v>
      </c>
      <c r="AX2000" t="s">
        <v>68</v>
      </c>
      <c r="AY2000" t="s">
        <v>69</v>
      </c>
      <c r="AZ2000" t="b">
        <v>1</v>
      </c>
    </row>
    <row r="2001" spans="1:52" x14ac:dyDescent="0.3">
      <c r="A2001" t="s">
        <v>52</v>
      </c>
      <c r="B2001" t="s">
        <v>53</v>
      </c>
      <c r="C2001" t="s">
        <v>54</v>
      </c>
      <c r="D2001" t="s">
        <v>55</v>
      </c>
      <c r="E2001" t="s">
        <v>860</v>
      </c>
      <c r="F2001" t="s">
        <v>512</v>
      </c>
      <c r="G2001" t="s">
        <v>91</v>
      </c>
      <c r="H2001" t="s">
        <v>92</v>
      </c>
      <c r="I2001" t="s">
        <v>92</v>
      </c>
      <c r="J2001" t="s">
        <v>60</v>
      </c>
      <c r="K2001" t="s">
        <v>86</v>
      </c>
      <c r="L2001" t="s">
        <v>62</v>
      </c>
      <c r="M2001" t="s">
        <v>86</v>
      </c>
      <c r="N2001" t="s">
        <v>93</v>
      </c>
      <c r="O2001" t="s">
        <v>94</v>
      </c>
      <c r="P2001">
        <v>-19.630676999999999</v>
      </c>
      <c r="Q2001">
        <v>-43.907255999999997</v>
      </c>
      <c r="R2001" s="2" t="str">
        <f>HYPERLINK("https://www.google.com/maps?q=-19.6306770,-43.9072560","Abrir no Google Maps")</f>
        <v>Abrir no Google Maps</v>
      </c>
      <c r="S2001">
        <v>4</v>
      </c>
      <c r="T2001">
        <v>545.39374622597825</v>
      </c>
      <c r="U2001">
        <v>3</v>
      </c>
      <c r="V2001">
        <v>1.4619883040935601E-2</v>
      </c>
      <c r="W2001">
        <v>1</v>
      </c>
      <c r="X2001">
        <v>1.4619883040935601E-2</v>
      </c>
      <c r="Y2001">
        <v>10</v>
      </c>
      <c r="Z2001">
        <v>559.94033759457182</v>
      </c>
      <c r="AA2001">
        <v>2</v>
      </c>
      <c r="AB2001">
        <v>3</v>
      </c>
      <c r="AC2001">
        <v>7</v>
      </c>
      <c r="AD2001">
        <v>25.18</v>
      </c>
      <c r="AE2001">
        <v>253</v>
      </c>
      <c r="AF2001">
        <v>17</v>
      </c>
      <c r="AG2001">
        <v>57</v>
      </c>
      <c r="AH2001">
        <v>32</v>
      </c>
      <c r="AI2001">
        <v>6.72</v>
      </c>
      <c r="AJ2001">
        <v>22.53</v>
      </c>
      <c r="AK2001">
        <v>12.65</v>
      </c>
      <c r="AL2001">
        <v>-19.630448649999941</v>
      </c>
      <c r="AM2001">
        <v>-43.907268502495313</v>
      </c>
      <c r="AN2001">
        <v>-19.630448649999941</v>
      </c>
      <c r="AO2001">
        <v>-43.907268502495313</v>
      </c>
      <c r="AP2001">
        <v>-19.630676999999999</v>
      </c>
      <c r="AQ2001">
        <v>-43.907255999999997</v>
      </c>
      <c r="AR2001">
        <v>25.453700276562468</v>
      </c>
      <c r="AS2001" t="s">
        <v>65</v>
      </c>
      <c r="AT2001">
        <v>1</v>
      </c>
      <c r="AU2001" t="s">
        <v>95</v>
      </c>
      <c r="AV2001" t="s">
        <v>96</v>
      </c>
      <c r="AW2001" t="s">
        <v>60</v>
      </c>
      <c r="AX2001" t="s">
        <v>68</v>
      </c>
      <c r="AY2001" t="s">
        <v>69</v>
      </c>
      <c r="AZ2001" t="b">
        <v>1</v>
      </c>
    </row>
    <row r="2002" spans="1:52" x14ac:dyDescent="0.3">
      <c r="A2002" t="s">
        <v>52</v>
      </c>
      <c r="B2002" t="s">
        <v>53</v>
      </c>
      <c r="C2002" t="s">
        <v>54</v>
      </c>
      <c r="D2002" t="s">
        <v>55</v>
      </c>
      <c r="E2002" t="s">
        <v>860</v>
      </c>
      <c r="F2002" t="s">
        <v>512</v>
      </c>
      <c r="G2002" t="s">
        <v>97</v>
      </c>
      <c r="H2002" t="s">
        <v>98</v>
      </c>
      <c r="I2002" t="s">
        <v>98</v>
      </c>
      <c r="J2002" t="s">
        <v>60</v>
      </c>
      <c r="K2002" t="s">
        <v>99</v>
      </c>
      <c r="L2002" t="s">
        <v>62</v>
      </c>
      <c r="M2002" t="s">
        <v>99</v>
      </c>
      <c r="N2002" t="s">
        <v>100</v>
      </c>
      <c r="O2002" t="s">
        <v>101</v>
      </c>
      <c r="P2002">
        <v>-19.629822000000001</v>
      </c>
      <c r="Q2002">
        <v>-43.905341</v>
      </c>
      <c r="R2002" s="2" t="str">
        <f>HYPERLINK("https://www.google.com/maps?q=-19.6298220,-43.9053410","Abrir no Google Maps")</f>
        <v>Abrir no Google Maps</v>
      </c>
      <c r="S2002">
        <v>4</v>
      </c>
      <c r="T2002">
        <v>441.30597341744129</v>
      </c>
      <c r="U2002">
        <v>3</v>
      </c>
      <c r="V2002">
        <v>2.2598870056497099E-2</v>
      </c>
      <c r="W2002">
        <v>1</v>
      </c>
      <c r="X2002">
        <v>2.2598870056497099E-2</v>
      </c>
      <c r="Y2002">
        <v>10</v>
      </c>
      <c r="Z2002">
        <v>513.56493751010987</v>
      </c>
      <c r="AA2002">
        <v>2</v>
      </c>
      <c r="AB2002">
        <v>3</v>
      </c>
      <c r="AC2002">
        <v>7</v>
      </c>
      <c r="AD2002">
        <v>25.18</v>
      </c>
      <c r="AE2002">
        <v>253</v>
      </c>
      <c r="AF2002">
        <v>17</v>
      </c>
      <c r="AG2002">
        <v>57</v>
      </c>
      <c r="AH2002">
        <v>32</v>
      </c>
      <c r="AI2002">
        <v>6.72</v>
      </c>
      <c r="AJ2002">
        <v>22.53</v>
      </c>
      <c r="AK2002">
        <v>12.65</v>
      </c>
      <c r="AL2002">
        <v>-19.629671599999941</v>
      </c>
      <c r="AM2002">
        <v>-43.905369597920988</v>
      </c>
      <c r="AN2002">
        <v>-19.629671599999931</v>
      </c>
      <c r="AO2002">
        <v>-43.905369597920988</v>
      </c>
      <c r="AP2002">
        <v>-19.629822000000001</v>
      </c>
      <c r="AQ2002">
        <v>-43.905341</v>
      </c>
      <c r="AR2002">
        <v>17.008917699186132</v>
      </c>
      <c r="AS2002" t="s">
        <v>65</v>
      </c>
      <c r="AT2002">
        <v>1</v>
      </c>
      <c r="AU2002" t="s">
        <v>102</v>
      </c>
      <c r="AV2002" t="s">
        <v>103</v>
      </c>
      <c r="AW2002" t="s">
        <v>60</v>
      </c>
      <c r="AX2002" t="s">
        <v>68</v>
      </c>
      <c r="AY2002" t="s">
        <v>69</v>
      </c>
      <c r="AZ2002" t="b">
        <v>1</v>
      </c>
    </row>
    <row r="2003" spans="1:52" x14ac:dyDescent="0.3">
      <c r="A2003" t="s">
        <v>52</v>
      </c>
      <c r="B2003" t="s">
        <v>53</v>
      </c>
      <c r="C2003" t="s">
        <v>54</v>
      </c>
      <c r="D2003" t="s">
        <v>55</v>
      </c>
      <c r="E2003" t="s">
        <v>860</v>
      </c>
      <c r="F2003" t="s">
        <v>512</v>
      </c>
      <c r="G2003" t="s">
        <v>84</v>
      </c>
      <c r="H2003" t="s">
        <v>85</v>
      </c>
      <c r="I2003" t="s">
        <v>85</v>
      </c>
      <c r="J2003" t="s">
        <v>60</v>
      </c>
      <c r="K2003" t="s">
        <v>86</v>
      </c>
      <c r="L2003" t="s">
        <v>62</v>
      </c>
      <c r="M2003" t="s">
        <v>86</v>
      </c>
      <c r="N2003" t="s">
        <v>87</v>
      </c>
      <c r="O2003" t="s">
        <v>88</v>
      </c>
      <c r="P2003">
        <v>-19.629436999999999</v>
      </c>
      <c r="Q2003">
        <v>-43.910398999999998</v>
      </c>
      <c r="R2003" s="2" t="str">
        <f>HYPERLINK("https://www.google.com/maps?q=-19.6294370,-43.9103990","Abrir no Google Maps")</f>
        <v>Abrir no Google Maps</v>
      </c>
      <c r="S2003">
        <v>4</v>
      </c>
      <c r="T2003">
        <v>888.82060643108082</v>
      </c>
      <c r="U2003">
        <v>1</v>
      </c>
      <c r="V2003">
        <v>0</v>
      </c>
      <c r="W2003">
        <v>1</v>
      </c>
      <c r="X2003">
        <v>0</v>
      </c>
      <c r="Y2003">
        <v>10</v>
      </c>
      <c r="Z2003">
        <v>867.42797341651737</v>
      </c>
      <c r="AA2003">
        <v>2</v>
      </c>
      <c r="AB2003">
        <v>3</v>
      </c>
      <c r="AC2003">
        <v>7</v>
      </c>
      <c r="AD2003">
        <v>25.18</v>
      </c>
      <c r="AE2003">
        <v>253</v>
      </c>
      <c r="AF2003">
        <v>17</v>
      </c>
      <c r="AG2003">
        <v>57</v>
      </c>
      <c r="AH2003">
        <v>32</v>
      </c>
      <c r="AI2003">
        <v>6.72</v>
      </c>
      <c r="AJ2003">
        <v>22.53</v>
      </c>
      <c r="AK2003">
        <v>12.65</v>
      </c>
      <c r="AL2003">
        <v>-19.62934694999996</v>
      </c>
      <c r="AM2003">
        <v>-43.910344699357317</v>
      </c>
      <c r="AN2003">
        <v>-19.62934694999996</v>
      </c>
      <c r="AO2003">
        <v>-43.910344699357331</v>
      </c>
      <c r="AP2003">
        <v>-19.629436999999999</v>
      </c>
      <c r="AQ2003">
        <v>-43.910398999999998</v>
      </c>
      <c r="AR2003">
        <v>11.52837377953678</v>
      </c>
      <c r="AS2003" t="s">
        <v>65</v>
      </c>
      <c r="AT2003">
        <v>1</v>
      </c>
      <c r="AU2003" t="s">
        <v>89</v>
      </c>
      <c r="AV2003" t="s">
        <v>90</v>
      </c>
      <c r="AW2003" t="s">
        <v>60</v>
      </c>
      <c r="AX2003" t="s">
        <v>68</v>
      </c>
      <c r="AY2003" t="s">
        <v>69</v>
      </c>
      <c r="AZ2003" t="b">
        <v>1</v>
      </c>
    </row>
    <row r="2004" spans="1:52" x14ac:dyDescent="0.3">
      <c r="A2004" t="s">
        <v>52</v>
      </c>
      <c r="B2004" t="s">
        <v>53</v>
      </c>
      <c r="C2004" t="s">
        <v>54</v>
      </c>
      <c r="D2004" t="s">
        <v>55</v>
      </c>
      <c r="E2004" t="s">
        <v>860</v>
      </c>
      <c r="F2004" t="s">
        <v>512</v>
      </c>
      <c r="G2004" t="s">
        <v>388</v>
      </c>
      <c r="H2004" t="s">
        <v>389</v>
      </c>
      <c r="I2004" t="s">
        <v>389</v>
      </c>
      <c r="J2004" t="s">
        <v>60</v>
      </c>
      <c r="K2004" t="s">
        <v>185</v>
      </c>
      <c r="L2004" t="s">
        <v>62</v>
      </c>
      <c r="M2004" t="s">
        <v>185</v>
      </c>
      <c r="N2004" t="s">
        <v>390</v>
      </c>
      <c r="O2004" t="s">
        <v>391</v>
      </c>
      <c r="P2004">
        <v>-19.628802</v>
      </c>
      <c r="Q2004">
        <v>-43.891649000000001</v>
      </c>
      <c r="R2004" s="2" t="str">
        <f>HYPERLINK("https://www.google.com/maps?q=-19.6288020,-43.8916490","Abrir no Google Maps")</f>
        <v>Abrir no Google Maps</v>
      </c>
      <c r="S2004">
        <v>3</v>
      </c>
      <c r="T2004">
        <v>0</v>
      </c>
      <c r="U2004">
        <v>4</v>
      </c>
      <c r="V2004">
        <v>0.16845878136200709</v>
      </c>
      <c r="W2004">
        <v>0.85</v>
      </c>
      <c r="X2004">
        <v>0.14318996415770599</v>
      </c>
      <c r="Y2004">
        <v>18</v>
      </c>
      <c r="Z2004">
        <v>117.5064585283839</v>
      </c>
      <c r="AA2004">
        <v>2</v>
      </c>
      <c r="AB2004">
        <v>3</v>
      </c>
      <c r="AC2004">
        <v>7</v>
      </c>
      <c r="AD2004">
        <v>25.18</v>
      </c>
      <c r="AE2004">
        <v>253</v>
      </c>
      <c r="AF2004">
        <v>17</v>
      </c>
      <c r="AG2004">
        <v>57</v>
      </c>
      <c r="AH2004">
        <v>32</v>
      </c>
      <c r="AI2004">
        <v>6.72</v>
      </c>
      <c r="AJ2004">
        <v>22.53</v>
      </c>
      <c r="AK2004">
        <v>12.65</v>
      </c>
      <c r="AL2004">
        <v>-19.628865499999961</v>
      </c>
      <c r="AM2004">
        <v>-43.891662391334172</v>
      </c>
      <c r="AN2004">
        <v>-19.628865499999961</v>
      </c>
      <c r="AO2004">
        <v>-43.891662391334172</v>
      </c>
      <c r="AP2004">
        <v>-19.628802</v>
      </c>
      <c r="AQ2004">
        <v>-43.891649000000001</v>
      </c>
      <c r="AR2004">
        <v>7.2069201904448459</v>
      </c>
      <c r="AS2004" t="s">
        <v>65</v>
      </c>
      <c r="AT2004">
        <v>1</v>
      </c>
      <c r="AU2004" t="s">
        <v>392</v>
      </c>
      <c r="AV2004" t="s">
        <v>393</v>
      </c>
      <c r="AW2004" t="s">
        <v>60</v>
      </c>
      <c r="AX2004" t="s">
        <v>68</v>
      </c>
      <c r="AY2004" t="s">
        <v>69</v>
      </c>
      <c r="AZ2004" t="b">
        <v>1</v>
      </c>
    </row>
    <row r="2005" spans="1:52" x14ac:dyDescent="0.3">
      <c r="A2005" t="s">
        <v>52</v>
      </c>
      <c r="B2005" t="s">
        <v>53</v>
      </c>
      <c r="C2005" t="s">
        <v>54</v>
      </c>
      <c r="D2005" t="s">
        <v>55</v>
      </c>
      <c r="E2005" t="s">
        <v>860</v>
      </c>
      <c r="F2005" t="s">
        <v>512</v>
      </c>
      <c r="G2005" t="s">
        <v>530</v>
      </c>
      <c r="H2005" t="s">
        <v>531</v>
      </c>
      <c r="I2005" t="s">
        <v>531</v>
      </c>
      <c r="J2005" t="s">
        <v>60</v>
      </c>
      <c r="K2005" t="s">
        <v>185</v>
      </c>
      <c r="L2005" t="s">
        <v>62</v>
      </c>
      <c r="M2005" t="s">
        <v>185</v>
      </c>
      <c r="N2005" t="s">
        <v>532</v>
      </c>
      <c r="O2005" t="s">
        <v>533</v>
      </c>
      <c r="P2005">
        <v>-19.625264000000001</v>
      </c>
      <c r="Q2005">
        <v>-43.889451000000001</v>
      </c>
      <c r="R2005" s="2" t="str">
        <f>HYPERLINK("https://www.google.com/maps?q=-19.6252640,-43.8894510","Abrir no Google Maps")</f>
        <v>Abrir no Google Maps</v>
      </c>
      <c r="S2005">
        <v>3</v>
      </c>
      <c r="T2005">
        <v>466.11340370665903</v>
      </c>
      <c r="U2005">
        <v>4</v>
      </c>
      <c r="V2005">
        <v>9.9567099567099498E-2</v>
      </c>
      <c r="W2005">
        <v>0.85</v>
      </c>
      <c r="X2005">
        <v>8.4632034632034572E-2</v>
      </c>
      <c r="Y2005">
        <v>18</v>
      </c>
      <c r="Z2005">
        <v>320.77337440837812</v>
      </c>
      <c r="AA2005">
        <v>2</v>
      </c>
      <c r="AB2005">
        <v>3</v>
      </c>
      <c r="AC2005">
        <v>7</v>
      </c>
      <c r="AD2005">
        <v>25.18</v>
      </c>
      <c r="AE2005">
        <v>253</v>
      </c>
      <c r="AF2005">
        <v>17</v>
      </c>
      <c r="AG2005">
        <v>57</v>
      </c>
      <c r="AH2005">
        <v>32</v>
      </c>
      <c r="AI2005">
        <v>6.72</v>
      </c>
      <c r="AJ2005">
        <v>22.53</v>
      </c>
      <c r="AK2005">
        <v>12.65</v>
      </c>
      <c r="AL2005">
        <v>-19.62516189999997</v>
      </c>
      <c r="AM2005">
        <v>-43.88954614566876</v>
      </c>
      <c r="AN2005">
        <v>-19.62516189999997</v>
      </c>
      <c r="AO2005">
        <v>-43.88954614566876</v>
      </c>
      <c r="AP2005">
        <v>-19.625264000000001</v>
      </c>
      <c r="AQ2005">
        <v>-43.889451000000001</v>
      </c>
      <c r="AR2005">
        <v>15.12310549834147</v>
      </c>
      <c r="AS2005" t="s">
        <v>65</v>
      </c>
      <c r="AT2005">
        <v>1</v>
      </c>
      <c r="AU2005" t="s">
        <v>534</v>
      </c>
      <c r="AV2005" t="s">
        <v>535</v>
      </c>
      <c r="AW2005" t="s">
        <v>60</v>
      </c>
      <c r="AX2005" t="s">
        <v>68</v>
      </c>
      <c r="AY2005" t="s">
        <v>69</v>
      </c>
      <c r="AZ2005" t="b">
        <v>1</v>
      </c>
    </row>
    <row r="2006" spans="1:52" x14ac:dyDescent="0.3">
      <c r="A2006" t="s">
        <v>52</v>
      </c>
      <c r="B2006" t="s">
        <v>53</v>
      </c>
      <c r="C2006" t="s">
        <v>54</v>
      </c>
      <c r="D2006" t="s">
        <v>55</v>
      </c>
      <c r="E2006" t="s">
        <v>860</v>
      </c>
      <c r="F2006" t="s">
        <v>512</v>
      </c>
      <c r="G2006" t="s">
        <v>536</v>
      </c>
      <c r="H2006" t="s">
        <v>537</v>
      </c>
      <c r="I2006" t="s">
        <v>537</v>
      </c>
      <c r="J2006" t="s">
        <v>60</v>
      </c>
      <c r="K2006" t="s">
        <v>185</v>
      </c>
      <c r="L2006" t="s">
        <v>62</v>
      </c>
      <c r="M2006" t="s">
        <v>185</v>
      </c>
      <c r="N2006" t="s">
        <v>538</v>
      </c>
      <c r="O2006" t="s">
        <v>408</v>
      </c>
      <c r="P2006">
        <v>-19.630147999999998</v>
      </c>
      <c r="Q2006">
        <v>-43.893844000000001</v>
      </c>
      <c r="R2006" s="2" t="str">
        <f>HYPERLINK("https://www.google.com/maps?q=-19.6301480,-43.8938440","Abrir no Google Maps")</f>
        <v>Abrir no Google Maps</v>
      </c>
      <c r="S2006">
        <v>3</v>
      </c>
      <c r="T2006">
        <v>262.94285160220159</v>
      </c>
      <c r="U2006">
        <v>4</v>
      </c>
      <c r="V2006">
        <v>7.1428571428571397E-2</v>
      </c>
      <c r="W2006">
        <v>0.85</v>
      </c>
      <c r="X2006">
        <v>6.0714285714285693E-2</v>
      </c>
      <c r="Y2006">
        <v>18</v>
      </c>
      <c r="Z2006">
        <v>351.25774094845309</v>
      </c>
      <c r="AA2006">
        <v>2</v>
      </c>
      <c r="AB2006">
        <v>3</v>
      </c>
      <c r="AC2006">
        <v>7</v>
      </c>
      <c r="AD2006">
        <v>25.18</v>
      </c>
      <c r="AE2006">
        <v>253</v>
      </c>
      <c r="AF2006">
        <v>17</v>
      </c>
      <c r="AG2006">
        <v>57</v>
      </c>
      <c r="AH2006">
        <v>32</v>
      </c>
      <c r="AI2006">
        <v>6.72</v>
      </c>
      <c r="AJ2006">
        <v>22.53</v>
      </c>
      <c r="AK2006">
        <v>12.65</v>
      </c>
      <c r="AL2006">
        <v>-19.630177599999939</v>
      </c>
      <c r="AM2006">
        <v>-43.893752755034278</v>
      </c>
      <c r="AN2006">
        <v>-19.630177599999939</v>
      </c>
      <c r="AO2006">
        <v>-43.893752755034278</v>
      </c>
      <c r="AP2006">
        <v>-19.630147999999998</v>
      </c>
      <c r="AQ2006">
        <v>-43.893844000000001</v>
      </c>
      <c r="AR2006">
        <v>10.1185927114604</v>
      </c>
      <c r="AS2006" t="s">
        <v>65</v>
      </c>
      <c r="AT2006">
        <v>1</v>
      </c>
      <c r="AU2006" t="s">
        <v>539</v>
      </c>
      <c r="AV2006" t="s">
        <v>540</v>
      </c>
      <c r="AW2006" t="s">
        <v>60</v>
      </c>
      <c r="AX2006" t="s">
        <v>68</v>
      </c>
      <c r="AY2006" t="s">
        <v>69</v>
      </c>
      <c r="AZ2006" t="b">
        <v>1</v>
      </c>
    </row>
    <row r="2007" spans="1:52" x14ac:dyDescent="0.3">
      <c r="A2007" t="s">
        <v>52</v>
      </c>
      <c r="B2007" t="s">
        <v>53</v>
      </c>
      <c r="C2007" t="s">
        <v>54</v>
      </c>
      <c r="D2007" t="s">
        <v>55</v>
      </c>
      <c r="E2007" t="s">
        <v>860</v>
      </c>
      <c r="F2007" t="s">
        <v>512</v>
      </c>
      <c r="G2007" t="s">
        <v>399</v>
      </c>
      <c r="H2007" t="s">
        <v>400</v>
      </c>
      <c r="I2007" t="s">
        <v>400</v>
      </c>
      <c r="J2007" t="s">
        <v>60</v>
      </c>
      <c r="K2007" t="s">
        <v>286</v>
      </c>
      <c r="L2007" t="s">
        <v>62</v>
      </c>
      <c r="M2007" t="s">
        <v>286</v>
      </c>
      <c r="N2007" t="s">
        <v>401</v>
      </c>
      <c r="O2007" t="s">
        <v>402</v>
      </c>
      <c r="P2007">
        <v>-19.639906</v>
      </c>
      <c r="Q2007">
        <v>-43.886059000000003</v>
      </c>
      <c r="R2007" s="2" t="str">
        <f>HYPERLINK("https://www.google.com/maps?q=-19.6399060,-43.8860590","Abrir no Google Maps")</f>
        <v>Abrir no Google Maps</v>
      </c>
      <c r="S2007">
        <v>3</v>
      </c>
      <c r="T2007">
        <v>256.0748811302048</v>
      </c>
      <c r="U2007">
        <v>4</v>
      </c>
      <c r="V2007">
        <v>5.2173913043478203E-2</v>
      </c>
      <c r="W2007">
        <v>1</v>
      </c>
      <c r="X2007">
        <v>5.2173913043478203E-2</v>
      </c>
      <c r="Y2007">
        <v>10</v>
      </c>
      <c r="Z2007">
        <v>205.06236700857289</v>
      </c>
      <c r="AA2007">
        <v>2</v>
      </c>
      <c r="AB2007">
        <v>3</v>
      </c>
      <c r="AC2007">
        <v>7</v>
      </c>
      <c r="AD2007">
        <v>25.18</v>
      </c>
      <c r="AE2007">
        <v>253</v>
      </c>
      <c r="AF2007">
        <v>17</v>
      </c>
      <c r="AG2007">
        <v>57</v>
      </c>
      <c r="AH2007">
        <v>32</v>
      </c>
      <c r="AI2007">
        <v>6.72</v>
      </c>
      <c r="AJ2007">
        <v>22.53</v>
      </c>
      <c r="AK2007">
        <v>12.65</v>
      </c>
      <c r="AL2007">
        <v>-19.639789499999949</v>
      </c>
      <c r="AM2007">
        <v>-43.885737855031408</v>
      </c>
      <c r="AN2007">
        <v>-19.639789499999949</v>
      </c>
      <c r="AO2007">
        <v>-43.885737855031408</v>
      </c>
      <c r="AP2007">
        <v>-19.639906</v>
      </c>
      <c r="AQ2007">
        <v>-43.886059000000003</v>
      </c>
      <c r="AR2007">
        <v>36.081349702130403</v>
      </c>
      <c r="AS2007" t="s">
        <v>65</v>
      </c>
      <c r="AT2007">
        <v>1</v>
      </c>
      <c r="AU2007" t="s">
        <v>403</v>
      </c>
      <c r="AV2007" t="s">
        <v>404</v>
      </c>
      <c r="AW2007" t="s">
        <v>60</v>
      </c>
      <c r="AX2007" t="s">
        <v>68</v>
      </c>
      <c r="AY2007" t="s">
        <v>69</v>
      </c>
      <c r="AZ2007" t="b">
        <v>1</v>
      </c>
    </row>
    <row r="2008" spans="1:52" x14ac:dyDescent="0.3">
      <c r="A2008" t="s">
        <v>52</v>
      </c>
      <c r="B2008" t="s">
        <v>53</v>
      </c>
      <c r="C2008" t="s">
        <v>54</v>
      </c>
      <c r="D2008" t="s">
        <v>55</v>
      </c>
      <c r="E2008" t="s">
        <v>860</v>
      </c>
      <c r="F2008" t="s">
        <v>512</v>
      </c>
      <c r="G2008" t="s">
        <v>284</v>
      </c>
      <c r="H2008" t="s">
        <v>285</v>
      </c>
      <c r="I2008" t="s">
        <v>285</v>
      </c>
      <c r="J2008" t="s">
        <v>60</v>
      </c>
      <c r="K2008" t="s">
        <v>286</v>
      </c>
      <c r="L2008" t="s">
        <v>62</v>
      </c>
      <c r="M2008" t="s">
        <v>286</v>
      </c>
      <c r="N2008" t="s">
        <v>287</v>
      </c>
      <c r="O2008" t="s">
        <v>288</v>
      </c>
      <c r="P2008">
        <v>-19.639790000000001</v>
      </c>
      <c r="Q2008">
        <v>-43.882798999999999</v>
      </c>
      <c r="R2008" s="2" t="str">
        <f>HYPERLINK("https://www.google.com/maps?q=-19.6397900,-43.8827990","Abrir no Google Maps")</f>
        <v>Abrir no Google Maps</v>
      </c>
      <c r="S2008">
        <v>3</v>
      </c>
      <c r="T2008">
        <v>242.7052058134478</v>
      </c>
      <c r="U2008">
        <v>4</v>
      </c>
      <c r="V2008">
        <v>5.3830227743271203E-2</v>
      </c>
      <c r="W2008">
        <v>1</v>
      </c>
      <c r="X2008">
        <v>5.3830227743271203E-2</v>
      </c>
      <c r="Y2008">
        <v>10</v>
      </c>
      <c r="Z2008">
        <v>187.2088809462339</v>
      </c>
      <c r="AA2008">
        <v>2</v>
      </c>
      <c r="AB2008">
        <v>3</v>
      </c>
      <c r="AC2008">
        <v>7</v>
      </c>
      <c r="AD2008">
        <v>25.18</v>
      </c>
      <c r="AE2008">
        <v>253</v>
      </c>
      <c r="AF2008">
        <v>17</v>
      </c>
      <c r="AG2008">
        <v>57</v>
      </c>
      <c r="AH2008">
        <v>32</v>
      </c>
      <c r="AI2008">
        <v>6.72</v>
      </c>
      <c r="AJ2008">
        <v>22.53</v>
      </c>
      <c r="AK2008">
        <v>12.65</v>
      </c>
      <c r="AL2008">
        <v>-19.639855599999951</v>
      </c>
      <c r="AM2008">
        <v>-43.882909745178452</v>
      </c>
      <c r="AN2008">
        <v>-19.639855599999951</v>
      </c>
      <c r="AO2008">
        <v>-43.882909745178452</v>
      </c>
      <c r="AP2008">
        <v>-19.639790000000001</v>
      </c>
      <c r="AQ2008">
        <v>-43.882798999999999</v>
      </c>
      <c r="AR2008">
        <v>13.716486068571211</v>
      </c>
      <c r="AS2008" t="s">
        <v>65</v>
      </c>
      <c r="AT2008">
        <v>1</v>
      </c>
      <c r="AU2008" t="s">
        <v>289</v>
      </c>
      <c r="AV2008" t="s">
        <v>290</v>
      </c>
      <c r="AW2008" t="s">
        <v>60</v>
      </c>
      <c r="AX2008" t="s">
        <v>68</v>
      </c>
      <c r="AY2008" t="s">
        <v>69</v>
      </c>
      <c r="AZ2008" t="b">
        <v>1</v>
      </c>
    </row>
    <row r="2009" spans="1:52" x14ac:dyDescent="0.3">
      <c r="A2009" t="s">
        <v>52</v>
      </c>
      <c r="B2009" t="s">
        <v>53</v>
      </c>
      <c r="C2009" t="s">
        <v>54</v>
      </c>
      <c r="D2009" t="s">
        <v>55</v>
      </c>
      <c r="E2009" t="s">
        <v>860</v>
      </c>
      <c r="F2009" t="s">
        <v>512</v>
      </c>
      <c r="G2009" t="s">
        <v>525</v>
      </c>
      <c r="H2009" t="s">
        <v>526</v>
      </c>
      <c r="I2009" t="s">
        <v>526</v>
      </c>
      <c r="J2009" t="s">
        <v>60</v>
      </c>
      <c r="K2009" t="s">
        <v>286</v>
      </c>
      <c r="L2009" t="s">
        <v>62</v>
      </c>
      <c r="M2009" t="s">
        <v>286</v>
      </c>
      <c r="N2009" t="s">
        <v>527</v>
      </c>
      <c r="O2009" t="s">
        <v>113</v>
      </c>
      <c r="P2009">
        <v>-19.629049999999999</v>
      </c>
      <c r="Q2009">
        <v>-43.887543000000001</v>
      </c>
      <c r="R2009" s="2" t="str">
        <f>HYPERLINK("https://www.google.com/maps?q=-19.6290500,-43.8875430","Abrir no Google Maps")</f>
        <v>Abrir no Google Maps</v>
      </c>
      <c r="S2009">
        <v>3</v>
      </c>
      <c r="T2009">
        <v>420.9244758141914</v>
      </c>
      <c r="U2009">
        <v>3</v>
      </c>
      <c r="V2009">
        <v>2.1739130434782601E-2</v>
      </c>
      <c r="W2009">
        <v>0.85</v>
      </c>
      <c r="X2009">
        <v>1.8478260869565211E-2</v>
      </c>
      <c r="Y2009">
        <v>18</v>
      </c>
      <c r="Z2009">
        <v>298.16529694300579</v>
      </c>
      <c r="AA2009">
        <v>2</v>
      </c>
      <c r="AB2009">
        <v>3</v>
      </c>
      <c r="AC2009">
        <v>7</v>
      </c>
      <c r="AD2009">
        <v>25.18</v>
      </c>
      <c r="AE2009">
        <v>253</v>
      </c>
      <c r="AF2009">
        <v>17</v>
      </c>
      <c r="AG2009">
        <v>57</v>
      </c>
      <c r="AH2009">
        <v>32</v>
      </c>
      <c r="AI2009">
        <v>6.72</v>
      </c>
      <c r="AJ2009">
        <v>22.53</v>
      </c>
      <c r="AK2009">
        <v>12.65</v>
      </c>
      <c r="AL2009">
        <v>-19.62914789999996</v>
      </c>
      <c r="AM2009">
        <v>-43.887659532387332</v>
      </c>
      <c r="AN2009">
        <v>-19.62914789999996</v>
      </c>
      <c r="AO2009">
        <v>-43.887659532387332</v>
      </c>
      <c r="AP2009">
        <v>-19.629049999999999</v>
      </c>
      <c r="AQ2009">
        <v>-43.887543000000001</v>
      </c>
      <c r="AR2009">
        <v>16.372645779361299</v>
      </c>
      <c r="AS2009" t="s">
        <v>65</v>
      </c>
      <c r="AT2009">
        <v>1</v>
      </c>
      <c r="AU2009" t="s">
        <v>528</v>
      </c>
      <c r="AV2009" t="s">
        <v>529</v>
      </c>
      <c r="AW2009" t="s">
        <v>60</v>
      </c>
      <c r="AX2009" t="s">
        <v>68</v>
      </c>
      <c r="AY2009" t="s">
        <v>69</v>
      </c>
      <c r="AZ2009" t="b">
        <v>1</v>
      </c>
    </row>
    <row r="2010" spans="1:52" x14ac:dyDescent="0.3">
      <c r="A2010" t="s">
        <v>52</v>
      </c>
      <c r="B2010" t="s">
        <v>53</v>
      </c>
      <c r="C2010" t="s">
        <v>54</v>
      </c>
      <c r="D2010" t="s">
        <v>55</v>
      </c>
      <c r="E2010" t="s">
        <v>860</v>
      </c>
      <c r="F2010" t="s">
        <v>512</v>
      </c>
      <c r="G2010" t="s">
        <v>394</v>
      </c>
      <c r="H2010" t="s">
        <v>395</v>
      </c>
      <c r="I2010" t="s">
        <v>395</v>
      </c>
      <c r="J2010" t="s">
        <v>60</v>
      </c>
      <c r="K2010" t="s">
        <v>286</v>
      </c>
      <c r="L2010" t="s">
        <v>62</v>
      </c>
      <c r="M2010" t="s">
        <v>286</v>
      </c>
      <c r="N2010" t="s">
        <v>396</v>
      </c>
      <c r="O2010" t="s">
        <v>88</v>
      </c>
      <c r="P2010">
        <v>-19.636932999999999</v>
      </c>
      <c r="Q2010">
        <v>-43.882691999999999</v>
      </c>
      <c r="R2010" s="2" t="str">
        <f>HYPERLINK("https://www.google.com/maps?q=-19.6369330,-43.8826920","Abrir no Google Maps")</f>
        <v>Abrir no Google Maps</v>
      </c>
      <c r="S2010">
        <v>3</v>
      </c>
      <c r="T2010">
        <v>523.52675813688109</v>
      </c>
      <c r="U2010">
        <v>3</v>
      </c>
      <c r="V2010">
        <v>2.69749518304431E-2</v>
      </c>
      <c r="W2010">
        <v>1</v>
      </c>
      <c r="X2010">
        <v>2.69749518304431E-2</v>
      </c>
      <c r="Y2010">
        <v>10</v>
      </c>
      <c r="Z2010">
        <v>372.58135532659509</v>
      </c>
      <c r="AA2010">
        <v>2</v>
      </c>
      <c r="AB2010">
        <v>3</v>
      </c>
      <c r="AC2010">
        <v>7</v>
      </c>
      <c r="AD2010">
        <v>25.18</v>
      </c>
      <c r="AE2010">
        <v>253</v>
      </c>
      <c r="AF2010">
        <v>17</v>
      </c>
      <c r="AG2010">
        <v>57</v>
      </c>
      <c r="AH2010">
        <v>32</v>
      </c>
      <c r="AI2010">
        <v>6.72</v>
      </c>
      <c r="AJ2010">
        <v>22.53</v>
      </c>
      <c r="AK2010">
        <v>12.65</v>
      </c>
      <c r="AL2010">
        <v>-19.637159949999951</v>
      </c>
      <c r="AM2010">
        <v>-43.882643289441461</v>
      </c>
      <c r="AN2010">
        <v>-19.637159949999951</v>
      </c>
      <c r="AO2010">
        <v>-43.882643289441461</v>
      </c>
      <c r="AP2010">
        <v>-19.636932999999999</v>
      </c>
      <c r="AQ2010">
        <v>-43.882691999999999</v>
      </c>
      <c r="AR2010">
        <v>25.775099947452478</v>
      </c>
      <c r="AS2010" t="s">
        <v>65</v>
      </c>
      <c r="AT2010">
        <v>1</v>
      </c>
      <c r="AU2010" t="s">
        <v>397</v>
      </c>
      <c r="AV2010" t="s">
        <v>398</v>
      </c>
      <c r="AW2010" t="s">
        <v>60</v>
      </c>
      <c r="AX2010" t="s">
        <v>68</v>
      </c>
      <c r="AY2010" t="s">
        <v>69</v>
      </c>
      <c r="AZ2010" t="b">
        <v>1</v>
      </c>
    </row>
    <row r="2011" spans="1:52" x14ac:dyDescent="0.3">
      <c r="A2011" t="s">
        <v>52</v>
      </c>
      <c r="B2011" t="s">
        <v>53</v>
      </c>
      <c r="C2011" t="s">
        <v>54</v>
      </c>
      <c r="D2011" t="s">
        <v>55</v>
      </c>
      <c r="E2011" t="s">
        <v>860</v>
      </c>
      <c r="F2011" t="s">
        <v>512</v>
      </c>
      <c r="G2011" t="s">
        <v>405</v>
      </c>
      <c r="H2011" t="s">
        <v>406</v>
      </c>
      <c r="I2011" t="s">
        <v>406</v>
      </c>
      <c r="J2011" t="s">
        <v>60</v>
      </c>
      <c r="K2011" t="s">
        <v>286</v>
      </c>
      <c r="L2011" t="s">
        <v>62</v>
      </c>
      <c r="M2011" t="s">
        <v>286</v>
      </c>
      <c r="N2011" t="s">
        <v>407</v>
      </c>
      <c r="O2011" t="s">
        <v>408</v>
      </c>
      <c r="P2011">
        <v>-19.646345</v>
      </c>
      <c r="Q2011">
        <v>-43.882294999999999</v>
      </c>
      <c r="R2011" s="2" t="str">
        <f>HYPERLINK("https://www.google.com/maps?q=-19.6463450,-43.8822950","Abrir no Google Maps")</f>
        <v>Abrir no Google Maps</v>
      </c>
      <c r="S2011">
        <v>3</v>
      </c>
      <c r="T2011">
        <v>450.3180538635894</v>
      </c>
      <c r="U2011">
        <v>3</v>
      </c>
      <c r="V2011">
        <v>3.6559139784946203E-2</v>
      </c>
      <c r="W2011">
        <v>1</v>
      </c>
      <c r="X2011">
        <v>3.6559139784946203E-2</v>
      </c>
      <c r="Y2011">
        <v>10</v>
      </c>
      <c r="Z2011">
        <v>349.23341775902583</v>
      </c>
      <c r="AA2011">
        <v>2</v>
      </c>
      <c r="AB2011">
        <v>3</v>
      </c>
      <c r="AC2011">
        <v>7</v>
      </c>
      <c r="AD2011">
        <v>25.18</v>
      </c>
      <c r="AE2011">
        <v>253</v>
      </c>
      <c r="AF2011">
        <v>17</v>
      </c>
      <c r="AG2011">
        <v>57</v>
      </c>
      <c r="AH2011">
        <v>32</v>
      </c>
      <c r="AI2011">
        <v>6.72</v>
      </c>
      <c r="AJ2011">
        <v>22.53</v>
      </c>
      <c r="AK2011">
        <v>12.65</v>
      </c>
      <c r="AL2011">
        <v>-19.646391649999941</v>
      </c>
      <c r="AM2011">
        <v>-43.882007396993302</v>
      </c>
      <c r="AN2011">
        <v>-19.646391649999941</v>
      </c>
      <c r="AO2011">
        <v>-43.882007396993302</v>
      </c>
      <c r="AP2011">
        <v>-19.646345</v>
      </c>
      <c r="AQ2011">
        <v>-43.882294999999999</v>
      </c>
      <c r="AR2011">
        <v>30.596105513395301</v>
      </c>
      <c r="AS2011" t="s">
        <v>65</v>
      </c>
      <c r="AT2011">
        <v>1</v>
      </c>
      <c r="AU2011" t="s">
        <v>409</v>
      </c>
      <c r="AV2011" t="s">
        <v>410</v>
      </c>
      <c r="AW2011" t="s">
        <v>60</v>
      </c>
      <c r="AX2011" t="s">
        <v>68</v>
      </c>
      <c r="AY2011" t="s">
        <v>69</v>
      </c>
      <c r="AZ2011" t="b">
        <v>1</v>
      </c>
    </row>
    <row r="2012" spans="1:52" x14ac:dyDescent="0.3">
      <c r="A2012" t="s">
        <v>52</v>
      </c>
      <c r="B2012" t="s">
        <v>53</v>
      </c>
      <c r="C2012" t="s">
        <v>54</v>
      </c>
      <c r="D2012" t="s">
        <v>55</v>
      </c>
      <c r="E2012" t="s">
        <v>860</v>
      </c>
      <c r="F2012" t="s">
        <v>512</v>
      </c>
      <c r="G2012" t="s">
        <v>580</v>
      </c>
      <c r="H2012" t="s">
        <v>581</v>
      </c>
      <c r="I2012" t="s">
        <v>581</v>
      </c>
      <c r="J2012" t="s">
        <v>60</v>
      </c>
      <c r="K2012" t="s">
        <v>179</v>
      </c>
      <c r="L2012" t="s">
        <v>62</v>
      </c>
      <c r="M2012" t="s">
        <v>179</v>
      </c>
      <c r="N2012" t="s">
        <v>582</v>
      </c>
      <c r="O2012" t="s">
        <v>583</v>
      </c>
      <c r="P2012">
        <v>-19.651917999999998</v>
      </c>
      <c r="Q2012">
        <v>-43.888081</v>
      </c>
      <c r="R2012" s="2" t="str">
        <f>HYPERLINK("https://www.google.com/maps?q=-19.6519180,-43.8880810","Abrir no Google Maps")</f>
        <v>Abrir no Google Maps</v>
      </c>
      <c r="S2012">
        <v>3</v>
      </c>
      <c r="T2012">
        <v>1192.758363020145</v>
      </c>
      <c r="U2012">
        <v>3</v>
      </c>
      <c r="V2012">
        <v>2.02020202020202E-2</v>
      </c>
      <c r="W2012">
        <v>0.85</v>
      </c>
      <c r="X2012">
        <v>1.7171717171717171E-2</v>
      </c>
      <c r="Y2012">
        <v>10</v>
      </c>
      <c r="Z2012">
        <v>1164.020417046748</v>
      </c>
      <c r="AA2012">
        <v>2</v>
      </c>
      <c r="AB2012">
        <v>3</v>
      </c>
      <c r="AC2012">
        <v>7</v>
      </c>
      <c r="AD2012">
        <v>25.18</v>
      </c>
      <c r="AE2012">
        <v>253</v>
      </c>
      <c r="AF2012">
        <v>17</v>
      </c>
      <c r="AG2012">
        <v>57</v>
      </c>
      <c r="AH2012">
        <v>32</v>
      </c>
      <c r="AI2012">
        <v>6.72</v>
      </c>
      <c r="AJ2012">
        <v>22.53</v>
      </c>
      <c r="AK2012">
        <v>12.65</v>
      </c>
      <c r="AL2012">
        <v>-19.65182809999996</v>
      </c>
      <c r="AM2012">
        <v>-43.887955347266519</v>
      </c>
      <c r="AN2012">
        <v>-19.65182809999996</v>
      </c>
      <c r="AO2012">
        <v>-43.887955347266519</v>
      </c>
      <c r="AP2012">
        <v>-19.651917999999998</v>
      </c>
      <c r="AQ2012">
        <v>-43.888081</v>
      </c>
      <c r="AR2012">
        <v>16.543262936495491</v>
      </c>
      <c r="AS2012" t="s">
        <v>65</v>
      </c>
      <c r="AT2012">
        <v>1</v>
      </c>
      <c r="AU2012" t="s">
        <v>584</v>
      </c>
      <c r="AV2012" t="s">
        <v>585</v>
      </c>
      <c r="AW2012" t="s">
        <v>60</v>
      </c>
      <c r="AX2012" t="s">
        <v>68</v>
      </c>
      <c r="AY2012" t="s">
        <v>69</v>
      </c>
      <c r="AZ2012" t="b">
        <v>1</v>
      </c>
    </row>
    <row r="2013" spans="1:52" x14ac:dyDescent="0.3">
      <c r="A2013" t="s">
        <v>52</v>
      </c>
      <c r="B2013" t="s">
        <v>53</v>
      </c>
      <c r="C2013" t="s">
        <v>54</v>
      </c>
      <c r="D2013" t="s">
        <v>55</v>
      </c>
      <c r="E2013" t="s">
        <v>860</v>
      </c>
      <c r="F2013" t="s">
        <v>512</v>
      </c>
      <c r="G2013" t="s">
        <v>586</v>
      </c>
      <c r="H2013" t="s">
        <v>587</v>
      </c>
      <c r="I2013" t="s">
        <v>587</v>
      </c>
      <c r="J2013" t="s">
        <v>60</v>
      </c>
      <c r="K2013" t="s">
        <v>286</v>
      </c>
      <c r="L2013" t="s">
        <v>62</v>
      </c>
      <c r="M2013" t="s">
        <v>286</v>
      </c>
      <c r="N2013" t="s">
        <v>588</v>
      </c>
      <c r="O2013" t="s">
        <v>589</v>
      </c>
      <c r="P2013">
        <v>-19.638362999999998</v>
      </c>
      <c r="Q2013">
        <v>-43.887081000000002</v>
      </c>
      <c r="R2013" s="2" t="str">
        <f>HYPERLINK("https://www.google.com/maps?q=-19.6383630,-43.8870810","Abrir no Google Maps")</f>
        <v>Abrir no Google Maps</v>
      </c>
      <c r="S2013">
        <v>3</v>
      </c>
      <c r="T2013">
        <v>521.16909902210193</v>
      </c>
      <c r="U2013">
        <v>3</v>
      </c>
      <c r="V2013">
        <v>2.3255813953488299E-2</v>
      </c>
      <c r="W2013">
        <v>0.85</v>
      </c>
      <c r="X2013">
        <v>1.976744186046505E-2</v>
      </c>
      <c r="Y2013">
        <v>10</v>
      </c>
      <c r="Z2013">
        <v>416.66355243950221</v>
      </c>
      <c r="AA2013">
        <v>2</v>
      </c>
      <c r="AB2013">
        <v>3</v>
      </c>
      <c r="AC2013">
        <v>7</v>
      </c>
      <c r="AD2013">
        <v>25.18</v>
      </c>
      <c r="AE2013">
        <v>253</v>
      </c>
      <c r="AF2013">
        <v>17</v>
      </c>
      <c r="AG2013">
        <v>57</v>
      </c>
      <c r="AH2013">
        <v>32</v>
      </c>
      <c r="AI2013">
        <v>6.72</v>
      </c>
      <c r="AJ2013">
        <v>22.53</v>
      </c>
      <c r="AK2013">
        <v>12.65</v>
      </c>
      <c r="AL2013">
        <v>-19.638074649999961</v>
      </c>
      <c r="AM2013">
        <v>-43.887517684870552</v>
      </c>
      <c r="AN2013">
        <v>-19.638074649999961</v>
      </c>
      <c r="AO2013">
        <v>-43.887517684870552</v>
      </c>
      <c r="AP2013">
        <v>-19.638362999999998</v>
      </c>
      <c r="AQ2013">
        <v>-43.887081000000002</v>
      </c>
      <c r="AR2013">
        <v>55.915550702564907</v>
      </c>
      <c r="AS2013" t="s">
        <v>65</v>
      </c>
      <c r="AT2013">
        <v>1</v>
      </c>
      <c r="AU2013" t="s">
        <v>590</v>
      </c>
      <c r="AV2013" t="s">
        <v>591</v>
      </c>
      <c r="AW2013" t="s">
        <v>60</v>
      </c>
      <c r="AX2013" t="s">
        <v>68</v>
      </c>
      <c r="AY2013" t="s">
        <v>69</v>
      </c>
      <c r="AZ2013" t="b">
        <v>1</v>
      </c>
    </row>
    <row r="2014" spans="1:52" x14ac:dyDescent="0.3">
      <c r="A2014" t="s">
        <v>52</v>
      </c>
      <c r="B2014" t="s">
        <v>53</v>
      </c>
      <c r="C2014" t="s">
        <v>54</v>
      </c>
      <c r="D2014" t="s">
        <v>55</v>
      </c>
      <c r="E2014" t="s">
        <v>860</v>
      </c>
      <c r="F2014" t="s">
        <v>512</v>
      </c>
      <c r="G2014" t="s">
        <v>541</v>
      </c>
      <c r="H2014" t="s">
        <v>542</v>
      </c>
      <c r="I2014" t="s">
        <v>542</v>
      </c>
      <c r="J2014" t="s">
        <v>60</v>
      </c>
      <c r="K2014" t="s">
        <v>445</v>
      </c>
      <c r="L2014" t="s">
        <v>62</v>
      </c>
      <c r="M2014" t="s">
        <v>445</v>
      </c>
      <c r="N2014" t="s">
        <v>543</v>
      </c>
      <c r="O2014" t="s">
        <v>328</v>
      </c>
      <c r="P2014">
        <v>-19.642263</v>
      </c>
      <c r="Q2014">
        <v>-43.881428999999997</v>
      </c>
      <c r="R2014" s="2" t="str">
        <f>HYPERLINK("https://www.google.com/maps?q=-19.6422630,-43.8814290","Abrir no Google Maps")</f>
        <v>Abrir no Google Maps</v>
      </c>
      <c r="S2014">
        <v>3</v>
      </c>
      <c r="T2014">
        <v>0</v>
      </c>
      <c r="U2014">
        <v>1</v>
      </c>
      <c r="V2014">
        <v>0</v>
      </c>
      <c r="W2014">
        <v>0.85</v>
      </c>
      <c r="X2014">
        <v>0</v>
      </c>
      <c r="Y2014">
        <v>10</v>
      </c>
      <c r="Z2014">
        <v>162.4764384685345</v>
      </c>
      <c r="AA2014">
        <v>2</v>
      </c>
      <c r="AB2014">
        <v>3</v>
      </c>
      <c r="AC2014">
        <v>7</v>
      </c>
      <c r="AD2014">
        <v>25.18</v>
      </c>
      <c r="AE2014">
        <v>253</v>
      </c>
      <c r="AF2014">
        <v>17</v>
      </c>
      <c r="AG2014">
        <v>57</v>
      </c>
      <c r="AH2014">
        <v>32</v>
      </c>
      <c r="AI2014">
        <v>6.72</v>
      </c>
      <c r="AJ2014">
        <v>22.53</v>
      </c>
      <c r="AK2014">
        <v>12.65</v>
      </c>
      <c r="AL2014">
        <v>-19.642346249999949</v>
      </c>
      <c r="AM2014">
        <v>-43.881546938715289</v>
      </c>
      <c r="AN2014">
        <v>-19.642346249999939</v>
      </c>
      <c r="AO2014">
        <v>-43.881546938715289</v>
      </c>
      <c r="AP2014">
        <v>-19.642263</v>
      </c>
      <c r="AQ2014">
        <v>-43.881428999999997</v>
      </c>
      <c r="AR2014">
        <v>15.45239906956777</v>
      </c>
      <c r="AS2014" t="s">
        <v>65</v>
      </c>
      <c r="AT2014">
        <v>1</v>
      </c>
      <c r="AU2014" t="s">
        <v>544</v>
      </c>
      <c r="AV2014" t="s">
        <v>545</v>
      </c>
      <c r="AW2014" t="s">
        <v>60</v>
      </c>
      <c r="AX2014" t="s">
        <v>68</v>
      </c>
      <c r="AY2014" t="s">
        <v>69</v>
      </c>
      <c r="AZ2014" t="b">
        <v>1</v>
      </c>
    </row>
    <row r="2015" spans="1:52" x14ac:dyDescent="0.3">
      <c r="A2015" t="s">
        <v>52</v>
      </c>
      <c r="B2015" t="s">
        <v>53</v>
      </c>
      <c r="C2015" t="s">
        <v>54</v>
      </c>
      <c r="D2015" t="s">
        <v>55</v>
      </c>
      <c r="E2015" t="s">
        <v>860</v>
      </c>
      <c r="F2015" t="s">
        <v>512</v>
      </c>
      <c r="G2015" t="s">
        <v>546</v>
      </c>
      <c r="H2015" t="s">
        <v>547</v>
      </c>
      <c r="I2015" t="s">
        <v>547</v>
      </c>
      <c r="J2015" t="s">
        <v>60</v>
      </c>
      <c r="K2015" t="s">
        <v>445</v>
      </c>
      <c r="L2015" t="s">
        <v>62</v>
      </c>
      <c r="M2015" t="s">
        <v>445</v>
      </c>
      <c r="N2015" t="s">
        <v>548</v>
      </c>
      <c r="O2015" t="s">
        <v>549</v>
      </c>
      <c r="P2015">
        <v>-19.642752999999999</v>
      </c>
      <c r="Q2015">
        <v>-43.879080999999999</v>
      </c>
      <c r="R2015" s="2" t="str">
        <f>HYPERLINK("https://www.google.com/maps?q=-19.6427530,-43.8790810","Abrir no Google Maps")</f>
        <v>Abrir no Google Maps</v>
      </c>
      <c r="S2015">
        <v>3</v>
      </c>
      <c r="T2015">
        <v>256.19518367376457</v>
      </c>
      <c r="U2015">
        <v>1</v>
      </c>
      <c r="V2015">
        <v>0</v>
      </c>
      <c r="W2015">
        <v>0.85</v>
      </c>
      <c r="X2015">
        <v>0</v>
      </c>
      <c r="Y2015">
        <v>10</v>
      </c>
      <c r="Z2015">
        <v>192.73978446408199</v>
      </c>
      <c r="AA2015">
        <v>2</v>
      </c>
      <c r="AB2015">
        <v>3</v>
      </c>
      <c r="AC2015">
        <v>7</v>
      </c>
      <c r="AD2015">
        <v>25.18</v>
      </c>
      <c r="AE2015">
        <v>253</v>
      </c>
      <c r="AF2015">
        <v>17</v>
      </c>
      <c r="AG2015">
        <v>57</v>
      </c>
      <c r="AH2015">
        <v>32</v>
      </c>
      <c r="AI2015">
        <v>6.72</v>
      </c>
      <c r="AJ2015">
        <v>22.53</v>
      </c>
      <c r="AK2015">
        <v>12.65</v>
      </c>
      <c r="AL2015">
        <v>-19.642703749999949</v>
      </c>
      <c r="AM2015">
        <v>-43.879132974738582</v>
      </c>
      <c r="AN2015">
        <v>-19.642703749999949</v>
      </c>
      <c r="AO2015">
        <v>-43.879132974738582</v>
      </c>
      <c r="AP2015">
        <v>-19.642752999999999</v>
      </c>
      <c r="AQ2015">
        <v>-43.879080999999999</v>
      </c>
      <c r="AR2015">
        <v>7.7298757823687696</v>
      </c>
      <c r="AS2015" t="s">
        <v>65</v>
      </c>
      <c r="AT2015">
        <v>1</v>
      </c>
      <c r="AU2015" t="s">
        <v>550</v>
      </c>
      <c r="AV2015" t="s">
        <v>551</v>
      </c>
      <c r="AW2015" t="s">
        <v>60</v>
      </c>
      <c r="AX2015" t="s">
        <v>68</v>
      </c>
      <c r="AY2015" t="s">
        <v>69</v>
      </c>
      <c r="AZ2015" t="b">
        <v>1</v>
      </c>
    </row>
    <row r="2016" spans="1:52" x14ac:dyDescent="0.3">
      <c r="A2016" t="s">
        <v>52</v>
      </c>
      <c r="B2016" t="s">
        <v>53</v>
      </c>
      <c r="C2016" t="s">
        <v>54</v>
      </c>
      <c r="D2016" t="s">
        <v>55</v>
      </c>
      <c r="E2016" t="s">
        <v>860</v>
      </c>
      <c r="F2016" t="s">
        <v>512</v>
      </c>
      <c r="G2016" t="s">
        <v>291</v>
      </c>
      <c r="H2016" t="s">
        <v>292</v>
      </c>
      <c r="I2016" t="s">
        <v>292</v>
      </c>
      <c r="J2016" t="s">
        <v>60</v>
      </c>
      <c r="K2016" t="s">
        <v>286</v>
      </c>
      <c r="L2016" t="s">
        <v>62</v>
      </c>
      <c r="M2016" t="s">
        <v>286</v>
      </c>
      <c r="N2016" t="s">
        <v>293</v>
      </c>
      <c r="O2016" t="s">
        <v>294</v>
      </c>
      <c r="P2016">
        <v>-19.640333999999999</v>
      </c>
      <c r="Q2016">
        <v>-43.880004999999997</v>
      </c>
      <c r="R2016" s="2" t="str">
        <f>HYPERLINK("https://www.google.com/maps?q=-19.6403340,-43.8800050","Abrir no Google Maps")</f>
        <v>Abrir no Google Maps</v>
      </c>
      <c r="S2016">
        <v>3</v>
      </c>
      <c r="T2016">
        <v>276.80943817309782</v>
      </c>
      <c r="U2016">
        <v>1</v>
      </c>
      <c r="V2016">
        <v>0</v>
      </c>
      <c r="W2016">
        <v>1</v>
      </c>
      <c r="X2016">
        <v>0</v>
      </c>
      <c r="Y2016">
        <v>10</v>
      </c>
      <c r="Z2016">
        <v>361.98332038983392</v>
      </c>
      <c r="AA2016">
        <v>2</v>
      </c>
      <c r="AB2016">
        <v>3</v>
      </c>
      <c r="AC2016">
        <v>7</v>
      </c>
      <c r="AD2016">
        <v>25.18</v>
      </c>
      <c r="AE2016">
        <v>253</v>
      </c>
      <c r="AF2016">
        <v>17</v>
      </c>
      <c r="AG2016">
        <v>57</v>
      </c>
      <c r="AH2016">
        <v>32</v>
      </c>
      <c r="AI2016">
        <v>6.72</v>
      </c>
      <c r="AJ2016">
        <v>22.53</v>
      </c>
      <c r="AK2016">
        <v>12.65</v>
      </c>
      <c r="AL2016">
        <v>-19.640260249999951</v>
      </c>
      <c r="AM2016">
        <v>-43.880090474326408</v>
      </c>
      <c r="AN2016">
        <v>-19.640260249999951</v>
      </c>
      <c r="AO2016">
        <v>-43.880090474326408</v>
      </c>
      <c r="AP2016">
        <v>-19.640333999999999</v>
      </c>
      <c r="AQ2016">
        <v>-43.880004999999997</v>
      </c>
      <c r="AR2016">
        <v>12.153556195359609</v>
      </c>
      <c r="AS2016" t="s">
        <v>65</v>
      </c>
      <c r="AT2016">
        <v>1</v>
      </c>
      <c r="AU2016" t="s">
        <v>295</v>
      </c>
      <c r="AV2016" t="s">
        <v>296</v>
      </c>
      <c r="AW2016" t="s">
        <v>60</v>
      </c>
      <c r="AX2016" t="s">
        <v>68</v>
      </c>
      <c r="AY2016" t="s">
        <v>69</v>
      </c>
      <c r="AZ2016" t="b">
        <v>1</v>
      </c>
    </row>
    <row r="2017" spans="1:52" x14ac:dyDescent="0.3">
      <c r="A2017" t="s">
        <v>52</v>
      </c>
      <c r="B2017" t="s">
        <v>53</v>
      </c>
      <c r="C2017" t="s">
        <v>54</v>
      </c>
      <c r="D2017" t="s">
        <v>55</v>
      </c>
      <c r="E2017" t="s">
        <v>860</v>
      </c>
      <c r="F2017" t="s">
        <v>512</v>
      </c>
      <c r="G2017" t="s">
        <v>552</v>
      </c>
      <c r="H2017" t="s">
        <v>553</v>
      </c>
      <c r="I2017" t="s">
        <v>553</v>
      </c>
      <c r="J2017" t="s">
        <v>60</v>
      </c>
      <c r="K2017" t="s">
        <v>445</v>
      </c>
      <c r="L2017" t="s">
        <v>62</v>
      </c>
      <c r="M2017" t="s">
        <v>445</v>
      </c>
      <c r="N2017" t="s">
        <v>554</v>
      </c>
      <c r="O2017" t="s">
        <v>207</v>
      </c>
      <c r="P2017">
        <v>-19.641549999999999</v>
      </c>
      <c r="Q2017">
        <v>-43.873263999999999</v>
      </c>
      <c r="R2017" s="2" t="str">
        <f>HYPERLINK("https://www.google.com/maps?q=-19.6415500,-43.8732640","Abrir no Google Maps")</f>
        <v>Abrir no Google Maps</v>
      </c>
      <c r="S2017">
        <v>3</v>
      </c>
      <c r="T2017">
        <v>879.45465995735231</v>
      </c>
      <c r="U2017">
        <v>1</v>
      </c>
      <c r="V2017">
        <v>0</v>
      </c>
      <c r="W2017">
        <v>0.85</v>
      </c>
      <c r="X2017">
        <v>0</v>
      </c>
      <c r="Y2017">
        <v>10</v>
      </c>
      <c r="Z2017">
        <v>830.70905214077095</v>
      </c>
      <c r="AA2017">
        <v>2</v>
      </c>
      <c r="AB2017">
        <v>3</v>
      </c>
      <c r="AC2017">
        <v>7</v>
      </c>
      <c r="AD2017">
        <v>25.18</v>
      </c>
      <c r="AE2017">
        <v>253</v>
      </c>
      <c r="AF2017">
        <v>17</v>
      </c>
      <c r="AG2017">
        <v>57</v>
      </c>
      <c r="AH2017">
        <v>32</v>
      </c>
      <c r="AI2017">
        <v>6.72</v>
      </c>
      <c r="AJ2017">
        <v>22.53</v>
      </c>
      <c r="AK2017">
        <v>12.65</v>
      </c>
      <c r="AL2017">
        <v>-19.641459949999959</v>
      </c>
      <c r="AM2017">
        <v>-43.873212145688711</v>
      </c>
      <c r="AN2017">
        <v>-19.641459949999959</v>
      </c>
      <c r="AO2017">
        <v>-43.873212145688711</v>
      </c>
      <c r="AP2017">
        <v>-19.641549999999999</v>
      </c>
      <c r="AQ2017">
        <v>-43.873263999999999</v>
      </c>
      <c r="AR2017">
        <v>11.40368340137019</v>
      </c>
      <c r="AS2017" t="s">
        <v>65</v>
      </c>
      <c r="AT2017">
        <v>1</v>
      </c>
      <c r="AU2017" t="s">
        <v>555</v>
      </c>
      <c r="AV2017" t="s">
        <v>556</v>
      </c>
      <c r="AW2017" t="s">
        <v>60</v>
      </c>
      <c r="AX2017" t="s">
        <v>68</v>
      </c>
      <c r="AY2017" t="s">
        <v>69</v>
      </c>
      <c r="AZ2017" t="b">
        <v>1</v>
      </c>
    </row>
    <row r="2018" spans="1:52" x14ac:dyDescent="0.3">
      <c r="A2018" t="s">
        <v>52</v>
      </c>
      <c r="B2018" t="s">
        <v>53</v>
      </c>
      <c r="C2018" t="s">
        <v>54</v>
      </c>
      <c r="D2018" t="s">
        <v>55</v>
      </c>
      <c r="E2018" t="s">
        <v>860</v>
      </c>
      <c r="F2018" t="s">
        <v>512</v>
      </c>
      <c r="G2018" t="s">
        <v>557</v>
      </c>
      <c r="H2018" t="s">
        <v>558</v>
      </c>
      <c r="I2018" t="s">
        <v>558</v>
      </c>
      <c r="J2018" t="s">
        <v>60</v>
      </c>
      <c r="K2018" t="s">
        <v>445</v>
      </c>
      <c r="L2018" t="s">
        <v>62</v>
      </c>
      <c r="M2018" t="s">
        <v>445</v>
      </c>
      <c r="N2018" t="s">
        <v>559</v>
      </c>
      <c r="O2018" t="s">
        <v>560</v>
      </c>
      <c r="P2018">
        <v>-19.641839000000001</v>
      </c>
      <c r="Q2018">
        <v>-43.876227</v>
      </c>
      <c r="R2018" s="2" t="str">
        <f>HYPERLINK("https://www.google.com/maps?q=-19.6418390,-43.8762270","Abrir no Google Maps")</f>
        <v>Abrir no Google Maps</v>
      </c>
      <c r="S2018">
        <v>3</v>
      </c>
      <c r="T2018">
        <v>564.50471877254449</v>
      </c>
      <c r="U2018">
        <v>1</v>
      </c>
      <c r="V2018">
        <v>0</v>
      </c>
      <c r="W2018">
        <v>0.85</v>
      </c>
      <c r="X2018">
        <v>0</v>
      </c>
      <c r="Y2018">
        <v>10</v>
      </c>
      <c r="Z2018">
        <v>490.40238336341412</v>
      </c>
      <c r="AA2018">
        <v>2</v>
      </c>
      <c r="AB2018">
        <v>3</v>
      </c>
      <c r="AC2018">
        <v>7</v>
      </c>
      <c r="AD2018">
        <v>25.18</v>
      </c>
      <c r="AE2018">
        <v>253</v>
      </c>
      <c r="AF2018">
        <v>17</v>
      </c>
      <c r="AG2018">
        <v>57</v>
      </c>
      <c r="AH2018">
        <v>32</v>
      </c>
      <c r="AI2018">
        <v>6.72</v>
      </c>
      <c r="AJ2018">
        <v>22.53</v>
      </c>
      <c r="AK2018">
        <v>12.65</v>
      </c>
      <c r="AL2018">
        <v>-19.641880699999941</v>
      </c>
      <c r="AM2018">
        <v>-43.876185869580858</v>
      </c>
      <c r="AN2018">
        <v>-19.641880699999941</v>
      </c>
      <c r="AO2018">
        <v>-43.876185869580858</v>
      </c>
      <c r="AP2018">
        <v>-19.641839000000001</v>
      </c>
      <c r="AQ2018">
        <v>-43.876227</v>
      </c>
      <c r="AR2018">
        <v>6.3359121862683301</v>
      </c>
      <c r="AS2018" t="s">
        <v>65</v>
      </c>
      <c r="AT2018">
        <v>1</v>
      </c>
      <c r="AU2018" t="s">
        <v>561</v>
      </c>
      <c r="AV2018" t="s">
        <v>562</v>
      </c>
      <c r="AW2018" t="s">
        <v>60</v>
      </c>
      <c r="AX2018" t="s">
        <v>68</v>
      </c>
      <c r="AY2018" t="s">
        <v>69</v>
      </c>
      <c r="AZ2018" t="b">
        <v>1</v>
      </c>
    </row>
    <row r="2019" spans="1:52" x14ac:dyDescent="0.3">
      <c r="A2019" t="s">
        <v>52</v>
      </c>
      <c r="B2019" t="s">
        <v>53</v>
      </c>
      <c r="C2019" t="s">
        <v>54</v>
      </c>
      <c r="D2019" t="s">
        <v>55</v>
      </c>
      <c r="E2019" t="s">
        <v>860</v>
      </c>
      <c r="F2019" t="s">
        <v>512</v>
      </c>
      <c r="G2019" t="s">
        <v>563</v>
      </c>
      <c r="H2019" t="s">
        <v>564</v>
      </c>
      <c r="I2019" t="s">
        <v>564</v>
      </c>
      <c r="J2019" t="s">
        <v>60</v>
      </c>
      <c r="K2019" t="s">
        <v>445</v>
      </c>
      <c r="L2019" t="s">
        <v>62</v>
      </c>
      <c r="M2019" t="s">
        <v>445</v>
      </c>
      <c r="N2019" t="s">
        <v>565</v>
      </c>
      <c r="O2019" t="s">
        <v>566</v>
      </c>
      <c r="P2019">
        <v>-19.645859000000002</v>
      </c>
      <c r="Q2019">
        <v>-43.878008000000001</v>
      </c>
      <c r="R2019" s="2" t="str">
        <f>HYPERLINK("https://www.google.com/maps?q=-19.6458590,-43.8780080","Abrir no Google Maps")</f>
        <v>Abrir no Google Maps</v>
      </c>
      <c r="S2019">
        <v>3</v>
      </c>
      <c r="T2019">
        <v>535.60651658514928</v>
      </c>
      <c r="U2019">
        <v>1</v>
      </c>
      <c r="V2019">
        <v>0</v>
      </c>
      <c r="W2019">
        <v>0.85</v>
      </c>
      <c r="X2019">
        <v>0</v>
      </c>
      <c r="Y2019">
        <v>10</v>
      </c>
      <c r="Z2019">
        <v>356.77070476702067</v>
      </c>
      <c r="AA2019">
        <v>2</v>
      </c>
      <c r="AB2019">
        <v>3</v>
      </c>
      <c r="AC2019">
        <v>7</v>
      </c>
      <c r="AD2019">
        <v>25.18</v>
      </c>
      <c r="AE2019">
        <v>253</v>
      </c>
      <c r="AF2019">
        <v>17</v>
      </c>
      <c r="AG2019">
        <v>57</v>
      </c>
      <c r="AH2019">
        <v>32</v>
      </c>
      <c r="AI2019">
        <v>6.72</v>
      </c>
      <c r="AJ2019">
        <v>22.53</v>
      </c>
      <c r="AK2019">
        <v>12.65</v>
      </c>
      <c r="AL2019">
        <v>-19.645894599999959</v>
      </c>
      <c r="AM2019">
        <v>-43.878073476665591</v>
      </c>
      <c r="AN2019">
        <v>-19.645894599999959</v>
      </c>
      <c r="AO2019">
        <v>-43.878073476665591</v>
      </c>
      <c r="AP2019">
        <v>-19.645859000000002</v>
      </c>
      <c r="AQ2019">
        <v>-43.878008000000001</v>
      </c>
      <c r="AR2019">
        <v>7.9263849189726594</v>
      </c>
      <c r="AS2019" t="s">
        <v>65</v>
      </c>
      <c r="AT2019">
        <v>1</v>
      </c>
      <c r="AU2019" t="s">
        <v>567</v>
      </c>
      <c r="AV2019" t="s">
        <v>568</v>
      </c>
      <c r="AW2019" t="s">
        <v>60</v>
      </c>
      <c r="AX2019" t="s">
        <v>68</v>
      </c>
      <c r="AY2019" t="s">
        <v>69</v>
      </c>
      <c r="AZ2019" t="b">
        <v>1</v>
      </c>
    </row>
    <row r="2020" spans="1:52" x14ac:dyDescent="0.3">
      <c r="A2020" t="s">
        <v>52</v>
      </c>
      <c r="B2020" t="s">
        <v>53</v>
      </c>
      <c r="C2020" t="s">
        <v>54</v>
      </c>
      <c r="D2020" t="s">
        <v>55</v>
      </c>
      <c r="E2020" t="s">
        <v>860</v>
      </c>
      <c r="F2020" t="s">
        <v>512</v>
      </c>
      <c r="G2020" t="s">
        <v>569</v>
      </c>
      <c r="H2020" t="s">
        <v>570</v>
      </c>
      <c r="I2020" t="s">
        <v>570</v>
      </c>
      <c r="J2020" t="s">
        <v>60</v>
      </c>
      <c r="K2020" t="s">
        <v>445</v>
      </c>
      <c r="L2020" t="s">
        <v>62</v>
      </c>
      <c r="M2020" t="s">
        <v>445</v>
      </c>
      <c r="N2020" t="s">
        <v>571</v>
      </c>
      <c r="O2020" t="s">
        <v>572</v>
      </c>
      <c r="P2020">
        <v>-19.646602999999999</v>
      </c>
      <c r="Q2020">
        <v>-43.879826000000001</v>
      </c>
      <c r="R2020" s="2" t="str">
        <f>HYPERLINK("https://www.google.com/maps?q=-19.6466030,-43.8798260","Abrir no Google Maps")</f>
        <v>Abrir no Google Maps</v>
      </c>
      <c r="S2020">
        <v>3</v>
      </c>
      <c r="T2020">
        <v>497.89126003830972</v>
      </c>
      <c r="U2020">
        <v>1</v>
      </c>
      <c r="V2020">
        <v>0</v>
      </c>
      <c r="W2020">
        <v>0.85</v>
      </c>
      <c r="X2020">
        <v>0</v>
      </c>
      <c r="Y2020">
        <v>10</v>
      </c>
      <c r="Z2020">
        <v>228.69190976735251</v>
      </c>
      <c r="AA2020">
        <v>2</v>
      </c>
      <c r="AB2020">
        <v>3</v>
      </c>
      <c r="AC2020">
        <v>7</v>
      </c>
      <c r="AD2020">
        <v>25.18</v>
      </c>
      <c r="AE2020">
        <v>253</v>
      </c>
      <c r="AF2020">
        <v>17</v>
      </c>
      <c r="AG2020">
        <v>57</v>
      </c>
      <c r="AH2020">
        <v>32</v>
      </c>
      <c r="AI2020">
        <v>6.72</v>
      </c>
      <c r="AJ2020">
        <v>22.53</v>
      </c>
      <c r="AK2020">
        <v>12.65</v>
      </c>
      <c r="AL2020">
        <v>-19.646577499999982</v>
      </c>
      <c r="AM2020">
        <v>-43.879934131171261</v>
      </c>
      <c r="AN2020">
        <v>-19.646577499999971</v>
      </c>
      <c r="AO2020">
        <v>-43.879934131171261</v>
      </c>
      <c r="AP2020">
        <v>-19.646602999999999</v>
      </c>
      <c r="AQ2020">
        <v>-43.879826000000001</v>
      </c>
      <c r="AR2020">
        <v>11.68641198848764</v>
      </c>
      <c r="AS2020" t="s">
        <v>65</v>
      </c>
      <c r="AT2020">
        <v>1</v>
      </c>
      <c r="AU2020" t="s">
        <v>573</v>
      </c>
      <c r="AV2020" t="s">
        <v>574</v>
      </c>
      <c r="AW2020" t="s">
        <v>60</v>
      </c>
      <c r="AX2020" t="s">
        <v>68</v>
      </c>
      <c r="AY2020" t="s">
        <v>69</v>
      </c>
      <c r="AZ2020" t="b">
        <v>1</v>
      </c>
    </row>
    <row r="2021" spans="1:52" x14ac:dyDescent="0.3">
      <c r="A2021" t="s">
        <v>52</v>
      </c>
      <c r="B2021" t="s">
        <v>53</v>
      </c>
      <c r="C2021" t="s">
        <v>54</v>
      </c>
      <c r="D2021" t="s">
        <v>55</v>
      </c>
      <c r="E2021" t="s">
        <v>860</v>
      </c>
      <c r="F2021" t="s">
        <v>512</v>
      </c>
      <c r="G2021" t="s">
        <v>411</v>
      </c>
      <c r="H2021" t="s">
        <v>412</v>
      </c>
      <c r="I2021" t="s">
        <v>412</v>
      </c>
      <c r="J2021" t="s">
        <v>60</v>
      </c>
      <c r="K2021" t="s">
        <v>179</v>
      </c>
      <c r="L2021" t="s">
        <v>62</v>
      </c>
      <c r="M2021" t="s">
        <v>179</v>
      </c>
      <c r="N2021" t="s">
        <v>413</v>
      </c>
      <c r="O2021" t="s">
        <v>414</v>
      </c>
      <c r="P2021">
        <v>-19.650079000000002</v>
      </c>
      <c r="Q2021">
        <v>-43.884253999999999</v>
      </c>
      <c r="R2021" s="2" t="str">
        <f>HYPERLINK("https://www.google.com/maps?q=-19.6500790,-43.8842540","Abrir no Google Maps")</f>
        <v>Abrir no Google Maps</v>
      </c>
      <c r="S2021">
        <v>3</v>
      </c>
      <c r="T2021">
        <v>797.21430129715498</v>
      </c>
      <c r="U2021">
        <v>1</v>
      </c>
      <c r="V2021">
        <v>0</v>
      </c>
      <c r="W2021">
        <v>1</v>
      </c>
      <c r="X2021">
        <v>0</v>
      </c>
      <c r="Y2021">
        <v>10</v>
      </c>
      <c r="Z2021">
        <v>774.04145012702554</v>
      </c>
      <c r="AA2021">
        <v>2</v>
      </c>
      <c r="AB2021">
        <v>3</v>
      </c>
      <c r="AC2021">
        <v>7</v>
      </c>
      <c r="AD2021">
        <v>25.18</v>
      </c>
      <c r="AE2021">
        <v>253</v>
      </c>
      <c r="AF2021">
        <v>17</v>
      </c>
      <c r="AG2021">
        <v>57</v>
      </c>
      <c r="AH2021">
        <v>32</v>
      </c>
      <c r="AI2021">
        <v>6.72</v>
      </c>
      <c r="AJ2021">
        <v>22.53</v>
      </c>
      <c r="AK2021">
        <v>12.65</v>
      </c>
      <c r="AL2021">
        <v>-19.649199399999961</v>
      </c>
      <c r="AM2021">
        <v>-43.883888390043637</v>
      </c>
      <c r="AN2021">
        <v>-19.649199399999961</v>
      </c>
      <c r="AO2021">
        <v>-43.883888390043637</v>
      </c>
      <c r="AP2021">
        <v>-19.650079000000002</v>
      </c>
      <c r="AQ2021">
        <v>-43.884253999999999</v>
      </c>
      <c r="AR2021">
        <v>105.1518915696123</v>
      </c>
      <c r="AS2021" t="s">
        <v>65</v>
      </c>
      <c r="AT2021">
        <v>1</v>
      </c>
      <c r="AU2021" t="s">
        <v>415</v>
      </c>
      <c r="AV2021" t="s">
        <v>416</v>
      </c>
      <c r="AW2021" t="s">
        <v>60</v>
      </c>
      <c r="AX2021" t="s">
        <v>68</v>
      </c>
      <c r="AY2021" t="s">
        <v>69</v>
      </c>
      <c r="AZ2021" t="b">
        <v>1</v>
      </c>
    </row>
    <row r="2022" spans="1:52" x14ac:dyDescent="0.3">
      <c r="A2022" t="s">
        <v>52</v>
      </c>
      <c r="B2022" t="s">
        <v>53</v>
      </c>
      <c r="C2022" t="s">
        <v>54</v>
      </c>
      <c r="D2022" t="s">
        <v>55</v>
      </c>
      <c r="E2022" t="s">
        <v>860</v>
      </c>
      <c r="F2022" t="s">
        <v>512</v>
      </c>
      <c r="G2022" t="s">
        <v>575</v>
      </c>
      <c r="H2022" t="s">
        <v>576</v>
      </c>
      <c r="I2022" t="s">
        <v>576</v>
      </c>
      <c r="J2022" t="s">
        <v>60</v>
      </c>
      <c r="K2022" t="s">
        <v>445</v>
      </c>
      <c r="L2022" t="s">
        <v>62</v>
      </c>
      <c r="M2022" t="s">
        <v>445</v>
      </c>
      <c r="N2022" t="s">
        <v>577</v>
      </c>
      <c r="O2022" t="s">
        <v>214</v>
      </c>
      <c r="P2022">
        <v>-19.639865</v>
      </c>
      <c r="Q2022">
        <v>-43.877858000000003</v>
      </c>
      <c r="R2022" s="2" t="str">
        <f>HYPERLINK("https://www.google.com/maps?q=-19.6398650,-43.8778580","Abrir no Google Maps")</f>
        <v>Abrir no Google Maps</v>
      </c>
      <c r="S2022">
        <v>3</v>
      </c>
      <c r="T2022">
        <v>497.47318171010488</v>
      </c>
      <c r="U2022">
        <v>1</v>
      </c>
      <c r="V2022">
        <v>0</v>
      </c>
      <c r="W2022">
        <v>0.85</v>
      </c>
      <c r="X2022">
        <v>0</v>
      </c>
      <c r="Y2022">
        <v>10</v>
      </c>
      <c r="Z2022">
        <v>547.08184956634818</v>
      </c>
      <c r="AA2022">
        <v>2</v>
      </c>
      <c r="AB2022">
        <v>3</v>
      </c>
      <c r="AC2022">
        <v>7</v>
      </c>
      <c r="AD2022">
        <v>25.18</v>
      </c>
      <c r="AE2022">
        <v>253</v>
      </c>
      <c r="AF2022">
        <v>17</v>
      </c>
      <c r="AG2022">
        <v>57</v>
      </c>
      <c r="AH2022">
        <v>32</v>
      </c>
      <c r="AI2022">
        <v>6.72</v>
      </c>
      <c r="AJ2022">
        <v>22.53</v>
      </c>
      <c r="AK2022">
        <v>12.65</v>
      </c>
      <c r="AL2022">
        <v>-19.639907499999961</v>
      </c>
      <c r="AM2022">
        <v>-43.877561677180587</v>
      </c>
      <c r="AN2022">
        <v>-19.639907499999961</v>
      </c>
      <c r="AO2022">
        <v>-43.877561677180587</v>
      </c>
      <c r="AP2022">
        <v>-19.639865</v>
      </c>
      <c r="AQ2022">
        <v>-43.877858000000003</v>
      </c>
      <c r="AR2022">
        <v>31.4257813556037</v>
      </c>
      <c r="AS2022" t="s">
        <v>65</v>
      </c>
      <c r="AT2022">
        <v>1</v>
      </c>
      <c r="AU2022" t="s">
        <v>578</v>
      </c>
      <c r="AV2022" t="s">
        <v>579</v>
      </c>
      <c r="AW2022" t="s">
        <v>60</v>
      </c>
      <c r="AX2022" t="s">
        <v>68</v>
      </c>
      <c r="AY2022" t="s">
        <v>69</v>
      </c>
      <c r="AZ2022" t="b">
        <v>1</v>
      </c>
    </row>
    <row r="2023" spans="1:52" x14ac:dyDescent="0.3">
      <c r="A2023" t="s">
        <v>52</v>
      </c>
      <c r="B2023" t="s">
        <v>53</v>
      </c>
      <c r="C2023" t="s">
        <v>54</v>
      </c>
      <c r="D2023" t="s">
        <v>55</v>
      </c>
      <c r="E2023" t="s">
        <v>860</v>
      </c>
      <c r="F2023" t="s">
        <v>512</v>
      </c>
      <c r="G2023" t="s">
        <v>602</v>
      </c>
      <c r="H2023" t="s">
        <v>603</v>
      </c>
      <c r="I2023" t="s">
        <v>603</v>
      </c>
      <c r="J2023" t="s">
        <v>60</v>
      </c>
      <c r="K2023" t="s">
        <v>185</v>
      </c>
      <c r="L2023" t="s">
        <v>62</v>
      </c>
      <c r="M2023" t="s">
        <v>185</v>
      </c>
      <c r="N2023" t="s">
        <v>604</v>
      </c>
      <c r="O2023" t="s">
        <v>341</v>
      </c>
      <c r="P2023">
        <v>-19.624801999999999</v>
      </c>
      <c r="Q2023">
        <v>-43.891128999999999</v>
      </c>
      <c r="R2023" s="2" t="str">
        <f>HYPERLINK("https://www.google.com/maps?q=-19.6248020,-43.8911290","Abrir no Google Maps")</f>
        <v>Abrir no Google Maps</v>
      </c>
      <c r="S2023">
        <v>1</v>
      </c>
      <c r="T2023">
        <v>340.53720321500958</v>
      </c>
      <c r="U2023">
        <v>4</v>
      </c>
      <c r="V2023">
        <v>4.8611111111111098E-2</v>
      </c>
      <c r="W2023">
        <v>0.85</v>
      </c>
      <c r="X2023">
        <v>4.1319444444444429E-2</v>
      </c>
      <c r="Y2023">
        <v>18</v>
      </c>
      <c r="Z2023">
        <v>362.68114540183888</v>
      </c>
      <c r="AA2023">
        <v>2</v>
      </c>
      <c r="AB2023">
        <v>3</v>
      </c>
      <c r="AC2023">
        <v>7</v>
      </c>
      <c r="AD2023">
        <v>25.18</v>
      </c>
      <c r="AE2023">
        <v>253</v>
      </c>
      <c r="AF2023">
        <v>17</v>
      </c>
      <c r="AG2023">
        <v>57</v>
      </c>
      <c r="AH2023">
        <v>32</v>
      </c>
      <c r="AI2023">
        <v>6.72</v>
      </c>
      <c r="AJ2023">
        <v>22.53</v>
      </c>
      <c r="AK2023">
        <v>12.65</v>
      </c>
      <c r="AL2023">
        <v>-19.625033299999959</v>
      </c>
      <c r="AM2023">
        <v>-43.891084256403538</v>
      </c>
      <c r="AN2023">
        <v>-19.625033299999959</v>
      </c>
      <c r="AO2023">
        <v>-43.891084256403538</v>
      </c>
      <c r="AP2023">
        <v>-19.624801999999999</v>
      </c>
      <c r="AQ2023">
        <v>-43.891128999999999</v>
      </c>
      <c r="AR2023">
        <v>26.172240371022362</v>
      </c>
      <c r="AS2023" t="s">
        <v>65</v>
      </c>
      <c r="AT2023">
        <v>1</v>
      </c>
      <c r="AU2023" t="s">
        <v>605</v>
      </c>
      <c r="AV2023" t="s">
        <v>606</v>
      </c>
      <c r="AW2023" t="s">
        <v>60</v>
      </c>
      <c r="AX2023" t="s">
        <v>68</v>
      </c>
      <c r="AY2023" t="s">
        <v>69</v>
      </c>
      <c r="AZ2023" t="b">
        <v>1</v>
      </c>
    </row>
    <row r="2024" spans="1:52" x14ac:dyDescent="0.3">
      <c r="A2024" t="s">
        <v>52</v>
      </c>
      <c r="B2024" t="s">
        <v>53</v>
      </c>
      <c r="C2024" t="s">
        <v>54</v>
      </c>
      <c r="D2024" t="s">
        <v>55</v>
      </c>
      <c r="E2024" t="s">
        <v>860</v>
      </c>
      <c r="F2024" t="s">
        <v>512</v>
      </c>
      <c r="G2024" t="s">
        <v>123</v>
      </c>
      <c r="H2024" t="s">
        <v>607</v>
      </c>
      <c r="I2024" t="s">
        <v>607</v>
      </c>
      <c r="J2024" t="s">
        <v>60</v>
      </c>
      <c r="K2024" t="s">
        <v>333</v>
      </c>
      <c r="L2024" t="s">
        <v>62</v>
      </c>
      <c r="M2024" t="s">
        <v>333</v>
      </c>
      <c r="N2024" t="s">
        <v>125</v>
      </c>
      <c r="O2024" t="s">
        <v>608</v>
      </c>
      <c r="P2024">
        <v>-19.636002999999999</v>
      </c>
      <c r="Q2024">
        <v>-43.908445</v>
      </c>
      <c r="R2024" s="2" t="str">
        <f>HYPERLINK("https://www.google.com/maps?q=-19.6360030,-43.9084450","Abrir no Google Maps")</f>
        <v>Abrir no Google Maps</v>
      </c>
      <c r="S2024">
        <v>1</v>
      </c>
      <c r="T2024">
        <v>612.64850802557942</v>
      </c>
      <c r="U2024">
        <v>4</v>
      </c>
      <c r="V2024">
        <v>6.5573770491803199E-2</v>
      </c>
      <c r="W2024">
        <v>0.85</v>
      </c>
      <c r="X2024">
        <v>5.5737704918032718E-2</v>
      </c>
      <c r="Y2024">
        <v>10</v>
      </c>
      <c r="Z2024">
        <v>606.91793961222209</v>
      </c>
      <c r="AA2024">
        <v>2</v>
      </c>
      <c r="AB2024">
        <v>3</v>
      </c>
      <c r="AC2024">
        <v>7</v>
      </c>
      <c r="AD2024">
        <v>25.18</v>
      </c>
      <c r="AE2024">
        <v>253</v>
      </c>
      <c r="AF2024">
        <v>17</v>
      </c>
      <c r="AG2024">
        <v>57</v>
      </c>
      <c r="AH2024">
        <v>32</v>
      </c>
      <c r="AI2024">
        <v>6.72</v>
      </c>
      <c r="AJ2024">
        <v>22.53</v>
      </c>
      <c r="AK2024">
        <v>12.65</v>
      </c>
      <c r="AL2024">
        <v>-19.63618049999997</v>
      </c>
      <c r="AM2024">
        <v>-43.908471095478113</v>
      </c>
      <c r="AN2024">
        <v>-19.63618049999997</v>
      </c>
      <c r="AO2024">
        <v>-43.908471095478113</v>
      </c>
      <c r="AP2024">
        <v>-19.636002999999999</v>
      </c>
      <c r="AQ2024">
        <v>-43.908445</v>
      </c>
      <c r="AR2024">
        <v>19.947824476218141</v>
      </c>
      <c r="AS2024" t="s">
        <v>65</v>
      </c>
      <c r="AT2024">
        <v>1</v>
      </c>
      <c r="AU2024" t="s">
        <v>609</v>
      </c>
      <c r="AV2024" t="s">
        <v>610</v>
      </c>
      <c r="AW2024" t="s">
        <v>60</v>
      </c>
      <c r="AX2024" t="s">
        <v>68</v>
      </c>
      <c r="AY2024" t="s">
        <v>69</v>
      </c>
      <c r="AZ2024" t="b">
        <v>1</v>
      </c>
    </row>
    <row r="2025" spans="1:52" x14ac:dyDescent="0.3">
      <c r="A2025" t="s">
        <v>52</v>
      </c>
      <c r="B2025" t="s">
        <v>53</v>
      </c>
      <c r="C2025" t="s">
        <v>54</v>
      </c>
      <c r="D2025" t="s">
        <v>55</v>
      </c>
      <c r="E2025" t="s">
        <v>860</v>
      </c>
      <c r="F2025" t="s">
        <v>512</v>
      </c>
      <c r="G2025" t="s">
        <v>592</v>
      </c>
      <c r="H2025" t="s">
        <v>593</v>
      </c>
      <c r="I2025" t="s">
        <v>593</v>
      </c>
      <c r="J2025" t="s">
        <v>60</v>
      </c>
      <c r="K2025" t="s">
        <v>445</v>
      </c>
      <c r="L2025" t="s">
        <v>62</v>
      </c>
      <c r="M2025" t="s">
        <v>445</v>
      </c>
      <c r="N2025" t="s">
        <v>594</v>
      </c>
      <c r="O2025" t="s">
        <v>477</v>
      </c>
      <c r="P2025">
        <v>-19.640709000000001</v>
      </c>
      <c r="Q2025">
        <v>-43.868687999999999</v>
      </c>
      <c r="R2025" s="2" t="str">
        <f>HYPERLINK("https://www.google.com/maps?q=-19.6407090,-43.8686880","Abrir no Google Maps")</f>
        <v>Abrir no Google Maps</v>
      </c>
      <c r="S2025">
        <v>1</v>
      </c>
      <c r="T2025">
        <v>1174.9679995958841</v>
      </c>
      <c r="U2025">
        <v>3</v>
      </c>
      <c r="V2025">
        <v>8.7719298245613996E-3</v>
      </c>
      <c r="W2025">
        <v>1</v>
      </c>
      <c r="X2025">
        <v>8.7719298245613996E-3</v>
      </c>
      <c r="Y2025">
        <v>10</v>
      </c>
      <c r="Z2025">
        <v>1230.8029594060461</v>
      </c>
      <c r="AA2025">
        <v>2</v>
      </c>
      <c r="AB2025">
        <v>3</v>
      </c>
      <c r="AC2025">
        <v>7</v>
      </c>
      <c r="AD2025">
        <v>25.18</v>
      </c>
      <c r="AE2025">
        <v>253</v>
      </c>
      <c r="AF2025">
        <v>17</v>
      </c>
      <c r="AG2025">
        <v>57</v>
      </c>
      <c r="AH2025">
        <v>32</v>
      </c>
      <c r="AI2025">
        <v>6.72</v>
      </c>
      <c r="AJ2025">
        <v>22.53</v>
      </c>
      <c r="AK2025">
        <v>12.65</v>
      </c>
      <c r="AL2025">
        <v>-19.641057949999979</v>
      </c>
      <c r="AM2025">
        <v>-43.868800137485707</v>
      </c>
      <c r="AN2025">
        <v>-19.641057949999979</v>
      </c>
      <c r="AO2025">
        <v>-43.868800137485707</v>
      </c>
      <c r="AP2025">
        <v>-19.640709000000001</v>
      </c>
      <c r="AQ2025">
        <v>-43.868687999999999</v>
      </c>
      <c r="AR2025">
        <v>40.585293798071682</v>
      </c>
      <c r="AS2025" t="s">
        <v>65</v>
      </c>
      <c r="AT2025">
        <v>1</v>
      </c>
      <c r="AU2025" t="s">
        <v>595</v>
      </c>
      <c r="AV2025" t="s">
        <v>596</v>
      </c>
      <c r="AW2025" t="s">
        <v>60</v>
      </c>
      <c r="AX2025" t="s">
        <v>68</v>
      </c>
      <c r="AY2025" t="s">
        <v>69</v>
      </c>
      <c r="AZ2025" t="b">
        <v>1</v>
      </c>
    </row>
    <row r="2026" spans="1:52" x14ac:dyDescent="0.3">
      <c r="A2026" t="s">
        <v>52</v>
      </c>
      <c r="B2026" t="s">
        <v>53</v>
      </c>
      <c r="C2026" t="s">
        <v>54</v>
      </c>
      <c r="D2026" t="s">
        <v>55</v>
      </c>
      <c r="E2026" t="s">
        <v>860</v>
      </c>
      <c r="F2026" t="s">
        <v>512</v>
      </c>
      <c r="G2026" t="s">
        <v>597</v>
      </c>
      <c r="H2026" t="s">
        <v>598</v>
      </c>
      <c r="I2026" t="s">
        <v>598</v>
      </c>
      <c r="J2026" t="s">
        <v>60</v>
      </c>
      <c r="K2026" t="s">
        <v>445</v>
      </c>
      <c r="L2026" t="s">
        <v>62</v>
      </c>
      <c r="M2026" t="s">
        <v>445</v>
      </c>
      <c r="N2026" t="s">
        <v>599</v>
      </c>
      <c r="O2026" t="s">
        <v>391</v>
      </c>
      <c r="P2026">
        <v>-19.637060999999999</v>
      </c>
      <c r="Q2026">
        <v>-43.871026000000001</v>
      </c>
      <c r="R2026" s="2" t="str">
        <f>HYPERLINK("https://www.google.com/maps?q=-19.6370610,-43.8710260","Abrir no Google Maps")</f>
        <v>Abrir no Google Maps</v>
      </c>
      <c r="S2026">
        <v>1</v>
      </c>
      <c r="T2026">
        <v>737.61884389282102</v>
      </c>
      <c r="U2026">
        <v>1</v>
      </c>
      <c r="V2026">
        <v>0</v>
      </c>
      <c r="W2026">
        <v>1</v>
      </c>
      <c r="X2026">
        <v>0</v>
      </c>
      <c r="Y2026">
        <v>10</v>
      </c>
      <c r="Z2026">
        <v>1331.4501394006061</v>
      </c>
      <c r="AA2026">
        <v>2</v>
      </c>
      <c r="AB2026">
        <v>3</v>
      </c>
      <c r="AC2026">
        <v>7</v>
      </c>
      <c r="AD2026">
        <v>25.18</v>
      </c>
      <c r="AE2026">
        <v>253</v>
      </c>
      <c r="AF2026">
        <v>17</v>
      </c>
      <c r="AG2026">
        <v>57</v>
      </c>
      <c r="AH2026">
        <v>32</v>
      </c>
      <c r="AI2026">
        <v>6.72</v>
      </c>
      <c r="AJ2026">
        <v>22.53</v>
      </c>
      <c r="AK2026">
        <v>12.65</v>
      </c>
      <c r="AL2026">
        <v>-19.637111899999951</v>
      </c>
      <c r="AM2026">
        <v>-43.870888931681193</v>
      </c>
      <c r="AN2026">
        <v>-19.637111899999951</v>
      </c>
      <c r="AO2026">
        <v>-43.870888931681193</v>
      </c>
      <c r="AP2026">
        <v>-19.637060999999999</v>
      </c>
      <c r="AQ2026">
        <v>-43.871026000000001</v>
      </c>
      <c r="AR2026">
        <v>15.44770924391884</v>
      </c>
      <c r="AS2026" t="s">
        <v>65</v>
      </c>
      <c r="AT2026">
        <v>1</v>
      </c>
      <c r="AU2026" t="s">
        <v>600</v>
      </c>
      <c r="AV2026" t="s">
        <v>601</v>
      </c>
      <c r="AW2026" t="s">
        <v>60</v>
      </c>
      <c r="AX2026" t="s">
        <v>68</v>
      </c>
      <c r="AY2026" t="s">
        <v>69</v>
      </c>
      <c r="AZ2026" t="b">
        <v>1</v>
      </c>
    </row>
    <row r="2027" spans="1:52" x14ac:dyDescent="0.3">
      <c r="A2027" t="s">
        <v>52</v>
      </c>
      <c r="B2027" t="s">
        <v>53</v>
      </c>
      <c r="C2027" t="s">
        <v>54</v>
      </c>
      <c r="D2027" t="s">
        <v>55</v>
      </c>
      <c r="E2027" t="s">
        <v>860</v>
      </c>
      <c r="F2027" t="s">
        <v>512</v>
      </c>
      <c r="G2027" t="s">
        <v>611</v>
      </c>
      <c r="H2027" t="s">
        <v>612</v>
      </c>
      <c r="I2027" t="s">
        <v>612</v>
      </c>
      <c r="J2027" t="s">
        <v>60</v>
      </c>
      <c r="K2027" t="s">
        <v>445</v>
      </c>
      <c r="L2027" t="s">
        <v>62</v>
      </c>
      <c r="M2027" t="s">
        <v>445</v>
      </c>
      <c r="N2027" t="s">
        <v>613</v>
      </c>
      <c r="O2027" t="s">
        <v>94</v>
      </c>
      <c r="P2027">
        <v>-19.639271999999998</v>
      </c>
      <c r="Q2027">
        <v>-43.875624000000002</v>
      </c>
      <c r="R2027" s="2" t="str">
        <f>HYPERLINK("https://www.google.com/maps?q=-19.6392720,-43.8756240","Abrir no Google Maps")</f>
        <v>Abrir no Google Maps</v>
      </c>
      <c r="S2027">
        <v>1</v>
      </c>
      <c r="T2027">
        <v>618.4798639458262</v>
      </c>
      <c r="U2027">
        <v>1</v>
      </c>
      <c r="V2027">
        <v>0</v>
      </c>
      <c r="W2027">
        <v>0.85</v>
      </c>
      <c r="X2027">
        <v>0</v>
      </c>
      <c r="Y2027">
        <v>10</v>
      </c>
      <c r="Z2027">
        <v>724.62991660382431</v>
      </c>
      <c r="AA2027">
        <v>2</v>
      </c>
      <c r="AB2027">
        <v>3</v>
      </c>
      <c r="AC2027">
        <v>7</v>
      </c>
      <c r="AD2027">
        <v>25.18</v>
      </c>
      <c r="AE2027">
        <v>253</v>
      </c>
      <c r="AF2027">
        <v>17</v>
      </c>
      <c r="AG2027">
        <v>57</v>
      </c>
      <c r="AH2027">
        <v>32</v>
      </c>
      <c r="AI2027">
        <v>6.72</v>
      </c>
      <c r="AJ2027">
        <v>22.53</v>
      </c>
      <c r="AK2027">
        <v>12.65</v>
      </c>
      <c r="AL2027">
        <v>-19.639239899999978</v>
      </c>
      <c r="AM2027">
        <v>-43.875497463228079</v>
      </c>
      <c r="AN2027">
        <v>-19.639239899999978</v>
      </c>
      <c r="AO2027">
        <v>-43.875497463228079</v>
      </c>
      <c r="AP2027">
        <v>-19.639271999999998</v>
      </c>
      <c r="AQ2027">
        <v>-43.875624000000002</v>
      </c>
      <c r="AR2027">
        <v>13.73946951590594</v>
      </c>
      <c r="AS2027" t="s">
        <v>65</v>
      </c>
      <c r="AT2027">
        <v>1</v>
      </c>
      <c r="AU2027" t="s">
        <v>614</v>
      </c>
      <c r="AV2027" t="s">
        <v>615</v>
      </c>
      <c r="AW2027" t="s">
        <v>60</v>
      </c>
      <c r="AX2027" t="s">
        <v>68</v>
      </c>
      <c r="AY2027" t="s">
        <v>69</v>
      </c>
      <c r="AZ2027" t="b">
        <v>1</v>
      </c>
    </row>
    <row r="2028" spans="1:52" x14ac:dyDescent="0.3">
      <c r="A2028" t="s">
        <v>52</v>
      </c>
      <c r="B2028" t="s">
        <v>53</v>
      </c>
      <c r="C2028" t="s">
        <v>54</v>
      </c>
      <c r="D2028" t="s">
        <v>55</v>
      </c>
      <c r="E2028" t="s">
        <v>877</v>
      </c>
      <c r="F2028" t="s">
        <v>57</v>
      </c>
      <c r="G2028" t="s">
        <v>84</v>
      </c>
      <c r="H2028" t="s">
        <v>85</v>
      </c>
      <c r="I2028" t="s">
        <v>85</v>
      </c>
      <c r="J2028" t="s">
        <v>60</v>
      </c>
      <c r="K2028" t="s">
        <v>86</v>
      </c>
      <c r="L2028" t="s">
        <v>62</v>
      </c>
      <c r="M2028" t="s">
        <v>86</v>
      </c>
      <c r="N2028" t="s">
        <v>87</v>
      </c>
      <c r="O2028" t="s">
        <v>88</v>
      </c>
      <c r="P2028">
        <v>-19.629436999999999</v>
      </c>
      <c r="Q2028">
        <v>-43.910398999999998</v>
      </c>
      <c r="R2028" s="2" t="str">
        <f>HYPERLINK("https://www.google.com/maps?q=-19.6294370,-43.9103990","Abrir no Google Maps")</f>
        <v>Abrir no Google Maps</v>
      </c>
      <c r="S2028">
        <v>4</v>
      </c>
      <c r="T2028">
        <v>888.82060643108082</v>
      </c>
      <c r="U2028">
        <v>4</v>
      </c>
      <c r="V2028">
        <v>0.47259519207947648</v>
      </c>
      <c r="W2028">
        <v>1</v>
      </c>
      <c r="X2028">
        <v>0.47259519207947648</v>
      </c>
      <c r="Y2028">
        <v>10</v>
      </c>
      <c r="Z2028">
        <v>867.42797341651737</v>
      </c>
      <c r="AA2028">
        <v>2</v>
      </c>
      <c r="AB2028">
        <v>3</v>
      </c>
      <c r="AC2028">
        <v>7</v>
      </c>
      <c r="AD2028">
        <v>26.01</v>
      </c>
      <c r="AE2028">
        <v>253</v>
      </c>
      <c r="AF2028">
        <v>17</v>
      </c>
      <c r="AG2028">
        <v>60</v>
      </c>
      <c r="AH2028">
        <v>32</v>
      </c>
      <c r="AI2028">
        <v>6.72</v>
      </c>
      <c r="AJ2028">
        <v>23.72</v>
      </c>
      <c r="AK2028">
        <v>12.65</v>
      </c>
      <c r="AL2028">
        <v>-19.62934694999996</v>
      </c>
      <c r="AM2028">
        <v>-43.910344699357317</v>
      </c>
      <c r="AN2028">
        <v>-19.62934694999996</v>
      </c>
      <c r="AO2028">
        <v>-43.910344699357331</v>
      </c>
      <c r="AP2028">
        <v>-19.629436999999999</v>
      </c>
      <c r="AQ2028">
        <v>-43.910398999999998</v>
      </c>
      <c r="AR2028">
        <v>11.52837377953678</v>
      </c>
      <c r="AS2028" t="s">
        <v>65</v>
      </c>
      <c r="AT2028">
        <v>1</v>
      </c>
      <c r="AU2028" t="s">
        <v>89</v>
      </c>
      <c r="AV2028" t="s">
        <v>90</v>
      </c>
      <c r="AW2028" t="s">
        <v>60</v>
      </c>
      <c r="AX2028" t="s">
        <v>68</v>
      </c>
      <c r="AY2028" t="s">
        <v>69</v>
      </c>
      <c r="AZ2028" t="b">
        <v>1</v>
      </c>
    </row>
    <row r="2029" spans="1:52" x14ac:dyDescent="0.3">
      <c r="A2029" t="s">
        <v>52</v>
      </c>
      <c r="B2029" t="s">
        <v>53</v>
      </c>
      <c r="C2029" t="s">
        <v>54</v>
      </c>
      <c r="D2029" t="s">
        <v>55</v>
      </c>
      <c r="E2029" t="s">
        <v>877</v>
      </c>
      <c r="F2029" t="s">
        <v>57</v>
      </c>
      <c r="G2029" t="s">
        <v>91</v>
      </c>
      <c r="H2029" t="s">
        <v>92</v>
      </c>
      <c r="I2029" t="s">
        <v>92</v>
      </c>
      <c r="J2029" t="s">
        <v>60</v>
      </c>
      <c r="K2029" t="s">
        <v>86</v>
      </c>
      <c r="L2029" t="s">
        <v>62</v>
      </c>
      <c r="M2029" t="s">
        <v>86</v>
      </c>
      <c r="N2029" t="s">
        <v>93</v>
      </c>
      <c r="O2029" t="s">
        <v>94</v>
      </c>
      <c r="P2029">
        <v>-19.630676999999999</v>
      </c>
      <c r="Q2029">
        <v>-43.907255999999997</v>
      </c>
      <c r="R2029" s="2" t="str">
        <f>HYPERLINK("https://www.google.com/maps?q=-19.6306770,-43.9072560","Abrir no Google Maps")</f>
        <v>Abrir no Google Maps</v>
      </c>
      <c r="S2029">
        <v>4</v>
      </c>
      <c r="T2029">
        <v>545.39374622597825</v>
      </c>
      <c r="U2029">
        <v>4</v>
      </c>
      <c r="V2029">
        <v>0.48282828282828277</v>
      </c>
      <c r="W2029">
        <v>1</v>
      </c>
      <c r="X2029">
        <v>0.48282828282828277</v>
      </c>
      <c r="Y2029">
        <v>10</v>
      </c>
      <c r="Z2029">
        <v>559.94033759457182</v>
      </c>
      <c r="AA2029">
        <v>2</v>
      </c>
      <c r="AB2029">
        <v>3</v>
      </c>
      <c r="AC2029">
        <v>7</v>
      </c>
      <c r="AD2029">
        <v>26.01</v>
      </c>
      <c r="AE2029">
        <v>253</v>
      </c>
      <c r="AF2029">
        <v>17</v>
      </c>
      <c r="AG2029">
        <v>60</v>
      </c>
      <c r="AH2029">
        <v>32</v>
      </c>
      <c r="AI2029">
        <v>6.72</v>
      </c>
      <c r="AJ2029">
        <v>23.72</v>
      </c>
      <c r="AK2029">
        <v>12.65</v>
      </c>
      <c r="AL2029">
        <v>-19.630448649999941</v>
      </c>
      <c r="AM2029">
        <v>-43.907268502495313</v>
      </c>
      <c r="AN2029">
        <v>-19.630448649999941</v>
      </c>
      <c r="AO2029">
        <v>-43.907268502495313</v>
      </c>
      <c r="AP2029">
        <v>-19.630676999999999</v>
      </c>
      <c r="AQ2029">
        <v>-43.907255999999997</v>
      </c>
      <c r="AR2029">
        <v>25.453700276562468</v>
      </c>
      <c r="AS2029" t="s">
        <v>65</v>
      </c>
      <c r="AT2029">
        <v>1</v>
      </c>
      <c r="AU2029" t="s">
        <v>95</v>
      </c>
      <c r="AV2029" t="s">
        <v>96</v>
      </c>
      <c r="AW2029" t="s">
        <v>60</v>
      </c>
      <c r="AX2029" t="s">
        <v>68</v>
      </c>
      <c r="AY2029" t="s">
        <v>69</v>
      </c>
      <c r="AZ2029" t="b">
        <v>1</v>
      </c>
    </row>
    <row r="2030" spans="1:52" x14ac:dyDescent="0.3">
      <c r="A2030" t="s">
        <v>52</v>
      </c>
      <c r="B2030" t="s">
        <v>53</v>
      </c>
      <c r="C2030" t="s">
        <v>54</v>
      </c>
      <c r="D2030" t="s">
        <v>55</v>
      </c>
      <c r="E2030" t="s">
        <v>877</v>
      </c>
      <c r="F2030" t="s">
        <v>57</v>
      </c>
      <c r="G2030" t="s">
        <v>104</v>
      </c>
      <c r="H2030" t="s">
        <v>105</v>
      </c>
      <c r="I2030" t="s">
        <v>105</v>
      </c>
      <c r="J2030" t="s">
        <v>60</v>
      </c>
      <c r="K2030" t="s">
        <v>99</v>
      </c>
      <c r="L2030" t="s">
        <v>62</v>
      </c>
      <c r="M2030" t="s">
        <v>99</v>
      </c>
      <c r="N2030" t="s">
        <v>106</v>
      </c>
      <c r="O2030" t="s">
        <v>107</v>
      </c>
      <c r="P2030">
        <v>-19.627993</v>
      </c>
      <c r="Q2030">
        <v>-43.904820000000001</v>
      </c>
      <c r="R2030" s="2" t="str">
        <f>HYPERLINK("https://www.google.com/maps?q=-19.6279930,-43.9048200","Abrir no Google Maps")</f>
        <v>Abrir no Google Maps</v>
      </c>
      <c r="S2030">
        <v>4</v>
      </c>
      <c r="T2030">
        <v>573.16526621674666</v>
      </c>
      <c r="U2030">
        <v>4</v>
      </c>
      <c r="V2030">
        <v>0.50983808157409305</v>
      </c>
      <c r="W2030">
        <v>1</v>
      </c>
      <c r="X2030">
        <v>0.50983808157409305</v>
      </c>
      <c r="Y2030">
        <v>7</v>
      </c>
      <c r="Z2030">
        <v>659.04372306144853</v>
      </c>
      <c r="AA2030">
        <v>2</v>
      </c>
      <c r="AB2030">
        <v>3</v>
      </c>
      <c r="AC2030">
        <v>7</v>
      </c>
      <c r="AD2030">
        <v>26.01</v>
      </c>
      <c r="AE2030">
        <v>253</v>
      </c>
      <c r="AF2030">
        <v>17</v>
      </c>
      <c r="AG2030">
        <v>60</v>
      </c>
      <c r="AH2030">
        <v>32</v>
      </c>
      <c r="AI2030">
        <v>6.72</v>
      </c>
      <c r="AJ2030">
        <v>23.72</v>
      </c>
      <c r="AK2030">
        <v>12.65</v>
      </c>
      <c r="AL2030">
        <v>-19.627956249999951</v>
      </c>
      <c r="AM2030">
        <v>-43.904807634206207</v>
      </c>
      <c r="AN2030">
        <v>-19.627956249999951</v>
      </c>
      <c r="AO2030">
        <v>-43.904807634206207</v>
      </c>
      <c r="AP2030">
        <v>-19.627993</v>
      </c>
      <c r="AQ2030">
        <v>-43.904820000000001</v>
      </c>
      <c r="AR2030">
        <v>4.291557430205998</v>
      </c>
      <c r="AS2030" t="s">
        <v>65</v>
      </c>
      <c r="AT2030">
        <v>1</v>
      </c>
      <c r="AU2030" t="s">
        <v>108</v>
      </c>
      <c r="AV2030" t="s">
        <v>103</v>
      </c>
      <c r="AW2030" t="s">
        <v>60</v>
      </c>
      <c r="AX2030" t="s">
        <v>68</v>
      </c>
      <c r="AY2030" t="s">
        <v>69</v>
      </c>
      <c r="AZ2030" t="b">
        <v>1</v>
      </c>
    </row>
    <row r="2031" spans="1:52" x14ac:dyDescent="0.3">
      <c r="A2031" t="s">
        <v>52</v>
      </c>
      <c r="B2031" t="s">
        <v>53</v>
      </c>
      <c r="C2031" t="s">
        <v>54</v>
      </c>
      <c r="D2031" t="s">
        <v>55</v>
      </c>
      <c r="E2031" t="s">
        <v>877</v>
      </c>
      <c r="F2031" t="s">
        <v>57</v>
      </c>
      <c r="G2031" t="s">
        <v>197</v>
      </c>
      <c r="H2031" t="s">
        <v>198</v>
      </c>
      <c r="I2031" t="s">
        <v>198</v>
      </c>
      <c r="J2031" t="s">
        <v>60</v>
      </c>
      <c r="K2031" t="s">
        <v>199</v>
      </c>
      <c r="L2031" t="s">
        <v>62</v>
      </c>
      <c r="M2031" t="s">
        <v>199</v>
      </c>
      <c r="N2031" t="s">
        <v>200</v>
      </c>
      <c r="O2031" t="s">
        <v>201</v>
      </c>
      <c r="P2031">
        <v>-19.639250000000001</v>
      </c>
      <c r="Q2031">
        <v>-43.916449999999998</v>
      </c>
      <c r="R2031" s="2" t="str">
        <f>HYPERLINK("https://www.google.com/maps?q=-19.6392500,-43.9164500","Abrir no Google Maps")</f>
        <v>Abrir no Google Maps</v>
      </c>
      <c r="S2031">
        <v>4</v>
      </c>
      <c r="T2031">
        <v>249.46350881074861</v>
      </c>
      <c r="U2031">
        <v>4</v>
      </c>
      <c r="V2031">
        <v>0.4751364463311098</v>
      </c>
      <c r="W2031">
        <v>1</v>
      </c>
      <c r="X2031">
        <v>0.4751364463311098</v>
      </c>
      <c r="Y2031">
        <v>3</v>
      </c>
      <c r="Z2031">
        <v>267.54148787490578</v>
      </c>
      <c r="AA2031">
        <v>2</v>
      </c>
      <c r="AB2031">
        <v>3</v>
      </c>
      <c r="AC2031">
        <v>7</v>
      </c>
      <c r="AD2031">
        <v>26.01</v>
      </c>
      <c r="AE2031">
        <v>253</v>
      </c>
      <c r="AF2031">
        <v>17</v>
      </c>
      <c r="AG2031">
        <v>60</v>
      </c>
      <c r="AH2031">
        <v>32</v>
      </c>
      <c r="AI2031">
        <v>6.72</v>
      </c>
      <c r="AJ2031">
        <v>23.72</v>
      </c>
      <c r="AK2031">
        <v>12.65</v>
      </c>
      <c r="AL2031">
        <v>-19.639331149999951</v>
      </c>
      <c r="AM2031">
        <v>-43.916434187886892</v>
      </c>
      <c r="AN2031">
        <v>-19.639331149999951</v>
      </c>
      <c r="AO2031">
        <v>-43.916434187886892</v>
      </c>
      <c r="AP2031">
        <v>-19.639250000000001</v>
      </c>
      <c r="AQ2031">
        <v>-43.916449999999998</v>
      </c>
      <c r="AR2031">
        <v>9.1844750188843953</v>
      </c>
      <c r="AS2031" t="s">
        <v>65</v>
      </c>
      <c r="AT2031">
        <v>1</v>
      </c>
      <c r="AU2031" t="s">
        <v>202</v>
      </c>
      <c r="AV2031" t="s">
        <v>203</v>
      </c>
      <c r="AW2031" t="s">
        <v>60</v>
      </c>
      <c r="AX2031" t="s">
        <v>68</v>
      </c>
      <c r="AY2031" t="s">
        <v>69</v>
      </c>
      <c r="AZ2031" t="b">
        <v>1</v>
      </c>
    </row>
    <row r="2032" spans="1:52" x14ac:dyDescent="0.3">
      <c r="A2032" t="s">
        <v>52</v>
      </c>
      <c r="B2032" t="s">
        <v>53</v>
      </c>
      <c r="C2032" t="s">
        <v>54</v>
      </c>
      <c r="D2032" t="s">
        <v>55</v>
      </c>
      <c r="E2032" t="s">
        <v>877</v>
      </c>
      <c r="F2032" t="s">
        <v>57</v>
      </c>
      <c r="G2032" t="s">
        <v>123</v>
      </c>
      <c r="H2032" t="s">
        <v>124</v>
      </c>
      <c r="I2032" t="s">
        <v>124</v>
      </c>
      <c r="J2032" t="s">
        <v>60</v>
      </c>
      <c r="K2032" t="s">
        <v>72</v>
      </c>
      <c r="L2032" t="s">
        <v>62</v>
      </c>
      <c r="M2032" t="s">
        <v>72</v>
      </c>
      <c r="N2032" t="s">
        <v>125</v>
      </c>
      <c r="O2032" t="s">
        <v>126</v>
      </c>
      <c r="P2032">
        <v>-19.634015000000002</v>
      </c>
      <c r="Q2032">
        <v>-43.918776000000001</v>
      </c>
      <c r="R2032" s="2" t="str">
        <f>HYPERLINK("https://www.google.com/maps?q=-19.6340150,-43.9187760","Abrir no Google Maps")</f>
        <v>Abrir no Google Maps</v>
      </c>
      <c r="S2032">
        <v>4</v>
      </c>
      <c r="T2032">
        <v>525.62818365919122</v>
      </c>
      <c r="U2032">
        <v>4</v>
      </c>
      <c r="V2032">
        <v>0.4752844821337972</v>
      </c>
      <c r="W2032">
        <v>1</v>
      </c>
      <c r="X2032">
        <v>0.4752844821337972</v>
      </c>
      <c r="Y2032">
        <v>3</v>
      </c>
      <c r="Z2032">
        <v>474.91441433808131</v>
      </c>
      <c r="AA2032">
        <v>2</v>
      </c>
      <c r="AB2032">
        <v>3</v>
      </c>
      <c r="AC2032">
        <v>7</v>
      </c>
      <c r="AD2032">
        <v>26.01</v>
      </c>
      <c r="AE2032">
        <v>253</v>
      </c>
      <c r="AF2032">
        <v>17</v>
      </c>
      <c r="AG2032">
        <v>60</v>
      </c>
      <c r="AH2032">
        <v>32</v>
      </c>
      <c r="AI2032">
        <v>6.72</v>
      </c>
      <c r="AJ2032">
        <v>23.72</v>
      </c>
      <c r="AK2032">
        <v>12.65</v>
      </c>
      <c r="AL2032">
        <v>-19.63405809999994</v>
      </c>
      <c r="AM2032">
        <v>-43.919666391328043</v>
      </c>
      <c r="AN2032">
        <v>-19.63405809999994</v>
      </c>
      <c r="AO2032">
        <v>-43.919666391328029</v>
      </c>
      <c r="AP2032">
        <v>-19.634015000000002</v>
      </c>
      <c r="AQ2032">
        <v>-43.918776000000001</v>
      </c>
      <c r="AR2032">
        <v>93.478621134470259</v>
      </c>
      <c r="AS2032" t="s">
        <v>65</v>
      </c>
      <c r="AT2032">
        <v>1</v>
      </c>
      <c r="AU2032" t="s">
        <v>127</v>
      </c>
      <c r="AV2032" t="s">
        <v>128</v>
      </c>
      <c r="AW2032" t="s">
        <v>60</v>
      </c>
      <c r="AX2032" t="s">
        <v>68</v>
      </c>
      <c r="AY2032" t="s">
        <v>69</v>
      </c>
      <c r="AZ2032" t="b">
        <v>1</v>
      </c>
    </row>
    <row r="2033" spans="1:52" x14ac:dyDescent="0.3">
      <c r="A2033" t="s">
        <v>52</v>
      </c>
      <c r="B2033" t="s">
        <v>53</v>
      </c>
      <c r="C2033" t="s">
        <v>54</v>
      </c>
      <c r="D2033" t="s">
        <v>55</v>
      </c>
      <c r="E2033" t="s">
        <v>877</v>
      </c>
      <c r="F2033" t="s">
        <v>57</v>
      </c>
      <c r="G2033" t="s">
        <v>129</v>
      </c>
      <c r="H2033" t="s">
        <v>130</v>
      </c>
      <c r="I2033" t="s">
        <v>130</v>
      </c>
      <c r="J2033" t="s">
        <v>60</v>
      </c>
      <c r="K2033" t="s">
        <v>131</v>
      </c>
      <c r="L2033" t="s">
        <v>62</v>
      </c>
      <c r="M2033" t="s">
        <v>131</v>
      </c>
      <c r="N2033" t="s">
        <v>132</v>
      </c>
      <c r="O2033" t="s">
        <v>133</v>
      </c>
      <c r="P2033">
        <v>-19.632088</v>
      </c>
      <c r="Q2033">
        <v>-43.916114999999998</v>
      </c>
      <c r="R2033" s="2" t="str">
        <f>HYPERLINK("https://www.google.com/maps?q=-19.6320880,-43.9161150","Abrir no Google Maps")</f>
        <v>Abrir no Google Maps</v>
      </c>
      <c r="S2033">
        <v>4</v>
      </c>
      <c r="T2033">
        <v>566.5346232632869</v>
      </c>
      <c r="U2033">
        <v>4</v>
      </c>
      <c r="V2033">
        <v>0.48259493670886072</v>
      </c>
      <c r="W2033">
        <v>1</v>
      </c>
      <c r="X2033">
        <v>0.48259493670886072</v>
      </c>
      <c r="Y2033">
        <v>3</v>
      </c>
      <c r="Z2033">
        <v>488.06597434012792</v>
      </c>
      <c r="AA2033">
        <v>2</v>
      </c>
      <c r="AB2033">
        <v>3</v>
      </c>
      <c r="AC2033">
        <v>7</v>
      </c>
      <c r="AD2033">
        <v>26.01</v>
      </c>
      <c r="AE2033">
        <v>253</v>
      </c>
      <c r="AF2033">
        <v>17</v>
      </c>
      <c r="AG2033">
        <v>60</v>
      </c>
      <c r="AH2033">
        <v>32</v>
      </c>
      <c r="AI2033">
        <v>6.72</v>
      </c>
      <c r="AJ2033">
        <v>23.72</v>
      </c>
      <c r="AK2033">
        <v>12.65</v>
      </c>
      <c r="AL2033">
        <v>-19.632034449999939</v>
      </c>
      <c r="AM2033">
        <v>-43.916174776913351</v>
      </c>
      <c r="AN2033">
        <v>-19.632034449999939</v>
      </c>
      <c r="AO2033">
        <v>-43.916174776913351</v>
      </c>
      <c r="AP2033">
        <v>-19.632088</v>
      </c>
      <c r="AQ2033">
        <v>-43.916114999999998</v>
      </c>
      <c r="AR2033">
        <v>8.6497324882263911</v>
      </c>
      <c r="AS2033" t="s">
        <v>65</v>
      </c>
      <c r="AT2033">
        <v>1</v>
      </c>
      <c r="AU2033" t="s">
        <v>134</v>
      </c>
      <c r="AV2033" t="s">
        <v>135</v>
      </c>
      <c r="AW2033" t="s">
        <v>60</v>
      </c>
      <c r="AX2033" t="s">
        <v>68</v>
      </c>
      <c r="AY2033" t="s">
        <v>69</v>
      </c>
      <c r="AZ2033" t="b">
        <v>1</v>
      </c>
    </row>
    <row r="2034" spans="1:52" x14ac:dyDescent="0.3">
      <c r="A2034" t="s">
        <v>52</v>
      </c>
      <c r="B2034" t="s">
        <v>53</v>
      </c>
      <c r="C2034" t="s">
        <v>54</v>
      </c>
      <c r="D2034" t="s">
        <v>55</v>
      </c>
      <c r="E2034" t="s">
        <v>877</v>
      </c>
      <c r="F2034" t="s">
        <v>57</v>
      </c>
      <c r="G2034" t="s">
        <v>129</v>
      </c>
      <c r="H2034" t="s">
        <v>136</v>
      </c>
      <c r="I2034" t="s">
        <v>136</v>
      </c>
      <c r="J2034" t="s">
        <v>60</v>
      </c>
      <c r="K2034" t="s">
        <v>131</v>
      </c>
      <c r="L2034" t="s">
        <v>62</v>
      </c>
      <c r="M2034" t="s">
        <v>131</v>
      </c>
      <c r="N2034" t="s">
        <v>132</v>
      </c>
      <c r="O2034" t="s">
        <v>133</v>
      </c>
      <c r="P2034">
        <v>-19.632290999999999</v>
      </c>
      <c r="Q2034">
        <v>-43.916542999999997</v>
      </c>
      <c r="R2034" s="2" t="str">
        <f>HYPERLINK("https://www.google.com/maps?q=-19.6322910,-43.9165430","Abrir no Google Maps")</f>
        <v>Abrir no Google Maps</v>
      </c>
      <c r="S2034">
        <v>4</v>
      </c>
      <c r="T2034">
        <v>556.95255545673058</v>
      </c>
      <c r="U2034">
        <v>4</v>
      </c>
      <c r="V2034">
        <v>0.48941432528690137</v>
      </c>
      <c r="W2034">
        <v>1</v>
      </c>
      <c r="X2034">
        <v>0.48941432528690137</v>
      </c>
      <c r="Y2034">
        <v>3</v>
      </c>
      <c r="Z2034">
        <v>479.66756878400719</v>
      </c>
      <c r="AA2034">
        <v>2</v>
      </c>
      <c r="AB2034">
        <v>3</v>
      </c>
      <c r="AC2034">
        <v>7</v>
      </c>
      <c r="AD2034">
        <v>26.01</v>
      </c>
      <c r="AE2034">
        <v>253</v>
      </c>
      <c r="AF2034">
        <v>17</v>
      </c>
      <c r="AG2034">
        <v>60</v>
      </c>
      <c r="AH2034">
        <v>32</v>
      </c>
      <c r="AI2034">
        <v>6.72</v>
      </c>
      <c r="AJ2034">
        <v>23.72</v>
      </c>
      <c r="AK2034">
        <v>12.65</v>
      </c>
      <c r="AL2034">
        <v>-19.63215424999996</v>
      </c>
      <c r="AM2034">
        <v>-43.916542189528307</v>
      </c>
      <c r="AN2034">
        <v>-19.63215424999996</v>
      </c>
      <c r="AO2034">
        <v>-43.916542189528307</v>
      </c>
      <c r="AP2034">
        <v>-19.632290999999999</v>
      </c>
      <c r="AQ2034">
        <v>-43.916542999999997</v>
      </c>
      <c r="AR2034">
        <v>15.22324717984722</v>
      </c>
      <c r="AS2034" t="s">
        <v>65</v>
      </c>
      <c r="AT2034">
        <v>1</v>
      </c>
      <c r="AU2034" t="s">
        <v>137</v>
      </c>
      <c r="AV2034" t="s">
        <v>138</v>
      </c>
      <c r="AW2034" t="s">
        <v>60</v>
      </c>
      <c r="AX2034" t="s">
        <v>68</v>
      </c>
      <c r="AY2034" t="s">
        <v>69</v>
      </c>
      <c r="AZ2034" t="b">
        <v>1</v>
      </c>
    </row>
    <row r="2035" spans="1:52" x14ac:dyDescent="0.3">
      <c r="A2035" t="s">
        <v>52</v>
      </c>
      <c r="B2035" t="s">
        <v>53</v>
      </c>
      <c r="C2035" t="s">
        <v>54</v>
      </c>
      <c r="D2035" t="s">
        <v>55</v>
      </c>
      <c r="E2035" t="s">
        <v>877</v>
      </c>
      <c r="F2035" t="s">
        <v>57</v>
      </c>
      <c r="G2035" t="s">
        <v>145</v>
      </c>
      <c r="H2035" t="s">
        <v>146</v>
      </c>
      <c r="I2035" t="s">
        <v>146</v>
      </c>
      <c r="J2035" t="s">
        <v>60</v>
      </c>
      <c r="K2035" t="s">
        <v>147</v>
      </c>
      <c r="L2035" t="s">
        <v>62</v>
      </c>
      <c r="M2035" t="s">
        <v>147</v>
      </c>
      <c r="N2035" t="s">
        <v>148</v>
      </c>
      <c r="O2035" t="s">
        <v>81</v>
      </c>
      <c r="P2035">
        <v>-19.629356999999999</v>
      </c>
      <c r="Q2035">
        <v>-43.916857</v>
      </c>
      <c r="R2035" s="2" t="str">
        <f>HYPERLINK("https://www.google.com/maps?q=-19.6293570,-43.9168570","Abrir no Google Maps")</f>
        <v>Abrir no Google Maps</v>
      </c>
      <c r="S2035">
        <v>4</v>
      </c>
      <c r="T2035">
        <v>834.49898564045827</v>
      </c>
      <c r="U2035">
        <v>4</v>
      </c>
      <c r="V2035">
        <v>0.47679333872363361</v>
      </c>
      <c r="W2035">
        <v>1</v>
      </c>
      <c r="X2035">
        <v>0.47679333872363361</v>
      </c>
      <c r="Y2035">
        <v>3</v>
      </c>
      <c r="Z2035">
        <v>774.2841152512085</v>
      </c>
      <c r="AA2035">
        <v>2</v>
      </c>
      <c r="AB2035">
        <v>3</v>
      </c>
      <c r="AC2035">
        <v>7</v>
      </c>
      <c r="AD2035">
        <v>26.01</v>
      </c>
      <c r="AE2035">
        <v>253</v>
      </c>
      <c r="AF2035">
        <v>17</v>
      </c>
      <c r="AG2035">
        <v>60</v>
      </c>
      <c r="AH2035">
        <v>32</v>
      </c>
      <c r="AI2035">
        <v>6.72</v>
      </c>
      <c r="AJ2035">
        <v>23.72</v>
      </c>
      <c r="AK2035">
        <v>12.65</v>
      </c>
      <c r="AL2035">
        <v>-19.62962324999998</v>
      </c>
      <c r="AM2035">
        <v>-43.916419823634037</v>
      </c>
      <c r="AN2035">
        <v>-19.62962324999998</v>
      </c>
      <c r="AO2035">
        <v>-43.916419823634051</v>
      </c>
      <c r="AP2035">
        <v>-19.629356999999999</v>
      </c>
      <c r="AQ2035">
        <v>-43.916857</v>
      </c>
      <c r="AR2035">
        <v>54.585757388798442</v>
      </c>
      <c r="AS2035" t="s">
        <v>65</v>
      </c>
      <c r="AT2035">
        <v>1</v>
      </c>
      <c r="AU2035" t="s">
        <v>149</v>
      </c>
      <c r="AV2035" t="s">
        <v>150</v>
      </c>
      <c r="AW2035" t="s">
        <v>60</v>
      </c>
      <c r="AX2035" t="s">
        <v>68</v>
      </c>
      <c r="AY2035" t="s">
        <v>69</v>
      </c>
      <c r="AZ2035" t="b">
        <v>1</v>
      </c>
    </row>
    <row r="2036" spans="1:52" x14ac:dyDescent="0.3">
      <c r="A2036" t="s">
        <v>52</v>
      </c>
      <c r="B2036" t="s">
        <v>53</v>
      </c>
      <c r="C2036" t="s">
        <v>54</v>
      </c>
      <c r="D2036" t="s">
        <v>55</v>
      </c>
      <c r="E2036" t="s">
        <v>877</v>
      </c>
      <c r="F2036" t="s">
        <v>57</v>
      </c>
      <c r="G2036" t="s">
        <v>217</v>
      </c>
      <c r="H2036" t="s">
        <v>218</v>
      </c>
      <c r="I2036" t="s">
        <v>218</v>
      </c>
      <c r="J2036" t="s">
        <v>60</v>
      </c>
      <c r="K2036" t="s">
        <v>219</v>
      </c>
      <c r="L2036" t="s">
        <v>62</v>
      </c>
      <c r="M2036" t="s">
        <v>219</v>
      </c>
      <c r="N2036" t="s">
        <v>220</v>
      </c>
      <c r="O2036" t="s">
        <v>221</v>
      </c>
      <c r="P2036">
        <v>-19.668924000000001</v>
      </c>
      <c r="Q2036">
        <v>-43.888824</v>
      </c>
      <c r="R2036" s="2" t="str">
        <f>HYPERLINK("https://www.google.com/maps?q=-19.6689240,-43.8888240","Abrir no Google Maps")</f>
        <v>Abrir no Google Maps</v>
      </c>
      <c r="S2036">
        <v>4</v>
      </c>
      <c r="T2036">
        <v>911.82770913869297</v>
      </c>
      <c r="U2036">
        <v>4</v>
      </c>
      <c r="V2036">
        <v>0.47116158291273491</v>
      </c>
      <c r="W2036">
        <v>1</v>
      </c>
      <c r="X2036">
        <v>0.47116158291273491</v>
      </c>
      <c r="Y2036">
        <v>3</v>
      </c>
      <c r="Z2036">
        <v>306.43809582423751</v>
      </c>
      <c r="AA2036">
        <v>2</v>
      </c>
      <c r="AB2036">
        <v>3</v>
      </c>
      <c r="AC2036">
        <v>7</v>
      </c>
      <c r="AD2036">
        <v>26.01</v>
      </c>
      <c r="AE2036">
        <v>253</v>
      </c>
      <c r="AF2036">
        <v>17</v>
      </c>
      <c r="AG2036">
        <v>60</v>
      </c>
      <c r="AH2036">
        <v>32</v>
      </c>
      <c r="AI2036">
        <v>6.72</v>
      </c>
      <c r="AJ2036">
        <v>23.72</v>
      </c>
      <c r="AK2036">
        <v>12.65</v>
      </c>
      <c r="AL2036">
        <v>-19.669015399999981</v>
      </c>
      <c r="AM2036">
        <v>-43.88883436988452</v>
      </c>
      <c r="AN2036">
        <v>-19.669015399999971</v>
      </c>
      <c r="AO2036">
        <v>-43.88883436988452</v>
      </c>
      <c r="AP2036">
        <v>-19.668924000000001</v>
      </c>
      <c r="AQ2036">
        <v>-43.888824</v>
      </c>
      <c r="AR2036">
        <v>10.23254983885769</v>
      </c>
      <c r="AS2036" t="s">
        <v>65</v>
      </c>
      <c r="AT2036">
        <v>1</v>
      </c>
      <c r="AU2036" t="s">
        <v>222</v>
      </c>
      <c r="AV2036" t="s">
        <v>223</v>
      </c>
      <c r="AW2036" t="s">
        <v>60</v>
      </c>
      <c r="AX2036" t="s">
        <v>68</v>
      </c>
      <c r="AY2036" t="s">
        <v>69</v>
      </c>
      <c r="AZ2036" t="b">
        <v>1</v>
      </c>
    </row>
    <row r="2037" spans="1:52" x14ac:dyDescent="0.3">
      <c r="A2037" t="s">
        <v>52</v>
      </c>
      <c r="B2037" t="s">
        <v>53</v>
      </c>
      <c r="C2037" t="s">
        <v>54</v>
      </c>
      <c r="D2037" t="s">
        <v>55</v>
      </c>
      <c r="E2037" t="s">
        <v>877</v>
      </c>
      <c r="F2037" t="s">
        <v>57</v>
      </c>
      <c r="G2037" t="s">
        <v>197</v>
      </c>
      <c r="H2037" t="s">
        <v>224</v>
      </c>
      <c r="I2037" t="s">
        <v>224</v>
      </c>
      <c r="J2037" t="s">
        <v>60</v>
      </c>
      <c r="K2037" t="s">
        <v>199</v>
      </c>
      <c r="L2037" t="s">
        <v>62</v>
      </c>
      <c r="M2037" t="s">
        <v>199</v>
      </c>
      <c r="N2037" t="s">
        <v>200</v>
      </c>
      <c r="O2037" t="s">
        <v>225</v>
      </c>
      <c r="P2037">
        <v>-19.637217</v>
      </c>
      <c r="Q2037">
        <v>-43.916117</v>
      </c>
      <c r="R2037" s="2" t="str">
        <f>HYPERLINK("https://www.google.com/maps?q=-19.6372170,-43.9161170","Abrir no Google Maps")</f>
        <v>Abrir no Google Maps</v>
      </c>
      <c r="S2037">
        <v>4</v>
      </c>
      <c r="T2037">
        <v>0</v>
      </c>
      <c r="U2037">
        <v>4</v>
      </c>
      <c r="V2037">
        <v>0.50095923261390884</v>
      </c>
      <c r="W2037">
        <v>1</v>
      </c>
      <c r="X2037">
        <v>0.50095923261390884</v>
      </c>
      <c r="Y2037">
        <v>3</v>
      </c>
      <c r="Z2037">
        <v>94.289538231800577</v>
      </c>
      <c r="AA2037">
        <v>2</v>
      </c>
      <c r="AB2037">
        <v>3</v>
      </c>
      <c r="AC2037">
        <v>7</v>
      </c>
      <c r="AD2037">
        <v>26.01</v>
      </c>
      <c r="AE2037">
        <v>253</v>
      </c>
      <c r="AF2037">
        <v>17</v>
      </c>
      <c r="AG2037">
        <v>60</v>
      </c>
      <c r="AH2037">
        <v>32</v>
      </c>
      <c r="AI2037">
        <v>6.72</v>
      </c>
      <c r="AJ2037">
        <v>23.72</v>
      </c>
      <c r="AK2037">
        <v>12.65</v>
      </c>
      <c r="AL2037">
        <v>-19.63714454999996</v>
      </c>
      <c r="AM2037">
        <v>-43.915856532303224</v>
      </c>
      <c r="AN2037">
        <v>-19.63714454999996</v>
      </c>
      <c r="AO2037">
        <v>-43.915856532303224</v>
      </c>
      <c r="AP2037">
        <v>-19.637217</v>
      </c>
      <c r="AQ2037">
        <v>-43.916117</v>
      </c>
      <c r="AR2037">
        <v>28.47493692061667</v>
      </c>
      <c r="AS2037" t="s">
        <v>65</v>
      </c>
      <c r="AT2037">
        <v>1</v>
      </c>
      <c r="AU2037" t="s">
        <v>226</v>
      </c>
      <c r="AV2037" t="s">
        <v>227</v>
      </c>
      <c r="AW2037" t="s">
        <v>60</v>
      </c>
      <c r="AX2037" t="s">
        <v>68</v>
      </c>
      <c r="AY2037" t="s">
        <v>69</v>
      </c>
      <c r="AZ2037" t="b">
        <v>1</v>
      </c>
    </row>
    <row r="2038" spans="1:52" x14ac:dyDescent="0.3">
      <c r="A2038" t="s">
        <v>52</v>
      </c>
      <c r="B2038" t="s">
        <v>53</v>
      </c>
      <c r="C2038" t="s">
        <v>54</v>
      </c>
      <c r="D2038" t="s">
        <v>55</v>
      </c>
      <c r="E2038" t="s">
        <v>877</v>
      </c>
      <c r="F2038" t="s">
        <v>57</v>
      </c>
      <c r="G2038" t="s">
        <v>228</v>
      </c>
      <c r="H2038" t="s">
        <v>229</v>
      </c>
      <c r="I2038" t="s">
        <v>229</v>
      </c>
      <c r="J2038" t="s">
        <v>60</v>
      </c>
      <c r="K2038" t="s">
        <v>199</v>
      </c>
      <c r="L2038" t="s">
        <v>62</v>
      </c>
      <c r="M2038" t="s">
        <v>199</v>
      </c>
      <c r="N2038" t="s">
        <v>230</v>
      </c>
      <c r="O2038" t="s">
        <v>88</v>
      </c>
      <c r="P2038">
        <v>-19.637703999999999</v>
      </c>
      <c r="Q2038">
        <v>-43.913817999999999</v>
      </c>
      <c r="R2038" s="2" t="str">
        <f>HYPERLINK("https://www.google.com/maps?q=-19.6377040,-43.9138180","Abrir no Google Maps")</f>
        <v>Abrir no Google Maps</v>
      </c>
      <c r="S2038">
        <v>4</v>
      </c>
      <c r="T2038">
        <v>216.67225021659709</v>
      </c>
      <c r="U2038">
        <v>4</v>
      </c>
      <c r="V2038">
        <v>0.48068212096989071</v>
      </c>
      <c r="W2038">
        <v>1</v>
      </c>
      <c r="X2038">
        <v>0.48068212096989071</v>
      </c>
      <c r="Y2038">
        <v>3</v>
      </c>
      <c r="Z2038">
        <v>250.25912407368671</v>
      </c>
      <c r="AA2038">
        <v>2</v>
      </c>
      <c r="AB2038">
        <v>3</v>
      </c>
      <c r="AC2038">
        <v>7</v>
      </c>
      <c r="AD2038">
        <v>26.01</v>
      </c>
      <c r="AE2038">
        <v>253</v>
      </c>
      <c r="AF2038">
        <v>17</v>
      </c>
      <c r="AG2038">
        <v>60</v>
      </c>
      <c r="AH2038">
        <v>32</v>
      </c>
      <c r="AI2038">
        <v>6.72</v>
      </c>
      <c r="AJ2038">
        <v>23.72</v>
      </c>
      <c r="AK2038">
        <v>12.65</v>
      </c>
      <c r="AL2038">
        <v>-19.637548049999939</v>
      </c>
      <c r="AM2038">
        <v>-43.91383458447649</v>
      </c>
      <c r="AN2038">
        <v>-19.637548049999939</v>
      </c>
      <c r="AO2038">
        <v>-43.91383458447649</v>
      </c>
      <c r="AP2038">
        <v>-19.637703999999999</v>
      </c>
      <c r="AQ2038">
        <v>-43.913817999999999</v>
      </c>
      <c r="AR2038">
        <v>17.44721566371809</v>
      </c>
      <c r="AS2038" t="s">
        <v>65</v>
      </c>
      <c r="AT2038">
        <v>1</v>
      </c>
      <c r="AU2038" t="s">
        <v>231</v>
      </c>
      <c r="AV2038" t="s">
        <v>232</v>
      </c>
      <c r="AW2038" t="s">
        <v>60</v>
      </c>
      <c r="AX2038" t="s">
        <v>68</v>
      </c>
      <c r="AY2038" t="s">
        <v>69</v>
      </c>
      <c r="AZ2038" t="b">
        <v>1</v>
      </c>
    </row>
    <row r="2039" spans="1:52" x14ac:dyDescent="0.3">
      <c r="A2039" t="s">
        <v>52</v>
      </c>
      <c r="B2039" t="s">
        <v>53</v>
      </c>
      <c r="C2039" t="s">
        <v>54</v>
      </c>
      <c r="D2039" t="s">
        <v>55</v>
      </c>
      <c r="E2039" t="s">
        <v>877</v>
      </c>
      <c r="F2039" t="s">
        <v>57</v>
      </c>
      <c r="G2039" t="s">
        <v>151</v>
      </c>
      <c r="H2039" t="s">
        <v>152</v>
      </c>
      <c r="I2039" t="s">
        <v>152</v>
      </c>
      <c r="J2039" t="s">
        <v>60</v>
      </c>
      <c r="K2039" t="s">
        <v>72</v>
      </c>
      <c r="L2039" t="s">
        <v>62</v>
      </c>
      <c r="M2039" t="s">
        <v>72</v>
      </c>
      <c r="N2039" t="s">
        <v>153</v>
      </c>
      <c r="O2039" t="s">
        <v>81</v>
      </c>
      <c r="P2039">
        <v>-19.635065999999998</v>
      </c>
      <c r="Q2039">
        <v>-43.916640000000001</v>
      </c>
      <c r="R2039" s="2" t="str">
        <f>HYPERLINK("https://www.google.com/maps?q=-19.6350660,-43.9166400","Abrir no Google Maps")</f>
        <v>Abrir no Google Maps</v>
      </c>
      <c r="S2039">
        <v>4</v>
      </c>
      <c r="T2039">
        <v>245.09875796292749</v>
      </c>
      <c r="U2039">
        <v>4</v>
      </c>
      <c r="V2039">
        <v>0.47012618563685638</v>
      </c>
      <c r="W2039">
        <v>1</v>
      </c>
      <c r="X2039">
        <v>0.47012618563685638</v>
      </c>
      <c r="Y2039">
        <v>3</v>
      </c>
      <c r="Z2039">
        <v>207.74356419317499</v>
      </c>
      <c r="AA2039">
        <v>2</v>
      </c>
      <c r="AB2039">
        <v>3</v>
      </c>
      <c r="AC2039">
        <v>7</v>
      </c>
      <c r="AD2039">
        <v>26.01</v>
      </c>
      <c r="AE2039">
        <v>253</v>
      </c>
      <c r="AF2039">
        <v>17</v>
      </c>
      <c r="AG2039">
        <v>60</v>
      </c>
      <c r="AH2039">
        <v>32</v>
      </c>
      <c r="AI2039">
        <v>6.72</v>
      </c>
      <c r="AJ2039">
        <v>23.72</v>
      </c>
      <c r="AK2039">
        <v>12.65</v>
      </c>
      <c r="AL2039">
        <v>-19.63505579999995</v>
      </c>
      <c r="AM2039">
        <v>-43.916633303072622</v>
      </c>
      <c r="AN2039">
        <v>-19.63505579999995</v>
      </c>
      <c r="AO2039">
        <v>-43.916633303072622</v>
      </c>
      <c r="AP2039">
        <v>-19.635065999999998</v>
      </c>
      <c r="AQ2039">
        <v>-43.916640000000001</v>
      </c>
      <c r="AR2039">
        <v>1.335026849412978</v>
      </c>
      <c r="AS2039" t="s">
        <v>65</v>
      </c>
      <c r="AT2039">
        <v>1</v>
      </c>
      <c r="AU2039" t="s">
        <v>154</v>
      </c>
      <c r="AV2039" t="s">
        <v>155</v>
      </c>
      <c r="AW2039" t="s">
        <v>60</v>
      </c>
      <c r="AX2039" t="s">
        <v>68</v>
      </c>
      <c r="AY2039" t="s">
        <v>69</v>
      </c>
      <c r="AZ2039" t="b">
        <v>1</v>
      </c>
    </row>
    <row r="2040" spans="1:52" x14ac:dyDescent="0.3">
      <c r="A2040" t="s">
        <v>52</v>
      </c>
      <c r="B2040" t="s">
        <v>53</v>
      </c>
      <c r="C2040" t="s">
        <v>54</v>
      </c>
      <c r="D2040" t="s">
        <v>55</v>
      </c>
      <c r="E2040" t="s">
        <v>877</v>
      </c>
      <c r="F2040" t="s">
        <v>57</v>
      </c>
      <c r="G2040" t="s">
        <v>246</v>
      </c>
      <c r="H2040" t="s">
        <v>247</v>
      </c>
      <c r="I2040" t="s">
        <v>247</v>
      </c>
      <c r="J2040" t="s">
        <v>60</v>
      </c>
      <c r="K2040" t="s">
        <v>164</v>
      </c>
      <c r="L2040" t="s">
        <v>62</v>
      </c>
      <c r="M2040" t="s">
        <v>164</v>
      </c>
      <c r="N2040" t="s">
        <v>248</v>
      </c>
      <c r="O2040" t="s">
        <v>249</v>
      </c>
      <c r="P2040">
        <v>-19.6448</v>
      </c>
      <c r="Q2040">
        <v>-43.901600999999999</v>
      </c>
      <c r="R2040" s="2" t="str">
        <f>HYPERLINK("https://www.google.com/maps?q=-19.6448000,-43.9016010","Abrir no Google Maps")</f>
        <v>Abrir no Google Maps</v>
      </c>
      <c r="S2040">
        <v>4</v>
      </c>
      <c r="T2040">
        <v>317.869447308274</v>
      </c>
      <c r="U2040">
        <v>4</v>
      </c>
      <c r="V2040">
        <v>0.4797661291805328</v>
      </c>
      <c r="W2040">
        <v>1</v>
      </c>
      <c r="X2040">
        <v>0.4797661291805328</v>
      </c>
      <c r="Y2040">
        <v>1</v>
      </c>
      <c r="Z2040">
        <v>349.42631749673592</v>
      </c>
      <c r="AA2040">
        <v>2</v>
      </c>
      <c r="AB2040">
        <v>3</v>
      </c>
      <c r="AC2040">
        <v>7</v>
      </c>
      <c r="AD2040">
        <v>26.01</v>
      </c>
      <c r="AE2040">
        <v>253</v>
      </c>
      <c r="AF2040">
        <v>17</v>
      </c>
      <c r="AG2040">
        <v>60</v>
      </c>
      <c r="AH2040">
        <v>32</v>
      </c>
      <c r="AI2040">
        <v>6.72</v>
      </c>
      <c r="AJ2040">
        <v>23.72</v>
      </c>
      <c r="AK2040">
        <v>12.65</v>
      </c>
      <c r="AL2040">
        <v>-19.644877249999951</v>
      </c>
      <c r="AM2040">
        <v>-43.901796079893373</v>
      </c>
      <c r="AN2040">
        <v>-19.644877249999951</v>
      </c>
      <c r="AO2040">
        <v>-43.901796079893373</v>
      </c>
      <c r="AP2040">
        <v>-19.6448</v>
      </c>
      <c r="AQ2040">
        <v>-43.901600999999999</v>
      </c>
      <c r="AR2040">
        <v>22.186635956426102</v>
      </c>
      <c r="AS2040" t="s">
        <v>65</v>
      </c>
      <c r="AT2040">
        <v>1</v>
      </c>
      <c r="AU2040" t="s">
        <v>250</v>
      </c>
      <c r="AV2040" t="s">
        <v>251</v>
      </c>
      <c r="AW2040" t="s">
        <v>60</v>
      </c>
      <c r="AX2040" t="s">
        <v>68</v>
      </c>
      <c r="AY2040" t="s">
        <v>69</v>
      </c>
      <c r="AZ2040" t="b">
        <v>1</v>
      </c>
    </row>
    <row r="2041" spans="1:52" x14ac:dyDescent="0.3">
      <c r="A2041" t="s">
        <v>52</v>
      </c>
      <c r="B2041" t="s">
        <v>53</v>
      </c>
      <c r="C2041" t="s">
        <v>54</v>
      </c>
      <c r="D2041" t="s">
        <v>55</v>
      </c>
      <c r="E2041" t="s">
        <v>877</v>
      </c>
      <c r="F2041" t="s">
        <v>57</v>
      </c>
      <c r="G2041" t="s">
        <v>252</v>
      </c>
      <c r="H2041" t="s">
        <v>253</v>
      </c>
      <c r="I2041" t="s">
        <v>253</v>
      </c>
      <c r="J2041" t="s">
        <v>60</v>
      </c>
      <c r="K2041" t="s">
        <v>164</v>
      </c>
      <c r="L2041" t="s">
        <v>62</v>
      </c>
      <c r="M2041" t="s">
        <v>164</v>
      </c>
      <c r="N2041" t="s">
        <v>254</v>
      </c>
      <c r="O2041" t="s">
        <v>255</v>
      </c>
      <c r="P2041">
        <v>-19.652244</v>
      </c>
      <c r="Q2041">
        <v>-43.906869</v>
      </c>
      <c r="R2041" s="2" t="str">
        <f>HYPERLINK("https://www.google.com/maps?q=-19.6522440,-43.9068690","Abrir no Google Maps")</f>
        <v>Abrir no Google Maps</v>
      </c>
      <c r="S2041">
        <v>4</v>
      </c>
      <c r="T2041">
        <v>659.98887289357856</v>
      </c>
      <c r="U2041">
        <v>4</v>
      </c>
      <c r="V2041">
        <v>0.51226458238057626</v>
      </c>
      <c r="W2041">
        <v>1</v>
      </c>
      <c r="X2041">
        <v>0.51226458238057626</v>
      </c>
      <c r="Y2041">
        <v>1</v>
      </c>
      <c r="Z2041">
        <v>607.69009953455907</v>
      </c>
      <c r="AA2041">
        <v>2</v>
      </c>
      <c r="AB2041">
        <v>3</v>
      </c>
      <c r="AC2041">
        <v>7</v>
      </c>
      <c r="AD2041">
        <v>26.01</v>
      </c>
      <c r="AE2041">
        <v>253</v>
      </c>
      <c r="AF2041">
        <v>17</v>
      </c>
      <c r="AG2041">
        <v>60</v>
      </c>
      <c r="AH2041">
        <v>32</v>
      </c>
      <c r="AI2041">
        <v>6.72</v>
      </c>
      <c r="AJ2041">
        <v>23.72</v>
      </c>
      <c r="AK2041">
        <v>12.65</v>
      </c>
      <c r="AL2041">
        <v>-19.65225609999996</v>
      </c>
      <c r="AM2041">
        <v>-43.906862663911163</v>
      </c>
      <c r="AN2041">
        <v>-19.65225609999996</v>
      </c>
      <c r="AO2041">
        <v>-43.906862663911149</v>
      </c>
      <c r="AP2041">
        <v>-19.652244</v>
      </c>
      <c r="AQ2041">
        <v>-43.906869</v>
      </c>
      <c r="AR2041">
        <v>1.501852076897872</v>
      </c>
      <c r="AS2041" t="s">
        <v>65</v>
      </c>
      <c r="AT2041">
        <v>1</v>
      </c>
      <c r="AU2041" t="s">
        <v>256</v>
      </c>
      <c r="AV2041" t="s">
        <v>257</v>
      </c>
      <c r="AW2041" t="s">
        <v>60</v>
      </c>
      <c r="AX2041" t="s">
        <v>68</v>
      </c>
      <c r="AY2041" t="s">
        <v>69</v>
      </c>
      <c r="AZ2041" t="b">
        <v>1</v>
      </c>
    </row>
    <row r="2042" spans="1:52" x14ac:dyDescent="0.3">
      <c r="A2042" t="s">
        <v>52</v>
      </c>
      <c r="B2042" t="s">
        <v>53</v>
      </c>
      <c r="C2042" t="s">
        <v>54</v>
      </c>
      <c r="D2042" t="s">
        <v>55</v>
      </c>
      <c r="E2042" t="s">
        <v>877</v>
      </c>
      <c r="F2042" t="s">
        <v>57</v>
      </c>
      <c r="G2042" t="s">
        <v>622</v>
      </c>
      <c r="H2042" t="s">
        <v>623</v>
      </c>
      <c r="I2042" t="s">
        <v>623</v>
      </c>
      <c r="J2042" t="s">
        <v>60</v>
      </c>
      <c r="K2042" t="s">
        <v>219</v>
      </c>
      <c r="L2042" t="s">
        <v>62</v>
      </c>
      <c r="M2042" t="s">
        <v>219</v>
      </c>
      <c r="N2042" t="s">
        <v>624</v>
      </c>
      <c r="O2042" t="s">
        <v>113</v>
      </c>
      <c r="P2042">
        <v>-19.670276999999999</v>
      </c>
      <c r="Q2042">
        <v>-43.893808</v>
      </c>
      <c r="R2042" s="2" t="str">
        <f>HYPERLINK("https://www.google.com/maps?q=-19.6702770,-43.8938080","Abrir no Google Maps")</f>
        <v>Abrir no Google Maps</v>
      </c>
      <c r="S2042">
        <v>4</v>
      </c>
      <c r="T2042">
        <v>846.9753608437735</v>
      </c>
      <c r="U2042">
        <v>4</v>
      </c>
      <c r="V2042">
        <v>0.46400430675867471</v>
      </c>
      <c r="W2042">
        <v>1</v>
      </c>
      <c r="X2042">
        <v>0.46400430675867471</v>
      </c>
      <c r="Y2042">
        <v>1</v>
      </c>
      <c r="Z2042">
        <v>600.43160852236622</v>
      </c>
      <c r="AA2042">
        <v>2</v>
      </c>
      <c r="AB2042">
        <v>3</v>
      </c>
      <c r="AC2042">
        <v>7</v>
      </c>
      <c r="AD2042">
        <v>26.01</v>
      </c>
      <c r="AE2042">
        <v>253</v>
      </c>
      <c r="AF2042">
        <v>17</v>
      </c>
      <c r="AG2042">
        <v>60</v>
      </c>
      <c r="AH2042">
        <v>32</v>
      </c>
      <c r="AI2042">
        <v>6.72</v>
      </c>
      <c r="AJ2042">
        <v>23.72</v>
      </c>
      <c r="AK2042">
        <v>12.65</v>
      </c>
      <c r="AL2042">
        <v>-19.670319349999971</v>
      </c>
      <c r="AM2042">
        <v>-43.893716431206371</v>
      </c>
      <c r="AN2042">
        <v>-19.670319349999971</v>
      </c>
      <c r="AO2042">
        <v>-43.893716431206371</v>
      </c>
      <c r="AP2042">
        <v>-19.670276999999999</v>
      </c>
      <c r="AQ2042">
        <v>-43.893808</v>
      </c>
      <c r="AR2042">
        <v>10.693863517034069</v>
      </c>
      <c r="AS2042" t="s">
        <v>65</v>
      </c>
      <c r="AT2042">
        <v>1</v>
      </c>
      <c r="AU2042" t="s">
        <v>625</v>
      </c>
      <c r="AV2042" t="s">
        <v>626</v>
      </c>
      <c r="AW2042" t="s">
        <v>60</v>
      </c>
      <c r="AX2042" t="s">
        <v>68</v>
      </c>
      <c r="AY2042" t="s">
        <v>69</v>
      </c>
      <c r="AZ2042" t="b">
        <v>1</v>
      </c>
    </row>
    <row r="2043" spans="1:52" x14ac:dyDescent="0.3">
      <c r="A2043" t="s">
        <v>52</v>
      </c>
      <c r="B2043" t="s">
        <v>53</v>
      </c>
      <c r="C2043" t="s">
        <v>54</v>
      </c>
      <c r="D2043" t="s">
        <v>55</v>
      </c>
      <c r="E2043" t="s">
        <v>877</v>
      </c>
      <c r="F2043" t="s">
        <v>57</v>
      </c>
      <c r="G2043" t="s">
        <v>268</v>
      </c>
      <c r="H2043" t="s">
        <v>269</v>
      </c>
      <c r="I2043" t="s">
        <v>269</v>
      </c>
      <c r="J2043" t="s">
        <v>60</v>
      </c>
      <c r="K2043" t="s">
        <v>164</v>
      </c>
      <c r="L2043" t="s">
        <v>62</v>
      </c>
      <c r="M2043" t="s">
        <v>164</v>
      </c>
      <c r="N2043" t="s">
        <v>270</v>
      </c>
      <c r="O2043" t="s">
        <v>113</v>
      </c>
      <c r="P2043">
        <v>-19.648771</v>
      </c>
      <c r="Q2043">
        <v>-43.903640000000003</v>
      </c>
      <c r="R2043" s="2" t="str">
        <f>HYPERLINK("https://www.google.com/maps?q=-19.6487710,-43.9036400","Abrir no Google Maps")</f>
        <v>Abrir no Google Maps</v>
      </c>
      <c r="S2043">
        <v>4</v>
      </c>
      <c r="T2043">
        <v>206.63717887005251</v>
      </c>
      <c r="U2043">
        <v>4</v>
      </c>
      <c r="V2043">
        <v>0.4920086208736103</v>
      </c>
      <c r="W2043">
        <v>1</v>
      </c>
      <c r="X2043">
        <v>0.4920086208736103</v>
      </c>
      <c r="Y2043">
        <v>1</v>
      </c>
      <c r="Z2043">
        <v>200.80459056276209</v>
      </c>
      <c r="AA2043">
        <v>2</v>
      </c>
      <c r="AB2043">
        <v>3</v>
      </c>
      <c r="AC2043">
        <v>7</v>
      </c>
      <c r="AD2043">
        <v>26.01</v>
      </c>
      <c r="AE2043">
        <v>253</v>
      </c>
      <c r="AF2043">
        <v>17</v>
      </c>
      <c r="AG2043">
        <v>60</v>
      </c>
      <c r="AH2043">
        <v>32</v>
      </c>
      <c r="AI2043">
        <v>6.72</v>
      </c>
      <c r="AJ2043">
        <v>23.72</v>
      </c>
      <c r="AK2043">
        <v>12.65</v>
      </c>
      <c r="AL2043">
        <v>-19.648938299999969</v>
      </c>
      <c r="AM2043">
        <v>-43.903687287450857</v>
      </c>
      <c r="AN2043">
        <v>-19.648938299999969</v>
      </c>
      <c r="AO2043">
        <v>-43.903687287450857</v>
      </c>
      <c r="AP2043">
        <v>-19.648771</v>
      </c>
      <c r="AQ2043">
        <v>-43.903640000000003</v>
      </c>
      <c r="AR2043">
        <v>19.272369946853829</v>
      </c>
      <c r="AS2043" t="s">
        <v>65</v>
      </c>
      <c r="AT2043">
        <v>1</v>
      </c>
      <c r="AU2043" t="s">
        <v>271</v>
      </c>
      <c r="AV2043" t="s">
        <v>272</v>
      </c>
      <c r="AW2043" t="s">
        <v>60</v>
      </c>
      <c r="AX2043" t="s">
        <v>68</v>
      </c>
      <c r="AY2043" t="s">
        <v>69</v>
      </c>
      <c r="AZ2043" t="b">
        <v>1</v>
      </c>
    </row>
    <row r="2044" spans="1:52" x14ac:dyDescent="0.3">
      <c r="A2044" t="s">
        <v>52</v>
      </c>
      <c r="B2044" t="s">
        <v>53</v>
      </c>
      <c r="C2044" t="s">
        <v>54</v>
      </c>
      <c r="D2044" t="s">
        <v>55</v>
      </c>
      <c r="E2044" t="s">
        <v>877</v>
      </c>
      <c r="F2044" t="s">
        <v>57</v>
      </c>
      <c r="G2044" t="s">
        <v>162</v>
      </c>
      <c r="H2044" t="s">
        <v>163</v>
      </c>
      <c r="I2044" t="s">
        <v>163</v>
      </c>
      <c r="J2044" t="s">
        <v>60</v>
      </c>
      <c r="K2044" t="s">
        <v>164</v>
      </c>
      <c r="L2044" t="s">
        <v>62</v>
      </c>
      <c r="M2044" t="s">
        <v>164</v>
      </c>
      <c r="N2044" t="s">
        <v>165</v>
      </c>
      <c r="O2044" t="s">
        <v>166</v>
      </c>
      <c r="P2044">
        <v>-19.650033000000001</v>
      </c>
      <c r="Q2044">
        <v>-43.904634000000001</v>
      </c>
      <c r="R2044" s="2" t="str">
        <f>HYPERLINK("https://www.google.com/maps?q=-19.6500330,-43.9046340","Abrir no Google Maps")</f>
        <v>Abrir no Google Maps</v>
      </c>
      <c r="S2044">
        <v>4</v>
      </c>
      <c r="T2044">
        <v>343.61469317865811</v>
      </c>
      <c r="U2044">
        <v>4</v>
      </c>
      <c r="V2044">
        <v>0.48697795000045802</v>
      </c>
      <c r="W2044">
        <v>1</v>
      </c>
      <c r="X2044">
        <v>0.48697795000045802</v>
      </c>
      <c r="Y2044">
        <v>1</v>
      </c>
      <c r="Z2044">
        <v>351.81960241626399</v>
      </c>
      <c r="AA2044">
        <v>2</v>
      </c>
      <c r="AB2044">
        <v>3</v>
      </c>
      <c r="AC2044">
        <v>7</v>
      </c>
      <c r="AD2044">
        <v>26.01</v>
      </c>
      <c r="AE2044">
        <v>253</v>
      </c>
      <c r="AF2044">
        <v>17</v>
      </c>
      <c r="AG2044">
        <v>60</v>
      </c>
      <c r="AH2044">
        <v>32</v>
      </c>
      <c r="AI2044">
        <v>6.72</v>
      </c>
      <c r="AJ2044">
        <v>23.72</v>
      </c>
      <c r="AK2044">
        <v>12.65</v>
      </c>
      <c r="AL2044">
        <v>-19.650065899999959</v>
      </c>
      <c r="AM2044">
        <v>-43.904619920569793</v>
      </c>
      <c r="AN2044">
        <v>-19.650065899999959</v>
      </c>
      <c r="AO2044">
        <v>-43.904619920569793</v>
      </c>
      <c r="AP2044">
        <v>-19.650033000000001</v>
      </c>
      <c r="AQ2044">
        <v>-43.904634000000001</v>
      </c>
      <c r="AR2044">
        <v>3.9486827164921792</v>
      </c>
      <c r="AS2044" t="s">
        <v>65</v>
      </c>
      <c r="AT2044">
        <v>1</v>
      </c>
      <c r="AU2044" t="s">
        <v>167</v>
      </c>
      <c r="AV2044" t="s">
        <v>168</v>
      </c>
      <c r="AW2044" t="s">
        <v>60</v>
      </c>
      <c r="AX2044" t="s">
        <v>68</v>
      </c>
      <c r="AY2044" t="s">
        <v>69</v>
      </c>
      <c r="AZ2044" t="b">
        <v>1</v>
      </c>
    </row>
    <row r="2045" spans="1:52" x14ac:dyDescent="0.3">
      <c r="A2045" t="s">
        <v>52</v>
      </c>
      <c r="B2045" t="s">
        <v>53</v>
      </c>
      <c r="C2045" t="s">
        <v>54</v>
      </c>
      <c r="D2045" t="s">
        <v>55</v>
      </c>
      <c r="E2045" t="s">
        <v>877</v>
      </c>
      <c r="F2045" t="s">
        <v>176</v>
      </c>
      <c r="G2045" t="s">
        <v>58</v>
      </c>
      <c r="H2045" t="s">
        <v>59</v>
      </c>
      <c r="I2045" t="s">
        <v>59</v>
      </c>
      <c r="J2045" t="s">
        <v>60</v>
      </c>
      <c r="K2045" t="s">
        <v>61</v>
      </c>
      <c r="L2045" t="s">
        <v>62</v>
      </c>
      <c r="M2045" t="s">
        <v>61</v>
      </c>
      <c r="N2045" t="s">
        <v>63</v>
      </c>
      <c r="O2045" t="s">
        <v>64</v>
      </c>
      <c r="P2045">
        <v>-19.631502000000001</v>
      </c>
      <c r="Q2045">
        <v>-43.910241999999997</v>
      </c>
      <c r="R2045" s="2" t="str">
        <f>HYPERLINK("https://www.google.com/maps?q=-19.6315020,-43.9102420","Abrir no Google Maps")</f>
        <v>Abrir no Google Maps</v>
      </c>
      <c r="S2045">
        <v>4</v>
      </c>
      <c r="T2045">
        <v>789.20099406682743</v>
      </c>
      <c r="U2045">
        <v>3</v>
      </c>
      <c r="V2045">
        <v>0.44955231178250199</v>
      </c>
      <c r="W2045">
        <v>1</v>
      </c>
      <c r="X2045">
        <v>0.44955231178250199</v>
      </c>
      <c r="Y2045">
        <v>10</v>
      </c>
      <c r="Z2045">
        <v>691.44930074509864</v>
      </c>
      <c r="AA2045">
        <v>2</v>
      </c>
      <c r="AB2045">
        <v>3</v>
      </c>
      <c r="AC2045">
        <v>7</v>
      </c>
      <c r="AD2045">
        <v>26.01</v>
      </c>
      <c r="AE2045">
        <v>253</v>
      </c>
      <c r="AF2045">
        <v>17</v>
      </c>
      <c r="AG2045">
        <v>60</v>
      </c>
      <c r="AH2045">
        <v>32</v>
      </c>
      <c r="AI2045">
        <v>6.72</v>
      </c>
      <c r="AJ2045">
        <v>23.72</v>
      </c>
      <c r="AK2045">
        <v>12.65</v>
      </c>
      <c r="AL2045">
        <v>-19.631719749999949</v>
      </c>
      <c r="AM2045">
        <v>-43.910102324517517</v>
      </c>
      <c r="AN2045">
        <v>-19.631719749999949</v>
      </c>
      <c r="AO2045">
        <v>-43.910102324517517</v>
      </c>
      <c r="AP2045">
        <v>-19.631502000000001</v>
      </c>
      <c r="AQ2045">
        <v>-43.910241999999997</v>
      </c>
      <c r="AR2045">
        <v>28.320416429206599</v>
      </c>
      <c r="AS2045" t="s">
        <v>65</v>
      </c>
      <c r="AT2045">
        <v>1</v>
      </c>
      <c r="AU2045" t="s">
        <v>66</v>
      </c>
      <c r="AV2045" t="s">
        <v>67</v>
      </c>
      <c r="AW2045" t="s">
        <v>60</v>
      </c>
      <c r="AX2045" t="s">
        <v>68</v>
      </c>
      <c r="AY2045" t="s">
        <v>69</v>
      </c>
      <c r="AZ2045" t="b">
        <v>1</v>
      </c>
    </row>
    <row r="2046" spans="1:52" x14ac:dyDescent="0.3">
      <c r="A2046" t="s">
        <v>52</v>
      </c>
      <c r="B2046" t="s">
        <v>53</v>
      </c>
      <c r="C2046" t="s">
        <v>54</v>
      </c>
      <c r="D2046" t="s">
        <v>55</v>
      </c>
      <c r="E2046" t="s">
        <v>877</v>
      </c>
      <c r="F2046" t="s">
        <v>176</v>
      </c>
      <c r="G2046" t="s">
        <v>70</v>
      </c>
      <c r="H2046" t="s">
        <v>71</v>
      </c>
      <c r="I2046" t="s">
        <v>71</v>
      </c>
      <c r="J2046" t="s">
        <v>60</v>
      </c>
      <c r="K2046" t="s">
        <v>72</v>
      </c>
      <c r="L2046" t="s">
        <v>62</v>
      </c>
      <c r="M2046" t="s">
        <v>72</v>
      </c>
      <c r="N2046" t="s">
        <v>73</v>
      </c>
      <c r="O2046" t="s">
        <v>74</v>
      </c>
      <c r="P2046">
        <v>-19.632581999999999</v>
      </c>
      <c r="Q2046">
        <v>-43.902416000000002</v>
      </c>
      <c r="R2046" s="2" t="str">
        <f>HYPERLINK("https://www.google.com/maps?q=-19.6325820,-43.9024160","Abrir no Google Maps")</f>
        <v>Abrir no Google Maps</v>
      </c>
      <c r="S2046">
        <v>4</v>
      </c>
      <c r="T2046">
        <v>0</v>
      </c>
      <c r="U2046">
        <v>3</v>
      </c>
      <c r="V2046">
        <v>0.44880534324864008</v>
      </c>
      <c r="W2046">
        <v>1</v>
      </c>
      <c r="X2046">
        <v>0.44880534324864008</v>
      </c>
      <c r="Y2046">
        <v>10</v>
      </c>
      <c r="Z2046">
        <v>146.6968158874696</v>
      </c>
      <c r="AA2046">
        <v>2</v>
      </c>
      <c r="AB2046">
        <v>3</v>
      </c>
      <c r="AC2046">
        <v>7</v>
      </c>
      <c r="AD2046">
        <v>26.01</v>
      </c>
      <c r="AE2046">
        <v>253</v>
      </c>
      <c r="AF2046">
        <v>17</v>
      </c>
      <c r="AG2046">
        <v>60</v>
      </c>
      <c r="AH2046">
        <v>32</v>
      </c>
      <c r="AI2046">
        <v>6.72</v>
      </c>
      <c r="AJ2046">
        <v>23.72</v>
      </c>
      <c r="AK2046">
        <v>12.65</v>
      </c>
      <c r="AL2046">
        <v>-19.63271449999996</v>
      </c>
      <c r="AM2046">
        <v>-43.902649897389402</v>
      </c>
      <c r="AN2046">
        <v>-19.63271449999996</v>
      </c>
      <c r="AO2046">
        <v>-43.902649897389402</v>
      </c>
      <c r="AP2046">
        <v>-19.632581999999999</v>
      </c>
      <c r="AQ2046">
        <v>-43.902416000000002</v>
      </c>
      <c r="AR2046">
        <v>28.617753432996459</v>
      </c>
      <c r="AS2046" t="s">
        <v>65</v>
      </c>
      <c r="AT2046">
        <v>1</v>
      </c>
      <c r="AU2046" t="s">
        <v>75</v>
      </c>
      <c r="AV2046" t="s">
        <v>76</v>
      </c>
      <c r="AW2046" t="s">
        <v>60</v>
      </c>
      <c r="AX2046" t="s">
        <v>68</v>
      </c>
      <c r="AY2046" t="s">
        <v>69</v>
      </c>
      <c r="AZ2046" t="b">
        <v>1</v>
      </c>
    </row>
    <row r="2047" spans="1:52" x14ac:dyDescent="0.3">
      <c r="A2047" t="s">
        <v>52</v>
      </c>
      <c r="B2047" t="s">
        <v>53</v>
      </c>
      <c r="C2047" t="s">
        <v>54</v>
      </c>
      <c r="D2047" t="s">
        <v>55</v>
      </c>
      <c r="E2047" t="s">
        <v>877</v>
      </c>
      <c r="F2047" t="s">
        <v>176</v>
      </c>
      <c r="G2047" t="s">
        <v>77</v>
      </c>
      <c r="H2047" t="s">
        <v>78</v>
      </c>
      <c r="I2047" t="s">
        <v>78</v>
      </c>
      <c r="J2047" t="s">
        <v>60</v>
      </c>
      <c r="K2047" t="s">
        <v>79</v>
      </c>
      <c r="L2047" t="s">
        <v>62</v>
      </c>
      <c r="M2047" t="s">
        <v>79</v>
      </c>
      <c r="N2047" t="s">
        <v>80</v>
      </c>
      <c r="O2047" t="s">
        <v>81</v>
      </c>
      <c r="P2047">
        <v>-19.632463999999999</v>
      </c>
      <c r="Q2047">
        <v>-43.904927999999998</v>
      </c>
      <c r="R2047" s="2" t="str">
        <f>HYPERLINK("https://www.google.com/maps?q=-19.6324640,-43.9049280","Abrir no Google Maps")</f>
        <v>Abrir no Google Maps</v>
      </c>
      <c r="S2047">
        <v>4</v>
      </c>
      <c r="T2047">
        <v>244.1735197453369</v>
      </c>
      <c r="U2047">
        <v>3</v>
      </c>
      <c r="V2047">
        <v>0.45470709339322468</v>
      </c>
      <c r="W2047">
        <v>1</v>
      </c>
      <c r="X2047">
        <v>0.45470709339322468</v>
      </c>
      <c r="Y2047">
        <v>10</v>
      </c>
      <c r="Z2047">
        <v>287.26068152447448</v>
      </c>
      <c r="AA2047">
        <v>2</v>
      </c>
      <c r="AB2047">
        <v>3</v>
      </c>
      <c r="AC2047">
        <v>7</v>
      </c>
      <c r="AD2047">
        <v>26.01</v>
      </c>
      <c r="AE2047">
        <v>253</v>
      </c>
      <c r="AF2047">
        <v>17</v>
      </c>
      <c r="AG2047">
        <v>60</v>
      </c>
      <c r="AH2047">
        <v>32</v>
      </c>
      <c r="AI2047">
        <v>6.72</v>
      </c>
      <c r="AJ2047">
        <v>23.72</v>
      </c>
      <c r="AK2047">
        <v>12.65</v>
      </c>
      <c r="AL2047">
        <v>-19.63247099999996</v>
      </c>
      <c r="AM2047">
        <v>-43.904964174285787</v>
      </c>
      <c r="AN2047">
        <v>-19.63247099999996</v>
      </c>
      <c r="AO2047">
        <v>-43.904964174285787</v>
      </c>
      <c r="AP2047">
        <v>-19.632463999999999</v>
      </c>
      <c r="AQ2047">
        <v>-43.904927999999998</v>
      </c>
      <c r="AR2047">
        <v>3.8720457500200469</v>
      </c>
      <c r="AS2047" t="s">
        <v>65</v>
      </c>
      <c r="AT2047">
        <v>1</v>
      </c>
      <c r="AU2047" t="s">
        <v>82</v>
      </c>
      <c r="AV2047" t="s">
        <v>83</v>
      </c>
      <c r="AW2047" t="s">
        <v>60</v>
      </c>
      <c r="AX2047" t="s">
        <v>68</v>
      </c>
      <c r="AY2047" t="s">
        <v>69</v>
      </c>
      <c r="AZ2047" t="b">
        <v>1</v>
      </c>
    </row>
    <row r="2048" spans="1:52" x14ac:dyDescent="0.3">
      <c r="A2048" t="s">
        <v>52</v>
      </c>
      <c r="B2048" t="s">
        <v>53</v>
      </c>
      <c r="C2048" t="s">
        <v>54</v>
      </c>
      <c r="D2048" t="s">
        <v>55</v>
      </c>
      <c r="E2048" t="s">
        <v>877</v>
      </c>
      <c r="F2048" t="s">
        <v>176</v>
      </c>
      <c r="G2048" t="s">
        <v>97</v>
      </c>
      <c r="H2048" t="s">
        <v>98</v>
      </c>
      <c r="I2048" t="s">
        <v>98</v>
      </c>
      <c r="J2048" t="s">
        <v>60</v>
      </c>
      <c r="K2048" t="s">
        <v>99</v>
      </c>
      <c r="L2048" t="s">
        <v>62</v>
      </c>
      <c r="M2048" t="s">
        <v>99</v>
      </c>
      <c r="N2048" t="s">
        <v>100</v>
      </c>
      <c r="O2048" t="s">
        <v>101</v>
      </c>
      <c r="P2048">
        <v>-19.629822000000001</v>
      </c>
      <c r="Q2048">
        <v>-43.905341</v>
      </c>
      <c r="R2048" s="2" t="str">
        <f>HYPERLINK("https://www.google.com/maps?q=-19.6298220,-43.9053410","Abrir no Google Maps")</f>
        <v>Abrir no Google Maps</v>
      </c>
      <c r="S2048">
        <v>4</v>
      </c>
      <c r="T2048">
        <v>441.30597341744129</v>
      </c>
      <c r="U2048">
        <v>3</v>
      </c>
      <c r="V2048">
        <v>0.44704614480258648</v>
      </c>
      <c r="W2048">
        <v>1</v>
      </c>
      <c r="X2048">
        <v>0.44704614480258648</v>
      </c>
      <c r="Y2048">
        <v>10</v>
      </c>
      <c r="Z2048">
        <v>513.56493751010987</v>
      </c>
      <c r="AA2048">
        <v>2</v>
      </c>
      <c r="AB2048">
        <v>3</v>
      </c>
      <c r="AC2048">
        <v>7</v>
      </c>
      <c r="AD2048">
        <v>26.01</v>
      </c>
      <c r="AE2048">
        <v>253</v>
      </c>
      <c r="AF2048">
        <v>17</v>
      </c>
      <c r="AG2048">
        <v>60</v>
      </c>
      <c r="AH2048">
        <v>32</v>
      </c>
      <c r="AI2048">
        <v>6.72</v>
      </c>
      <c r="AJ2048">
        <v>23.72</v>
      </c>
      <c r="AK2048">
        <v>12.65</v>
      </c>
      <c r="AL2048">
        <v>-19.629671599999941</v>
      </c>
      <c r="AM2048">
        <v>-43.905369597920988</v>
      </c>
      <c r="AN2048">
        <v>-19.629671599999931</v>
      </c>
      <c r="AO2048">
        <v>-43.905369597920988</v>
      </c>
      <c r="AP2048">
        <v>-19.629822000000001</v>
      </c>
      <c r="AQ2048">
        <v>-43.905341</v>
      </c>
      <c r="AR2048">
        <v>17.008917699186132</v>
      </c>
      <c r="AS2048" t="s">
        <v>65</v>
      </c>
      <c r="AT2048">
        <v>1</v>
      </c>
      <c r="AU2048" t="s">
        <v>102</v>
      </c>
      <c r="AV2048" t="s">
        <v>103</v>
      </c>
      <c r="AW2048" t="s">
        <v>60</v>
      </c>
      <c r="AX2048" t="s">
        <v>68</v>
      </c>
      <c r="AY2048" t="s">
        <v>69</v>
      </c>
      <c r="AZ2048" t="b">
        <v>1</v>
      </c>
    </row>
    <row r="2049" spans="1:52" x14ac:dyDescent="0.3">
      <c r="A2049" t="s">
        <v>52</v>
      </c>
      <c r="B2049" t="s">
        <v>53</v>
      </c>
      <c r="C2049" t="s">
        <v>54</v>
      </c>
      <c r="D2049" t="s">
        <v>55</v>
      </c>
      <c r="E2049" t="s">
        <v>877</v>
      </c>
      <c r="F2049" t="s">
        <v>176</v>
      </c>
      <c r="G2049" t="s">
        <v>805</v>
      </c>
      <c r="H2049" t="s">
        <v>806</v>
      </c>
      <c r="I2049" t="s">
        <v>806</v>
      </c>
      <c r="J2049" t="s">
        <v>60</v>
      </c>
      <c r="K2049" t="s">
        <v>185</v>
      </c>
      <c r="L2049" t="s">
        <v>62</v>
      </c>
      <c r="M2049" t="s">
        <v>185</v>
      </c>
      <c r="N2049" t="s">
        <v>807</v>
      </c>
      <c r="O2049" t="s">
        <v>808</v>
      </c>
      <c r="P2049">
        <v>-19.627182000000001</v>
      </c>
      <c r="Q2049">
        <v>-43.902304999999998</v>
      </c>
      <c r="R2049" s="2" t="str">
        <f>HYPERLINK("https://www.google.com/maps?q=-19.6271820,-43.9023050","Abrir no Google Maps")</f>
        <v>Abrir no Google Maps</v>
      </c>
      <c r="S2049">
        <v>4</v>
      </c>
      <c r="T2049">
        <v>616.79254108479665</v>
      </c>
      <c r="U2049">
        <v>3</v>
      </c>
      <c r="V2049">
        <v>0.5043990703851261</v>
      </c>
      <c r="W2049">
        <v>0.85</v>
      </c>
      <c r="X2049">
        <v>0.42873920982735719</v>
      </c>
      <c r="Y2049">
        <v>7</v>
      </c>
      <c r="Z2049">
        <v>380.94095493365262</v>
      </c>
      <c r="AA2049">
        <v>2</v>
      </c>
      <c r="AB2049">
        <v>3</v>
      </c>
      <c r="AC2049">
        <v>7</v>
      </c>
      <c r="AD2049">
        <v>26.01</v>
      </c>
      <c r="AE2049">
        <v>253</v>
      </c>
      <c r="AF2049">
        <v>17</v>
      </c>
      <c r="AG2049">
        <v>60</v>
      </c>
      <c r="AH2049">
        <v>32</v>
      </c>
      <c r="AI2049">
        <v>6.72</v>
      </c>
      <c r="AJ2049">
        <v>23.72</v>
      </c>
      <c r="AK2049">
        <v>12.65</v>
      </c>
      <c r="AL2049">
        <v>-19.62716294999996</v>
      </c>
      <c r="AM2049">
        <v>-43.902133386240209</v>
      </c>
      <c r="AN2049">
        <v>-19.62716294999996</v>
      </c>
      <c r="AO2049">
        <v>-43.902133386240209</v>
      </c>
      <c r="AP2049">
        <v>-19.627182000000001</v>
      </c>
      <c r="AQ2049">
        <v>-43.902304999999998</v>
      </c>
      <c r="AR2049">
        <v>18.118597424375309</v>
      </c>
      <c r="AS2049" t="s">
        <v>65</v>
      </c>
      <c r="AT2049">
        <v>1</v>
      </c>
      <c r="AU2049" t="s">
        <v>809</v>
      </c>
      <c r="AV2049" t="s">
        <v>810</v>
      </c>
      <c r="AW2049" t="s">
        <v>60</v>
      </c>
      <c r="AX2049" t="s">
        <v>68</v>
      </c>
      <c r="AY2049" t="s">
        <v>69</v>
      </c>
      <c r="AZ2049" t="b">
        <v>1</v>
      </c>
    </row>
    <row r="2050" spans="1:52" x14ac:dyDescent="0.3">
      <c r="A2050" t="s">
        <v>52</v>
      </c>
      <c r="B2050" t="s">
        <v>53</v>
      </c>
      <c r="C2050" t="s">
        <v>54</v>
      </c>
      <c r="D2050" t="s">
        <v>55</v>
      </c>
      <c r="E2050" t="s">
        <v>877</v>
      </c>
      <c r="F2050" t="s">
        <v>176</v>
      </c>
      <c r="G2050" t="s">
        <v>177</v>
      </c>
      <c r="H2050" t="s">
        <v>178</v>
      </c>
      <c r="I2050" t="s">
        <v>178</v>
      </c>
      <c r="J2050" t="s">
        <v>60</v>
      </c>
      <c r="K2050" t="s">
        <v>179</v>
      </c>
      <c r="L2050" t="s">
        <v>62</v>
      </c>
      <c r="M2050" t="s">
        <v>179</v>
      </c>
      <c r="N2050" t="s">
        <v>180</v>
      </c>
      <c r="O2050" t="s">
        <v>120</v>
      </c>
      <c r="P2050">
        <v>-19.651526</v>
      </c>
      <c r="Q2050">
        <v>-43.891382999999998</v>
      </c>
      <c r="R2050" s="2" t="str">
        <f>HYPERLINK("https://www.google.com/maps?q=-19.6515260,-43.8913830","Abrir no Google Maps")</f>
        <v>Abrir no Google Maps</v>
      </c>
      <c r="S2050">
        <v>4</v>
      </c>
      <c r="T2050">
        <v>925.67779296789433</v>
      </c>
      <c r="U2050">
        <v>3</v>
      </c>
      <c r="V2050">
        <v>0.44537490228068388</v>
      </c>
      <c r="W2050">
        <v>1</v>
      </c>
      <c r="X2050">
        <v>0.44537490228068388</v>
      </c>
      <c r="Y2050">
        <v>7</v>
      </c>
      <c r="Z2050">
        <v>1193.102297436121</v>
      </c>
      <c r="AA2050">
        <v>2</v>
      </c>
      <c r="AB2050">
        <v>3</v>
      </c>
      <c r="AC2050">
        <v>7</v>
      </c>
      <c r="AD2050">
        <v>26.01</v>
      </c>
      <c r="AE2050">
        <v>253</v>
      </c>
      <c r="AF2050">
        <v>17</v>
      </c>
      <c r="AG2050">
        <v>60</v>
      </c>
      <c r="AH2050">
        <v>32</v>
      </c>
      <c r="AI2050">
        <v>6.72</v>
      </c>
      <c r="AJ2050">
        <v>23.72</v>
      </c>
      <c r="AK2050">
        <v>12.65</v>
      </c>
      <c r="AL2050">
        <v>-19.651590199999958</v>
      </c>
      <c r="AM2050">
        <v>-43.891399191449963</v>
      </c>
      <c r="AN2050">
        <v>-19.651590199999958</v>
      </c>
      <c r="AO2050">
        <v>-43.891399191449963</v>
      </c>
      <c r="AP2050">
        <v>-19.651526</v>
      </c>
      <c r="AQ2050">
        <v>-43.891382999999998</v>
      </c>
      <c r="AR2050">
        <v>7.3455622550785931</v>
      </c>
      <c r="AS2050" t="s">
        <v>65</v>
      </c>
      <c r="AT2050">
        <v>1</v>
      </c>
      <c r="AU2050" t="s">
        <v>181</v>
      </c>
      <c r="AV2050" t="s">
        <v>182</v>
      </c>
      <c r="AW2050" t="s">
        <v>60</v>
      </c>
      <c r="AX2050" t="s">
        <v>68</v>
      </c>
      <c r="AY2050" t="s">
        <v>69</v>
      </c>
      <c r="AZ2050" t="b">
        <v>1</v>
      </c>
    </row>
    <row r="2051" spans="1:52" x14ac:dyDescent="0.3">
      <c r="A2051" t="s">
        <v>52</v>
      </c>
      <c r="B2051" t="s">
        <v>53</v>
      </c>
      <c r="C2051" t="s">
        <v>54</v>
      </c>
      <c r="D2051" t="s">
        <v>55</v>
      </c>
      <c r="E2051" t="s">
        <v>877</v>
      </c>
      <c r="F2051" t="s">
        <v>176</v>
      </c>
      <c r="G2051" t="s">
        <v>617</v>
      </c>
      <c r="H2051" t="s">
        <v>618</v>
      </c>
      <c r="I2051" t="s">
        <v>618</v>
      </c>
      <c r="J2051" t="s">
        <v>60</v>
      </c>
      <c r="K2051" t="s">
        <v>164</v>
      </c>
      <c r="L2051" t="s">
        <v>62</v>
      </c>
      <c r="M2051" t="s">
        <v>164</v>
      </c>
      <c r="N2051" t="s">
        <v>619</v>
      </c>
      <c r="O2051" t="s">
        <v>533</v>
      </c>
      <c r="P2051">
        <v>-19.647825000000001</v>
      </c>
      <c r="Q2051">
        <v>-43.908369</v>
      </c>
      <c r="R2051" s="2" t="str">
        <f>HYPERLINK("https://www.google.com/maps?q=-19.6478250,-43.9083690","Abrir no Google Maps")</f>
        <v>Abrir no Google Maps</v>
      </c>
      <c r="S2051">
        <v>4</v>
      </c>
      <c r="T2051">
        <v>492.67524679338959</v>
      </c>
      <c r="U2051">
        <v>3</v>
      </c>
      <c r="V2051">
        <v>0.45796535589228721</v>
      </c>
      <c r="W2051">
        <v>1</v>
      </c>
      <c r="X2051">
        <v>0.45796535589228721</v>
      </c>
      <c r="Y2051">
        <v>4</v>
      </c>
      <c r="Z2051">
        <v>410.3082448803296</v>
      </c>
      <c r="AA2051">
        <v>2</v>
      </c>
      <c r="AB2051">
        <v>3</v>
      </c>
      <c r="AC2051">
        <v>7</v>
      </c>
      <c r="AD2051">
        <v>26.01</v>
      </c>
      <c r="AE2051">
        <v>253</v>
      </c>
      <c r="AF2051">
        <v>17</v>
      </c>
      <c r="AG2051">
        <v>60</v>
      </c>
      <c r="AH2051">
        <v>32</v>
      </c>
      <c r="AI2051">
        <v>6.72</v>
      </c>
      <c r="AJ2051">
        <v>23.72</v>
      </c>
      <c r="AK2051">
        <v>12.65</v>
      </c>
      <c r="AL2051">
        <v>-19.647879399999969</v>
      </c>
      <c r="AM2051">
        <v>-43.908372097349897</v>
      </c>
      <c r="AN2051">
        <v>-19.647879399999969</v>
      </c>
      <c r="AO2051">
        <v>-43.908372097349897</v>
      </c>
      <c r="AP2051">
        <v>-19.647825000000001</v>
      </c>
      <c r="AQ2051">
        <v>-43.908369</v>
      </c>
      <c r="AR2051">
        <v>6.06450779015137</v>
      </c>
      <c r="AS2051" t="s">
        <v>65</v>
      </c>
      <c r="AT2051">
        <v>1</v>
      </c>
      <c r="AU2051" t="s">
        <v>620</v>
      </c>
      <c r="AV2051" t="s">
        <v>621</v>
      </c>
      <c r="AW2051" t="s">
        <v>60</v>
      </c>
      <c r="AX2051" t="s">
        <v>68</v>
      </c>
      <c r="AY2051" t="s">
        <v>69</v>
      </c>
      <c r="AZ2051" t="b">
        <v>1</v>
      </c>
    </row>
    <row r="2052" spans="1:52" x14ac:dyDescent="0.3">
      <c r="A2052" t="s">
        <v>52</v>
      </c>
      <c r="B2052" t="s">
        <v>53</v>
      </c>
      <c r="C2052" t="s">
        <v>54</v>
      </c>
      <c r="D2052" t="s">
        <v>55</v>
      </c>
      <c r="E2052" t="s">
        <v>877</v>
      </c>
      <c r="F2052" t="s">
        <v>176</v>
      </c>
      <c r="G2052" t="s">
        <v>190</v>
      </c>
      <c r="H2052" t="s">
        <v>191</v>
      </c>
      <c r="I2052" t="s">
        <v>191</v>
      </c>
      <c r="J2052" t="s">
        <v>60</v>
      </c>
      <c r="K2052" t="s">
        <v>192</v>
      </c>
      <c r="L2052" t="s">
        <v>62</v>
      </c>
      <c r="M2052" t="s">
        <v>192</v>
      </c>
      <c r="N2052" t="s">
        <v>193</v>
      </c>
      <c r="O2052" t="s">
        <v>194</v>
      </c>
      <c r="P2052">
        <v>-19.654112000000001</v>
      </c>
      <c r="Q2052">
        <v>-43.910761999999998</v>
      </c>
      <c r="R2052" s="2" t="str">
        <f>HYPERLINK("https://www.google.com/maps?q=-19.6541120,-43.9107620","Abrir no Google Maps")</f>
        <v>Abrir no Google Maps</v>
      </c>
      <c r="S2052">
        <v>4</v>
      </c>
      <c r="T2052">
        <v>1080.0524626304521</v>
      </c>
      <c r="U2052">
        <v>3</v>
      </c>
      <c r="V2052">
        <v>0.4416916916916917</v>
      </c>
      <c r="W2052">
        <v>1</v>
      </c>
      <c r="X2052">
        <v>0.4416916916916917</v>
      </c>
      <c r="Y2052">
        <v>4</v>
      </c>
      <c r="Z2052">
        <v>666.99022879086885</v>
      </c>
      <c r="AA2052">
        <v>2</v>
      </c>
      <c r="AB2052">
        <v>3</v>
      </c>
      <c r="AC2052">
        <v>7</v>
      </c>
      <c r="AD2052">
        <v>26.01</v>
      </c>
      <c r="AE2052">
        <v>253</v>
      </c>
      <c r="AF2052">
        <v>17</v>
      </c>
      <c r="AG2052">
        <v>60</v>
      </c>
      <c r="AH2052">
        <v>32</v>
      </c>
      <c r="AI2052">
        <v>6.72</v>
      </c>
      <c r="AJ2052">
        <v>23.72</v>
      </c>
      <c r="AK2052">
        <v>12.65</v>
      </c>
      <c r="AL2052">
        <v>-19.653869149999959</v>
      </c>
      <c r="AM2052">
        <v>-43.911142816432779</v>
      </c>
      <c r="AN2052">
        <v>-19.653869149999959</v>
      </c>
      <c r="AO2052">
        <v>-43.911142816432779</v>
      </c>
      <c r="AP2052">
        <v>-19.654112000000001</v>
      </c>
      <c r="AQ2052">
        <v>-43.910761999999998</v>
      </c>
      <c r="AR2052">
        <v>48.214810864237499</v>
      </c>
      <c r="AS2052" t="s">
        <v>65</v>
      </c>
      <c r="AT2052">
        <v>1</v>
      </c>
      <c r="AU2052" t="s">
        <v>195</v>
      </c>
      <c r="AV2052" t="s">
        <v>196</v>
      </c>
      <c r="AW2052" t="s">
        <v>60</v>
      </c>
      <c r="AX2052" t="s">
        <v>68</v>
      </c>
      <c r="AY2052" t="s">
        <v>69</v>
      </c>
      <c r="AZ2052" t="b">
        <v>1</v>
      </c>
    </row>
    <row r="2053" spans="1:52" x14ac:dyDescent="0.3">
      <c r="A2053" t="s">
        <v>52</v>
      </c>
      <c r="B2053" t="s">
        <v>53</v>
      </c>
      <c r="C2053" t="s">
        <v>54</v>
      </c>
      <c r="D2053" t="s">
        <v>55</v>
      </c>
      <c r="E2053" t="s">
        <v>877</v>
      </c>
      <c r="F2053" t="s">
        <v>176</v>
      </c>
      <c r="G2053" t="s">
        <v>116</v>
      </c>
      <c r="H2053" t="s">
        <v>117</v>
      </c>
      <c r="I2053" t="s">
        <v>117</v>
      </c>
      <c r="J2053" t="s">
        <v>60</v>
      </c>
      <c r="K2053" t="s">
        <v>118</v>
      </c>
      <c r="L2053" t="s">
        <v>62</v>
      </c>
      <c r="M2053" t="s">
        <v>118</v>
      </c>
      <c r="N2053" t="s">
        <v>119</v>
      </c>
      <c r="O2053" t="s">
        <v>120</v>
      </c>
      <c r="P2053">
        <v>-19.663869999999999</v>
      </c>
      <c r="Q2053">
        <v>-43.904916999999998</v>
      </c>
      <c r="R2053" s="2" t="str">
        <f>HYPERLINK("https://www.google.com/maps?q=-19.6638700,-43.9049170","Abrir no Google Maps")</f>
        <v>Abrir no Google Maps</v>
      </c>
      <c r="S2053">
        <v>4</v>
      </c>
      <c r="T2053">
        <v>0</v>
      </c>
      <c r="U2053">
        <v>3</v>
      </c>
      <c r="V2053">
        <v>0.42885286502307779</v>
      </c>
      <c r="W2053">
        <v>1</v>
      </c>
      <c r="X2053">
        <v>0.42885286502307779</v>
      </c>
      <c r="Y2053">
        <v>4</v>
      </c>
      <c r="Z2053">
        <v>1169.476938179705</v>
      </c>
      <c r="AA2053">
        <v>2</v>
      </c>
      <c r="AB2053">
        <v>3</v>
      </c>
      <c r="AC2053">
        <v>7</v>
      </c>
      <c r="AD2053">
        <v>26.01</v>
      </c>
      <c r="AE2053">
        <v>253</v>
      </c>
      <c r="AF2053">
        <v>17</v>
      </c>
      <c r="AG2053">
        <v>60</v>
      </c>
      <c r="AH2053">
        <v>32</v>
      </c>
      <c r="AI2053">
        <v>6.72</v>
      </c>
      <c r="AJ2053">
        <v>23.72</v>
      </c>
      <c r="AK2053">
        <v>12.65</v>
      </c>
      <c r="AL2053">
        <v>-19.657063599999962</v>
      </c>
      <c r="AM2053">
        <v>-43.898074976464507</v>
      </c>
      <c r="AN2053">
        <v>-19.657063599999962</v>
      </c>
      <c r="AO2053">
        <v>-43.898074976464507</v>
      </c>
      <c r="AP2053">
        <v>-19.663869999999999</v>
      </c>
      <c r="AQ2053">
        <v>-43.904916999999998</v>
      </c>
      <c r="AR2053">
        <v>1043.3426220355029</v>
      </c>
      <c r="AS2053" t="s">
        <v>65</v>
      </c>
      <c r="AT2053">
        <v>1</v>
      </c>
      <c r="AU2053" t="s">
        <v>121</v>
      </c>
      <c r="AV2053" t="s">
        <v>122</v>
      </c>
      <c r="AW2053" t="s">
        <v>60</v>
      </c>
      <c r="AX2053" t="s">
        <v>68</v>
      </c>
      <c r="AY2053" t="s">
        <v>69</v>
      </c>
      <c r="AZ2053" t="b">
        <v>1</v>
      </c>
    </row>
    <row r="2054" spans="1:52" x14ac:dyDescent="0.3">
      <c r="A2054" t="s">
        <v>52</v>
      </c>
      <c r="B2054" t="s">
        <v>53</v>
      </c>
      <c r="C2054" t="s">
        <v>54</v>
      </c>
      <c r="D2054" t="s">
        <v>55</v>
      </c>
      <c r="E2054" t="s">
        <v>877</v>
      </c>
      <c r="F2054" t="s">
        <v>176</v>
      </c>
      <c r="G2054" t="s">
        <v>204</v>
      </c>
      <c r="H2054" t="s">
        <v>205</v>
      </c>
      <c r="I2054" t="s">
        <v>205</v>
      </c>
      <c r="J2054" t="s">
        <v>60</v>
      </c>
      <c r="K2054" t="s">
        <v>171</v>
      </c>
      <c r="L2054" t="s">
        <v>62</v>
      </c>
      <c r="M2054" t="s">
        <v>171</v>
      </c>
      <c r="N2054" t="s">
        <v>206</v>
      </c>
      <c r="O2054" t="s">
        <v>207</v>
      </c>
      <c r="P2054">
        <v>-19.674109000000001</v>
      </c>
      <c r="Q2054">
        <v>-43.890711000000003</v>
      </c>
      <c r="R2054" s="2" t="str">
        <f>HYPERLINK("https://www.google.com/maps?q=-19.6741090,-43.8907110","Abrir no Google Maps")</f>
        <v>Abrir no Google Maps</v>
      </c>
      <c r="S2054">
        <v>4</v>
      </c>
      <c r="T2054">
        <v>396.53059443764772</v>
      </c>
      <c r="U2054">
        <v>3</v>
      </c>
      <c r="V2054">
        <v>0.46101540771760618</v>
      </c>
      <c r="W2054">
        <v>1</v>
      </c>
      <c r="X2054">
        <v>0.46101540771760618</v>
      </c>
      <c r="Y2054">
        <v>3</v>
      </c>
      <c r="Z2054">
        <v>499.22520255557538</v>
      </c>
      <c r="AA2054">
        <v>2</v>
      </c>
      <c r="AB2054">
        <v>3</v>
      </c>
      <c r="AC2054">
        <v>7</v>
      </c>
      <c r="AD2054">
        <v>26.01</v>
      </c>
      <c r="AE2054">
        <v>253</v>
      </c>
      <c r="AF2054">
        <v>17</v>
      </c>
      <c r="AG2054">
        <v>60</v>
      </c>
      <c r="AH2054">
        <v>32</v>
      </c>
      <c r="AI2054">
        <v>6.72</v>
      </c>
      <c r="AJ2054">
        <v>23.72</v>
      </c>
      <c r="AK2054">
        <v>12.65</v>
      </c>
      <c r="AL2054">
        <v>-19.67362479999997</v>
      </c>
      <c r="AM2054">
        <v>-43.89068378253377</v>
      </c>
      <c r="AN2054">
        <v>-19.67362479999997</v>
      </c>
      <c r="AO2054">
        <v>-43.89068378253377</v>
      </c>
      <c r="AP2054">
        <v>-19.674109000000001</v>
      </c>
      <c r="AQ2054">
        <v>-43.890711000000003</v>
      </c>
      <c r="AR2054">
        <v>53.976595260276227</v>
      </c>
      <c r="AS2054" t="s">
        <v>65</v>
      </c>
      <c r="AT2054">
        <v>1</v>
      </c>
      <c r="AU2054" t="s">
        <v>208</v>
      </c>
      <c r="AV2054" t="s">
        <v>209</v>
      </c>
      <c r="AW2054" t="s">
        <v>60</v>
      </c>
      <c r="AX2054" t="s">
        <v>68</v>
      </c>
      <c r="AY2054" t="s">
        <v>69</v>
      </c>
      <c r="AZ2054" t="b">
        <v>1</v>
      </c>
    </row>
    <row r="2055" spans="1:52" x14ac:dyDescent="0.3">
      <c r="A2055" t="s">
        <v>52</v>
      </c>
      <c r="B2055" t="s">
        <v>53</v>
      </c>
      <c r="C2055" t="s">
        <v>54</v>
      </c>
      <c r="D2055" t="s">
        <v>55</v>
      </c>
      <c r="E2055" t="s">
        <v>877</v>
      </c>
      <c r="F2055" t="s">
        <v>176</v>
      </c>
      <c r="G2055" t="s">
        <v>156</v>
      </c>
      <c r="H2055" t="s">
        <v>157</v>
      </c>
      <c r="I2055" t="s">
        <v>157</v>
      </c>
      <c r="J2055" t="s">
        <v>60</v>
      </c>
      <c r="K2055" t="s">
        <v>79</v>
      </c>
      <c r="L2055" t="s">
        <v>62</v>
      </c>
      <c r="M2055" t="s">
        <v>79</v>
      </c>
      <c r="N2055" t="s">
        <v>158</v>
      </c>
      <c r="O2055" t="s">
        <v>159</v>
      </c>
      <c r="P2055">
        <v>-19.634687</v>
      </c>
      <c r="Q2055">
        <v>-43.912925999999999</v>
      </c>
      <c r="R2055" s="2" t="str">
        <f>HYPERLINK("https://www.google.com/maps?q=-19.6346870,-43.9129260","Abrir no Google Maps")</f>
        <v>Abrir no Google Maps</v>
      </c>
      <c r="S2055">
        <v>4</v>
      </c>
      <c r="T2055">
        <v>363.69725005634331</v>
      </c>
      <c r="U2055">
        <v>3</v>
      </c>
      <c r="V2055">
        <v>0.43585375634057177</v>
      </c>
      <c r="W2055">
        <v>1</v>
      </c>
      <c r="X2055">
        <v>0.43585375634057177</v>
      </c>
      <c r="Y2055">
        <v>3</v>
      </c>
      <c r="Z2055">
        <v>343.04088334900467</v>
      </c>
      <c r="AA2055">
        <v>2</v>
      </c>
      <c r="AB2055">
        <v>3</v>
      </c>
      <c r="AC2055">
        <v>7</v>
      </c>
      <c r="AD2055">
        <v>26.01</v>
      </c>
      <c r="AE2055">
        <v>253</v>
      </c>
      <c r="AF2055">
        <v>17</v>
      </c>
      <c r="AG2055">
        <v>60</v>
      </c>
      <c r="AH2055">
        <v>32</v>
      </c>
      <c r="AI2055">
        <v>6.72</v>
      </c>
      <c r="AJ2055">
        <v>23.72</v>
      </c>
      <c r="AK2055">
        <v>12.65</v>
      </c>
      <c r="AL2055">
        <v>-19.635145849999962</v>
      </c>
      <c r="AM2055">
        <v>-43.913103387269381</v>
      </c>
      <c r="AN2055">
        <v>-19.635145849999962</v>
      </c>
      <c r="AO2055">
        <v>-43.913103387269381</v>
      </c>
      <c r="AP2055">
        <v>-19.634687</v>
      </c>
      <c r="AQ2055">
        <v>-43.912925999999999</v>
      </c>
      <c r="AR2055">
        <v>54.359794849827942</v>
      </c>
      <c r="AS2055" t="s">
        <v>65</v>
      </c>
      <c r="AT2055">
        <v>1</v>
      </c>
      <c r="AU2055" t="s">
        <v>160</v>
      </c>
      <c r="AV2055" t="s">
        <v>161</v>
      </c>
      <c r="AW2055" t="s">
        <v>60</v>
      </c>
      <c r="AX2055" t="s">
        <v>68</v>
      </c>
      <c r="AY2055" t="s">
        <v>69</v>
      </c>
      <c r="AZ2055" t="b">
        <v>1</v>
      </c>
    </row>
    <row r="2056" spans="1:52" x14ac:dyDescent="0.3">
      <c r="A2056" t="s">
        <v>52</v>
      </c>
      <c r="B2056" t="s">
        <v>53</v>
      </c>
      <c r="C2056" t="s">
        <v>54</v>
      </c>
      <c r="D2056" t="s">
        <v>55</v>
      </c>
      <c r="E2056" t="s">
        <v>877</v>
      </c>
      <c r="F2056" t="s">
        <v>176</v>
      </c>
      <c r="G2056" t="s">
        <v>233</v>
      </c>
      <c r="H2056" t="s">
        <v>234</v>
      </c>
      <c r="I2056" t="s">
        <v>234</v>
      </c>
      <c r="J2056" t="s">
        <v>60</v>
      </c>
      <c r="K2056" t="s">
        <v>235</v>
      </c>
      <c r="L2056" t="s">
        <v>62</v>
      </c>
      <c r="M2056" t="s">
        <v>235</v>
      </c>
      <c r="N2056" t="s">
        <v>236</v>
      </c>
      <c r="O2056" t="s">
        <v>120</v>
      </c>
      <c r="P2056">
        <v>-19.621310000000001</v>
      </c>
      <c r="Q2056">
        <v>-43.919790999999996</v>
      </c>
      <c r="R2056" s="2" t="str">
        <f>HYPERLINK("https://www.google.com/maps?q=-19.6213100,-43.9197910","Abrir no Google Maps")</f>
        <v>Abrir no Google Maps</v>
      </c>
      <c r="S2056">
        <v>4</v>
      </c>
      <c r="T2056">
        <v>1927.7454867197271</v>
      </c>
      <c r="U2056">
        <v>3</v>
      </c>
      <c r="V2056">
        <v>0.43170112853139431</v>
      </c>
      <c r="W2056">
        <v>1</v>
      </c>
      <c r="X2056">
        <v>0.43170112853139431</v>
      </c>
      <c r="Y2056">
        <v>3</v>
      </c>
      <c r="Z2056">
        <v>1860.010741524231</v>
      </c>
      <c r="AA2056">
        <v>2</v>
      </c>
      <c r="AB2056">
        <v>3</v>
      </c>
      <c r="AC2056">
        <v>7</v>
      </c>
      <c r="AD2056">
        <v>26.01</v>
      </c>
      <c r="AE2056">
        <v>253</v>
      </c>
      <c r="AF2056">
        <v>17</v>
      </c>
      <c r="AG2056">
        <v>60</v>
      </c>
      <c r="AH2056">
        <v>32</v>
      </c>
      <c r="AI2056">
        <v>6.72</v>
      </c>
      <c r="AJ2056">
        <v>23.72</v>
      </c>
      <c r="AK2056">
        <v>12.65</v>
      </c>
      <c r="AL2056">
        <v>-19.620273649999941</v>
      </c>
      <c r="AM2056">
        <v>-43.920429283389112</v>
      </c>
      <c r="AN2056">
        <v>-19.620273649999941</v>
      </c>
      <c r="AO2056">
        <v>-43.920429283389112</v>
      </c>
      <c r="AP2056">
        <v>-19.621310000000001</v>
      </c>
      <c r="AQ2056">
        <v>-43.919790999999996</v>
      </c>
      <c r="AR2056">
        <v>133.3747125733897</v>
      </c>
      <c r="AS2056" t="s">
        <v>65</v>
      </c>
      <c r="AT2056">
        <v>1</v>
      </c>
      <c r="AU2056" t="s">
        <v>237</v>
      </c>
      <c r="AV2056" t="s">
        <v>238</v>
      </c>
      <c r="AW2056" t="s">
        <v>60</v>
      </c>
      <c r="AX2056" t="s">
        <v>68</v>
      </c>
      <c r="AY2056" t="s">
        <v>69</v>
      </c>
      <c r="AZ2056" t="b">
        <v>1</v>
      </c>
    </row>
    <row r="2057" spans="1:52" x14ac:dyDescent="0.3">
      <c r="A2057" t="s">
        <v>52</v>
      </c>
      <c r="B2057" t="s">
        <v>53</v>
      </c>
      <c r="C2057" t="s">
        <v>54</v>
      </c>
      <c r="D2057" t="s">
        <v>55</v>
      </c>
      <c r="E2057" t="s">
        <v>877</v>
      </c>
      <c r="F2057" t="s">
        <v>176</v>
      </c>
      <c r="G2057" t="s">
        <v>239</v>
      </c>
      <c r="H2057" t="s">
        <v>240</v>
      </c>
      <c r="I2057" t="s">
        <v>240</v>
      </c>
      <c r="J2057" t="s">
        <v>60</v>
      </c>
      <c r="K2057" t="s">
        <v>241</v>
      </c>
      <c r="L2057" t="s">
        <v>62</v>
      </c>
      <c r="M2057" t="s">
        <v>241</v>
      </c>
      <c r="N2057" t="s">
        <v>242</v>
      </c>
      <c r="O2057" t="s">
        <v>243</v>
      </c>
      <c r="P2057">
        <v>-19.64987</v>
      </c>
      <c r="Q2057">
        <v>-43.901328999999997</v>
      </c>
      <c r="R2057" s="2" t="str">
        <f>HYPERLINK("https://www.google.com/maps?q=-19.6498700,-43.9013290","Abrir no Google Maps")</f>
        <v>Abrir no Google Maps</v>
      </c>
      <c r="S2057">
        <v>4</v>
      </c>
      <c r="T2057">
        <v>379.88574886534309</v>
      </c>
      <c r="U2057">
        <v>3</v>
      </c>
      <c r="V2057">
        <v>0.43561935140882507</v>
      </c>
      <c r="W2057">
        <v>1</v>
      </c>
      <c r="X2057">
        <v>0.43561935140882507</v>
      </c>
      <c r="Y2057">
        <v>1</v>
      </c>
      <c r="Z2057">
        <v>442.33649591135162</v>
      </c>
      <c r="AA2057">
        <v>2</v>
      </c>
      <c r="AB2057">
        <v>3</v>
      </c>
      <c r="AC2057">
        <v>7</v>
      </c>
      <c r="AD2057">
        <v>26.01</v>
      </c>
      <c r="AE2057">
        <v>253</v>
      </c>
      <c r="AF2057">
        <v>17</v>
      </c>
      <c r="AG2057">
        <v>60</v>
      </c>
      <c r="AH2057">
        <v>32</v>
      </c>
      <c r="AI2057">
        <v>6.72</v>
      </c>
      <c r="AJ2057">
        <v>23.72</v>
      </c>
      <c r="AK2057">
        <v>12.65</v>
      </c>
      <c r="AL2057">
        <v>-19.64971674999995</v>
      </c>
      <c r="AM2057">
        <v>-43.901441574655102</v>
      </c>
      <c r="AN2057">
        <v>-19.64971674999995</v>
      </c>
      <c r="AO2057">
        <v>-43.901441574655102</v>
      </c>
      <c r="AP2057">
        <v>-19.64987</v>
      </c>
      <c r="AQ2057">
        <v>-43.901328999999997</v>
      </c>
      <c r="AR2057">
        <v>20.744262514610401</v>
      </c>
      <c r="AS2057" t="s">
        <v>65</v>
      </c>
      <c r="AT2057">
        <v>1</v>
      </c>
      <c r="AU2057" t="s">
        <v>244</v>
      </c>
      <c r="AV2057" t="s">
        <v>245</v>
      </c>
      <c r="AW2057" t="s">
        <v>60</v>
      </c>
      <c r="AX2057" t="s">
        <v>68</v>
      </c>
      <c r="AY2057" t="s">
        <v>69</v>
      </c>
      <c r="AZ2057" t="b">
        <v>1</v>
      </c>
    </row>
    <row r="2058" spans="1:52" x14ac:dyDescent="0.3">
      <c r="A2058" t="s">
        <v>52</v>
      </c>
      <c r="B2058" t="s">
        <v>53</v>
      </c>
      <c r="C2058" t="s">
        <v>54</v>
      </c>
      <c r="D2058" t="s">
        <v>55</v>
      </c>
      <c r="E2058" t="s">
        <v>877</v>
      </c>
      <c r="F2058" t="s">
        <v>176</v>
      </c>
      <c r="G2058" t="s">
        <v>217</v>
      </c>
      <c r="H2058" t="s">
        <v>264</v>
      </c>
      <c r="I2058" t="s">
        <v>264</v>
      </c>
      <c r="J2058" t="s">
        <v>60</v>
      </c>
      <c r="K2058" t="s">
        <v>219</v>
      </c>
      <c r="L2058" t="s">
        <v>62</v>
      </c>
      <c r="M2058" t="s">
        <v>219</v>
      </c>
      <c r="N2058" t="s">
        <v>220</v>
      </c>
      <c r="O2058" t="s">
        <v>265</v>
      </c>
      <c r="P2058">
        <v>-19.668958</v>
      </c>
      <c r="Q2058">
        <v>-43.890619999999998</v>
      </c>
      <c r="R2058" s="2" t="str">
        <f>HYPERLINK("https://www.google.com/maps?q=-19.6689580,-43.8906200","Abrir no Google Maps")</f>
        <v>Abrir no Google Maps</v>
      </c>
      <c r="S2058">
        <v>4</v>
      </c>
      <c r="T2058">
        <v>893.53138484322108</v>
      </c>
      <c r="U2058">
        <v>3</v>
      </c>
      <c r="V2058">
        <v>0.45290602358665177</v>
      </c>
      <c r="W2058">
        <v>1</v>
      </c>
      <c r="X2058">
        <v>0.45290602358665177</v>
      </c>
      <c r="Y2058">
        <v>1</v>
      </c>
      <c r="Z2058">
        <v>336.68220024294959</v>
      </c>
      <c r="AA2058">
        <v>2</v>
      </c>
      <c r="AB2058">
        <v>3</v>
      </c>
      <c r="AC2058">
        <v>7</v>
      </c>
      <c r="AD2058">
        <v>26.01</v>
      </c>
      <c r="AE2058">
        <v>253</v>
      </c>
      <c r="AF2058">
        <v>17</v>
      </c>
      <c r="AG2058">
        <v>60</v>
      </c>
      <c r="AH2058">
        <v>32</v>
      </c>
      <c r="AI2058">
        <v>6.72</v>
      </c>
      <c r="AJ2058">
        <v>23.72</v>
      </c>
      <c r="AK2058">
        <v>12.65</v>
      </c>
      <c r="AL2058">
        <v>-19.669114549999961</v>
      </c>
      <c r="AM2058">
        <v>-43.890740893526242</v>
      </c>
      <c r="AN2058">
        <v>-19.669114549999961</v>
      </c>
      <c r="AO2058">
        <v>-43.890740893526242</v>
      </c>
      <c r="AP2058">
        <v>-19.668958</v>
      </c>
      <c r="AQ2058">
        <v>-43.890619999999998</v>
      </c>
      <c r="AR2058">
        <v>21.54764375256557</v>
      </c>
      <c r="AS2058" t="s">
        <v>65</v>
      </c>
      <c r="AT2058">
        <v>1</v>
      </c>
      <c r="AU2058" t="s">
        <v>266</v>
      </c>
      <c r="AV2058" t="s">
        <v>267</v>
      </c>
      <c r="AW2058" t="s">
        <v>60</v>
      </c>
      <c r="AX2058" t="s">
        <v>68</v>
      </c>
      <c r="AY2058" t="s">
        <v>69</v>
      </c>
      <c r="AZ2058" t="b">
        <v>1</v>
      </c>
    </row>
    <row r="2059" spans="1:52" x14ac:dyDescent="0.3">
      <c r="A2059" t="s">
        <v>52</v>
      </c>
      <c r="B2059" t="s">
        <v>53</v>
      </c>
      <c r="C2059" t="s">
        <v>54</v>
      </c>
      <c r="D2059" t="s">
        <v>55</v>
      </c>
      <c r="E2059" t="s">
        <v>877</v>
      </c>
      <c r="F2059" t="s">
        <v>176</v>
      </c>
      <c r="G2059" t="s">
        <v>273</v>
      </c>
      <c r="H2059" t="s">
        <v>274</v>
      </c>
      <c r="I2059" t="s">
        <v>274</v>
      </c>
      <c r="J2059" t="s">
        <v>60</v>
      </c>
      <c r="K2059" t="s">
        <v>171</v>
      </c>
      <c r="L2059" t="s">
        <v>62</v>
      </c>
      <c r="M2059" t="s">
        <v>171</v>
      </c>
      <c r="N2059" t="s">
        <v>275</v>
      </c>
      <c r="O2059" t="s">
        <v>276</v>
      </c>
      <c r="P2059">
        <v>-19.679956000000001</v>
      </c>
      <c r="Q2059">
        <v>-43.888520999999997</v>
      </c>
      <c r="R2059" s="2" t="str">
        <f>HYPERLINK("https://www.google.com/maps?q=-19.6799560,-43.8885210","Abrir no Google Maps")</f>
        <v>Abrir no Google Maps</v>
      </c>
      <c r="S2059">
        <v>4</v>
      </c>
      <c r="T2059">
        <v>346.2974251077423</v>
      </c>
      <c r="U2059">
        <v>3</v>
      </c>
      <c r="V2059">
        <v>0.45970519013997269</v>
      </c>
      <c r="W2059">
        <v>1</v>
      </c>
      <c r="X2059">
        <v>0.45970519013997269</v>
      </c>
      <c r="Y2059">
        <v>0</v>
      </c>
      <c r="Z2059">
        <v>223.68420981797229</v>
      </c>
      <c r="AA2059">
        <v>2</v>
      </c>
      <c r="AB2059">
        <v>3</v>
      </c>
      <c r="AC2059">
        <v>7</v>
      </c>
      <c r="AD2059">
        <v>26.01</v>
      </c>
      <c r="AE2059">
        <v>253</v>
      </c>
      <c r="AF2059">
        <v>17</v>
      </c>
      <c r="AG2059">
        <v>60</v>
      </c>
      <c r="AH2059">
        <v>32</v>
      </c>
      <c r="AI2059">
        <v>6.72</v>
      </c>
      <c r="AJ2059">
        <v>23.72</v>
      </c>
      <c r="AK2059">
        <v>12.65</v>
      </c>
      <c r="AL2059">
        <v>-19.67989189999998</v>
      </c>
      <c r="AM2059">
        <v>-43.888485157753777</v>
      </c>
      <c r="AN2059">
        <v>-19.67989189999998</v>
      </c>
      <c r="AO2059">
        <v>-43.888485157753777</v>
      </c>
      <c r="AP2059">
        <v>-19.679956000000001</v>
      </c>
      <c r="AQ2059">
        <v>-43.888520999999997</v>
      </c>
      <c r="AR2059">
        <v>8.0641961934087583</v>
      </c>
      <c r="AS2059" t="s">
        <v>65</v>
      </c>
      <c r="AT2059">
        <v>1</v>
      </c>
      <c r="AU2059" t="s">
        <v>277</v>
      </c>
      <c r="AV2059" t="s">
        <v>278</v>
      </c>
      <c r="AW2059" t="s">
        <v>60</v>
      </c>
      <c r="AX2059" t="s">
        <v>68</v>
      </c>
      <c r="AY2059" t="s">
        <v>69</v>
      </c>
      <c r="AZ2059" t="b">
        <v>1</v>
      </c>
    </row>
    <row r="2060" spans="1:52" x14ac:dyDescent="0.3">
      <c r="A2060" t="s">
        <v>52</v>
      </c>
      <c r="B2060" t="s">
        <v>53</v>
      </c>
      <c r="C2060" t="s">
        <v>54</v>
      </c>
      <c r="D2060" t="s">
        <v>55</v>
      </c>
      <c r="E2060" t="s">
        <v>877</v>
      </c>
      <c r="F2060" t="s">
        <v>176</v>
      </c>
      <c r="G2060" t="s">
        <v>169</v>
      </c>
      <c r="H2060" t="s">
        <v>170</v>
      </c>
      <c r="I2060" t="s">
        <v>170</v>
      </c>
      <c r="J2060" t="s">
        <v>60</v>
      </c>
      <c r="K2060" t="s">
        <v>171</v>
      </c>
      <c r="L2060" t="s">
        <v>62</v>
      </c>
      <c r="M2060" t="s">
        <v>171</v>
      </c>
      <c r="N2060" t="s">
        <v>172</v>
      </c>
      <c r="O2060" t="s">
        <v>173</v>
      </c>
      <c r="P2060">
        <v>-19.676233</v>
      </c>
      <c r="Q2060">
        <v>-43.88861</v>
      </c>
      <c r="R2060" s="2" t="str">
        <f>HYPERLINK("https://www.google.com/maps?q=-19.6762330,-43.8886100","Abrir no Google Maps")</f>
        <v>Abrir no Google Maps</v>
      </c>
      <c r="S2060">
        <v>4</v>
      </c>
      <c r="T2060">
        <v>209.5772620412292</v>
      </c>
      <c r="U2060">
        <v>3</v>
      </c>
      <c r="V2060">
        <v>0.43920911473093638</v>
      </c>
      <c r="W2060">
        <v>1</v>
      </c>
      <c r="X2060">
        <v>0.43920911473093638</v>
      </c>
      <c r="Y2060">
        <v>0</v>
      </c>
      <c r="Z2060">
        <v>194.26571923644971</v>
      </c>
      <c r="AA2060">
        <v>2</v>
      </c>
      <c r="AB2060">
        <v>3</v>
      </c>
      <c r="AC2060">
        <v>7</v>
      </c>
      <c r="AD2060">
        <v>26.01</v>
      </c>
      <c r="AE2060">
        <v>253</v>
      </c>
      <c r="AF2060">
        <v>17</v>
      </c>
      <c r="AG2060">
        <v>60</v>
      </c>
      <c r="AH2060">
        <v>32</v>
      </c>
      <c r="AI2060">
        <v>6.72</v>
      </c>
      <c r="AJ2060">
        <v>23.72</v>
      </c>
      <c r="AK2060">
        <v>12.65</v>
      </c>
      <c r="AL2060">
        <v>-19.676097449999961</v>
      </c>
      <c r="AM2060">
        <v>-43.888455613153738</v>
      </c>
      <c r="AN2060">
        <v>-19.676097449999961</v>
      </c>
      <c r="AO2060">
        <v>-43.888455613153738</v>
      </c>
      <c r="AP2060">
        <v>-19.676233</v>
      </c>
      <c r="AQ2060">
        <v>-43.88861</v>
      </c>
      <c r="AR2060">
        <v>22.126352434234079</v>
      </c>
      <c r="AS2060" t="s">
        <v>65</v>
      </c>
      <c r="AT2060">
        <v>1</v>
      </c>
      <c r="AU2060" t="s">
        <v>174</v>
      </c>
      <c r="AV2060" t="s">
        <v>175</v>
      </c>
      <c r="AW2060" t="s">
        <v>60</v>
      </c>
      <c r="AX2060" t="s">
        <v>68</v>
      </c>
      <c r="AY2060" t="s">
        <v>69</v>
      </c>
      <c r="AZ2060" t="b">
        <v>1</v>
      </c>
    </row>
    <row r="2061" spans="1:52" x14ac:dyDescent="0.3">
      <c r="A2061" t="s">
        <v>52</v>
      </c>
      <c r="B2061" t="s">
        <v>53</v>
      </c>
      <c r="C2061" t="s">
        <v>54</v>
      </c>
      <c r="D2061" t="s">
        <v>55</v>
      </c>
      <c r="E2061" t="s">
        <v>877</v>
      </c>
      <c r="F2061" t="s">
        <v>176</v>
      </c>
      <c r="G2061" t="s">
        <v>394</v>
      </c>
      <c r="H2061" t="s">
        <v>395</v>
      </c>
      <c r="I2061" t="s">
        <v>395</v>
      </c>
      <c r="J2061" t="s">
        <v>60</v>
      </c>
      <c r="K2061" t="s">
        <v>286</v>
      </c>
      <c r="L2061" t="s">
        <v>62</v>
      </c>
      <c r="M2061" t="s">
        <v>286</v>
      </c>
      <c r="N2061" t="s">
        <v>396</v>
      </c>
      <c r="O2061" t="s">
        <v>88</v>
      </c>
      <c r="P2061">
        <v>-19.636932999999999</v>
      </c>
      <c r="Q2061">
        <v>-43.882691999999999</v>
      </c>
      <c r="R2061" s="2" t="str">
        <f>HYPERLINK("https://www.google.com/maps?q=-19.6369330,-43.8826920","Abrir no Google Maps")</f>
        <v>Abrir no Google Maps</v>
      </c>
      <c r="S2061">
        <v>3</v>
      </c>
      <c r="T2061">
        <v>523.52675813688109</v>
      </c>
      <c r="U2061">
        <v>4</v>
      </c>
      <c r="V2061">
        <v>0.47197337816364598</v>
      </c>
      <c r="W2061">
        <v>1</v>
      </c>
      <c r="X2061">
        <v>0.47197337816364598</v>
      </c>
      <c r="Y2061">
        <v>10</v>
      </c>
      <c r="Z2061">
        <v>372.58135532659509</v>
      </c>
      <c r="AA2061">
        <v>2</v>
      </c>
      <c r="AB2061">
        <v>3</v>
      </c>
      <c r="AC2061">
        <v>7</v>
      </c>
      <c r="AD2061">
        <v>26.01</v>
      </c>
      <c r="AE2061">
        <v>253</v>
      </c>
      <c r="AF2061">
        <v>17</v>
      </c>
      <c r="AG2061">
        <v>60</v>
      </c>
      <c r="AH2061">
        <v>32</v>
      </c>
      <c r="AI2061">
        <v>6.72</v>
      </c>
      <c r="AJ2061">
        <v>23.72</v>
      </c>
      <c r="AK2061">
        <v>12.65</v>
      </c>
      <c r="AL2061">
        <v>-19.637159949999951</v>
      </c>
      <c r="AM2061">
        <v>-43.882643289441461</v>
      </c>
      <c r="AN2061">
        <v>-19.637159949999951</v>
      </c>
      <c r="AO2061">
        <v>-43.882643289441461</v>
      </c>
      <c r="AP2061">
        <v>-19.636932999999999</v>
      </c>
      <c r="AQ2061">
        <v>-43.882691999999999</v>
      </c>
      <c r="AR2061">
        <v>25.775099947452478</v>
      </c>
      <c r="AS2061" t="s">
        <v>65</v>
      </c>
      <c r="AT2061">
        <v>1</v>
      </c>
      <c r="AU2061" t="s">
        <v>397</v>
      </c>
      <c r="AV2061" t="s">
        <v>398</v>
      </c>
      <c r="AW2061" t="s">
        <v>60</v>
      </c>
      <c r="AX2061" t="s">
        <v>68</v>
      </c>
      <c r="AY2061" t="s">
        <v>69</v>
      </c>
      <c r="AZ2061" t="b">
        <v>1</v>
      </c>
    </row>
    <row r="2062" spans="1:52" x14ac:dyDescent="0.3">
      <c r="A2062" t="s">
        <v>52</v>
      </c>
      <c r="B2062" t="s">
        <v>53</v>
      </c>
      <c r="C2062" t="s">
        <v>54</v>
      </c>
      <c r="D2062" t="s">
        <v>55</v>
      </c>
      <c r="E2062" t="s">
        <v>877</v>
      </c>
      <c r="F2062" t="s">
        <v>176</v>
      </c>
      <c r="G2062" t="s">
        <v>399</v>
      </c>
      <c r="H2062" t="s">
        <v>400</v>
      </c>
      <c r="I2062" t="s">
        <v>400</v>
      </c>
      <c r="J2062" t="s">
        <v>60</v>
      </c>
      <c r="K2062" t="s">
        <v>286</v>
      </c>
      <c r="L2062" t="s">
        <v>62</v>
      </c>
      <c r="M2062" t="s">
        <v>286</v>
      </c>
      <c r="N2062" t="s">
        <v>401</v>
      </c>
      <c r="O2062" t="s">
        <v>402</v>
      </c>
      <c r="P2062">
        <v>-19.639906</v>
      </c>
      <c r="Q2062">
        <v>-43.886059000000003</v>
      </c>
      <c r="R2062" s="2" t="str">
        <f>HYPERLINK("https://www.google.com/maps?q=-19.6399060,-43.8860590","Abrir no Google Maps")</f>
        <v>Abrir no Google Maps</v>
      </c>
      <c r="S2062">
        <v>3</v>
      </c>
      <c r="T2062">
        <v>256.0748811302048</v>
      </c>
      <c r="U2062">
        <v>4</v>
      </c>
      <c r="V2062">
        <v>0.47629134150873281</v>
      </c>
      <c r="W2062">
        <v>1</v>
      </c>
      <c r="X2062">
        <v>0.47629134150873281</v>
      </c>
      <c r="Y2062">
        <v>10</v>
      </c>
      <c r="Z2062">
        <v>205.06236700857289</v>
      </c>
      <c r="AA2062">
        <v>2</v>
      </c>
      <c r="AB2062">
        <v>3</v>
      </c>
      <c r="AC2062">
        <v>7</v>
      </c>
      <c r="AD2062">
        <v>26.01</v>
      </c>
      <c r="AE2062">
        <v>253</v>
      </c>
      <c r="AF2062">
        <v>17</v>
      </c>
      <c r="AG2062">
        <v>60</v>
      </c>
      <c r="AH2062">
        <v>32</v>
      </c>
      <c r="AI2062">
        <v>6.72</v>
      </c>
      <c r="AJ2062">
        <v>23.72</v>
      </c>
      <c r="AK2062">
        <v>12.65</v>
      </c>
      <c r="AL2062">
        <v>-19.639789499999949</v>
      </c>
      <c r="AM2062">
        <v>-43.885737855031408</v>
      </c>
      <c r="AN2062">
        <v>-19.639789499999949</v>
      </c>
      <c r="AO2062">
        <v>-43.885737855031408</v>
      </c>
      <c r="AP2062">
        <v>-19.639906</v>
      </c>
      <c r="AQ2062">
        <v>-43.886059000000003</v>
      </c>
      <c r="AR2062">
        <v>36.081349702130403</v>
      </c>
      <c r="AS2062" t="s">
        <v>65</v>
      </c>
      <c r="AT2062">
        <v>1</v>
      </c>
      <c r="AU2062" t="s">
        <v>403</v>
      </c>
      <c r="AV2062" t="s">
        <v>404</v>
      </c>
      <c r="AW2062" t="s">
        <v>60</v>
      </c>
      <c r="AX2062" t="s">
        <v>68</v>
      </c>
      <c r="AY2062" t="s">
        <v>69</v>
      </c>
      <c r="AZ2062" t="b">
        <v>1</v>
      </c>
    </row>
    <row r="2063" spans="1:52" x14ac:dyDescent="0.3">
      <c r="A2063" t="s">
        <v>52</v>
      </c>
      <c r="B2063" t="s">
        <v>53</v>
      </c>
      <c r="C2063" t="s">
        <v>54</v>
      </c>
      <c r="D2063" t="s">
        <v>55</v>
      </c>
      <c r="E2063" t="s">
        <v>877</v>
      </c>
      <c r="F2063" t="s">
        <v>176</v>
      </c>
      <c r="G2063" t="s">
        <v>284</v>
      </c>
      <c r="H2063" t="s">
        <v>285</v>
      </c>
      <c r="I2063" t="s">
        <v>285</v>
      </c>
      <c r="J2063" t="s">
        <v>60</v>
      </c>
      <c r="K2063" t="s">
        <v>286</v>
      </c>
      <c r="L2063" t="s">
        <v>62</v>
      </c>
      <c r="M2063" t="s">
        <v>286</v>
      </c>
      <c r="N2063" t="s">
        <v>287</v>
      </c>
      <c r="O2063" t="s">
        <v>288</v>
      </c>
      <c r="P2063">
        <v>-19.639790000000001</v>
      </c>
      <c r="Q2063">
        <v>-43.882798999999999</v>
      </c>
      <c r="R2063" s="2" t="str">
        <f>HYPERLINK("https://www.google.com/maps?q=-19.6397900,-43.8827990","Abrir no Google Maps")</f>
        <v>Abrir no Google Maps</v>
      </c>
      <c r="S2063">
        <v>3</v>
      </c>
      <c r="T2063">
        <v>242.7052058134478</v>
      </c>
      <c r="U2063">
        <v>4</v>
      </c>
      <c r="V2063">
        <v>0.48944919336654158</v>
      </c>
      <c r="W2063">
        <v>1</v>
      </c>
      <c r="X2063">
        <v>0.48944919336654158</v>
      </c>
      <c r="Y2063">
        <v>10</v>
      </c>
      <c r="Z2063">
        <v>187.2088809462339</v>
      </c>
      <c r="AA2063">
        <v>2</v>
      </c>
      <c r="AB2063">
        <v>3</v>
      </c>
      <c r="AC2063">
        <v>7</v>
      </c>
      <c r="AD2063">
        <v>26.01</v>
      </c>
      <c r="AE2063">
        <v>253</v>
      </c>
      <c r="AF2063">
        <v>17</v>
      </c>
      <c r="AG2063">
        <v>60</v>
      </c>
      <c r="AH2063">
        <v>32</v>
      </c>
      <c r="AI2063">
        <v>6.72</v>
      </c>
      <c r="AJ2063">
        <v>23.72</v>
      </c>
      <c r="AK2063">
        <v>12.65</v>
      </c>
      <c r="AL2063">
        <v>-19.639855599999951</v>
      </c>
      <c r="AM2063">
        <v>-43.882909745178452</v>
      </c>
      <c r="AN2063">
        <v>-19.639855599999951</v>
      </c>
      <c r="AO2063">
        <v>-43.882909745178452</v>
      </c>
      <c r="AP2063">
        <v>-19.639790000000001</v>
      </c>
      <c r="AQ2063">
        <v>-43.882798999999999</v>
      </c>
      <c r="AR2063">
        <v>13.716486068571211</v>
      </c>
      <c r="AS2063" t="s">
        <v>65</v>
      </c>
      <c r="AT2063">
        <v>1</v>
      </c>
      <c r="AU2063" t="s">
        <v>289</v>
      </c>
      <c r="AV2063" t="s">
        <v>290</v>
      </c>
      <c r="AW2063" t="s">
        <v>60</v>
      </c>
      <c r="AX2063" t="s">
        <v>68</v>
      </c>
      <c r="AY2063" t="s">
        <v>69</v>
      </c>
      <c r="AZ2063" t="b">
        <v>1</v>
      </c>
    </row>
    <row r="2064" spans="1:52" x14ac:dyDescent="0.3">
      <c r="A2064" t="s">
        <v>52</v>
      </c>
      <c r="B2064" t="s">
        <v>53</v>
      </c>
      <c r="C2064" t="s">
        <v>54</v>
      </c>
      <c r="D2064" t="s">
        <v>55</v>
      </c>
      <c r="E2064" t="s">
        <v>877</v>
      </c>
      <c r="F2064" t="s">
        <v>176</v>
      </c>
      <c r="G2064" t="s">
        <v>405</v>
      </c>
      <c r="H2064" t="s">
        <v>406</v>
      </c>
      <c r="I2064" t="s">
        <v>406</v>
      </c>
      <c r="J2064" t="s">
        <v>60</v>
      </c>
      <c r="K2064" t="s">
        <v>286</v>
      </c>
      <c r="L2064" t="s">
        <v>62</v>
      </c>
      <c r="M2064" t="s">
        <v>286</v>
      </c>
      <c r="N2064" t="s">
        <v>407</v>
      </c>
      <c r="O2064" t="s">
        <v>408</v>
      </c>
      <c r="P2064">
        <v>-19.646345</v>
      </c>
      <c r="Q2064">
        <v>-43.882294999999999</v>
      </c>
      <c r="R2064" s="2" t="str">
        <f>HYPERLINK("https://www.google.com/maps?q=-19.6463450,-43.8822950","Abrir no Google Maps")</f>
        <v>Abrir no Google Maps</v>
      </c>
      <c r="S2064">
        <v>3</v>
      </c>
      <c r="T2064">
        <v>450.3180538635894</v>
      </c>
      <c r="U2064">
        <v>4</v>
      </c>
      <c r="V2064">
        <v>0.46344086021505371</v>
      </c>
      <c r="W2064">
        <v>1</v>
      </c>
      <c r="X2064">
        <v>0.46344086021505371</v>
      </c>
      <c r="Y2064">
        <v>10</v>
      </c>
      <c r="Z2064">
        <v>349.23341775902583</v>
      </c>
      <c r="AA2064">
        <v>2</v>
      </c>
      <c r="AB2064">
        <v>3</v>
      </c>
      <c r="AC2064">
        <v>7</v>
      </c>
      <c r="AD2064">
        <v>26.01</v>
      </c>
      <c r="AE2064">
        <v>253</v>
      </c>
      <c r="AF2064">
        <v>17</v>
      </c>
      <c r="AG2064">
        <v>60</v>
      </c>
      <c r="AH2064">
        <v>32</v>
      </c>
      <c r="AI2064">
        <v>6.72</v>
      </c>
      <c r="AJ2064">
        <v>23.72</v>
      </c>
      <c r="AK2064">
        <v>12.65</v>
      </c>
      <c r="AL2064">
        <v>-19.646391649999941</v>
      </c>
      <c r="AM2064">
        <v>-43.882007396993302</v>
      </c>
      <c r="AN2064">
        <v>-19.646391649999941</v>
      </c>
      <c r="AO2064">
        <v>-43.882007396993302</v>
      </c>
      <c r="AP2064">
        <v>-19.646345</v>
      </c>
      <c r="AQ2064">
        <v>-43.882294999999999</v>
      </c>
      <c r="AR2064">
        <v>30.596105513395301</v>
      </c>
      <c r="AS2064" t="s">
        <v>65</v>
      </c>
      <c r="AT2064">
        <v>1</v>
      </c>
      <c r="AU2064" t="s">
        <v>409</v>
      </c>
      <c r="AV2064" t="s">
        <v>410</v>
      </c>
      <c r="AW2064" t="s">
        <v>60</v>
      </c>
      <c r="AX2064" t="s">
        <v>68</v>
      </c>
      <c r="AY2064" t="s">
        <v>69</v>
      </c>
      <c r="AZ2064" t="b">
        <v>1</v>
      </c>
    </row>
    <row r="2065" spans="1:52" x14ac:dyDescent="0.3">
      <c r="A2065" t="s">
        <v>52</v>
      </c>
      <c r="B2065" t="s">
        <v>53</v>
      </c>
      <c r="C2065" t="s">
        <v>54</v>
      </c>
      <c r="D2065" t="s">
        <v>55</v>
      </c>
      <c r="E2065" t="s">
        <v>877</v>
      </c>
      <c r="F2065" t="s">
        <v>176</v>
      </c>
      <c r="G2065" t="s">
        <v>417</v>
      </c>
      <c r="H2065" t="s">
        <v>418</v>
      </c>
      <c r="I2065" t="s">
        <v>418</v>
      </c>
      <c r="J2065" t="s">
        <v>60</v>
      </c>
      <c r="K2065" t="s">
        <v>179</v>
      </c>
      <c r="L2065" t="s">
        <v>62</v>
      </c>
      <c r="M2065" t="s">
        <v>179</v>
      </c>
      <c r="N2065" t="s">
        <v>419</v>
      </c>
      <c r="O2065" t="s">
        <v>420</v>
      </c>
      <c r="P2065">
        <v>-19.646516999999999</v>
      </c>
      <c r="Q2065">
        <v>-43.889716</v>
      </c>
      <c r="R2065" s="2" t="str">
        <f>HYPERLINK("https://www.google.com/maps?q=-19.6465170,-43.8897160","Abrir no Google Maps")</f>
        <v>Abrir no Google Maps</v>
      </c>
      <c r="S2065">
        <v>3</v>
      </c>
      <c r="T2065">
        <v>796.8355517653099</v>
      </c>
      <c r="U2065">
        <v>4</v>
      </c>
      <c r="V2065">
        <v>0.4856269811495153</v>
      </c>
      <c r="W2065">
        <v>1</v>
      </c>
      <c r="X2065">
        <v>0.4856269811495153</v>
      </c>
      <c r="Y2065">
        <v>7</v>
      </c>
      <c r="Z2065">
        <v>749.72812632947034</v>
      </c>
      <c r="AA2065">
        <v>2</v>
      </c>
      <c r="AB2065">
        <v>3</v>
      </c>
      <c r="AC2065">
        <v>7</v>
      </c>
      <c r="AD2065">
        <v>26.01</v>
      </c>
      <c r="AE2065">
        <v>253</v>
      </c>
      <c r="AF2065">
        <v>17</v>
      </c>
      <c r="AG2065">
        <v>60</v>
      </c>
      <c r="AH2065">
        <v>32</v>
      </c>
      <c r="AI2065">
        <v>6.72</v>
      </c>
      <c r="AJ2065">
        <v>23.72</v>
      </c>
      <c r="AK2065">
        <v>12.65</v>
      </c>
      <c r="AL2065">
        <v>-19.646452649999961</v>
      </c>
      <c r="AM2065">
        <v>-43.88991036523079</v>
      </c>
      <c r="AN2065">
        <v>-19.646452649999961</v>
      </c>
      <c r="AO2065">
        <v>-43.88991036523079</v>
      </c>
      <c r="AP2065">
        <v>-19.646516999999999</v>
      </c>
      <c r="AQ2065">
        <v>-43.889716</v>
      </c>
      <c r="AR2065">
        <v>21.599617922669939</v>
      </c>
      <c r="AS2065" t="s">
        <v>65</v>
      </c>
      <c r="AT2065">
        <v>1</v>
      </c>
      <c r="AU2065" t="s">
        <v>421</v>
      </c>
      <c r="AV2065" t="s">
        <v>422</v>
      </c>
      <c r="AW2065" t="s">
        <v>60</v>
      </c>
      <c r="AX2065" t="s">
        <v>68</v>
      </c>
      <c r="AY2065" t="s">
        <v>69</v>
      </c>
      <c r="AZ2065" t="b">
        <v>1</v>
      </c>
    </row>
    <row r="2066" spans="1:52" x14ac:dyDescent="0.3">
      <c r="A2066" t="s">
        <v>52</v>
      </c>
      <c r="B2066" t="s">
        <v>53</v>
      </c>
      <c r="C2066" t="s">
        <v>54</v>
      </c>
      <c r="D2066" t="s">
        <v>55</v>
      </c>
      <c r="E2066" t="s">
        <v>877</v>
      </c>
      <c r="F2066" t="s">
        <v>176</v>
      </c>
      <c r="G2066" t="s">
        <v>228</v>
      </c>
      <c r="H2066" t="s">
        <v>423</v>
      </c>
      <c r="I2066" t="s">
        <v>423</v>
      </c>
      <c r="J2066" t="s">
        <v>60</v>
      </c>
      <c r="K2066" t="s">
        <v>286</v>
      </c>
      <c r="L2066" t="s">
        <v>62</v>
      </c>
      <c r="M2066" t="s">
        <v>286</v>
      </c>
      <c r="N2066" t="s">
        <v>230</v>
      </c>
      <c r="O2066" t="s">
        <v>424</v>
      </c>
      <c r="P2066">
        <v>-19.641656999999999</v>
      </c>
      <c r="Q2066">
        <v>-43.884228999999998</v>
      </c>
      <c r="R2066" s="2" t="str">
        <f>HYPERLINK("https://www.google.com/maps?q=-19.6416570,-43.8842290","Abrir no Google Maps")</f>
        <v>Abrir no Google Maps</v>
      </c>
      <c r="S2066">
        <v>3</v>
      </c>
      <c r="T2066">
        <v>0</v>
      </c>
      <c r="U2066">
        <v>4</v>
      </c>
      <c r="V2066">
        <v>0.47248182762201452</v>
      </c>
      <c r="W2066">
        <v>1</v>
      </c>
      <c r="X2066">
        <v>0.47248182762201452</v>
      </c>
      <c r="Y2066">
        <v>7</v>
      </c>
      <c r="Z2066">
        <v>67.727401070752876</v>
      </c>
      <c r="AA2066">
        <v>2</v>
      </c>
      <c r="AB2066">
        <v>3</v>
      </c>
      <c r="AC2066">
        <v>7</v>
      </c>
      <c r="AD2066">
        <v>26.01</v>
      </c>
      <c r="AE2066">
        <v>253</v>
      </c>
      <c r="AF2066">
        <v>17</v>
      </c>
      <c r="AG2066">
        <v>60</v>
      </c>
      <c r="AH2066">
        <v>32</v>
      </c>
      <c r="AI2066">
        <v>6.72</v>
      </c>
      <c r="AJ2066">
        <v>23.72</v>
      </c>
      <c r="AK2066">
        <v>12.65</v>
      </c>
      <c r="AL2066">
        <v>-19.641634199999942</v>
      </c>
      <c r="AM2066">
        <v>-43.884263743972831</v>
      </c>
      <c r="AN2066">
        <v>-19.641634199999942</v>
      </c>
      <c r="AO2066">
        <v>-43.884263743972831</v>
      </c>
      <c r="AP2066">
        <v>-19.641656999999999</v>
      </c>
      <c r="AQ2066">
        <v>-43.884228999999998</v>
      </c>
      <c r="AR2066">
        <v>4.4396888961435659</v>
      </c>
      <c r="AS2066" t="s">
        <v>65</v>
      </c>
      <c r="AT2066">
        <v>1</v>
      </c>
      <c r="AU2066" t="s">
        <v>425</v>
      </c>
      <c r="AV2066" t="s">
        <v>426</v>
      </c>
      <c r="AW2066" t="s">
        <v>60</v>
      </c>
      <c r="AX2066" t="s">
        <v>68</v>
      </c>
      <c r="AY2066" t="s">
        <v>69</v>
      </c>
      <c r="AZ2066" t="b">
        <v>1</v>
      </c>
    </row>
    <row r="2067" spans="1:52" x14ac:dyDescent="0.3">
      <c r="A2067" t="s">
        <v>52</v>
      </c>
      <c r="B2067" t="s">
        <v>53</v>
      </c>
      <c r="C2067" t="s">
        <v>54</v>
      </c>
      <c r="D2067" t="s">
        <v>55</v>
      </c>
      <c r="E2067" t="s">
        <v>877</v>
      </c>
      <c r="F2067" t="s">
        <v>176</v>
      </c>
      <c r="G2067" t="s">
        <v>309</v>
      </c>
      <c r="H2067" t="s">
        <v>316</v>
      </c>
      <c r="I2067" t="s">
        <v>316</v>
      </c>
      <c r="J2067" t="s">
        <v>60</v>
      </c>
      <c r="K2067" t="s">
        <v>311</v>
      </c>
      <c r="L2067" t="s">
        <v>62</v>
      </c>
      <c r="M2067" t="s">
        <v>311</v>
      </c>
      <c r="N2067" t="s">
        <v>317</v>
      </c>
      <c r="O2067" t="s">
        <v>313</v>
      </c>
      <c r="P2067">
        <v>-19.580131999999999</v>
      </c>
      <c r="Q2067">
        <v>-43.918303000000002</v>
      </c>
      <c r="R2067" s="2" t="str">
        <f>HYPERLINK("https://www.google.com/maps?q=-19.5801320,-43.9183030","Abrir no Google Maps")</f>
        <v>Abrir no Google Maps</v>
      </c>
      <c r="S2067">
        <v>3</v>
      </c>
      <c r="T2067">
        <v>665.05989403461285</v>
      </c>
      <c r="U2067">
        <v>4</v>
      </c>
      <c r="V2067">
        <v>0.48076980367622962</v>
      </c>
      <c r="W2067">
        <v>1</v>
      </c>
      <c r="X2067">
        <v>0.48076980367622962</v>
      </c>
      <c r="Y2067">
        <v>5</v>
      </c>
      <c r="Z2067">
        <v>743.64474333505098</v>
      </c>
      <c r="AA2067">
        <v>2</v>
      </c>
      <c r="AB2067">
        <v>3</v>
      </c>
      <c r="AC2067">
        <v>7</v>
      </c>
      <c r="AD2067">
        <v>26.01</v>
      </c>
      <c r="AE2067">
        <v>253</v>
      </c>
      <c r="AF2067">
        <v>17</v>
      </c>
      <c r="AG2067">
        <v>60</v>
      </c>
      <c r="AH2067">
        <v>32</v>
      </c>
      <c r="AI2067">
        <v>6.72</v>
      </c>
      <c r="AJ2067">
        <v>23.72</v>
      </c>
      <c r="AK2067">
        <v>12.65</v>
      </c>
      <c r="AL2067">
        <v>-19.58010349999995</v>
      </c>
      <c r="AM2067">
        <v>-43.918363319288602</v>
      </c>
      <c r="AN2067">
        <v>-19.58010349999995</v>
      </c>
      <c r="AO2067">
        <v>-43.918363319288602</v>
      </c>
      <c r="AP2067">
        <v>-19.580131999999999</v>
      </c>
      <c r="AQ2067">
        <v>-43.918303000000002</v>
      </c>
      <c r="AR2067">
        <v>7.0773977790944862</v>
      </c>
      <c r="AS2067" t="s">
        <v>65</v>
      </c>
      <c r="AT2067">
        <v>1</v>
      </c>
      <c r="AU2067" t="s">
        <v>318</v>
      </c>
      <c r="AV2067" t="s">
        <v>319</v>
      </c>
      <c r="AW2067" t="s">
        <v>60</v>
      </c>
      <c r="AX2067" t="s">
        <v>68</v>
      </c>
      <c r="AY2067" t="s">
        <v>69</v>
      </c>
      <c r="AZ2067" t="b">
        <v>1</v>
      </c>
    </row>
    <row r="2068" spans="1:52" x14ac:dyDescent="0.3">
      <c r="A2068" t="s">
        <v>52</v>
      </c>
      <c r="B2068" t="s">
        <v>53</v>
      </c>
      <c r="C2068" t="s">
        <v>54</v>
      </c>
      <c r="D2068" t="s">
        <v>55</v>
      </c>
      <c r="E2068" t="s">
        <v>877</v>
      </c>
      <c r="F2068" t="s">
        <v>176</v>
      </c>
      <c r="G2068" t="s">
        <v>427</v>
      </c>
      <c r="H2068" t="s">
        <v>428</v>
      </c>
      <c r="I2068" t="s">
        <v>428</v>
      </c>
      <c r="J2068" t="s">
        <v>60</v>
      </c>
      <c r="K2068" t="s">
        <v>311</v>
      </c>
      <c r="L2068" t="s">
        <v>62</v>
      </c>
      <c r="M2068" t="s">
        <v>311</v>
      </c>
      <c r="N2068" t="s">
        <v>429</v>
      </c>
      <c r="O2068" t="s">
        <v>430</v>
      </c>
      <c r="P2068">
        <v>-19.574636999999999</v>
      </c>
      <c r="Q2068">
        <v>-43.919919999999998</v>
      </c>
      <c r="R2068" s="2" t="str">
        <f>HYPERLINK("https://www.google.com/maps?q=-19.5746370,-43.9199200","Abrir no Google Maps")</f>
        <v>Abrir no Google Maps</v>
      </c>
      <c r="S2068">
        <v>3</v>
      </c>
      <c r="T2068">
        <v>0</v>
      </c>
      <c r="U2068">
        <v>4</v>
      </c>
      <c r="V2068">
        <v>0.47046550111518809</v>
      </c>
      <c r="W2068">
        <v>1</v>
      </c>
      <c r="X2068">
        <v>0.47046550111518809</v>
      </c>
      <c r="Y2068">
        <v>5</v>
      </c>
      <c r="Z2068">
        <v>161.2304444692663</v>
      </c>
      <c r="AA2068">
        <v>2</v>
      </c>
      <c r="AB2068">
        <v>3</v>
      </c>
      <c r="AC2068">
        <v>7</v>
      </c>
      <c r="AD2068">
        <v>26.01</v>
      </c>
      <c r="AE2068">
        <v>253</v>
      </c>
      <c r="AF2068">
        <v>17</v>
      </c>
      <c r="AG2068">
        <v>60</v>
      </c>
      <c r="AH2068">
        <v>32</v>
      </c>
      <c r="AI2068">
        <v>6.72</v>
      </c>
      <c r="AJ2068">
        <v>23.72</v>
      </c>
      <c r="AK2068">
        <v>12.65</v>
      </c>
      <c r="AL2068">
        <v>-19.57444484999996</v>
      </c>
      <c r="AM2068">
        <v>-43.920497272225433</v>
      </c>
      <c r="AN2068">
        <v>-19.57444484999996</v>
      </c>
      <c r="AO2068">
        <v>-43.920497272225433</v>
      </c>
      <c r="AP2068">
        <v>-19.574636999999999</v>
      </c>
      <c r="AQ2068">
        <v>-43.919919999999998</v>
      </c>
      <c r="AR2068">
        <v>64.215298992893679</v>
      </c>
      <c r="AS2068" t="s">
        <v>65</v>
      </c>
      <c r="AT2068">
        <v>1</v>
      </c>
      <c r="AU2068" t="s">
        <v>431</v>
      </c>
      <c r="AV2068" t="s">
        <v>432</v>
      </c>
      <c r="AW2068" t="s">
        <v>60</v>
      </c>
      <c r="AX2068" t="s">
        <v>68</v>
      </c>
      <c r="AY2068" t="s">
        <v>69</v>
      </c>
      <c r="AZ2068" t="b">
        <v>1</v>
      </c>
    </row>
    <row r="2069" spans="1:52" x14ac:dyDescent="0.3">
      <c r="A2069" t="s">
        <v>52</v>
      </c>
      <c r="B2069" t="s">
        <v>53</v>
      </c>
      <c r="C2069" t="s">
        <v>54</v>
      </c>
      <c r="D2069" t="s">
        <v>55</v>
      </c>
      <c r="E2069" t="s">
        <v>877</v>
      </c>
      <c r="F2069" t="s">
        <v>176</v>
      </c>
      <c r="G2069" t="s">
        <v>443</v>
      </c>
      <c r="H2069" t="s">
        <v>444</v>
      </c>
      <c r="I2069" t="s">
        <v>444</v>
      </c>
      <c r="J2069" t="s">
        <v>60</v>
      </c>
      <c r="K2069" t="s">
        <v>445</v>
      </c>
      <c r="L2069" t="s">
        <v>62</v>
      </c>
      <c r="M2069" t="s">
        <v>445</v>
      </c>
      <c r="N2069" t="s">
        <v>446</v>
      </c>
      <c r="O2069" t="s">
        <v>447</v>
      </c>
      <c r="P2069">
        <v>-19.650062999999999</v>
      </c>
      <c r="Q2069">
        <v>-43.878337000000002</v>
      </c>
      <c r="R2069" s="2" t="str">
        <f>HYPERLINK("https://www.google.com/maps?q=-19.6500630,-43.8783370","Abrir no Google Maps")</f>
        <v>Abrir no Google Maps</v>
      </c>
      <c r="S2069">
        <v>3</v>
      </c>
      <c r="T2069">
        <v>839.11860749856135</v>
      </c>
      <c r="U2069">
        <v>4</v>
      </c>
      <c r="V2069">
        <v>0.47242373391850601</v>
      </c>
      <c r="W2069">
        <v>1</v>
      </c>
      <c r="X2069">
        <v>0.47242373391850601</v>
      </c>
      <c r="Y2069">
        <v>3</v>
      </c>
      <c r="Z2069">
        <v>698.86168887476526</v>
      </c>
      <c r="AA2069">
        <v>2</v>
      </c>
      <c r="AB2069">
        <v>3</v>
      </c>
      <c r="AC2069">
        <v>7</v>
      </c>
      <c r="AD2069">
        <v>26.01</v>
      </c>
      <c r="AE2069">
        <v>253</v>
      </c>
      <c r="AF2069">
        <v>17</v>
      </c>
      <c r="AG2069">
        <v>60</v>
      </c>
      <c r="AH2069">
        <v>32</v>
      </c>
      <c r="AI2069">
        <v>6.72</v>
      </c>
      <c r="AJ2069">
        <v>23.72</v>
      </c>
      <c r="AK2069">
        <v>12.65</v>
      </c>
      <c r="AL2069">
        <v>-19.650555399999941</v>
      </c>
      <c r="AM2069">
        <v>-43.878603008553611</v>
      </c>
      <c r="AN2069">
        <v>-19.650555399999941</v>
      </c>
      <c r="AO2069">
        <v>-43.878603008553611</v>
      </c>
      <c r="AP2069">
        <v>-19.650062999999999</v>
      </c>
      <c r="AQ2069">
        <v>-43.878337000000002</v>
      </c>
      <c r="AR2069">
        <v>61.500273251918507</v>
      </c>
      <c r="AS2069" t="s">
        <v>65</v>
      </c>
      <c r="AT2069">
        <v>1</v>
      </c>
      <c r="AU2069" t="s">
        <v>448</v>
      </c>
      <c r="AV2069" t="s">
        <v>449</v>
      </c>
      <c r="AW2069" t="s">
        <v>60</v>
      </c>
      <c r="AX2069" t="s">
        <v>68</v>
      </c>
      <c r="AY2069" t="s">
        <v>69</v>
      </c>
      <c r="AZ2069" t="b">
        <v>1</v>
      </c>
    </row>
    <row r="2070" spans="1:52" x14ac:dyDescent="0.3">
      <c r="A2070" t="s">
        <v>52</v>
      </c>
      <c r="B2070" t="s">
        <v>53</v>
      </c>
      <c r="C2070" t="s">
        <v>54</v>
      </c>
      <c r="D2070" t="s">
        <v>55</v>
      </c>
      <c r="E2070" t="s">
        <v>877</v>
      </c>
      <c r="F2070" t="s">
        <v>176</v>
      </c>
      <c r="G2070" t="s">
        <v>324</v>
      </c>
      <c r="H2070" t="s">
        <v>325</v>
      </c>
      <c r="I2070" t="s">
        <v>325</v>
      </c>
      <c r="J2070" t="s">
        <v>60</v>
      </c>
      <c r="K2070" t="s">
        <v>326</v>
      </c>
      <c r="L2070" t="s">
        <v>62</v>
      </c>
      <c r="M2070" t="s">
        <v>326</v>
      </c>
      <c r="N2070" t="s">
        <v>327</v>
      </c>
      <c r="O2070" t="s">
        <v>328</v>
      </c>
      <c r="P2070">
        <v>-19.654454000000001</v>
      </c>
      <c r="Q2070">
        <v>-43.874654</v>
      </c>
      <c r="R2070" s="2" t="str">
        <f>HYPERLINK("https://www.google.com/maps?q=-19.6544540,-43.8746540","Abrir no Google Maps")</f>
        <v>Abrir no Google Maps</v>
      </c>
      <c r="S2070">
        <v>3</v>
      </c>
      <c r="T2070">
        <v>461.71515786258828</v>
      </c>
      <c r="U2070">
        <v>4</v>
      </c>
      <c r="V2070">
        <v>0.46352524229712139</v>
      </c>
      <c r="W2070">
        <v>1</v>
      </c>
      <c r="X2070">
        <v>0.46352524229712139</v>
      </c>
      <c r="Y2070">
        <v>3</v>
      </c>
      <c r="Z2070">
        <v>321.42492762576637</v>
      </c>
      <c r="AA2070">
        <v>2</v>
      </c>
      <c r="AB2070">
        <v>3</v>
      </c>
      <c r="AC2070">
        <v>7</v>
      </c>
      <c r="AD2070">
        <v>26.01</v>
      </c>
      <c r="AE2070">
        <v>253</v>
      </c>
      <c r="AF2070">
        <v>17</v>
      </c>
      <c r="AG2070">
        <v>60</v>
      </c>
      <c r="AH2070">
        <v>32</v>
      </c>
      <c r="AI2070">
        <v>6.72</v>
      </c>
      <c r="AJ2070">
        <v>23.72</v>
      </c>
      <c r="AK2070">
        <v>12.65</v>
      </c>
      <c r="AL2070">
        <v>-19.654399599999941</v>
      </c>
      <c r="AM2070">
        <v>-43.87457008070222</v>
      </c>
      <c r="AN2070">
        <v>-19.654399599999941</v>
      </c>
      <c r="AO2070">
        <v>-43.87457008070222</v>
      </c>
      <c r="AP2070">
        <v>-19.654454000000001</v>
      </c>
      <c r="AQ2070">
        <v>-43.874654</v>
      </c>
      <c r="AR2070">
        <v>10.68040226290562</v>
      </c>
      <c r="AS2070" t="s">
        <v>65</v>
      </c>
      <c r="AT2070">
        <v>1</v>
      </c>
      <c r="AU2070" t="s">
        <v>329</v>
      </c>
      <c r="AV2070" t="s">
        <v>330</v>
      </c>
      <c r="AW2070" t="s">
        <v>60</v>
      </c>
      <c r="AX2070" t="s">
        <v>68</v>
      </c>
      <c r="AY2070" t="s">
        <v>69</v>
      </c>
      <c r="AZ2070" t="b">
        <v>1</v>
      </c>
    </row>
    <row r="2071" spans="1:52" x14ac:dyDescent="0.3">
      <c r="A2071" t="s">
        <v>52</v>
      </c>
      <c r="B2071" t="s">
        <v>53</v>
      </c>
      <c r="C2071" t="s">
        <v>54</v>
      </c>
      <c r="D2071" t="s">
        <v>55</v>
      </c>
      <c r="E2071" t="s">
        <v>877</v>
      </c>
      <c r="F2071" t="s">
        <v>176</v>
      </c>
      <c r="G2071" t="s">
        <v>457</v>
      </c>
      <c r="H2071" t="s">
        <v>458</v>
      </c>
      <c r="I2071" t="s">
        <v>458</v>
      </c>
      <c r="J2071" t="s">
        <v>60</v>
      </c>
      <c r="K2071" t="s">
        <v>286</v>
      </c>
      <c r="L2071" t="s">
        <v>62</v>
      </c>
      <c r="M2071" t="s">
        <v>286</v>
      </c>
      <c r="N2071" t="s">
        <v>459</v>
      </c>
      <c r="O2071" t="s">
        <v>408</v>
      </c>
      <c r="P2071">
        <v>-19.648675000000001</v>
      </c>
      <c r="Q2071">
        <v>-43.876176999999998</v>
      </c>
      <c r="R2071" s="2" t="str">
        <f>HYPERLINK("https://www.google.com/maps?q=-19.6486750,-43.8761770","Abrir no Google Maps")</f>
        <v>Abrir no Google Maps</v>
      </c>
      <c r="S2071">
        <v>3</v>
      </c>
      <c r="T2071">
        <v>696.15049931004592</v>
      </c>
      <c r="U2071">
        <v>4</v>
      </c>
      <c r="V2071">
        <v>0.48461344302778508</v>
      </c>
      <c r="W2071">
        <v>1</v>
      </c>
      <c r="X2071">
        <v>0.48461344302778508</v>
      </c>
      <c r="Y2071">
        <v>3</v>
      </c>
      <c r="Z2071">
        <v>617.40976221624703</v>
      </c>
      <c r="AA2071">
        <v>2</v>
      </c>
      <c r="AB2071">
        <v>3</v>
      </c>
      <c r="AC2071">
        <v>7</v>
      </c>
      <c r="AD2071">
        <v>26.01</v>
      </c>
      <c r="AE2071">
        <v>253</v>
      </c>
      <c r="AF2071">
        <v>17</v>
      </c>
      <c r="AG2071">
        <v>60</v>
      </c>
      <c r="AH2071">
        <v>32</v>
      </c>
      <c r="AI2071">
        <v>6.72</v>
      </c>
      <c r="AJ2071">
        <v>23.72</v>
      </c>
      <c r="AK2071">
        <v>12.65</v>
      </c>
      <c r="AL2071">
        <v>-19.648626649999951</v>
      </c>
      <c r="AM2071">
        <v>-43.876233357879343</v>
      </c>
      <c r="AN2071">
        <v>-19.648626649999951</v>
      </c>
      <c r="AO2071">
        <v>-43.876233357879343</v>
      </c>
      <c r="AP2071">
        <v>-19.648675000000001</v>
      </c>
      <c r="AQ2071">
        <v>-43.876176999999998</v>
      </c>
      <c r="AR2071">
        <v>7.9924470956447653</v>
      </c>
      <c r="AS2071" t="s">
        <v>65</v>
      </c>
      <c r="AT2071">
        <v>1</v>
      </c>
      <c r="AU2071" t="s">
        <v>460</v>
      </c>
      <c r="AV2071" t="s">
        <v>461</v>
      </c>
      <c r="AW2071" t="s">
        <v>60</v>
      </c>
      <c r="AX2071" t="s">
        <v>68</v>
      </c>
      <c r="AY2071" t="s">
        <v>69</v>
      </c>
      <c r="AZ2071" t="b">
        <v>1</v>
      </c>
    </row>
    <row r="2072" spans="1:52" x14ac:dyDescent="0.3">
      <c r="A2072" t="s">
        <v>52</v>
      </c>
      <c r="B2072" t="s">
        <v>53</v>
      </c>
      <c r="C2072" t="s">
        <v>54</v>
      </c>
      <c r="D2072" t="s">
        <v>55</v>
      </c>
      <c r="E2072" t="s">
        <v>877</v>
      </c>
      <c r="F2072" t="s">
        <v>176</v>
      </c>
      <c r="G2072" t="s">
        <v>479</v>
      </c>
      <c r="H2072" t="s">
        <v>480</v>
      </c>
      <c r="I2072" t="s">
        <v>480</v>
      </c>
      <c r="J2072" t="s">
        <v>60</v>
      </c>
      <c r="K2072" t="s">
        <v>286</v>
      </c>
      <c r="L2072" t="s">
        <v>62</v>
      </c>
      <c r="M2072" t="s">
        <v>286</v>
      </c>
      <c r="N2072" t="s">
        <v>481</v>
      </c>
      <c r="O2072" t="s">
        <v>159</v>
      </c>
      <c r="P2072">
        <v>-19.635337</v>
      </c>
      <c r="Q2072">
        <v>-43.884400999999997</v>
      </c>
      <c r="R2072" s="2" t="str">
        <f>HYPERLINK("https://www.google.com/maps?q=-19.6353370,-43.8844010","Abrir no Google Maps")</f>
        <v>Abrir no Google Maps</v>
      </c>
      <c r="S2072">
        <v>3</v>
      </c>
      <c r="T2072">
        <v>697.1404216088763</v>
      </c>
      <c r="U2072">
        <v>4</v>
      </c>
      <c r="V2072">
        <v>0.46981343783494101</v>
      </c>
      <c r="W2072">
        <v>1</v>
      </c>
      <c r="X2072">
        <v>0.46981343783494101</v>
      </c>
      <c r="Y2072">
        <v>2</v>
      </c>
      <c r="Z2072">
        <v>178.9017814618079</v>
      </c>
      <c r="AA2072">
        <v>2</v>
      </c>
      <c r="AB2072">
        <v>3</v>
      </c>
      <c r="AC2072">
        <v>7</v>
      </c>
      <c r="AD2072">
        <v>26.01</v>
      </c>
      <c r="AE2072">
        <v>253</v>
      </c>
      <c r="AF2072">
        <v>17</v>
      </c>
      <c r="AG2072">
        <v>60</v>
      </c>
      <c r="AH2072">
        <v>32</v>
      </c>
      <c r="AI2072">
        <v>6.72</v>
      </c>
      <c r="AJ2072">
        <v>23.72</v>
      </c>
      <c r="AK2072">
        <v>12.65</v>
      </c>
      <c r="AL2072">
        <v>-19.635338699999949</v>
      </c>
      <c r="AM2072">
        <v>-43.884486286355838</v>
      </c>
      <c r="AN2072">
        <v>-19.635338699999949</v>
      </c>
      <c r="AO2072">
        <v>-43.884486286355838</v>
      </c>
      <c r="AP2072">
        <v>-19.635337</v>
      </c>
      <c r="AQ2072">
        <v>-43.884400999999997</v>
      </c>
      <c r="AR2072">
        <v>8.9440024153343494</v>
      </c>
      <c r="AS2072" t="s">
        <v>65</v>
      </c>
      <c r="AT2072">
        <v>1</v>
      </c>
      <c r="AU2072" t="s">
        <v>482</v>
      </c>
      <c r="AV2072" t="s">
        <v>483</v>
      </c>
      <c r="AW2072" t="s">
        <v>60</v>
      </c>
      <c r="AX2072" t="s">
        <v>68</v>
      </c>
      <c r="AY2072" t="s">
        <v>69</v>
      </c>
      <c r="AZ2072" t="b">
        <v>1</v>
      </c>
    </row>
    <row r="2073" spans="1:52" x14ac:dyDescent="0.3">
      <c r="A2073" t="s">
        <v>52</v>
      </c>
      <c r="B2073" t="s">
        <v>53</v>
      </c>
      <c r="C2073" t="s">
        <v>54</v>
      </c>
      <c r="D2073" t="s">
        <v>55</v>
      </c>
      <c r="E2073" t="s">
        <v>877</v>
      </c>
      <c r="F2073" t="s">
        <v>176</v>
      </c>
      <c r="G2073" t="s">
        <v>484</v>
      </c>
      <c r="H2073" t="s">
        <v>485</v>
      </c>
      <c r="I2073" t="s">
        <v>485</v>
      </c>
      <c r="J2073" t="s">
        <v>60</v>
      </c>
      <c r="K2073" t="s">
        <v>486</v>
      </c>
      <c r="L2073" t="s">
        <v>62</v>
      </c>
      <c r="M2073" t="s">
        <v>486</v>
      </c>
      <c r="N2073" t="s">
        <v>487</v>
      </c>
      <c r="O2073" t="s">
        <v>488</v>
      </c>
      <c r="P2073">
        <v>-19.599471999999999</v>
      </c>
      <c r="Q2073">
        <v>-43.904423999999999</v>
      </c>
      <c r="R2073" s="2" t="str">
        <f>HYPERLINK("https://www.google.com/maps?q=-19.5994720,-43.9044240","Abrir no Google Maps")</f>
        <v>Abrir no Google Maps</v>
      </c>
      <c r="S2073">
        <v>3</v>
      </c>
      <c r="T2073">
        <v>0</v>
      </c>
      <c r="U2073">
        <v>4</v>
      </c>
      <c r="V2073">
        <v>0.4699144735032863</v>
      </c>
      <c r="W2073">
        <v>1</v>
      </c>
      <c r="X2073">
        <v>0.4699144735032863</v>
      </c>
      <c r="Y2073">
        <v>2</v>
      </c>
      <c r="Z2073">
        <v>112.207711482489</v>
      </c>
      <c r="AA2073">
        <v>2</v>
      </c>
      <c r="AB2073">
        <v>3</v>
      </c>
      <c r="AC2073">
        <v>7</v>
      </c>
      <c r="AD2073">
        <v>26.01</v>
      </c>
      <c r="AE2073">
        <v>253</v>
      </c>
      <c r="AF2073">
        <v>17</v>
      </c>
      <c r="AG2073">
        <v>60</v>
      </c>
      <c r="AH2073">
        <v>32</v>
      </c>
      <c r="AI2073">
        <v>6.72</v>
      </c>
      <c r="AJ2073">
        <v>23.72</v>
      </c>
      <c r="AK2073">
        <v>12.65</v>
      </c>
      <c r="AL2073">
        <v>-19.599417149999969</v>
      </c>
      <c r="AM2073">
        <v>-43.904309145074677</v>
      </c>
      <c r="AN2073">
        <v>-19.599417149999969</v>
      </c>
      <c r="AO2073">
        <v>-43.904309145074677</v>
      </c>
      <c r="AP2073">
        <v>-19.599471999999999</v>
      </c>
      <c r="AQ2073">
        <v>-43.904423999999999</v>
      </c>
      <c r="AR2073">
        <v>13.50409975769734</v>
      </c>
      <c r="AS2073" t="s">
        <v>65</v>
      </c>
      <c r="AT2073">
        <v>1</v>
      </c>
      <c r="AU2073" t="s">
        <v>489</v>
      </c>
      <c r="AV2073" t="s">
        <v>490</v>
      </c>
      <c r="AW2073" t="s">
        <v>60</v>
      </c>
      <c r="AX2073" t="s">
        <v>68</v>
      </c>
      <c r="AY2073" t="s">
        <v>69</v>
      </c>
      <c r="AZ2073" t="b">
        <v>1</v>
      </c>
    </row>
    <row r="2074" spans="1:52" x14ac:dyDescent="0.3">
      <c r="A2074" t="s">
        <v>52</v>
      </c>
      <c r="B2074" t="s">
        <v>53</v>
      </c>
      <c r="C2074" t="s">
        <v>54</v>
      </c>
      <c r="D2074" t="s">
        <v>55</v>
      </c>
      <c r="E2074" t="s">
        <v>877</v>
      </c>
      <c r="F2074" t="s">
        <v>176</v>
      </c>
      <c r="G2074" t="s">
        <v>438</v>
      </c>
      <c r="H2074" t="s">
        <v>491</v>
      </c>
      <c r="I2074" t="s">
        <v>491</v>
      </c>
      <c r="J2074" t="s">
        <v>60</v>
      </c>
      <c r="K2074" t="s">
        <v>492</v>
      </c>
      <c r="L2074" t="s">
        <v>62</v>
      </c>
      <c r="M2074" t="s">
        <v>492</v>
      </c>
      <c r="N2074" t="s">
        <v>493</v>
      </c>
      <c r="O2074" t="s">
        <v>81</v>
      </c>
      <c r="P2074">
        <v>-19.599810999999999</v>
      </c>
      <c r="Q2074">
        <v>-43.906267</v>
      </c>
      <c r="R2074" s="2" t="str">
        <f>HYPERLINK("https://www.google.com/maps?q=-19.5998110,-43.9062670","Abrir no Google Maps")</f>
        <v>Abrir no Google Maps</v>
      </c>
      <c r="S2074">
        <v>3</v>
      </c>
      <c r="T2074">
        <v>214.87460546260371</v>
      </c>
      <c r="U2074">
        <v>4</v>
      </c>
      <c r="V2074">
        <v>0.47222963951935909</v>
      </c>
      <c r="W2074">
        <v>1</v>
      </c>
      <c r="X2074">
        <v>0.47222963951935909</v>
      </c>
      <c r="Y2074">
        <v>2</v>
      </c>
      <c r="Z2074">
        <v>211.0648412523515</v>
      </c>
      <c r="AA2074">
        <v>2</v>
      </c>
      <c r="AB2074">
        <v>3</v>
      </c>
      <c r="AC2074">
        <v>7</v>
      </c>
      <c r="AD2074">
        <v>26.01</v>
      </c>
      <c r="AE2074">
        <v>253</v>
      </c>
      <c r="AF2074">
        <v>17</v>
      </c>
      <c r="AG2074">
        <v>60</v>
      </c>
      <c r="AH2074">
        <v>32</v>
      </c>
      <c r="AI2074">
        <v>6.72</v>
      </c>
      <c r="AJ2074">
        <v>23.72</v>
      </c>
      <c r="AK2074">
        <v>12.65</v>
      </c>
      <c r="AL2074">
        <v>-19.600032099999961</v>
      </c>
      <c r="AM2074">
        <v>-43.906252350845229</v>
      </c>
      <c r="AN2074">
        <v>-19.600032099999961</v>
      </c>
      <c r="AO2074">
        <v>-43.906252350845229</v>
      </c>
      <c r="AP2074">
        <v>-19.599810999999999</v>
      </c>
      <c r="AQ2074">
        <v>-43.906267</v>
      </c>
      <c r="AR2074">
        <v>24.660749384148179</v>
      </c>
      <c r="AS2074" t="s">
        <v>65</v>
      </c>
      <c r="AT2074">
        <v>1</v>
      </c>
      <c r="AU2074" t="s">
        <v>494</v>
      </c>
      <c r="AV2074" t="s">
        <v>495</v>
      </c>
      <c r="AW2074" t="s">
        <v>60</v>
      </c>
      <c r="AX2074" t="s">
        <v>68</v>
      </c>
      <c r="AY2074" t="s">
        <v>69</v>
      </c>
      <c r="AZ2074" t="b">
        <v>1</v>
      </c>
    </row>
    <row r="2075" spans="1:52" x14ac:dyDescent="0.3">
      <c r="A2075" t="s">
        <v>52</v>
      </c>
      <c r="B2075" t="s">
        <v>53</v>
      </c>
      <c r="C2075" t="s">
        <v>54</v>
      </c>
      <c r="D2075" t="s">
        <v>55</v>
      </c>
      <c r="E2075" t="s">
        <v>877</v>
      </c>
      <c r="F2075" t="s">
        <v>176</v>
      </c>
      <c r="G2075" t="s">
        <v>350</v>
      </c>
      <c r="H2075" t="s">
        <v>351</v>
      </c>
      <c r="I2075" t="s">
        <v>351</v>
      </c>
      <c r="J2075" t="s">
        <v>60</v>
      </c>
      <c r="K2075" t="s">
        <v>352</v>
      </c>
      <c r="L2075" t="s">
        <v>62</v>
      </c>
      <c r="M2075" t="s">
        <v>352</v>
      </c>
      <c r="N2075" t="s">
        <v>353</v>
      </c>
      <c r="O2075" t="s">
        <v>354</v>
      </c>
      <c r="P2075">
        <v>-19.595734</v>
      </c>
      <c r="Q2075">
        <v>-43.900387000000002</v>
      </c>
      <c r="R2075" s="2" t="str">
        <f>HYPERLINK("https://www.google.com/maps?q=-19.5957340,-43.9003870","Abrir no Google Maps")</f>
        <v>Abrir no Google Maps</v>
      </c>
      <c r="S2075">
        <v>3</v>
      </c>
      <c r="T2075">
        <v>600.67809066127609</v>
      </c>
      <c r="U2075">
        <v>4</v>
      </c>
      <c r="V2075">
        <v>0.46638081702039558</v>
      </c>
      <c r="W2075">
        <v>1</v>
      </c>
      <c r="X2075">
        <v>0.46638081702039558</v>
      </c>
      <c r="Y2075">
        <v>2</v>
      </c>
      <c r="Z2075">
        <v>676.06682548988681</v>
      </c>
      <c r="AA2075">
        <v>2</v>
      </c>
      <c r="AB2075">
        <v>3</v>
      </c>
      <c r="AC2075">
        <v>7</v>
      </c>
      <c r="AD2075">
        <v>26.01</v>
      </c>
      <c r="AE2075">
        <v>253</v>
      </c>
      <c r="AF2075">
        <v>17</v>
      </c>
      <c r="AG2075">
        <v>60</v>
      </c>
      <c r="AH2075">
        <v>32</v>
      </c>
      <c r="AI2075">
        <v>6.72</v>
      </c>
      <c r="AJ2075">
        <v>23.72</v>
      </c>
      <c r="AK2075">
        <v>12.65</v>
      </c>
      <c r="AL2075">
        <v>-19.595574149999951</v>
      </c>
      <c r="AM2075">
        <v>-43.900265035317688</v>
      </c>
      <c r="AN2075">
        <v>-19.595574149999951</v>
      </c>
      <c r="AO2075">
        <v>-43.900265035317688</v>
      </c>
      <c r="AP2075">
        <v>-19.595734</v>
      </c>
      <c r="AQ2075">
        <v>-43.900387000000002</v>
      </c>
      <c r="AR2075">
        <v>21.91456243504582</v>
      </c>
      <c r="AS2075" t="s">
        <v>65</v>
      </c>
      <c r="AT2075">
        <v>1</v>
      </c>
      <c r="AU2075" t="s">
        <v>355</v>
      </c>
      <c r="AV2075" t="s">
        <v>356</v>
      </c>
      <c r="AW2075" t="s">
        <v>60</v>
      </c>
      <c r="AX2075" t="s">
        <v>68</v>
      </c>
      <c r="AY2075" t="s">
        <v>69</v>
      </c>
      <c r="AZ2075" t="b">
        <v>1</v>
      </c>
    </row>
    <row r="2076" spans="1:52" x14ac:dyDescent="0.3">
      <c r="A2076" t="s">
        <v>52</v>
      </c>
      <c r="B2076" t="s">
        <v>53</v>
      </c>
      <c r="C2076" t="s">
        <v>54</v>
      </c>
      <c r="D2076" t="s">
        <v>55</v>
      </c>
      <c r="E2076" t="s">
        <v>877</v>
      </c>
      <c r="F2076" t="s">
        <v>176</v>
      </c>
      <c r="G2076" t="s">
        <v>350</v>
      </c>
      <c r="H2076" t="s">
        <v>363</v>
      </c>
      <c r="I2076" t="s">
        <v>363</v>
      </c>
      <c r="J2076" t="s">
        <v>60</v>
      </c>
      <c r="K2076" t="s">
        <v>364</v>
      </c>
      <c r="L2076" t="s">
        <v>62</v>
      </c>
      <c r="M2076" t="s">
        <v>364</v>
      </c>
      <c r="N2076" t="s">
        <v>353</v>
      </c>
      <c r="O2076" t="s">
        <v>365</v>
      </c>
      <c r="P2076">
        <v>-19.594657000000002</v>
      </c>
      <c r="Q2076">
        <v>-43.901567</v>
      </c>
      <c r="R2076" s="2" t="str">
        <f>HYPERLINK("https://www.google.com/maps?q=-19.5946570,-43.9015670","Abrir no Google Maps")</f>
        <v>Abrir no Google Maps</v>
      </c>
      <c r="S2076">
        <v>3</v>
      </c>
      <c r="T2076">
        <v>592.43040989358553</v>
      </c>
      <c r="U2076">
        <v>4</v>
      </c>
      <c r="V2076">
        <v>0.47803107923497268</v>
      </c>
      <c r="W2076">
        <v>1</v>
      </c>
      <c r="X2076">
        <v>0.47803107923497268</v>
      </c>
      <c r="Y2076">
        <v>2</v>
      </c>
      <c r="Z2076">
        <v>597.4493869225131</v>
      </c>
      <c r="AA2076">
        <v>2</v>
      </c>
      <c r="AB2076">
        <v>3</v>
      </c>
      <c r="AC2076">
        <v>7</v>
      </c>
      <c r="AD2076">
        <v>26.01</v>
      </c>
      <c r="AE2076">
        <v>253</v>
      </c>
      <c r="AF2076">
        <v>17</v>
      </c>
      <c r="AG2076">
        <v>60</v>
      </c>
      <c r="AH2076">
        <v>32</v>
      </c>
      <c r="AI2076">
        <v>6.72</v>
      </c>
      <c r="AJ2076">
        <v>23.72</v>
      </c>
      <c r="AK2076">
        <v>12.65</v>
      </c>
      <c r="AL2076">
        <v>-19.59470494999994</v>
      </c>
      <c r="AM2076">
        <v>-43.901629434678291</v>
      </c>
      <c r="AN2076">
        <v>-19.59470494999994</v>
      </c>
      <c r="AO2076">
        <v>-43.901629434678291</v>
      </c>
      <c r="AP2076">
        <v>-19.594657000000002</v>
      </c>
      <c r="AQ2076">
        <v>-43.901567</v>
      </c>
      <c r="AR2076">
        <v>8.4477696105165858</v>
      </c>
      <c r="AS2076" t="s">
        <v>65</v>
      </c>
      <c r="AT2076">
        <v>1</v>
      </c>
      <c r="AU2076" t="s">
        <v>366</v>
      </c>
      <c r="AV2076" t="s">
        <v>367</v>
      </c>
      <c r="AW2076" t="s">
        <v>60</v>
      </c>
      <c r="AX2076" t="s">
        <v>68</v>
      </c>
      <c r="AY2076" t="s">
        <v>69</v>
      </c>
      <c r="AZ2076" t="b">
        <v>1</v>
      </c>
    </row>
    <row r="2077" spans="1:52" x14ac:dyDescent="0.3">
      <c r="A2077" t="s">
        <v>52</v>
      </c>
      <c r="B2077" t="s">
        <v>53</v>
      </c>
      <c r="C2077" t="s">
        <v>54</v>
      </c>
      <c r="D2077" t="s">
        <v>55</v>
      </c>
      <c r="E2077" t="s">
        <v>877</v>
      </c>
      <c r="F2077" t="s">
        <v>176</v>
      </c>
      <c r="G2077" t="s">
        <v>371</v>
      </c>
      <c r="H2077" t="s">
        <v>372</v>
      </c>
      <c r="I2077" t="s">
        <v>372</v>
      </c>
      <c r="J2077" t="s">
        <v>60</v>
      </c>
      <c r="K2077" t="s">
        <v>352</v>
      </c>
      <c r="L2077" t="s">
        <v>62</v>
      </c>
      <c r="M2077" t="s">
        <v>352</v>
      </c>
      <c r="N2077" t="s">
        <v>353</v>
      </c>
      <c r="O2077" t="s">
        <v>373</v>
      </c>
      <c r="P2077">
        <v>-19.596541999999999</v>
      </c>
      <c r="Q2077">
        <v>-43.900803000000003</v>
      </c>
      <c r="R2077" s="2" t="str">
        <f>HYPERLINK("https://www.google.com/maps?q=-19.5965420,-43.9008030","Abrir no Google Maps")</f>
        <v>Abrir no Google Maps</v>
      </c>
      <c r="S2077">
        <v>3</v>
      </c>
      <c r="T2077">
        <v>401.18305899095373</v>
      </c>
      <c r="U2077">
        <v>4</v>
      </c>
      <c r="V2077">
        <v>0.4655479277904907</v>
      </c>
      <c r="W2077">
        <v>1</v>
      </c>
      <c r="X2077">
        <v>0.4655479277904907</v>
      </c>
      <c r="Y2077">
        <v>2</v>
      </c>
      <c r="Z2077">
        <v>484.51228510119228</v>
      </c>
      <c r="AA2077">
        <v>2</v>
      </c>
      <c r="AB2077">
        <v>3</v>
      </c>
      <c r="AC2077">
        <v>7</v>
      </c>
      <c r="AD2077">
        <v>26.01</v>
      </c>
      <c r="AE2077">
        <v>253</v>
      </c>
      <c r="AF2077">
        <v>17</v>
      </c>
      <c r="AG2077">
        <v>60</v>
      </c>
      <c r="AH2077">
        <v>32</v>
      </c>
      <c r="AI2077">
        <v>6.72</v>
      </c>
      <c r="AJ2077">
        <v>23.72</v>
      </c>
      <c r="AK2077">
        <v>12.65</v>
      </c>
      <c r="AL2077">
        <v>-19.596464449999932</v>
      </c>
      <c r="AM2077">
        <v>-43.902090320142641</v>
      </c>
      <c r="AN2077">
        <v>-19.596464449999932</v>
      </c>
      <c r="AO2077">
        <v>-43.902090320142641</v>
      </c>
      <c r="AP2077">
        <v>-19.596541999999999</v>
      </c>
      <c r="AQ2077">
        <v>-43.900803000000003</v>
      </c>
      <c r="AR2077">
        <v>135.27975170069479</v>
      </c>
      <c r="AS2077" t="s">
        <v>65</v>
      </c>
      <c r="AT2077">
        <v>1</v>
      </c>
      <c r="AU2077" t="s">
        <v>374</v>
      </c>
      <c r="AV2077" t="s">
        <v>375</v>
      </c>
      <c r="AW2077" t="s">
        <v>60</v>
      </c>
      <c r="AX2077" t="s">
        <v>68</v>
      </c>
      <c r="AY2077" t="s">
        <v>69</v>
      </c>
      <c r="AZ2077" t="b">
        <v>1</v>
      </c>
    </row>
    <row r="2078" spans="1:52" x14ac:dyDescent="0.3">
      <c r="A2078" t="s">
        <v>52</v>
      </c>
      <c r="B2078" t="s">
        <v>53</v>
      </c>
      <c r="C2078" t="s">
        <v>54</v>
      </c>
      <c r="D2078" t="s">
        <v>55</v>
      </c>
      <c r="E2078" t="s">
        <v>877</v>
      </c>
      <c r="F2078" t="s">
        <v>176</v>
      </c>
      <c r="G2078" t="s">
        <v>376</v>
      </c>
      <c r="H2078" t="s">
        <v>377</v>
      </c>
      <c r="I2078" t="s">
        <v>377</v>
      </c>
      <c r="J2078" t="s">
        <v>60</v>
      </c>
      <c r="K2078" t="s">
        <v>352</v>
      </c>
      <c r="L2078" t="s">
        <v>62</v>
      </c>
      <c r="M2078" t="s">
        <v>352</v>
      </c>
      <c r="N2078" t="s">
        <v>378</v>
      </c>
      <c r="O2078" t="s">
        <v>379</v>
      </c>
      <c r="P2078">
        <v>-19.596966999999999</v>
      </c>
      <c r="Q2078">
        <v>-43.90155</v>
      </c>
      <c r="R2078" s="2" t="str">
        <f>HYPERLINK("https://www.google.com/maps?q=-19.5969670,-43.9015500","Abrir no Google Maps")</f>
        <v>Abrir no Google Maps</v>
      </c>
      <c r="S2078">
        <v>3</v>
      </c>
      <c r="T2078">
        <v>366.5160120865408</v>
      </c>
      <c r="U2078">
        <v>4</v>
      </c>
      <c r="V2078">
        <v>0.4807225172296915</v>
      </c>
      <c r="W2078">
        <v>1</v>
      </c>
      <c r="X2078">
        <v>0.4807225172296915</v>
      </c>
      <c r="Y2078">
        <v>2</v>
      </c>
      <c r="Z2078">
        <v>437.88042928493138</v>
      </c>
      <c r="AA2078">
        <v>2</v>
      </c>
      <c r="AB2078">
        <v>3</v>
      </c>
      <c r="AC2078">
        <v>7</v>
      </c>
      <c r="AD2078">
        <v>26.01</v>
      </c>
      <c r="AE2078">
        <v>253</v>
      </c>
      <c r="AF2078">
        <v>17</v>
      </c>
      <c r="AG2078">
        <v>60</v>
      </c>
      <c r="AH2078">
        <v>32</v>
      </c>
      <c r="AI2078">
        <v>6.72</v>
      </c>
      <c r="AJ2078">
        <v>23.72</v>
      </c>
      <c r="AK2078">
        <v>12.65</v>
      </c>
      <c r="AL2078">
        <v>-19.597188549999942</v>
      </c>
      <c r="AM2078">
        <v>-43.901724335633787</v>
      </c>
      <c r="AN2078">
        <v>-19.597188549999942</v>
      </c>
      <c r="AO2078">
        <v>-43.901724335633787</v>
      </c>
      <c r="AP2078">
        <v>-19.596966999999999</v>
      </c>
      <c r="AQ2078">
        <v>-43.90155</v>
      </c>
      <c r="AR2078">
        <v>30.700556875456439</v>
      </c>
      <c r="AS2078" t="s">
        <v>65</v>
      </c>
      <c r="AT2078">
        <v>1</v>
      </c>
      <c r="AU2078" t="s">
        <v>380</v>
      </c>
      <c r="AV2078" t="s">
        <v>381</v>
      </c>
      <c r="AW2078" t="s">
        <v>60</v>
      </c>
      <c r="AX2078" t="s">
        <v>68</v>
      </c>
      <c r="AY2078" t="s">
        <v>69</v>
      </c>
      <c r="AZ2078" t="b">
        <v>1</v>
      </c>
    </row>
    <row r="2079" spans="1:52" x14ac:dyDescent="0.3">
      <c r="A2079" t="s">
        <v>52</v>
      </c>
      <c r="B2079" t="s">
        <v>53</v>
      </c>
      <c r="C2079" t="s">
        <v>54</v>
      </c>
      <c r="D2079" t="s">
        <v>55</v>
      </c>
      <c r="E2079" t="s">
        <v>877</v>
      </c>
      <c r="F2079" t="s">
        <v>176</v>
      </c>
      <c r="G2079" t="s">
        <v>382</v>
      </c>
      <c r="H2079" t="s">
        <v>383</v>
      </c>
      <c r="I2079" t="s">
        <v>383</v>
      </c>
      <c r="J2079" t="s">
        <v>60</v>
      </c>
      <c r="K2079" t="s">
        <v>185</v>
      </c>
      <c r="L2079" t="s">
        <v>62</v>
      </c>
      <c r="M2079" t="s">
        <v>185</v>
      </c>
      <c r="N2079" t="s">
        <v>384</v>
      </c>
      <c r="O2079" t="s">
        <v>385</v>
      </c>
      <c r="P2079">
        <v>-19.623774000000001</v>
      </c>
      <c r="Q2079">
        <v>-43.886352000000002</v>
      </c>
      <c r="R2079" s="2" t="str">
        <f>HYPERLINK("https://www.google.com/maps?q=-19.6237740,-43.8863520","Abrir no Google Maps")</f>
        <v>Abrir no Google Maps</v>
      </c>
      <c r="S2079">
        <v>3</v>
      </c>
      <c r="T2079">
        <v>818.17252856383368</v>
      </c>
      <c r="U2079">
        <v>4</v>
      </c>
      <c r="V2079">
        <v>0.47827896953668331</v>
      </c>
      <c r="W2079">
        <v>1</v>
      </c>
      <c r="X2079">
        <v>0.47827896953668331</v>
      </c>
      <c r="Y2079">
        <v>0</v>
      </c>
      <c r="Z2079">
        <v>327.32213182525902</v>
      </c>
      <c r="AA2079">
        <v>2</v>
      </c>
      <c r="AB2079">
        <v>3</v>
      </c>
      <c r="AC2079">
        <v>7</v>
      </c>
      <c r="AD2079">
        <v>26.01</v>
      </c>
      <c r="AE2079">
        <v>253</v>
      </c>
      <c r="AF2079">
        <v>17</v>
      </c>
      <c r="AG2079">
        <v>60</v>
      </c>
      <c r="AH2079">
        <v>32</v>
      </c>
      <c r="AI2079">
        <v>6.72</v>
      </c>
      <c r="AJ2079">
        <v>23.72</v>
      </c>
      <c r="AK2079">
        <v>12.65</v>
      </c>
      <c r="AL2079">
        <v>-19.623056299999941</v>
      </c>
      <c r="AM2079">
        <v>-43.886837120297002</v>
      </c>
      <c r="AN2079">
        <v>-19.623056299999941</v>
      </c>
      <c r="AO2079">
        <v>-43.886837120297002</v>
      </c>
      <c r="AP2079">
        <v>-19.623774000000001</v>
      </c>
      <c r="AQ2079">
        <v>-43.886352000000002</v>
      </c>
      <c r="AR2079">
        <v>94.713149059175393</v>
      </c>
      <c r="AS2079" t="s">
        <v>65</v>
      </c>
      <c r="AT2079">
        <v>1</v>
      </c>
      <c r="AU2079" t="s">
        <v>386</v>
      </c>
      <c r="AV2079" t="s">
        <v>387</v>
      </c>
      <c r="AW2079" t="s">
        <v>60</v>
      </c>
      <c r="AX2079" t="s">
        <v>68</v>
      </c>
      <c r="AY2079" t="s">
        <v>69</v>
      </c>
      <c r="AZ2079" t="b">
        <v>1</v>
      </c>
    </row>
    <row r="2080" spans="1:52" x14ac:dyDescent="0.3">
      <c r="A2080" t="s">
        <v>52</v>
      </c>
      <c r="B2080" t="s">
        <v>53</v>
      </c>
      <c r="C2080" t="s">
        <v>54</v>
      </c>
      <c r="D2080" t="s">
        <v>55</v>
      </c>
      <c r="E2080" t="s">
        <v>877</v>
      </c>
      <c r="F2080" t="s">
        <v>176</v>
      </c>
      <c r="G2080" t="s">
        <v>291</v>
      </c>
      <c r="H2080" t="s">
        <v>292</v>
      </c>
      <c r="I2080" t="s">
        <v>292</v>
      </c>
      <c r="J2080" t="s">
        <v>60</v>
      </c>
      <c r="K2080" t="s">
        <v>286</v>
      </c>
      <c r="L2080" t="s">
        <v>62</v>
      </c>
      <c r="M2080" t="s">
        <v>286</v>
      </c>
      <c r="N2080" t="s">
        <v>293</v>
      </c>
      <c r="O2080" t="s">
        <v>294</v>
      </c>
      <c r="P2080">
        <v>-19.640333999999999</v>
      </c>
      <c r="Q2080">
        <v>-43.880004999999997</v>
      </c>
      <c r="R2080" s="2" t="str">
        <f>HYPERLINK("https://www.google.com/maps?q=-19.6403340,-43.8800050","Abrir no Google Maps")</f>
        <v>Abrir no Google Maps</v>
      </c>
      <c r="S2080">
        <v>3</v>
      </c>
      <c r="T2080">
        <v>276.80943817309782</v>
      </c>
      <c r="U2080">
        <v>3</v>
      </c>
      <c r="V2080">
        <v>0.45806794055201688</v>
      </c>
      <c r="W2080">
        <v>1</v>
      </c>
      <c r="X2080">
        <v>0.45806794055201688</v>
      </c>
      <c r="Y2080">
        <v>10</v>
      </c>
      <c r="Z2080">
        <v>361.98332038983392</v>
      </c>
      <c r="AA2080">
        <v>2</v>
      </c>
      <c r="AB2080">
        <v>3</v>
      </c>
      <c r="AC2080">
        <v>7</v>
      </c>
      <c r="AD2080">
        <v>26.01</v>
      </c>
      <c r="AE2080">
        <v>253</v>
      </c>
      <c r="AF2080">
        <v>17</v>
      </c>
      <c r="AG2080">
        <v>60</v>
      </c>
      <c r="AH2080">
        <v>32</v>
      </c>
      <c r="AI2080">
        <v>6.72</v>
      </c>
      <c r="AJ2080">
        <v>23.72</v>
      </c>
      <c r="AK2080">
        <v>12.65</v>
      </c>
      <c r="AL2080">
        <v>-19.640260249999951</v>
      </c>
      <c r="AM2080">
        <v>-43.880090474326408</v>
      </c>
      <c r="AN2080">
        <v>-19.640260249999951</v>
      </c>
      <c r="AO2080">
        <v>-43.880090474326408</v>
      </c>
      <c r="AP2080">
        <v>-19.640333999999999</v>
      </c>
      <c r="AQ2080">
        <v>-43.880004999999997</v>
      </c>
      <c r="AR2080">
        <v>12.153556195359609</v>
      </c>
      <c r="AS2080" t="s">
        <v>65</v>
      </c>
      <c r="AT2080">
        <v>1</v>
      </c>
      <c r="AU2080" t="s">
        <v>295</v>
      </c>
      <c r="AV2080" t="s">
        <v>296</v>
      </c>
      <c r="AW2080" t="s">
        <v>60</v>
      </c>
      <c r="AX2080" t="s">
        <v>68</v>
      </c>
      <c r="AY2080" t="s">
        <v>69</v>
      </c>
      <c r="AZ2080" t="b">
        <v>1</v>
      </c>
    </row>
    <row r="2081" spans="1:52" x14ac:dyDescent="0.3">
      <c r="A2081" t="s">
        <v>52</v>
      </c>
      <c r="B2081" t="s">
        <v>53</v>
      </c>
      <c r="C2081" t="s">
        <v>54</v>
      </c>
      <c r="D2081" t="s">
        <v>55</v>
      </c>
      <c r="E2081" t="s">
        <v>877</v>
      </c>
      <c r="F2081" t="s">
        <v>176</v>
      </c>
      <c r="G2081" t="s">
        <v>411</v>
      </c>
      <c r="H2081" t="s">
        <v>412</v>
      </c>
      <c r="I2081" t="s">
        <v>412</v>
      </c>
      <c r="J2081" t="s">
        <v>60</v>
      </c>
      <c r="K2081" t="s">
        <v>179</v>
      </c>
      <c r="L2081" t="s">
        <v>62</v>
      </c>
      <c r="M2081" t="s">
        <v>179</v>
      </c>
      <c r="N2081" t="s">
        <v>413</v>
      </c>
      <c r="O2081" t="s">
        <v>414</v>
      </c>
      <c r="P2081">
        <v>-19.650079000000002</v>
      </c>
      <c r="Q2081">
        <v>-43.884253999999999</v>
      </c>
      <c r="R2081" s="2" t="str">
        <f>HYPERLINK("https://www.google.com/maps?q=-19.6500790,-43.8842540","Abrir no Google Maps")</f>
        <v>Abrir no Google Maps</v>
      </c>
      <c r="S2081">
        <v>3</v>
      </c>
      <c r="T2081">
        <v>797.21430129715498</v>
      </c>
      <c r="U2081">
        <v>3</v>
      </c>
      <c r="V2081">
        <v>0.44144736842105259</v>
      </c>
      <c r="W2081">
        <v>1</v>
      </c>
      <c r="X2081">
        <v>0.44144736842105259</v>
      </c>
      <c r="Y2081">
        <v>10</v>
      </c>
      <c r="Z2081">
        <v>774.04145012702554</v>
      </c>
      <c r="AA2081">
        <v>2</v>
      </c>
      <c r="AB2081">
        <v>3</v>
      </c>
      <c r="AC2081">
        <v>7</v>
      </c>
      <c r="AD2081">
        <v>26.01</v>
      </c>
      <c r="AE2081">
        <v>253</v>
      </c>
      <c r="AF2081">
        <v>17</v>
      </c>
      <c r="AG2081">
        <v>60</v>
      </c>
      <c r="AH2081">
        <v>32</v>
      </c>
      <c r="AI2081">
        <v>6.72</v>
      </c>
      <c r="AJ2081">
        <v>23.72</v>
      </c>
      <c r="AK2081">
        <v>12.65</v>
      </c>
      <c r="AL2081">
        <v>-19.649199399999961</v>
      </c>
      <c r="AM2081">
        <v>-43.883888390043637</v>
      </c>
      <c r="AN2081">
        <v>-19.649199399999961</v>
      </c>
      <c r="AO2081">
        <v>-43.883888390043637</v>
      </c>
      <c r="AP2081">
        <v>-19.650079000000002</v>
      </c>
      <c r="AQ2081">
        <v>-43.884253999999999</v>
      </c>
      <c r="AR2081">
        <v>105.1518915696123</v>
      </c>
      <c r="AS2081" t="s">
        <v>65</v>
      </c>
      <c r="AT2081">
        <v>1</v>
      </c>
      <c r="AU2081" t="s">
        <v>415</v>
      </c>
      <c r="AV2081" t="s">
        <v>416</v>
      </c>
      <c r="AW2081" t="s">
        <v>60</v>
      </c>
      <c r="AX2081" t="s">
        <v>68</v>
      </c>
      <c r="AY2081" t="s">
        <v>69</v>
      </c>
      <c r="AZ2081" t="b">
        <v>1</v>
      </c>
    </row>
    <row r="2082" spans="1:52" x14ac:dyDescent="0.3">
      <c r="A2082" t="s">
        <v>52</v>
      </c>
      <c r="B2082" t="s">
        <v>53</v>
      </c>
      <c r="C2082" t="s">
        <v>54</v>
      </c>
      <c r="D2082" t="s">
        <v>55</v>
      </c>
      <c r="E2082" t="s">
        <v>877</v>
      </c>
      <c r="F2082" t="s">
        <v>176</v>
      </c>
      <c r="G2082" t="s">
        <v>670</v>
      </c>
      <c r="H2082" t="s">
        <v>671</v>
      </c>
      <c r="I2082" t="s">
        <v>671</v>
      </c>
      <c r="J2082" t="s">
        <v>60</v>
      </c>
      <c r="K2082" t="s">
        <v>672</v>
      </c>
      <c r="L2082" t="s">
        <v>62</v>
      </c>
      <c r="M2082" t="s">
        <v>672</v>
      </c>
      <c r="N2082" t="s">
        <v>673</v>
      </c>
      <c r="O2082" t="s">
        <v>424</v>
      </c>
      <c r="P2082">
        <v>-19.574909999999999</v>
      </c>
      <c r="Q2082">
        <v>-43.906655999999998</v>
      </c>
      <c r="R2082" s="2" t="str">
        <f>HYPERLINK("https://www.google.com/maps?q=-19.5749100,-43.9066560","Abrir no Google Maps")</f>
        <v>Abrir no Google Maps</v>
      </c>
      <c r="S2082">
        <v>3</v>
      </c>
      <c r="T2082">
        <v>1366.716412286687</v>
      </c>
      <c r="U2082">
        <v>3</v>
      </c>
      <c r="V2082">
        <v>0.46288813084929581</v>
      </c>
      <c r="W2082">
        <v>1</v>
      </c>
      <c r="X2082">
        <v>0.46288813084929581</v>
      </c>
      <c r="Y2082">
        <v>7</v>
      </c>
      <c r="Z2082">
        <v>1153.3004962806151</v>
      </c>
      <c r="AA2082">
        <v>2</v>
      </c>
      <c r="AB2082">
        <v>3</v>
      </c>
      <c r="AC2082">
        <v>7</v>
      </c>
      <c r="AD2082">
        <v>26.01</v>
      </c>
      <c r="AE2082">
        <v>253</v>
      </c>
      <c r="AF2082">
        <v>17</v>
      </c>
      <c r="AG2082">
        <v>60</v>
      </c>
      <c r="AH2082">
        <v>32</v>
      </c>
      <c r="AI2082">
        <v>6.72</v>
      </c>
      <c r="AJ2082">
        <v>23.72</v>
      </c>
      <c r="AK2082">
        <v>12.65</v>
      </c>
      <c r="AL2082">
        <v>-19.574026899999978</v>
      </c>
      <c r="AM2082">
        <v>-43.907476033591983</v>
      </c>
      <c r="AN2082">
        <v>-19.574026899999978</v>
      </c>
      <c r="AO2082">
        <v>-43.907476033591983</v>
      </c>
      <c r="AP2082">
        <v>-19.574909999999999</v>
      </c>
      <c r="AQ2082">
        <v>-43.906655999999998</v>
      </c>
      <c r="AR2082">
        <v>130.62174183264671</v>
      </c>
      <c r="AS2082" t="s">
        <v>65</v>
      </c>
      <c r="AT2082">
        <v>1</v>
      </c>
      <c r="AU2082" t="s">
        <v>674</v>
      </c>
      <c r="AV2082" t="s">
        <v>675</v>
      </c>
      <c r="AW2082" t="s">
        <v>60</v>
      </c>
      <c r="AX2082" t="s">
        <v>68</v>
      </c>
      <c r="AY2082" t="s">
        <v>69</v>
      </c>
      <c r="AZ2082" t="b">
        <v>1</v>
      </c>
    </row>
    <row r="2083" spans="1:52" x14ac:dyDescent="0.3">
      <c r="A2083" t="s">
        <v>52</v>
      </c>
      <c r="B2083" t="s">
        <v>53</v>
      </c>
      <c r="C2083" t="s">
        <v>54</v>
      </c>
      <c r="D2083" t="s">
        <v>55</v>
      </c>
      <c r="E2083" t="s">
        <v>877</v>
      </c>
      <c r="F2083" t="s">
        <v>176</v>
      </c>
      <c r="G2083" t="s">
        <v>297</v>
      </c>
      <c r="H2083" t="s">
        <v>298</v>
      </c>
      <c r="I2083" t="s">
        <v>298</v>
      </c>
      <c r="J2083" t="s">
        <v>60</v>
      </c>
      <c r="K2083" t="s">
        <v>299</v>
      </c>
      <c r="L2083" t="s">
        <v>62</v>
      </c>
      <c r="M2083" t="s">
        <v>299</v>
      </c>
      <c r="N2083" t="s">
        <v>300</v>
      </c>
      <c r="O2083" t="s">
        <v>301</v>
      </c>
      <c r="P2083">
        <v>-19.679597000000001</v>
      </c>
      <c r="Q2083">
        <v>-43.912095000000001</v>
      </c>
      <c r="R2083" s="2" t="str">
        <f>HYPERLINK("https://www.google.com/maps?q=-19.6795970,-43.9120950","Abrir no Google Maps")</f>
        <v>Abrir no Google Maps</v>
      </c>
      <c r="S2083">
        <v>3</v>
      </c>
      <c r="T2083">
        <v>1581.3368267219889</v>
      </c>
      <c r="U2083">
        <v>3</v>
      </c>
      <c r="V2083">
        <v>0.46287306584776999</v>
      </c>
      <c r="W2083">
        <v>1</v>
      </c>
      <c r="X2083">
        <v>0.46287306584776999</v>
      </c>
      <c r="Y2083">
        <v>5</v>
      </c>
      <c r="Z2083">
        <v>2051.2590436749392</v>
      </c>
      <c r="AA2083">
        <v>2</v>
      </c>
      <c r="AB2083">
        <v>3</v>
      </c>
      <c r="AC2083">
        <v>7</v>
      </c>
      <c r="AD2083">
        <v>26.01</v>
      </c>
      <c r="AE2083">
        <v>253</v>
      </c>
      <c r="AF2083">
        <v>17</v>
      </c>
      <c r="AG2083">
        <v>60</v>
      </c>
      <c r="AH2083">
        <v>32</v>
      </c>
      <c r="AI2083">
        <v>6.72</v>
      </c>
      <c r="AJ2083">
        <v>23.72</v>
      </c>
      <c r="AK2083">
        <v>12.65</v>
      </c>
      <c r="AL2083">
        <v>-19.679572799999931</v>
      </c>
      <c r="AM2083">
        <v>-43.912071775440793</v>
      </c>
      <c r="AN2083">
        <v>-19.679572799999931</v>
      </c>
      <c r="AO2083">
        <v>-43.912071775440793</v>
      </c>
      <c r="AP2083">
        <v>-19.679597000000001</v>
      </c>
      <c r="AQ2083">
        <v>-43.912095000000001</v>
      </c>
      <c r="AR2083">
        <v>3.6308936744190978</v>
      </c>
      <c r="AS2083" t="s">
        <v>65</v>
      </c>
      <c r="AT2083">
        <v>1</v>
      </c>
      <c r="AU2083" t="s">
        <v>302</v>
      </c>
      <c r="AV2083" t="s">
        <v>303</v>
      </c>
      <c r="AW2083" t="s">
        <v>60</v>
      </c>
      <c r="AX2083" t="s">
        <v>68</v>
      </c>
      <c r="AY2083" t="s">
        <v>69</v>
      </c>
      <c r="AZ2083" t="b">
        <v>1</v>
      </c>
    </row>
    <row r="2084" spans="1:52" x14ac:dyDescent="0.3">
      <c r="A2084" t="s">
        <v>52</v>
      </c>
      <c r="B2084" t="s">
        <v>53</v>
      </c>
      <c r="C2084" t="s">
        <v>54</v>
      </c>
      <c r="D2084" t="s">
        <v>55</v>
      </c>
      <c r="E2084" t="s">
        <v>877</v>
      </c>
      <c r="F2084" t="s">
        <v>176</v>
      </c>
      <c r="G2084" t="s">
        <v>304</v>
      </c>
      <c r="H2084" t="s">
        <v>305</v>
      </c>
      <c r="I2084" t="s">
        <v>305</v>
      </c>
      <c r="J2084" t="s">
        <v>60</v>
      </c>
      <c r="K2084" t="s">
        <v>299</v>
      </c>
      <c r="L2084" t="s">
        <v>62</v>
      </c>
      <c r="M2084" t="s">
        <v>299</v>
      </c>
      <c r="N2084" t="s">
        <v>306</v>
      </c>
      <c r="O2084" t="s">
        <v>307</v>
      </c>
      <c r="P2084">
        <v>-19.681051</v>
      </c>
      <c r="Q2084">
        <v>-43.914375</v>
      </c>
      <c r="R2084" s="2" t="str">
        <f>HYPERLINK("https://www.google.com/maps?q=-19.6810510,-43.9143750","Abrir no Google Maps")</f>
        <v>Abrir no Google Maps</v>
      </c>
      <c r="S2084">
        <v>3</v>
      </c>
      <c r="T2084">
        <v>1793.507056919605</v>
      </c>
      <c r="U2084">
        <v>3</v>
      </c>
      <c r="V2084">
        <v>0.46047733361166188</v>
      </c>
      <c r="W2084">
        <v>1</v>
      </c>
      <c r="X2084">
        <v>0.46047733361166188</v>
      </c>
      <c r="Y2084">
        <v>5</v>
      </c>
      <c r="Z2084">
        <v>2183.7125920783069</v>
      </c>
      <c r="AA2084">
        <v>2</v>
      </c>
      <c r="AB2084">
        <v>3</v>
      </c>
      <c r="AC2084">
        <v>7</v>
      </c>
      <c r="AD2084">
        <v>26.01</v>
      </c>
      <c r="AE2084">
        <v>253</v>
      </c>
      <c r="AF2084">
        <v>17</v>
      </c>
      <c r="AG2084">
        <v>60</v>
      </c>
      <c r="AH2084">
        <v>32</v>
      </c>
      <c r="AI2084">
        <v>6.72</v>
      </c>
      <c r="AJ2084">
        <v>23.72</v>
      </c>
      <c r="AK2084">
        <v>12.65</v>
      </c>
      <c r="AL2084">
        <v>-19.680967149999962</v>
      </c>
      <c r="AM2084">
        <v>-43.914383884426663</v>
      </c>
      <c r="AN2084">
        <v>-19.680967149999962</v>
      </c>
      <c r="AO2084">
        <v>-43.914383884426663</v>
      </c>
      <c r="AP2084">
        <v>-19.681051</v>
      </c>
      <c r="AQ2084">
        <v>-43.914375</v>
      </c>
      <c r="AR2084">
        <v>9.3805201894968722</v>
      </c>
      <c r="AS2084" t="s">
        <v>65</v>
      </c>
      <c r="AT2084">
        <v>1</v>
      </c>
      <c r="AU2084" t="s">
        <v>308</v>
      </c>
      <c r="AV2084" t="s">
        <v>303</v>
      </c>
      <c r="AW2084" t="s">
        <v>60</v>
      </c>
      <c r="AX2084" t="s">
        <v>68</v>
      </c>
      <c r="AY2084" t="s">
        <v>69</v>
      </c>
      <c r="AZ2084" t="b">
        <v>1</v>
      </c>
    </row>
    <row r="2085" spans="1:52" x14ac:dyDescent="0.3">
      <c r="A2085" t="s">
        <v>52</v>
      </c>
      <c r="B2085" t="s">
        <v>53</v>
      </c>
      <c r="C2085" t="s">
        <v>54</v>
      </c>
      <c r="D2085" t="s">
        <v>55</v>
      </c>
      <c r="E2085" t="s">
        <v>877</v>
      </c>
      <c r="F2085" t="s">
        <v>176</v>
      </c>
      <c r="G2085" t="s">
        <v>309</v>
      </c>
      <c r="H2085" t="s">
        <v>676</v>
      </c>
      <c r="I2085" t="s">
        <v>676</v>
      </c>
      <c r="J2085" t="s">
        <v>60</v>
      </c>
      <c r="K2085" t="s">
        <v>311</v>
      </c>
      <c r="L2085" t="s">
        <v>62</v>
      </c>
      <c r="M2085" t="s">
        <v>311</v>
      </c>
      <c r="N2085" t="s">
        <v>677</v>
      </c>
      <c r="O2085" t="s">
        <v>678</v>
      </c>
      <c r="P2085">
        <v>-19.567574</v>
      </c>
      <c r="Q2085">
        <v>-43.916691</v>
      </c>
      <c r="R2085" s="2" t="str">
        <f>HYPERLINK("https://www.google.com/maps?q=-19.5675740,-43.9166910","Abrir no Google Maps")</f>
        <v>Abrir no Google Maps</v>
      </c>
      <c r="S2085">
        <v>3</v>
      </c>
      <c r="T2085">
        <v>964.07840012317956</v>
      </c>
      <c r="U2085">
        <v>3</v>
      </c>
      <c r="V2085">
        <v>0.44656799511168438</v>
      </c>
      <c r="W2085">
        <v>1</v>
      </c>
      <c r="X2085">
        <v>0.44656799511168438</v>
      </c>
      <c r="Y2085">
        <v>5</v>
      </c>
      <c r="Z2085">
        <v>848.74171565955544</v>
      </c>
      <c r="AA2085">
        <v>2</v>
      </c>
      <c r="AB2085">
        <v>3</v>
      </c>
      <c r="AC2085">
        <v>7</v>
      </c>
      <c r="AD2085">
        <v>26.01</v>
      </c>
      <c r="AE2085">
        <v>253</v>
      </c>
      <c r="AF2085">
        <v>17</v>
      </c>
      <c r="AG2085">
        <v>60</v>
      </c>
      <c r="AH2085">
        <v>32</v>
      </c>
      <c r="AI2085">
        <v>6.72</v>
      </c>
      <c r="AJ2085">
        <v>23.72</v>
      </c>
      <c r="AK2085">
        <v>12.65</v>
      </c>
      <c r="AL2085">
        <v>-19.568204099999971</v>
      </c>
      <c r="AM2085">
        <v>-43.914085447159053</v>
      </c>
      <c r="AN2085">
        <v>-19.568204099999971</v>
      </c>
      <c r="AO2085">
        <v>-43.914085447159053</v>
      </c>
      <c r="AP2085">
        <v>-19.567574</v>
      </c>
      <c r="AQ2085">
        <v>-43.916691</v>
      </c>
      <c r="AR2085">
        <v>282.15548573552991</v>
      </c>
      <c r="AS2085" t="s">
        <v>65</v>
      </c>
      <c r="AT2085">
        <v>1</v>
      </c>
      <c r="AU2085" t="s">
        <v>679</v>
      </c>
      <c r="AV2085" t="s">
        <v>680</v>
      </c>
      <c r="AW2085" t="s">
        <v>60</v>
      </c>
      <c r="AX2085" t="s">
        <v>68</v>
      </c>
      <c r="AY2085" t="s">
        <v>69</v>
      </c>
      <c r="AZ2085" t="b">
        <v>1</v>
      </c>
    </row>
    <row r="2086" spans="1:52" x14ac:dyDescent="0.3">
      <c r="A2086" t="s">
        <v>52</v>
      </c>
      <c r="B2086" t="s">
        <v>53</v>
      </c>
      <c r="C2086" t="s">
        <v>54</v>
      </c>
      <c r="D2086" t="s">
        <v>55</v>
      </c>
      <c r="E2086" t="s">
        <v>877</v>
      </c>
      <c r="F2086" t="s">
        <v>176</v>
      </c>
      <c r="G2086" t="s">
        <v>309</v>
      </c>
      <c r="H2086" t="s">
        <v>320</v>
      </c>
      <c r="I2086" t="s">
        <v>320</v>
      </c>
      <c r="J2086" t="s">
        <v>60</v>
      </c>
      <c r="K2086" t="s">
        <v>311</v>
      </c>
      <c r="L2086" t="s">
        <v>62</v>
      </c>
      <c r="M2086" t="s">
        <v>311</v>
      </c>
      <c r="N2086" t="s">
        <v>321</v>
      </c>
      <c r="O2086" t="s">
        <v>313</v>
      </c>
      <c r="P2086">
        <v>-19.578469999999999</v>
      </c>
      <c r="Q2086">
        <v>-43.918922000000002</v>
      </c>
      <c r="R2086" s="2" t="str">
        <f>HYPERLINK("https://www.google.com/maps?q=-19.5784700,-43.9189220","Abrir no Google Maps")</f>
        <v>Abrir no Google Maps</v>
      </c>
      <c r="S2086">
        <v>3</v>
      </c>
      <c r="T2086">
        <v>474.92456146278471</v>
      </c>
      <c r="U2086">
        <v>3</v>
      </c>
      <c r="V2086">
        <v>0.53051206187737554</v>
      </c>
      <c r="W2086">
        <v>0.85</v>
      </c>
      <c r="X2086">
        <v>0.45093525259576922</v>
      </c>
      <c r="Y2086">
        <v>5</v>
      </c>
      <c r="Z2086">
        <v>562.61594151292854</v>
      </c>
      <c r="AA2086">
        <v>2</v>
      </c>
      <c r="AB2086">
        <v>3</v>
      </c>
      <c r="AC2086">
        <v>7</v>
      </c>
      <c r="AD2086">
        <v>26.01</v>
      </c>
      <c r="AE2086">
        <v>253</v>
      </c>
      <c r="AF2086">
        <v>17</v>
      </c>
      <c r="AG2086">
        <v>60</v>
      </c>
      <c r="AH2086">
        <v>32</v>
      </c>
      <c r="AI2086">
        <v>6.72</v>
      </c>
      <c r="AJ2086">
        <v>23.72</v>
      </c>
      <c r="AK2086">
        <v>12.65</v>
      </c>
      <c r="AL2086">
        <v>-19.578483899999959</v>
      </c>
      <c r="AM2086">
        <v>-43.918967993509547</v>
      </c>
      <c r="AN2086">
        <v>-19.578483899999959</v>
      </c>
      <c r="AO2086">
        <v>-43.918967993509547</v>
      </c>
      <c r="AP2086">
        <v>-19.578469999999999</v>
      </c>
      <c r="AQ2086">
        <v>-43.918922000000002</v>
      </c>
      <c r="AR2086">
        <v>5.0660669465561501</v>
      </c>
      <c r="AS2086" t="s">
        <v>65</v>
      </c>
      <c r="AT2086">
        <v>1</v>
      </c>
      <c r="AU2086" t="s">
        <v>322</v>
      </c>
      <c r="AV2086" t="s">
        <v>323</v>
      </c>
      <c r="AW2086" t="s">
        <v>60</v>
      </c>
      <c r="AX2086" t="s">
        <v>68</v>
      </c>
      <c r="AY2086" t="s">
        <v>69</v>
      </c>
      <c r="AZ2086" t="b">
        <v>1</v>
      </c>
    </row>
    <row r="2087" spans="1:52" x14ac:dyDescent="0.3">
      <c r="A2087" t="s">
        <v>52</v>
      </c>
      <c r="B2087" t="s">
        <v>53</v>
      </c>
      <c r="C2087" t="s">
        <v>54</v>
      </c>
      <c r="D2087" t="s">
        <v>55</v>
      </c>
      <c r="E2087" t="s">
        <v>877</v>
      </c>
      <c r="F2087" t="s">
        <v>176</v>
      </c>
      <c r="G2087" t="s">
        <v>433</v>
      </c>
      <c r="H2087" t="s">
        <v>434</v>
      </c>
      <c r="I2087" t="s">
        <v>434</v>
      </c>
      <c r="J2087" t="s">
        <v>60</v>
      </c>
      <c r="K2087" t="s">
        <v>311</v>
      </c>
      <c r="L2087" t="s">
        <v>62</v>
      </c>
      <c r="M2087" t="s">
        <v>311</v>
      </c>
      <c r="N2087" t="s">
        <v>435</v>
      </c>
      <c r="O2087" t="s">
        <v>120</v>
      </c>
      <c r="P2087">
        <v>-19.563834</v>
      </c>
      <c r="Q2087">
        <v>-43.917617</v>
      </c>
      <c r="R2087" s="2" t="str">
        <f>HYPERLINK("https://www.google.com/maps?q=-19.5638340,-43.9176170","Abrir no Google Maps")</f>
        <v>Abrir no Google Maps</v>
      </c>
      <c r="S2087">
        <v>3</v>
      </c>
      <c r="T2087">
        <v>1208.4380275937069</v>
      </c>
      <c r="U2087">
        <v>3</v>
      </c>
      <c r="V2087">
        <v>0.44151453684922243</v>
      </c>
      <c r="W2087">
        <v>1</v>
      </c>
      <c r="X2087">
        <v>0.44151453684922243</v>
      </c>
      <c r="Y2087">
        <v>5</v>
      </c>
      <c r="Z2087">
        <v>1239.357315084522</v>
      </c>
      <c r="AA2087">
        <v>2</v>
      </c>
      <c r="AB2087">
        <v>3</v>
      </c>
      <c r="AC2087">
        <v>7</v>
      </c>
      <c r="AD2087">
        <v>26.01</v>
      </c>
      <c r="AE2087">
        <v>253</v>
      </c>
      <c r="AF2087">
        <v>17</v>
      </c>
      <c r="AG2087">
        <v>60</v>
      </c>
      <c r="AH2087">
        <v>32</v>
      </c>
      <c r="AI2087">
        <v>6.72</v>
      </c>
      <c r="AJ2087">
        <v>23.72</v>
      </c>
      <c r="AK2087">
        <v>12.65</v>
      </c>
      <c r="AL2087">
        <v>-19.563932349999959</v>
      </c>
      <c r="AM2087">
        <v>-43.917383104532327</v>
      </c>
      <c r="AN2087">
        <v>-19.563932349999959</v>
      </c>
      <c r="AO2087">
        <v>-43.917383104532327</v>
      </c>
      <c r="AP2087">
        <v>-19.563834</v>
      </c>
      <c r="AQ2087">
        <v>-43.917617</v>
      </c>
      <c r="AR2087">
        <v>26.86608405010627</v>
      </c>
      <c r="AS2087" t="s">
        <v>65</v>
      </c>
      <c r="AT2087">
        <v>1</v>
      </c>
      <c r="AU2087" t="s">
        <v>436</v>
      </c>
      <c r="AV2087" t="s">
        <v>437</v>
      </c>
      <c r="AW2087" t="s">
        <v>60</v>
      </c>
      <c r="AX2087" t="s">
        <v>68</v>
      </c>
      <c r="AY2087" t="s">
        <v>69</v>
      </c>
      <c r="AZ2087" t="b">
        <v>1</v>
      </c>
    </row>
    <row r="2088" spans="1:52" x14ac:dyDescent="0.3">
      <c r="A2088" t="s">
        <v>52</v>
      </c>
      <c r="B2088" t="s">
        <v>53</v>
      </c>
      <c r="C2088" t="s">
        <v>54</v>
      </c>
      <c r="D2088" t="s">
        <v>55</v>
      </c>
      <c r="E2088" t="s">
        <v>877</v>
      </c>
      <c r="F2088" t="s">
        <v>176</v>
      </c>
      <c r="G2088" t="s">
        <v>705</v>
      </c>
      <c r="H2088" t="s">
        <v>706</v>
      </c>
      <c r="I2088" t="s">
        <v>706</v>
      </c>
      <c r="J2088" t="s">
        <v>60</v>
      </c>
      <c r="K2088" t="s">
        <v>707</v>
      </c>
      <c r="L2088" t="s">
        <v>62</v>
      </c>
      <c r="M2088" t="s">
        <v>707</v>
      </c>
      <c r="N2088" t="s">
        <v>708</v>
      </c>
      <c r="O2088" t="s">
        <v>709</v>
      </c>
      <c r="P2088">
        <v>-19.649132000000002</v>
      </c>
      <c r="Q2088">
        <v>-43.913184999999999</v>
      </c>
      <c r="R2088" s="2" t="str">
        <f>HYPERLINK("https://www.google.com/maps?q=-19.6491320,-43.9131850","Abrir no Google Maps")</f>
        <v>Abrir no Google Maps</v>
      </c>
      <c r="S2088">
        <v>3</v>
      </c>
      <c r="T2088">
        <v>708.05095277627129</v>
      </c>
      <c r="U2088">
        <v>3</v>
      </c>
      <c r="V2088">
        <v>0.43410885907317531</v>
      </c>
      <c r="W2088">
        <v>1</v>
      </c>
      <c r="X2088">
        <v>0.43410885907317531</v>
      </c>
      <c r="Y2088">
        <v>4</v>
      </c>
      <c r="Z2088">
        <v>786.89435979618963</v>
      </c>
      <c r="AA2088">
        <v>2</v>
      </c>
      <c r="AB2088">
        <v>3</v>
      </c>
      <c r="AC2088">
        <v>7</v>
      </c>
      <c r="AD2088">
        <v>26.01</v>
      </c>
      <c r="AE2088">
        <v>253</v>
      </c>
      <c r="AF2088">
        <v>17</v>
      </c>
      <c r="AG2088">
        <v>60</v>
      </c>
      <c r="AH2088">
        <v>32</v>
      </c>
      <c r="AI2088">
        <v>6.72</v>
      </c>
      <c r="AJ2088">
        <v>23.72</v>
      </c>
      <c r="AK2088">
        <v>12.65</v>
      </c>
      <c r="AL2088">
        <v>-19.649055099999941</v>
      </c>
      <c r="AM2088">
        <v>-43.912942827576757</v>
      </c>
      <c r="AN2088">
        <v>-19.649055099999941</v>
      </c>
      <c r="AO2088">
        <v>-43.912942827576771</v>
      </c>
      <c r="AP2088">
        <v>-19.649132000000002</v>
      </c>
      <c r="AQ2088">
        <v>-43.913184999999999</v>
      </c>
      <c r="AR2088">
        <v>26.793189431239711</v>
      </c>
      <c r="AS2088" t="s">
        <v>65</v>
      </c>
      <c r="AT2088">
        <v>1</v>
      </c>
      <c r="AU2088" t="s">
        <v>710</v>
      </c>
      <c r="AV2088" t="s">
        <v>711</v>
      </c>
      <c r="AW2088" t="s">
        <v>60</v>
      </c>
      <c r="AX2088" t="s">
        <v>68</v>
      </c>
      <c r="AY2088" t="s">
        <v>69</v>
      </c>
      <c r="AZ2088" t="b">
        <v>1</v>
      </c>
    </row>
    <row r="2089" spans="1:52" x14ac:dyDescent="0.3">
      <c r="A2089" t="s">
        <v>52</v>
      </c>
      <c r="B2089" t="s">
        <v>53</v>
      </c>
      <c r="C2089" t="s">
        <v>54</v>
      </c>
      <c r="D2089" t="s">
        <v>55</v>
      </c>
      <c r="E2089" t="s">
        <v>877</v>
      </c>
      <c r="F2089" t="s">
        <v>176</v>
      </c>
      <c r="G2089" t="s">
        <v>712</v>
      </c>
      <c r="H2089" t="s">
        <v>713</v>
      </c>
      <c r="I2089" t="s">
        <v>713</v>
      </c>
      <c r="J2089" t="s">
        <v>60</v>
      </c>
      <c r="K2089" t="s">
        <v>192</v>
      </c>
      <c r="L2089" t="s">
        <v>62</v>
      </c>
      <c r="M2089" t="s">
        <v>192</v>
      </c>
      <c r="N2089" t="s">
        <v>714</v>
      </c>
      <c r="O2089" t="s">
        <v>715</v>
      </c>
      <c r="P2089">
        <v>-19.653379999999999</v>
      </c>
      <c r="Q2089">
        <v>-43.914634999999997</v>
      </c>
      <c r="R2089" s="2" t="str">
        <f>HYPERLINK("https://www.google.com/maps?q=-19.6533800,-43.9146350","Abrir no Google Maps")</f>
        <v>Abrir no Google Maps</v>
      </c>
      <c r="S2089">
        <v>3</v>
      </c>
      <c r="T2089">
        <v>1209.6845317210091</v>
      </c>
      <c r="U2089">
        <v>3</v>
      </c>
      <c r="V2089">
        <v>0.44956865676290131</v>
      </c>
      <c r="W2089">
        <v>1</v>
      </c>
      <c r="X2089">
        <v>0.44956865676290131</v>
      </c>
      <c r="Y2089">
        <v>4</v>
      </c>
      <c r="Z2089">
        <v>948.79528152345983</v>
      </c>
      <c r="AA2089">
        <v>2</v>
      </c>
      <c r="AB2089">
        <v>3</v>
      </c>
      <c r="AC2089">
        <v>7</v>
      </c>
      <c r="AD2089">
        <v>26.01</v>
      </c>
      <c r="AE2089">
        <v>253</v>
      </c>
      <c r="AF2089">
        <v>17</v>
      </c>
      <c r="AG2089">
        <v>60</v>
      </c>
      <c r="AH2089">
        <v>32</v>
      </c>
      <c r="AI2089">
        <v>6.72</v>
      </c>
      <c r="AJ2089">
        <v>23.72</v>
      </c>
      <c r="AK2089">
        <v>12.65</v>
      </c>
      <c r="AL2089">
        <v>-19.653402249999939</v>
      </c>
      <c r="AM2089">
        <v>-43.91489200796137</v>
      </c>
      <c r="AN2089">
        <v>-19.653402249999939</v>
      </c>
      <c r="AO2089">
        <v>-43.91489200796137</v>
      </c>
      <c r="AP2089">
        <v>-19.653379999999999</v>
      </c>
      <c r="AQ2089">
        <v>-43.914634999999997</v>
      </c>
      <c r="AR2089">
        <v>27.0570338493382</v>
      </c>
      <c r="AS2089" t="s">
        <v>65</v>
      </c>
      <c r="AT2089">
        <v>1</v>
      </c>
      <c r="AU2089" t="s">
        <v>716</v>
      </c>
      <c r="AV2089" t="s">
        <v>717</v>
      </c>
      <c r="AW2089" t="s">
        <v>60</v>
      </c>
      <c r="AX2089" t="s">
        <v>68</v>
      </c>
      <c r="AY2089" t="s">
        <v>69</v>
      </c>
      <c r="AZ2089" t="b">
        <v>1</v>
      </c>
    </row>
    <row r="2090" spans="1:52" x14ac:dyDescent="0.3">
      <c r="A2090" t="s">
        <v>52</v>
      </c>
      <c r="B2090" t="s">
        <v>53</v>
      </c>
      <c r="C2090" t="s">
        <v>54</v>
      </c>
      <c r="D2090" t="s">
        <v>55</v>
      </c>
      <c r="E2090" t="s">
        <v>877</v>
      </c>
      <c r="F2090" t="s">
        <v>176</v>
      </c>
      <c r="G2090" t="s">
        <v>438</v>
      </c>
      <c r="H2090" t="s">
        <v>439</v>
      </c>
      <c r="I2090" t="s">
        <v>439</v>
      </c>
      <c r="J2090" t="s">
        <v>60</v>
      </c>
      <c r="K2090" t="s">
        <v>199</v>
      </c>
      <c r="L2090" t="s">
        <v>62</v>
      </c>
      <c r="M2090" t="s">
        <v>199</v>
      </c>
      <c r="N2090" t="s">
        <v>440</v>
      </c>
      <c r="O2090" t="s">
        <v>120</v>
      </c>
      <c r="P2090">
        <v>-19.642907000000001</v>
      </c>
      <c r="Q2090">
        <v>-43.912584000000003</v>
      </c>
      <c r="R2090" s="2" t="str">
        <f>HYPERLINK("https://www.google.com/maps?q=-19.6429070,-43.9125840","Abrir no Google Maps")</f>
        <v>Abrir no Google Maps</v>
      </c>
      <c r="S2090">
        <v>3</v>
      </c>
      <c r="T2090">
        <v>0</v>
      </c>
      <c r="U2090">
        <v>3</v>
      </c>
      <c r="V2090">
        <v>0.45613106318060459</v>
      </c>
      <c r="W2090">
        <v>1</v>
      </c>
      <c r="X2090">
        <v>0.45613106318060459</v>
      </c>
      <c r="Y2090">
        <v>4</v>
      </c>
      <c r="Z2090">
        <v>617.66392653629225</v>
      </c>
      <c r="AA2090">
        <v>2</v>
      </c>
      <c r="AB2090">
        <v>3</v>
      </c>
      <c r="AC2090">
        <v>7</v>
      </c>
      <c r="AD2090">
        <v>26.01</v>
      </c>
      <c r="AE2090">
        <v>253</v>
      </c>
      <c r="AF2090">
        <v>17</v>
      </c>
      <c r="AG2090">
        <v>60</v>
      </c>
      <c r="AH2090">
        <v>32</v>
      </c>
      <c r="AI2090">
        <v>6.72</v>
      </c>
      <c r="AJ2090">
        <v>23.72</v>
      </c>
      <c r="AK2090">
        <v>12.65</v>
      </c>
      <c r="AL2090">
        <v>-19.64265969999996</v>
      </c>
      <c r="AM2090">
        <v>-43.912763285666202</v>
      </c>
      <c r="AN2090">
        <v>-19.64265969999996</v>
      </c>
      <c r="AO2090">
        <v>-43.912763285666202</v>
      </c>
      <c r="AP2090">
        <v>-19.642907000000001</v>
      </c>
      <c r="AQ2090">
        <v>-43.912584000000003</v>
      </c>
      <c r="AR2090">
        <v>33.334435483196202</v>
      </c>
      <c r="AS2090" t="s">
        <v>65</v>
      </c>
      <c r="AT2090">
        <v>1</v>
      </c>
      <c r="AU2090" t="s">
        <v>441</v>
      </c>
      <c r="AV2090" t="s">
        <v>442</v>
      </c>
      <c r="AW2090" t="s">
        <v>60</v>
      </c>
      <c r="AX2090" t="s">
        <v>68</v>
      </c>
      <c r="AY2090" t="s">
        <v>69</v>
      </c>
      <c r="AZ2090" t="b">
        <v>1</v>
      </c>
    </row>
    <row r="2091" spans="1:52" x14ac:dyDescent="0.3">
      <c r="A2091" t="s">
        <v>52</v>
      </c>
      <c r="B2091" t="s">
        <v>53</v>
      </c>
      <c r="C2091" t="s">
        <v>54</v>
      </c>
      <c r="D2091" t="s">
        <v>55</v>
      </c>
      <c r="E2091" t="s">
        <v>877</v>
      </c>
      <c r="F2091" t="s">
        <v>176</v>
      </c>
      <c r="G2091" t="s">
        <v>450</v>
      </c>
      <c r="H2091" t="s">
        <v>451</v>
      </c>
      <c r="I2091" t="s">
        <v>451</v>
      </c>
      <c r="J2091" t="s">
        <v>60</v>
      </c>
      <c r="K2091" t="s">
        <v>452</v>
      </c>
      <c r="L2091" t="s">
        <v>62</v>
      </c>
      <c r="M2091" t="s">
        <v>452</v>
      </c>
      <c r="N2091" t="s">
        <v>453</v>
      </c>
      <c r="O2091" t="s">
        <v>454</v>
      </c>
      <c r="P2091">
        <v>-19.649691000000001</v>
      </c>
      <c r="Q2091">
        <v>-43.873970999999997</v>
      </c>
      <c r="R2091" s="2" t="str">
        <f>HYPERLINK("https://www.google.com/maps?q=-19.6496910,-43.8739710","Abrir no Google Maps")</f>
        <v>Abrir no Google Maps</v>
      </c>
      <c r="S2091">
        <v>3</v>
      </c>
      <c r="T2091">
        <v>433.54329587849469</v>
      </c>
      <c r="U2091">
        <v>3</v>
      </c>
      <c r="V2091">
        <v>0.45365254757519952</v>
      </c>
      <c r="W2091">
        <v>1</v>
      </c>
      <c r="X2091">
        <v>0.45365254757519952</v>
      </c>
      <c r="Y2091">
        <v>3</v>
      </c>
      <c r="Z2091">
        <v>298.71042308886041</v>
      </c>
      <c r="AA2091">
        <v>2</v>
      </c>
      <c r="AB2091">
        <v>3</v>
      </c>
      <c r="AC2091">
        <v>7</v>
      </c>
      <c r="AD2091">
        <v>26.01</v>
      </c>
      <c r="AE2091">
        <v>253</v>
      </c>
      <c r="AF2091">
        <v>17</v>
      </c>
      <c r="AG2091">
        <v>60</v>
      </c>
      <c r="AH2091">
        <v>32</v>
      </c>
      <c r="AI2091">
        <v>6.72</v>
      </c>
      <c r="AJ2091">
        <v>23.72</v>
      </c>
      <c r="AK2091">
        <v>12.65</v>
      </c>
      <c r="AL2091">
        <v>-19.64973869999994</v>
      </c>
      <c r="AM2091">
        <v>-43.873980587601103</v>
      </c>
      <c r="AN2091">
        <v>-19.64973869999994</v>
      </c>
      <c r="AO2091">
        <v>-43.873980587601103</v>
      </c>
      <c r="AP2091">
        <v>-19.649691000000001</v>
      </c>
      <c r="AQ2091">
        <v>-43.873970999999997</v>
      </c>
      <c r="AR2091">
        <v>5.4042596125531333</v>
      </c>
      <c r="AS2091" t="s">
        <v>65</v>
      </c>
      <c r="AT2091">
        <v>1</v>
      </c>
      <c r="AU2091" t="s">
        <v>455</v>
      </c>
      <c r="AV2091" t="s">
        <v>456</v>
      </c>
      <c r="AW2091" t="s">
        <v>60</v>
      </c>
      <c r="AX2091" t="s">
        <v>68</v>
      </c>
      <c r="AY2091" t="s">
        <v>69</v>
      </c>
      <c r="AZ2091" t="b">
        <v>1</v>
      </c>
    </row>
    <row r="2092" spans="1:52" x14ac:dyDescent="0.3">
      <c r="A2092" t="s">
        <v>52</v>
      </c>
      <c r="B2092" t="s">
        <v>53</v>
      </c>
      <c r="C2092" t="s">
        <v>54</v>
      </c>
      <c r="D2092" t="s">
        <v>55</v>
      </c>
      <c r="E2092" t="s">
        <v>877</v>
      </c>
      <c r="F2092" t="s">
        <v>176</v>
      </c>
      <c r="G2092" t="s">
        <v>462</v>
      </c>
      <c r="H2092" t="s">
        <v>463</v>
      </c>
      <c r="I2092" t="s">
        <v>463</v>
      </c>
      <c r="J2092" t="s">
        <v>60</v>
      </c>
      <c r="K2092" t="s">
        <v>464</v>
      </c>
      <c r="L2092" t="s">
        <v>62</v>
      </c>
      <c r="M2092" t="s">
        <v>464</v>
      </c>
      <c r="N2092" t="s">
        <v>465</v>
      </c>
      <c r="O2092" t="s">
        <v>414</v>
      </c>
      <c r="P2092">
        <v>-19.655408000000001</v>
      </c>
      <c r="Q2092">
        <v>-43.862772999999997</v>
      </c>
      <c r="R2092" s="2" t="str">
        <f>HYPERLINK("https://www.google.com/maps?q=-19.6554080,-43.8627730","Abrir no Google Maps")</f>
        <v>Abrir no Google Maps</v>
      </c>
      <c r="S2092">
        <v>3</v>
      </c>
      <c r="T2092">
        <v>877.50781603676592</v>
      </c>
      <c r="U2092">
        <v>3</v>
      </c>
      <c r="V2092">
        <v>0.44725792411285781</v>
      </c>
      <c r="W2092">
        <v>1</v>
      </c>
      <c r="X2092">
        <v>0.44725792411285781</v>
      </c>
      <c r="Y2092">
        <v>3</v>
      </c>
      <c r="Z2092">
        <v>1005.9680098732809</v>
      </c>
      <c r="AA2092">
        <v>2</v>
      </c>
      <c r="AB2092">
        <v>3</v>
      </c>
      <c r="AC2092">
        <v>7</v>
      </c>
      <c r="AD2092">
        <v>26.01</v>
      </c>
      <c r="AE2092">
        <v>253</v>
      </c>
      <c r="AF2092">
        <v>17</v>
      </c>
      <c r="AG2092">
        <v>60</v>
      </c>
      <c r="AH2092">
        <v>32</v>
      </c>
      <c r="AI2092">
        <v>6.72</v>
      </c>
      <c r="AJ2092">
        <v>23.72</v>
      </c>
      <c r="AK2092">
        <v>12.65</v>
      </c>
      <c r="AL2092">
        <v>-19.655455099999951</v>
      </c>
      <c r="AM2092">
        <v>-43.863149342001513</v>
      </c>
      <c r="AN2092">
        <v>-19.655455099999951</v>
      </c>
      <c r="AO2092">
        <v>-43.863149342001513</v>
      </c>
      <c r="AP2092">
        <v>-19.655408000000001</v>
      </c>
      <c r="AQ2092">
        <v>-43.862772999999997</v>
      </c>
      <c r="AR2092">
        <v>39.800175805630573</v>
      </c>
      <c r="AS2092" t="s">
        <v>65</v>
      </c>
      <c r="AT2092">
        <v>1</v>
      </c>
      <c r="AU2092" t="s">
        <v>466</v>
      </c>
      <c r="AV2092" t="s">
        <v>467</v>
      </c>
      <c r="AW2092" t="s">
        <v>60</v>
      </c>
      <c r="AX2092" t="s">
        <v>68</v>
      </c>
      <c r="AY2092" t="s">
        <v>69</v>
      </c>
      <c r="AZ2092" t="b">
        <v>1</v>
      </c>
    </row>
    <row r="2093" spans="1:52" x14ac:dyDescent="0.3">
      <c r="A2093" t="s">
        <v>52</v>
      </c>
      <c r="B2093" t="s">
        <v>53</v>
      </c>
      <c r="C2093" t="s">
        <v>54</v>
      </c>
      <c r="D2093" t="s">
        <v>55</v>
      </c>
      <c r="E2093" t="s">
        <v>877</v>
      </c>
      <c r="F2093" t="s">
        <v>176</v>
      </c>
      <c r="G2093" t="s">
        <v>468</v>
      </c>
      <c r="H2093" t="s">
        <v>469</v>
      </c>
      <c r="I2093" t="s">
        <v>469</v>
      </c>
      <c r="J2093" t="s">
        <v>60</v>
      </c>
      <c r="K2093" t="s">
        <v>326</v>
      </c>
      <c r="L2093" t="s">
        <v>62</v>
      </c>
      <c r="M2093" t="s">
        <v>326</v>
      </c>
      <c r="N2093" t="s">
        <v>470</v>
      </c>
      <c r="O2093" t="s">
        <v>471</v>
      </c>
      <c r="P2093">
        <v>-19.655975999999999</v>
      </c>
      <c r="Q2093">
        <v>-43.870057000000003</v>
      </c>
      <c r="R2093" s="2" t="str">
        <f>HYPERLINK("https://www.google.com/maps?q=-19.6559760,-43.8700570","Abrir no Google Maps")</f>
        <v>Abrir no Google Maps</v>
      </c>
      <c r="S2093">
        <v>3</v>
      </c>
      <c r="T2093">
        <v>409.25016374145417</v>
      </c>
      <c r="U2093">
        <v>3</v>
      </c>
      <c r="V2093">
        <v>0.4571304646048942</v>
      </c>
      <c r="W2093">
        <v>1</v>
      </c>
      <c r="X2093">
        <v>0.4571304646048942</v>
      </c>
      <c r="Y2093">
        <v>3</v>
      </c>
      <c r="Z2093">
        <v>484.59511175905197</v>
      </c>
      <c r="AA2093">
        <v>2</v>
      </c>
      <c r="AB2093">
        <v>3</v>
      </c>
      <c r="AC2093">
        <v>7</v>
      </c>
      <c r="AD2093">
        <v>26.01</v>
      </c>
      <c r="AE2093">
        <v>253</v>
      </c>
      <c r="AF2093">
        <v>17</v>
      </c>
      <c r="AG2093">
        <v>60</v>
      </c>
      <c r="AH2093">
        <v>32</v>
      </c>
      <c r="AI2093">
        <v>6.72</v>
      </c>
      <c r="AJ2093">
        <v>23.72</v>
      </c>
      <c r="AK2093">
        <v>12.65</v>
      </c>
      <c r="AL2093">
        <v>-19.655869499999969</v>
      </c>
      <c r="AM2093">
        <v>-43.870040006843681</v>
      </c>
      <c r="AN2093">
        <v>-19.655869499999969</v>
      </c>
      <c r="AO2093">
        <v>-43.870040006843681</v>
      </c>
      <c r="AP2093">
        <v>-19.655975999999999</v>
      </c>
      <c r="AQ2093">
        <v>-43.870057000000003</v>
      </c>
      <c r="AR2093">
        <v>11.98867552929476</v>
      </c>
      <c r="AS2093" t="s">
        <v>65</v>
      </c>
      <c r="AT2093">
        <v>1</v>
      </c>
      <c r="AU2093" t="s">
        <v>472</v>
      </c>
      <c r="AV2093" t="s">
        <v>473</v>
      </c>
      <c r="AW2093" t="s">
        <v>60</v>
      </c>
      <c r="AX2093" t="s">
        <v>68</v>
      </c>
      <c r="AY2093" t="s">
        <v>69</v>
      </c>
      <c r="AZ2093" t="b">
        <v>1</v>
      </c>
    </row>
    <row r="2094" spans="1:52" x14ac:dyDescent="0.3">
      <c r="A2094" t="s">
        <v>52</v>
      </c>
      <c r="B2094" t="s">
        <v>53</v>
      </c>
      <c r="C2094" t="s">
        <v>54</v>
      </c>
      <c r="D2094" t="s">
        <v>55</v>
      </c>
      <c r="E2094" t="s">
        <v>877</v>
      </c>
      <c r="F2094" t="s">
        <v>176</v>
      </c>
      <c r="G2094" t="s">
        <v>783</v>
      </c>
      <c r="H2094" t="s">
        <v>784</v>
      </c>
      <c r="I2094" t="s">
        <v>784</v>
      </c>
      <c r="J2094" t="s">
        <v>60</v>
      </c>
      <c r="K2094" t="s">
        <v>326</v>
      </c>
      <c r="L2094" t="s">
        <v>62</v>
      </c>
      <c r="M2094" t="s">
        <v>326</v>
      </c>
      <c r="N2094" t="s">
        <v>785</v>
      </c>
      <c r="O2094" t="s">
        <v>282</v>
      </c>
      <c r="P2094">
        <v>-19.660250999999999</v>
      </c>
      <c r="Q2094">
        <v>-43.872767000000003</v>
      </c>
      <c r="R2094" s="2" t="str">
        <f>HYPERLINK("https://www.google.com/maps?q=-19.6602510,-43.8727670","Abrir no Google Maps")</f>
        <v>Abrir no Google Maps</v>
      </c>
      <c r="S2094">
        <v>3</v>
      </c>
      <c r="T2094">
        <v>867.23644041593502</v>
      </c>
      <c r="U2094">
        <v>3</v>
      </c>
      <c r="V2094">
        <v>0.43261845916713171</v>
      </c>
      <c r="W2094">
        <v>1</v>
      </c>
      <c r="X2094">
        <v>0.43261845916713171</v>
      </c>
      <c r="Y2094">
        <v>3</v>
      </c>
      <c r="Z2094">
        <v>822.53921499947728</v>
      </c>
      <c r="AA2094">
        <v>2</v>
      </c>
      <c r="AB2094">
        <v>3</v>
      </c>
      <c r="AC2094">
        <v>7</v>
      </c>
      <c r="AD2094">
        <v>26.01</v>
      </c>
      <c r="AE2094">
        <v>253</v>
      </c>
      <c r="AF2094">
        <v>17</v>
      </c>
      <c r="AG2094">
        <v>60</v>
      </c>
      <c r="AH2094">
        <v>32</v>
      </c>
      <c r="AI2094">
        <v>6.72</v>
      </c>
      <c r="AJ2094">
        <v>23.72</v>
      </c>
      <c r="AK2094">
        <v>12.65</v>
      </c>
      <c r="AL2094">
        <v>-19.65986969999997</v>
      </c>
      <c r="AM2094">
        <v>-43.872697658306379</v>
      </c>
      <c r="AN2094">
        <v>-19.65986969999997</v>
      </c>
      <c r="AO2094">
        <v>-43.872697658306379</v>
      </c>
      <c r="AP2094">
        <v>-19.660250999999999</v>
      </c>
      <c r="AQ2094">
        <v>-43.872767000000003</v>
      </c>
      <c r="AR2094">
        <v>43.064256320397227</v>
      </c>
      <c r="AS2094" t="s">
        <v>65</v>
      </c>
      <c r="AT2094">
        <v>1</v>
      </c>
      <c r="AU2094" t="s">
        <v>786</v>
      </c>
      <c r="AV2094" t="s">
        <v>787</v>
      </c>
      <c r="AW2094" t="s">
        <v>60</v>
      </c>
      <c r="AX2094" t="s">
        <v>68</v>
      </c>
      <c r="AY2094" t="s">
        <v>69</v>
      </c>
      <c r="AZ2094" t="b">
        <v>1</v>
      </c>
    </row>
    <row r="2095" spans="1:52" x14ac:dyDescent="0.3">
      <c r="A2095" t="s">
        <v>52</v>
      </c>
      <c r="B2095" t="s">
        <v>53</v>
      </c>
      <c r="C2095" t="s">
        <v>54</v>
      </c>
      <c r="D2095" t="s">
        <v>55</v>
      </c>
      <c r="E2095" t="s">
        <v>877</v>
      </c>
      <c r="F2095" t="s">
        <v>176</v>
      </c>
      <c r="G2095" t="s">
        <v>438</v>
      </c>
      <c r="H2095" t="s">
        <v>718</v>
      </c>
      <c r="I2095" t="s">
        <v>718</v>
      </c>
      <c r="J2095" t="s">
        <v>60</v>
      </c>
      <c r="K2095" t="s">
        <v>719</v>
      </c>
      <c r="L2095" t="s">
        <v>62</v>
      </c>
      <c r="M2095" t="s">
        <v>719</v>
      </c>
      <c r="N2095" t="s">
        <v>720</v>
      </c>
      <c r="O2095" t="s">
        <v>721</v>
      </c>
      <c r="P2095">
        <v>-19.659696</v>
      </c>
      <c r="Q2095">
        <v>-43.878183</v>
      </c>
      <c r="R2095" s="2" t="str">
        <f>HYPERLINK("https://www.google.com/maps?q=-19.6596960,-43.8781830","Abrir no Google Maps")</f>
        <v>Abrir no Google Maps</v>
      </c>
      <c r="S2095">
        <v>3</v>
      </c>
      <c r="T2095">
        <v>1123.545826977394</v>
      </c>
      <c r="U2095">
        <v>3</v>
      </c>
      <c r="V2095">
        <v>0.43394464446444642</v>
      </c>
      <c r="W2095">
        <v>1</v>
      </c>
      <c r="X2095">
        <v>0.43394464446444642</v>
      </c>
      <c r="Y2095">
        <v>3</v>
      </c>
      <c r="Z2095">
        <v>1050.5223173666111</v>
      </c>
      <c r="AA2095">
        <v>2</v>
      </c>
      <c r="AB2095">
        <v>3</v>
      </c>
      <c r="AC2095">
        <v>7</v>
      </c>
      <c r="AD2095">
        <v>26.01</v>
      </c>
      <c r="AE2095">
        <v>253</v>
      </c>
      <c r="AF2095">
        <v>17</v>
      </c>
      <c r="AG2095">
        <v>60</v>
      </c>
      <c r="AH2095">
        <v>32</v>
      </c>
      <c r="AI2095">
        <v>6.72</v>
      </c>
      <c r="AJ2095">
        <v>23.72</v>
      </c>
      <c r="AK2095">
        <v>12.65</v>
      </c>
      <c r="AL2095">
        <v>-19.65964904999996</v>
      </c>
      <c r="AM2095">
        <v>-43.878129467040978</v>
      </c>
      <c r="AN2095">
        <v>-19.65964904999996</v>
      </c>
      <c r="AO2095">
        <v>-43.878129467040978</v>
      </c>
      <c r="AP2095">
        <v>-19.659696</v>
      </c>
      <c r="AQ2095">
        <v>-43.878183</v>
      </c>
      <c r="AR2095">
        <v>7.6687382643842978</v>
      </c>
      <c r="AS2095" t="s">
        <v>65</v>
      </c>
      <c r="AT2095">
        <v>1</v>
      </c>
      <c r="AU2095" t="s">
        <v>722</v>
      </c>
      <c r="AV2095" t="s">
        <v>723</v>
      </c>
      <c r="AW2095" t="s">
        <v>60</v>
      </c>
      <c r="AX2095" t="s">
        <v>68</v>
      </c>
      <c r="AY2095" t="s">
        <v>69</v>
      </c>
      <c r="AZ2095" t="b">
        <v>1</v>
      </c>
    </row>
    <row r="2096" spans="1:52" x14ac:dyDescent="0.3">
      <c r="A2096" t="s">
        <v>52</v>
      </c>
      <c r="B2096" t="s">
        <v>53</v>
      </c>
      <c r="C2096" t="s">
        <v>54</v>
      </c>
      <c r="D2096" t="s">
        <v>55</v>
      </c>
      <c r="E2096" t="s">
        <v>877</v>
      </c>
      <c r="F2096" t="s">
        <v>176</v>
      </c>
      <c r="G2096" t="s">
        <v>331</v>
      </c>
      <c r="H2096" t="s">
        <v>332</v>
      </c>
      <c r="I2096" t="s">
        <v>332</v>
      </c>
      <c r="J2096" t="s">
        <v>60</v>
      </c>
      <c r="K2096" t="s">
        <v>333</v>
      </c>
      <c r="L2096" t="s">
        <v>62</v>
      </c>
      <c r="M2096" t="s">
        <v>333</v>
      </c>
      <c r="N2096" t="s">
        <v>334</v>
      </c>
      <c r="O2096" t="s">
        <v>335</v>
      </c>
      <c r="P2096">
        <v>-19.638455</v>
      </c>
      <c r="Q2096">
        <v>-43.911239000000002</v>
      </c>
      <c r="R2096" s="2" t="str">
        <f>HYPERLINK("https://www.google.com/maps?q=-19.6384550,-43.9112390","Abrir no Google Maps")</f>
        <v>Abrir no Google Maps</v>
      </c>
      <c r="S2096">
        <v>3</v>
      </c>
      <c r="T2096">
        <v>488.53051432983438</v>
      </c>
      <c r="U2096">
        <v>3</v>
      </c>
      <c r="V2096">
        <v>0.4366612989801395</v>
      </c>
      <c r="W2096">
        <v>1</v>
      </c>
      <c r="X2096">
        <v>0.4366612989801395</v>
      </c>
      <c r="Y2096">
        <v>3</v>
      </c>
      <c r="Z2096">
        <v>503.17412324010428</v>
      </c>
      <c r="AA2096">
        <v>2</v>
      </c>
      <c r="AB2096">
        <v>3</v>
      </c>
      <c r="AC2096">
        <v>7</v>
      </c>
      <c r="AD2096">
        <v>26.01</v>
      </c>
      <c r="AE2096">
        <v>253</v>
      </c>
      <c r="AF2096">
        <v>17</v>
      </c>
      <c r="AG2096">
        <v>60</v>
      </c>
      <c r="AH2096">
        <v>32</v>
      </c>
      <c r="AI2096">
        <v>6.72</v>
      </c>
      <c r="AJ2096">
        <v>23.72</v>
      </c>
      <c r="AK2096">
        <v>12.65</v>
      </c>
      <c r="AL2096">
        <v>-19.63853704999994</v>
      </c>
      <c r="AM2096">
        <v>-43.911098254478723</v>
      </c>
      <c r="AN2096">
        <v>-19.63853704999994</v>
      </c>
      <c r="AO2096">
        <v>-43.911098254478723</v>
      </c>
      <c r="AP2096">
        <v>-19.638455</v>
      </c>
      <c r="AQ2096">
        <v>-43.911239000000002</v>
      </c>
      <c r="AR2096">
        <v>17.354491692685801</v>
      </c>
      <c r="AS2096" t="s">
        <v>65</v>
      </c>
      <c r="AT2096">
        <v>1</v>
      </c>
      <c r="AU2096" t="s">
        <v>336</v>
      </c>
      <c r="AV2096" t="s">
        <v>337</v>
      </c>
      <c r="AW2096" t="s">
        <v>60</v>
      </c>
      <c r="AX2096" t="s">
        <v>68</v>
      </c>
      <c r="AY2096" t="s">
        <v>69</v>
      </c>
      <c r="AZ2096" t="b">
        <v>1</v>
      </c>
    </row>
    <row r="2097" spans="1:52" x14ac:dyDescent="0.3">
      <c r="A2097" t="s">
        <v>52</v>
      </c>
      <c r="B2097" t="s">
        <v>53</v>
      </c>
      <c r="C2097" t="s">
        <v>54</v>
      </c>
      <c r="D2097" t="s">
        <v>55</v>
      </c>
      <c r="E2097" t="s">
        <v>877</v>
      </c>
      <c r="F2097" t="s">
        <v>176</v>
      </c>
      <c r="G2097" t="s">
        <v>338</v>
      </c>
      <c r="H2097" t="s">
        <v>339</v>
      </c>
      <c r="I2097" t="s">
        <v>339</v>
      </c>
      <c r="J2097" t="s">
        <v>60</v>
      </c>
      <c r="K2097" t="s">
        <v>219</v>
      </c>
      <c r="L2097" t="s">
        <v>62</v>
      </c>
      <c r="M2097" t="s">
        <v>219</v>
      </c>
      <c r="N2097" t="s">
        <v>340</v>
      </c>
      <c r="O2097" t="s">
        <v>341</v>
      </c>
      <c r="P2097">
        <v>-19.666964</v>
      </c>
      <c r="Q2097">
        <v>-43.884436999999998</v>
      </c>
      <c r="R2097" s="2" t="str">
        <f>HYPERLINK("https://www.google.com/maps?q=-19.6669640,-43.8844370","Abrir no Google Maps")</f>
        <v>Abrir no Google Maps</v>
      </c>
      <c r="S2097">
        <v>3</v>
      </c>
      <c r="T2097">
        <v>957.0047152726122</v>
      </c>
      <c r="U2097">
        <v>3</v>
      </c>
      <c r="V2097">
        <v>0.4311526479750778</v>
      </c>
      <c r="W2097">
        <v>1</v>
      </c>
      <c r="X2097">
        <v>0.4311526479750778</v>
      </c>
      <c r="Y2097">
        <v>3</v>
      </c>
      <c r="Z2097">
        <v>558.02655966087093</v>
      </c>
      <c r="AA2097">
        <v>2</v>
      </c>
      <c r="AB2097">
        <v>3</v>
      </c>
      <c r="AC2097">
        <v>7</v>
      </c>
      <c r="AD2097">
        <v>26.01</v>
      </c>
      <c r="AE2097">
        <v>253</v>
      </c>
      <c r="AF2097">
        <v>17</v>
      </c>
      <c r="AG2097">
        <v>60</v>
      </c>
      <c r="AH2097">
        <v>32</v>
      </c>
      <c r="AI2097">
        <v>6.72</v>
      </c>
      <c r="AJ2097">
        <v>23.72</v>
      </c>
      <c r="AK2097">
        <v>12.65</v>
      </c>
      <c r="AL2097">
        <v>-19.66693374999997</v>
      </c>
      <c r="AM2097">
        <v>-43.884551162820181</v>
      </c>
      <c r="AN2097">
        <v>-19.66693374999997</v>
      </c>
      <c r="AO2097">
        <v>-43.884551162820181</v>
      </c>
      <c r="AP2097">
        <v>-19.666964</v>
      </c>
      <c r="AQ2097">
        <v>-43.884436999999998</v>
      </c>
      <c r="AR2097">
        <v>12.43199920714442</v>
      </c>
      <c r="AS2097" t="s">
        <v>65</v>
      </c>
      <c r="AT2097">
        <v>1</v>
      </c>
      <c r="AU2097" t="s">
        <v>342</v>
      </c>
      <c r="AV2097" t="s">
        <v>343</v>
      </c>
      <c r="AW2097" t="s">
        <v>60</v>
      </c>
      <c r="AX2097" t="s">
        <v>68</v>
      </c>
      <c r="AY2097" t="s">
        <v>69</v>
      </c>
      <c r="AZ2097" t="b">
        <v>1</v>
      </c>
    </row>
    <row r="2098" spans="1:52" x14ac:dyDescent="0.3">
      <c r="A2098" t="s">
        <v>52</v>
      </c>
      <c r="B2098" t="s">
        <v>53</v>
      </c>
      <c r="C2098" t="s">
        <v>54</v>
      </c>
      <c r="D2098" t="s">
        <v>55</v>
      </c>
      <c r="E2098" t="s">
        <v>877</v>
      </c>
      <c r="F2098" t="s">
        <v>176</v>
      </c>
      <c r="G2098" t="s">
        <v>344</v>
      </c>
      <c r="H2098" t="s">
        <v>345</v>
      </c>
      <c r="I2098" t="s">
        <v>345</v>
      </c>
      <c r="J2098" t="s">
        <v>60</v>
      </c>
      <c r="K2098" t="s">
        <v>326</v>
      </c>
      <c r="L2098" t="s">
        <v>62</v>
      </c>
      <c r="M2098" t="s">
        <v>326</v>
      </c>
      <c r="N2098" t="s">
        <v>346</v>
      </c>
      <c r="O2098" t="s">
        <v>347</v>
      </c>
      <c r="P2098">
        <v>-19.659784999999999</v>
      </c>
      <c r="Q2098">
        <v>-43.868257999999997</v>
      </c>
      <c r="R2098" s="2" t="str">
        <f>HYPERLINK("https://www.google.com/maps?q=-19.6597850,-43.8682580","Abrir no Google Maps")</f>
        <v>Abrir no Google Maps</v>
      </c>
      <c r="S2098">
        <v>3</v>
      </c>
      <c r="T2098">
        <v>887.40196140413514</v>
      </c>
      <c r="U2098">
        <v>3</v>
      </c>
      <c r="V2098">
        <v>0.42906557296041897</v>
      </c>
      <c r="W2098">
        <v>1</v>
      </c>
      <c r="X2098">
        <v>0.42906557296041897</v>
      </c>
      <c r="Y2098">
        <v>3</v>
      </c>
      <c r="Z2098">
        <v>951.67106090939239</v>
      </c>
      <c r="AA2098">
        <v>2</v>
      </c>
      <c r="AB2098">
        <v>3</v>
      </c>
      <c r="AC2098">
        <v>7</v>
      </c>
      <c r="AD2098">
        <v>26.01</v>
      </c>
      <c r="AE2098">
        <v>253</v>
      </c>
      <c r="AF2098">
        <v>17</v>
      </c>
      <c r="AG2098">
        <v>60</v>
      </c>
      <c r="AH2098">
        <v>32</v>
      </c>
      <c r="AI2098">
        <v>6.72</v>
      </c>
      <c r="AJ2098">
        <v>23.72</v>
      </c>
      <c r="AK2098">
        <v>12.65</v>
      </c>
      <c r="AL2098">
        <v>-19.659938849999971</v>
      </c>
      <c r="AM2098">
        <v>-43.868426732971933</v>
      </c>
      <c r="AN2098">
        <v>-19.659938849999971</v>
      </c>
      <c r="AO2098">
        <v>-43.868426732971933</v>
      </c>
      <c r="AP2098">
        <v>-19.659784999999999</v>
      </c>
      <c r="AQ2098">
        <v>-43.868257999999997</v>
      </c>
      <c r="AR2098">
        <v>24.621113441172451</v>
      </c>
      <c r="AS2098" t="s">
        <v>65</v>
      </c>
      <c r="AT2098">
        <v>1</v>
      </c>
      <c r="AU2098" t="s">
        <v>348</v>
      </c>
      <c r="AV2098" t="s">
        <v>349</v>
      </c>
      <c r="AW2098" t="s">
        <v>60</v>
      </c>
      <c r="AX2098" t="s">
        <v>68</v>
      </c>
      <c r="AY2098" t="s">
        <v>69</v>
      </c>
      <c r="AZ2098" t="b">
        <v>1</v>
      </c>
    </row>
    <row r="2099" spans="1:52" x14ac:dyDescent="0.3">
      <c r="A2099" t="s">
        <v>52</v>
      </c>
      <c r="B2099" t="s">
        <v>53</v>
      </c>
      <c r="C2099" t="s">
        <v>54</v>
      </c>
      <c r="D2099" t="s">
        <v>55</v>
      </c>
      <c r="E2099" t="s">
        <v>877</v>
      </c>
      <c r="F2099" t="s">
        <v>176</v>
      </c>
      <c r="G2099" t="s">
        <v>474</v>
      </c>
      <c r="H2099" t="s">
        <v>475</v>
      </c>
      <c r="I2099" t="s">
        <v>475</v>
      </c>
      <c r="J2099" t="s">
        <v>60</v>
      </c>
      <c r="K2099" t="s">
        <v>326</v>
      </c>
      <c r="L2099" t="s">
        <v>62</v>
      </c>
      <c r="M2099" t="s">
        <v>326</v>
      </c>
      <c r="N2099" t="s">
        <v>476</v>
      </c>
      <c r="O2099" t="s">
        <v>477</v>
      </c>
      <c r="P2099">
        <v>-19.658083000000001</v>
      </c>
      <c r="Q2099">
        <v>-43.866957999999997</v>
      </c>
      <c r="R2099" s="2" t="str">
        <f>HYPERLINK("https://www.google.com/maps?q=-19.6580830,-43.8669580","Abrir no Google Maps")</f>
        <v>Abrir no Google Maps</v>
      </c>
      <c r="S2099">
        <v>3</v>
      </c>
      <c r="T2099">
        <v>753.45055811539748</v>
      </c>
      <c r="U2099">
        <v>3</v>
      </c>
      <c r="V2099">
        <v>0.45386432550595868</v>
      </c>
      <c r="W2099">
        <v>1</v>
      </c>
      <c r="X2099">
        <v>0.45386432550595868</v>
      </c>
      <c r="Y2099">
        <v>3</v>
      </c>
      <c r="Z2099">
        <v>808.47816984050394</v>
      </c>
      <c r="AA2099">
        <v>2</v>
      </c>
      <c r="AB2099">
        <v>3</v>
      </c>
      <c r="AC2099">
        <v>7</v>
      </c>
      <c r="AD2099">
        <v>26.01</v>
      </c>
      <c r="AE2099">
        <v>253</v>
      </c>
      <c r="AF2099">
        <v>17</v>
      </c>
      <c r="AG2099">
        <v>60</v>
      </c>
      <c r="AH2099">
        <v>32</v>
      </c>
      <c r="AI2099">
        <v>6.72</v>
      </c>
      <c r="AJ2099">
        <v>23.72</v>
      </c>
      <c r="AK2099">
        <v>12.65</v>
      </c>
      <c r="AL2099">
        <v>-19.658034899999929</v>
      </c>
      <c r="AM2099">
        <v>-43.867024921196148</v>
      </c>
      <c r="AN2099">
        <v>-19.658034899999929</v>
      </c>
      <c r="AO2099">
        <v>-43.867024921196148</v>
      </c>
      <c r="AP2099">
        <v>-19.658083000000001</v>
      </c>
      <c r="AQ2099">
        <v>-43.866957999999997</v>
      </c>
      <c r="AR2099">
        <v>8.8253920204286462</v>
      </c>
      <c r="AS2099" t="s">
        <v>65</v>
      </c>
      <c r="AT2099">
        <v>1</v>
      </c>
      <c r="AU2099" t="s">
        <v>478</v>
      </c>
      <c r="AV2099" t="s">
        <v>349</v>
      </c>
      <c r="AW2099" t="s">
        <v>60</v>
      </c>
      <c r="AX2099" t="s">
        <v>68</v>
      </c>
      <c r="AY2099" t="s">
        <v>69</v>
      </c>
      <c r="AZ2099" t="b">
        <v>1</v>
      </c>
    </row>
    <row r="2100" spans="1:52" x14ac:dyDescent="0.3">
      <c r="A2100" t="s">
        <v>52</v>
      </c>
      <c r="B2100" t="s">
        <v>53</v>
      </c>
      <c r="C2100" t="s">
        <v>54</v>
      </c>
      <c r="D2100" t="s">
        <v>55</v>
      </c>
      <c r="E2100" t="s">
        <v>877</v>
      </c>
      <c r="F2100" t="s">
        <v>176</v>
      </c>
      <c r="G2100" t="s">
        <v>357</v>
      </c>
      <c r="H2100" t="s">
        <v>358</v>
      </c>
      <c r="I2100" t="s">
        <v>358</v>
      </c>
      <c r="J2100" t="s">
        <v>60</v>
      </c>
      <c r="K2100" t="s">
        <v>359</v>
      </c>
      <c r="L2100" t="s">
        <v>62</v>
      </c>
      <c r="M2100" t="s">
        <v>359</v>
      </c>
      <c r="N2100" t="s">
        <v>360</v>
      </c>
      <c r="O2100" t="s">
        <v>201</v>
      </c>
      <c r="P2100">
        <v>-19.601168000000001</v>
      </c>
      <c r="Q2100">
        <v>-43.896143000000002</v>
      </c>
      <c r="R2100" s="2" t="str">
        <f>HYPERLINK("https://www.google.com/maps?q=-19.6011680,-43.8961430","Abrir no Google Maps")</f>
        <v>Abrir no Google Maps</v>
      </c>
      <c r="S2100">
        <v>3</v>
      </c>
      <c r="T2100">
        <v>886.80074895427902</v>
      </c>
      <c r="U2100">
        <v>3</v>
      </c>
      <c r="V2100">
        <v>0.44251229903726202</v>
      </c>
      <c r="W2100">
        <v>1</v>
      </c>
      <c r="X2100">
        <v>0.44251229903726202</v>
      </c>
      <c r="Y2100">
        <v>2</v>
      </c>
      <c r="Z2100">
        <v>807.27931110193254</v>
      </c>
      <c r="AA2100">
        <v>2</v>
      </c>
      <c r="AB2100">
        <v>3</v>
      </c>
      <c r="AC2100">
        <v>7</v>
      </c>
      <c r="AD2100">
        <v>26.01</v>
      </c>
      <c r="AE2100">
        <v>253</v>
      </c>
      <c r="AF2100">
        <v>17</v>
      </c>
      <c r="AG2100">
        <v>60</v>
      </c>
      <c r="AH2100">
        <v>32</v>
      </c>
      <c r="AI2100">
        <v>6.72</v>
      </c>
      <c r="AJ2100">
        <v>23.72</v>
      </c>
      <c r="AK2100">
        <v>12.65</v>
      </c>
      <c r="AL2100">
        <v>-19.60112959999995</v>
      </c>
      <c r="AM2100">
        <v>-43.896049426747439</v>
      </c>
      <c r="AN2100">
        <v>-19.60112959999995</v>
      </c>
      <c r="AO2100">
        <v>-43.896049426747439</v>
      </c>
      <c r="AP2100">
        <v>-19.601168000000001</v>
      </c>
      <c r="AQ2100">
        <v>-43.896143000000002</v>
      </c>
      <c r="AR2100">
        <v>10.703588298793671</v>
      </c>
      <c r="AS2100" t="s">
        <v>65</v>
      </c>
      <c r="AT2100">
        <v>1</v>
      </c>
      <c r="AU2100" t="s">
        <v>361</v>
      </c>
      <c r="AV2100" t="s">
        <v>362</v>
      </c>
      <c r="AW2100" t="s">
        <v>60</v>
      </c>
      <c r="AX2100" t="s">
        <v>68</v>
      </c>
      <c r="AY2100" t="s">
        <v>69</v>
      </c>
      <c r="AZ2100" t="b">
        <v>1</v>
      </c>
    </row>
    <row r="2101" spans="1:52" x14ac:dyDescent="0.3">
      <c r="A2101" t="s">
        <v>52</v>
      </c>
      <c r="B2101" t="s">
        <v>53</v>
      </c>
      <c r="C2101" t="s">
        <v>54</v>
      </c>
      <c r="D2101" t="s">
        <v>55</v>
      </c>
      <c r="E2101" t="s">
        <v>877</v>
      </c>
      <c r="F2101" t="s">
        <v>176</v>
      </c>
      <c r="G2101" t="s">
        <v>500</v>
      </c>
      <c r="H2101" t="s">
        <v>501</v>
      </c>
      <c r="I2101" t="s">
        <v>501</v>
      </c>
      <c r="J2101" t="s">
        <v>60</v>
      </c>
      <c r="K2101" t="s">
        <v>164</v>
      </c>
      <c r="L2101" t="s">
        <v>62</v>
      </c>
      <c r="M2101" t="s">
        <v>164</v>
      </c>
      <c r="N2101" t="s">
        <v>502</v>
      </c>
      <c r="O2101" t="s">
        <v>503</v>
      </c>
      <c r="P2101">
        <v>-19.665816</v>
      </c>
      <c r="Q2101">
        <v>-43.886322999999997</v>
      </c>
      <c r="R2101" s="2" t="str">
        <f>HYPERLINK("https://www.google.com/maps?q=-19.6658160,-43.8863230","Abrir no Google Maps")</f>
        <v>Abrir no Google Maps</v>
      </c>
      <c r="S2101">
        <v>3</v>
      </c>
      <c r="T2101">
        <v>1149.957610345353</v>
      </c>
      <c r="U2101">
        <v>3</v>
      </c>
      <c r="V2101">
        <v>0.45810096591944599</v>
      </c>
      <c r="W2101">
        <v>1</v>
      </c>
      <c r="X2101">
        <v>0.45810096591944599</v>
      </c>
      <c r="Y2101">
        <v>1</v>
      </c>
      <c r="Z2101">
        <v>381.605286477493</v>
      </c>
      <c r="AA2101">
        <v>2</v>
      </c>
      <c r="AB2101">
        <v>3</v>
      </c>
      <c r="AC2101">
        <v>7</v>
      </c>
      <c r="AD2101">
        <v>26.01</v>
      </c>
      <c r="AE2101">
        <v>253</v>
      </c>
      <c r="AF2101">
        <v>17</v>
      </c>
      <c r="AG2101">
        <v>60</v>
      </c>
      <c r="AH2101">
        <v>32</v>
      </c>
      <c r="AI2101">
        <v>6.72</v>
      </c>
      <c r="AJ2101">
        <v>23.72</v>
      </c>
      <c r="AK2101">
        <v>12.65</v>
      </c>
      <c r="AL2101">
        <v>-19.665844049999951</v>
      </c>
      <c r="AM2101">
        <v>-43.886344205728712</v>
      </c>
      <c r="AN2101">
        <v>-19.665844049999951</v>
      </c>
      <c r="AO2101">
        <v>-43.886344205728712</v>
      </c>
      <c r="AP2101">
        <v>-19.665816</v>
      </c>
      <c r="AQ2101">
        <v>-43.886322999999997</v>
      </c>
      <c r="AR2101">
        <v>3.8329604058735098</v>
      </c>
      <c r="AS2101" t="s">
        <v>65</v>
      </c>
      <c r="AT2101">
        <v>1</v>
      </c>
      <c r="AU2101" t="s">
        <v>504</v>
      </c>
      <c r="AV2101" t="s">
        <v>505</v>
      </c>
      <c r="AW2101" t="s">
        <v>60</v>
      </c>
      <c r="AX2101" t="s">
        <v>68</v>
      </c>
      <c r="AY2101" t="s">
        <v>69</v>
      </c>
      <c r="AZ2101" t="b">
        <v>1</v>
      </c>
    </row>
    <row r="2102" spans="1:52" x14ac:dyDescent="0.3">
      <c r="A2102" t="s">
        <v>52</v>
      </c>
      <c r="B2102" t="s">
        <v>53</v>
      </c>
      <c r="C2102" t="s">
        <v>54</v>
      </c>
      <c r="D2102" t="s">
        <v>55</v>
      </c>
      <c r="E2102" t="s">
        <v>877</v>
      </c>
      <c r="F2102" t="s">
        <v>176</v>
      </c>
      <c r="G2102" t="s">
        <v>506</v>
      </c>
      <c r="H2102" t="s">
        <v>507</v>
      </c>
      <c r="I2102" t="s">
        <v>507</v>
      </c>
      <c r="J2102" t="s">
        <v>60</v>
      </c>
      <c r="K2102" t="s">
        <v>219</v>
      </c>
      <c r="L2102" t="s">
        <v>62</v>
      </c>
      <c r="M2102" t="s">
        <v>219</v>
      </c>
      <c r="N2102" t="s">
        <v>508</v>
      </c>
      <c r="O2102" t="s">
        <v>509</v>
      </c>
      <c r="P2102">
        <v>-19.663573</v>
      </c>
      <c r="Q2102">
        <v>-43.884306000000002</v>
      </c>
      <c r="R2102" s="2" t="str">
        <f>HYPERLINK("https://www.google.com/maps?q=-19.6635730,-43.8843060","Abrir no Google Maps")</f>
        <v>Abrir no Google Maps</v>
      </c>
      <c r="S2102">
        <v>3</v>
      </c>
      <c r="T2102">
        <v>1293.040666597964</v>
      </c>
      <c r="U2102">
        <v>3</v>
      </c>
      <c r="V2102">
        <v>0.45041849907788339</v>
      </c>
      <c r="W2102">
        <v>1</v>
      </c>
      <c r="X2102">
        <v>0.45041849907788339</v>
      </c>
      <c r="Y2102">
        <v>1</v>
      </c>
      <c r="Z2102">
        <v>649.69199246551727</v>
      </c>
      <c r="AA2102">
        <v>2</v>
      </c>
      <c r="AB2102">
        <v>3</v>
      </c>
      <c r="AC2102">
        <v>7</v>
      </c>
      <c r="AD2102">
        <v>26.01</v>
      </c>
      <c r="AE2102">
        <v>253</v>
      </c>
      <c r="AF2102">
        <v>17</v>
      </c>
      <c r="AG2102">
        <v>60</v>
      </c>
      <c r="AH2102">
        <v>32</v>
      </c>
      <c r="AI2102">
        <v>6.72</v>
      </c>
      <c r="AJ2102">
        <v>23.72</v>
      </c>
      <c r="AK2102">
        <v>12.65</v>
      </c>
      <c r="AL2102">
        <v>-19.663616899999969</v>
      </c>
      <c r="AM2102">
        <v>-43.884279937960187</v>
      </c>
      <c r="AN2102">
        <v>-19.663616899999969</v>
      </c>
      <c r="AO2102">
        <v>-43.884279937960187</v>
      </c>
      <c r="AP2102">
        <v>-19.663573</v>
      </c>
      <c r="AQ2102">
        <v>-43.884306000000002</v>
      </c>
      <c r="AR2102">
        <v>5.5987767285658263</v>
      </c>
      <c r="AS2102" t="s">
        <v>65</v>
      </c>
      <c r="AT2102">
        <v>1</v>
      </c>
      <c r="AU2102" t="s">
        <v>510</v>
      </c>
      <c r="AV2102" t="s">
        <v>511</v>
      </c>
      <c r="AW2102" t="s">
        <v>60</v>
      </c>
      <c r="AX2102" t="s">
        <v>68</v>
      </c>
      <c r="AY2102" t="s">
        <v>69</v>
      </c>
      <c r="AZ2102" t="b">
        <v>1</v>
      </c>
    </row>
    <row r="2103" spans="1:52" x14ac:dyDescent="0.3">
      <c r="A2103" t="s">
        <v>52</v>
      </c>
      <c r="B2103" t="s">
        <v>53</v>
      </c>
      <c r="C2103" t="s">
        <v>54</v>
      </c>
      <c r="D2103" t="s">
        <v>55</v>
      </c>
      <c r="E2103" t="s">
        <v>877</v>
      </c>
      <c r="F2103" t="s">
        <v>176</v>
      </c>
      <c r="G2103" t="s">
        <v>681</v>
      </c>
      <c r="H2103" t="s">
        <v>682</v>
      </c>
      <c r="I2103" t="s">
        <v>682</v>
      </c>
      <c r="J2103" t="s">
        <v>60</v>
      </c>
      <c r="K2103" t="s">
        <v>683</v>
      </c>
      <c r="L2103" t="s">
        <v>62</v>
      </c>
      <c r="M2103" t="s">
        <v>683</v>
      </c>
      <c r="N2103" t="s">
        <v>684</v>
      </c>
      <c r="O2103" t="s">
        <v>589</v>
      </c>
      <c r="P2103">
        <v>-19.569573999999999</v>
      </c>
      <c r="Q2103">
        <v>-43.948939000000003</v>
      </c>
      <c r="R2103" s="2" t="str">
        <f>HYPERLINK("https://www.google.com/maps?q=-19.5695740,-43.9489390","Abrir no Google Maps")</f>
        <v>Abrir no Google Maps</v>
      </c>
      <c r="S2103">
        <v>3</v>
      </c>
      <c r="T2103">
        <v>710.01170441209865</v>
      </c>
      <c r="U2103">
        <v>3</v>
      </c>
      <c r="V2103">
        <v>0.45849630595393309</v>
      </c>
      <c r="W2103">
        <v>1</v>
      </c>
      <c r="X2103">
        <v>0.45849630595393309</v>
      </c>
      <c r="Y2103">
        <v>1</v>
      </c>
      <c r="Z2103">
        <v>528.51196257580398</v>
      </c>
      <c r="AA2103">
        <v>2</v>
      </c>
      <c r="AB2103">
        <v>3</v>
      </c>
      <c r="AC2103">
        <v>7</v>
      </c>
      <c r="AD2103">
        <v>26.01</v>
      </c>
      <c r="AE2103">
        <v>253</v>
      </c>
      <c r="AF2103">
        <v>17</v>
      </c>
      <c r="AG2103">
        <v>60</v>
      </c>
      <c r="AH2103">
        <v>32</v>
      </c>
      <c r="AI2103">
        <v>6.72</v>
      </c>
      <c r="AJ2103">
        <v>23.72</v>
      </c>
      <c r="AK2103">
        <v>12.65</v>
      </c>
      <c r="AL2103">
        <v>-19.570777549999971</v>
      </c>
      <c r="AM2103">
        <v>-43.949205504203732</v>
      </c>
      <c r="AN2103">
        <v>-19.570777549999981</v>
      </c>
      <c r="AO2103">
        <v>-43.949205504203732</v>
      </c>
      <c r="AP2103">
        <v>-19.569573999999999</v>
      </c>
      <c r="AQ2103">
        <v>-43.948939000000003</v>
      </c>
      <c r="AR2103">
        <v>136.86420500821191</v>
      </c>
      <c r="AS2103" t="s">
        <v>65</v>
      </c>
      <c r="AT2103">
        <v>1</v>
      </c>
      <c r="AU2103" t="s">
        <v>685</v>
      </c>
      <c r="AV2103" t="s">
        <v>686</v>
      </c>
      <c r="AW2103" t="s">
        <v>60</v>
      </c>
      <c r="AX2103" t="s">
        <v>68</v>
      </c>
      <c r="AY2103" t="s">
        <v>69</v>
      </c>
      <c r="AZ2103" t="b">
        <v>1</v>
      </c>
    </row>
    <row r="2104" spans="1:52" x14ac:dyDescent="0.3">
      <c r="A2104" t="s">
        <v>52</v>
      </c>
      <c r="B2104" t="s">
        <v>53</v>
      </c>
      <c r="C2104" t="s">
        <v>54</v>
      </c>
      <c r="D2104" t="s">
        <v>55</v>
      </c>
      <c r="E2104" t="s">
        <v>877</v>
      </c>
      <c r="F2104" t="s">
        <v>176</v>
      </c>
      <c r="G2104" t="s">
        <v>664</v>
      </c>
      <c r="H2104" t="s">
        <v>687</v>
      </c>
      <c r="I2104" t="s">
        <v>687</v>
      </c>
      <c r="J2104" t="s">
        <v>60</v>
      </c>
      <c r="K2104" t="s">
        <v>683</v>
      </c>
      <c r="L2104" t="s">
        <v>62</v>
      </c>
      <c r="M2104" t="s">
        <v>683</v>
      </c>
      <c r="N2104" t="s">
        <v>688</v>
      </c>
      <c r="O2104" t="s">
        <v>354</v>
      </c>
      <c r="P2104">
        <v>-19.564990999999999</v>
      </c>
      <c r="Q2104">
        <v>-43.947169000000002</v>
      </c>
      <c r="R2104" s="2" t="str">
        <f>HYPERLINK("https://www.google.com/maps?q=-19.5649910,-43.9471690","Abrir no Google Maps")</f>
        <v>Abrir no Google Maps</v>
      </c>
      <c r="S2104">
        <v>3</v>
      </c>
      <c r="T2104">
        <v>686.62887321451433</v>
      </c>
      <c r="U2104">
        <v>3</v>
      </c>
      <c r="V2104">
        <v>0.4381014116969173</v>
      </c>
      <c r="W2104">
        <v>1</v>
      </c>
      <c r="X2104">
        <v>0.4381014116969173</v>
      </c>
      <c r="Y2104">
        <v>1</v>
      </c>
      <c r="Z2104">
        <v>848.87718642784125</v>
      </c>
      <c r="AA2104">
        <v>2</v>
      </c>
      <c r="AB2104">
        <v>3</v>
      </c>
      <c r="AC2104">
        <v>7</v>
      </c>
      <c r="AD2104">
        <v>26.01</v>
      </c>
      <c r="AE2104">
        <v>253</v>
      </c>
      <c r="AF2104">
        <v>17</v>
      </c>
      <c r="AG2104">
        <v>60</v>
      </c>
      <c r="AH2104">
        <v>32</v>
      </c>
      <c r="AI2104">
        <v>6.72</v>
      </c>
      <c r="AJ2104">
        <v>23.72</v>
      </c>
      <c r="AK2104">
        <v>12.65</v>
      </c>
      <c r="AL2104">
        <v>-19.564904949999971</v>
      </c>
      <c r="AM2104">
        <v>-43.94746329903581</v>
      </c>
      <c r="AN2104">
        <v>-19.564904949999971</v>
      </c>
      <c r="AO2104">
        <v>-43.94746329903581</v>
      </c>
      <c r="AP2104">
        <v>-19.564990999999999</v>
      </c>
      <c r="AQ2104">
        <v>-43.947169000000002</v>
      </c>
      <c r="AR2104">
        <v>32.321888980844889</v>
      </c>
      <c r="AS2104" t="s">
        <v>65</v>
      </c>
      <c r="AT2104">
        <v>1</v>
      </c>
      <c r="AU2104" t="s">
        <v>689</v>
      </c>
      <c r="AV2104" t="s">
        <v>690</v>
      </c>
      <c r="AW2104" t="s">
        <v>60</v>
      </c>
      <c r="AX2104" t="s">
        <v>68</v>
      </c>
      <c r="AY2104" t="s">
        <v>69</v>
      </c>
      <c r="AZ2104" t="b">
        <v>1</v>
      </c>
    </row>
    <row r="2105" spans="1:52" x14ac:dyDescent="0.3">
      <c r="A2105" t="s">
        <v>52</v>
      </c>
      <c r="B2105" t="s">
        <v>53</v>
      </c>
      <c r="C2105" t="s">
        <v>54</v>
      </c>
      <c r="D2105" t="s">
        <v>55</v>
      </c>
      <c r="E2105" t="s">
        <v>877</v>
      </c>
      <c r="F2105" t="s">
        <v>512</v>
      </c>
      <c r="G2105" t="s">
        <v>84</v>
      </c>
      <c r="H2105" t="s">
        <v>85</v>
      </c>
      <c r="I2105" t="s">
        <v>85</v>
      </c>
      <c r="J2105" t="s">
        <v>60</v>
      </c>
      <c r="K2105" t="s">
        <v>86</v>
      </c>
      <c r="L2105" t="s">
        <v>62</v>
      </c>
      <c r="M2105" t="s">
        <v>86</v>
      </c>
      <c r="N2105" t="s">
        <v>87</v>
      </c>
      <c r="O2105" t="s">
        <v>88</v>
      </c>
      <c r="P2105">
        <v>-19.629436999999999</v>
      </c>
      <c r="Q2105">
        <v>-43.910398999999998</v>
      </c>
      <c r="R2105" s="2" t="str">
        <f>HYPERLINK("https://www.google.com/maps?q=-19.6294370,-43.9103990","Abrir no Google Maps")</f>
        <v>Abrir no Google Maps</v>
      </c>
      <c r="S2105">
        <v>4</v>
      </c>
      <c r="T2105">
        <v>888.82060643108082</v>
      </c>
      <c r="U2105">
        <v>4</v>
      </c>
      <c r="V2105">
        <v>0.47259519207947648</v>
      </c>
      <c r="W2105">
        <v>1</v>
      </c>
      <c r="X2105">
        <v>0.47259519207947648</v>
      </c>
      <c r="Y2105">
        <v>10</v>
      </c>
      <c r="Z2105">
        <v>867.42797341651737</v>
      </c>
      <c r="AA2105">
        <v>2</v>
      </c>
      <c r="AB2105">
        <v>3</v>
      </c>
      <c r="AC2105">
        <v>7</v>
      </c>
      <c r="AD2105">
        <v>26.01</v>
      </c>
      <c r="AE2105">
        <v>253</v>
      </c>
      <c r="AF2105">
        <v>17</v>
      </c>
      <c r="AG2105">
        <v>60</v>
      </c>
      <c r="AH2105">
        <v>32</v>
      </c>
      <c r="AI2105">
        <v>6.72</v>
      </c>
      <c r="AJ2105">
        <v>23.72</v>
      </c>
      <c r="AK2105">
        <v>12.65</v>
      </c>
      <c r="AL2105">
        <v>-19.62934694999996</v>
      </c>
      <c r="AM2105">
        <v>-43.910344699357317</v>
      </c>
      <c r="AN2105">
        <v>-19.62934694999996</v>
      </c>
      <c r="AO2105">
        <v>-43.910344699357331</v>
      </c>
      <c r="AP2105">
        <v>-19.629436999999999</v>
      </c>
      <c r="AQ2105">
        <v>-43.910398999999998</v>
      </c>
      <c r="AR2105">
        <v>11.52837377953678</v>
      </c>
      <c r="AS2105" t="s">
        <v>65</v>
      </c>
      <c r="AT2105">
        <v>1</v>
      </c>
      <c r="AU2105" t="s">
        <v>89</v>
      </c>
      <c r="AV2105" t="s">
        <v>90</v>
      </c>
      <c r="AW2105" t="s">
        <v>60</v>
      </c>
      <c r="AX2105" t="s">
        <v>68</v>
      </c>
      <c r="AY2105" t="s">
        <v>69</v>
      </c>
      <c r="AZ2105" t="b">
        <v>1</v>
      </c>
    </row>
    <row r="2106" spans="1:52" x14ac:dyDescent="0.3">
      <c r="A2106" t="s">
        <v>52</v>
      </c>
      <c r="B2106" t="s">
        <v>53</v>
      </c>
      <c r="C2106" t="s">
        <v>54</v>
      </c>
      <c r="D2106" t="s">
        <v>55</v>
      </c>
      <c r="E2106" t="s">
        <v>877</v>
      </c>
      <c r="F2106" t="s">
        <v>512</v>
      </c>
      <c r="G2106" t="s">
        <v>91</v>
      </c>
      <c r="H2106" t="s">
        <v>92</v>
      </c>
      <c r="I2106" t="s">
        <v>92</v>
      </c>
      <c r="J2106" t="s">
        <v>60</v>
      </c>
      <c r="K2106" t="s">
        <v>86</v>
      </c>
      <c r="L2106" t="s">
        <v>62</v>
      </c>
      <c r="M2106" t="s">
        <v>86</v>
      </c>
      <c r="N2106" t="s">
        <v>93</v>
      </c>
      <c r="O2106" t="s">
        <v>94</v>
      </c>
      <c r="P2106">
        <v>-19.630676999999999</v>
      </c>
      <c r="Q2106">
        <v>-43.907255999999997</v>
      </c>
      <c r="R2106" s="2" t="str">
        <f>HYPERLINK("https://www.google.com/maps?q=-19.6306770,-43.9072560","Abrir no Google Maps")</f>
        <v>Abrir no Google Maps</v>
      </c>
      <c r="S2106">
        <v>4</v>
      </c>
      <c r="T2106">
        <v>545.39374622597825</v>
      </c>
      <c r="U2106">
        <v>4</v>
      </c>
      <c r="V2106">
        <v>0.48282828282828277</v>
      </c>
      <c r="W2106">
        <v>1</v>
      </c>
      <c r="X2106">
        <v>0.48282828282828277</v>
      </c>
      <c r="Y2106">
        <v>10</v>
      </c>
      <c r="Z2106">
        <v>559.94033759457182</v>
      </c>
      <c r="AA2106">
        <v>2</v>
      </c>
      <c r="AB2106">
        <v>3</v>
      </c>
      <c r="AC2106">
        <v>7</v>
      </c>
      <c r="AD2106">
        <v>26.01</v>
      </c>
      <c r="AE2106">
        <v>253</v>
      </c>
      <c r="AF2106">
        <v>17</v>
      </c>
      <c r="AG2106">
        <v>60</v>
      </c>
      <c r="AH2106">
        <v>32</v>
      </c>
      <c r="AI2106">
        <v>6.72</v>
      </c>
      <c r="AJ2106">
        <v>23.72</v>
      </c>
      <c r="AK2106">
        <v>12.65</v>
      </c>
      <c r="AL2106">
        <v>-19.630448649999941</v>
      </c>
      <c r="AM2106">
        <v>-43.907268502495313</v>
      </c>
      <c r="AN2106">
        <v>-19.630448649999941</v>
      </c>
      <c r="AO2106">
        <v>-43.907268502495313</v>
      </c>
      <c r="AP2106">
        <v>-19.630676999999999</v>
      </c>
      <c r="AQ2106">
        <v>-43.907255999999997</v>
      </c>
      <c r="AR2106">
        <v>25.453700276562468</v>
      </c>
      <c r="AS2106" t="s">
        <v>65</v>
      </c>
      <c r="AT2106">
        <v>1</v>
      </c>
      <c r="AU2106" t="s">
        <v>95</v>
      </c>
      <c r="AV2106" t="s">
        <v>96</v>
      </c>
      <c r="AW2106" t="s">
        <v>60</v>
      </c>
      <c r="AX2106" t="s">
        <v>68</v>
      </c>
      <c r="AY2106" t="s">
        <v>69</v>
      </c>
      <c r="AZ2106" t="b">
        <v>1</v>
      </c>
    </row>
    <row r="2107" spans="1:52" x14ac:dyDescent="0.3">
      <c r="A2107" t="s">
        <v>52</v>
      </c>
      <c r="B2107" t="s">
        <v>53</v>
      </c>
      <c r="C2107" t="s">
        <v>54</v>
      </c>
      <c r="D2107" t="s">
        <v>55</v>
      </c>
      <c r="E2107" t="s">
        <v>877</v>
      </c>
      <c r="F2107" t="s">
        <v>512</v>
      </c>
      <c r="G2107" t="s">
        <v>58</v>
      </c>
      <c r="H2107" t="s">
        <v>59</v>
      </c>
      <c r="I2107" t="s">
        <v>59</v>
      </c>
      <c r="J2107" t="s">
        <v>60</v>
      </c>
      <c r="K2107" t="s">
        <v>61</v>
      </c>
      <c r="L2107" t="s">
        <v>62</v>
      </c>
      <c r="M2107" t="s">
        <v>61</v>
      </c>
      <c r="N2107" t="s">
        <v>63</v>
      </c>
      <c r="O2107" t="s">
        <v>64</v>
      </c>
      <c r="P2107">
        <v>-19.631502000000001</v>
      </c>
      <c r="Q2107">
        <v>-43.910241999999997</v>
      </c>
      <c r="R2107" s="2" t="str">
        <f>HYPERLINK("https://www.google.com/maps?q=-19.6315020,-43.9102420","Abrir no Google Maps")</f>
        <v>Abrir no Google Maps</v>
      </c>
      <c r="S2107">
        <v>4</v>
      </c>
      <c r="T2107">
        <v>789.20099406682743</v>
      </c>
      <c r="U2107">
        <v>3</v>
      </c>
      <c r="V2107">
        <v>0.44955231178250199</v>
      </c>
      <c r="W2107">
        <v>1</v>
      </c>
      <c r="X2107">
        <v>0.44955231178250199</v>
      </c>
      <c r="Y2107">
        <v>10</v>
      </c>
      <c r="Z2107">
        <v>691.44930074509864</v>
      </c>
      <c r="AA2107">
        <v>2</v>
      </c>
      <c r="AB2107">
        <v>3</v>
      </c>
      <c r="AC2107">
        <v>7</v>
      </c>
      <c r="AD2107">
        <v>26.01</v>
      </c>
      <c r="AE2107">
        <v>253</v>
      </c>
      <c r="AF2107">
        <v>17</v>
      </c>
      <c r="AG2107">
        <v>60</v>
      </c>
      <c r="AH2107">
        <v>32</v>
      </c>
      <c r="AI2107">
        <v>6.72</v>
      </c>
      <c r="AJ2107">
        <v>23.72</v>
      </c>
      <c r="AK2107">
        <v>12.65</v>
      </c>
      <c r="AL2107">
        <v>-19.631719749999949</v>
      </c>
      <c r="AM2107">
        <v>-43.910102324517517</v>
      </c>
      <c r="AN2107">
        <v>-19.631719749999949</v>
      </c>
      <c r="AO2107">
        <v>-43.910102324517517</v>
      </c>
      <c r="AP2107">
        <v>-19.631502000000001</v>
      </c>
      <c r="AQ2107">
        <v>-43.910241999999997</v>
      </c>
      <c r="AR2107">
        <v>28.320416429206599</v>
      </c>
      <c r="AS2107" t="s">
        <v>65</v>
      </c>
      <c r="AT2107">
        <v>1</v>
      </c>
      <c r="AU2107" t="s">
        <v>66</v>
      </c>
      <c r="AV2107" t="s">
        <v>67</v>
      </c>
      <c r="AW2107" t="s">
        <v>60</v>
      </c>
      <c r="AX2107" t="s">
        <v>68</v>
      </c>
      <c r="AY2107" t="s">
        <v>69</v>
      </c>
      <c r="AZ2107" t="b">
        <v>1</v>
      </c>
    </row>
    <row r="2108" spans="1:52" x14ac:dyDescent="0.3">
      <c r="A2108" t="s">
        <v>52</v>
      </c>
      <c r="B2108" t="s">
        <v>53</v>
      </c>
      <c r="C2108" t="s">
        <v>54</v>
      </c>
      <c r="D2108" t="s">
        <v>55</v>
      </c>
      <c r="E2108" t="s">
        <v>877</v>
      </c>
      <c r="F2108" t="s">
        <v>512</v>
      </c>
      <c r="G2108" t="s">
        <v>70</v>
      </c>
      <c r="H2108" t="s">
        <v>71</v>
      </c>
      <c r="I2108" t="s">
        <v>71</v>
      </c>
      <c r="J2108" t="s">
        <v>60</v>
      </c>
      <c r="K2108" t="s">
        <v>72</v>
      </c>
      <c r="L2108" t="s">
        <v>62</v>
      </c>
      <c r="M2108" t="s">
        <v>72</v>
      </c>
      <c r="N2108" t="s">
        <v>73</v>
      </c>
      <c r="O2108" t="s">
        <v>74</v>
      </c>
      <c r="P2108">
        <v>-19.632581999999999</v>
      </c>
      <c r="Q2108">
        <v>-43.902416000000002</v>
      </c>
      <c r="R2108" s="2" t="str">
        <f>HYPERLINK("https://www.google.com/maps?q=-19.6325820,-43.9024160","Abrir no Google Maps")</f>
        <v>Abrir no Google Maps</v>
      </c>
      <c r="S2108">
        <v>4</v>
      </c>
      <c r="T2108">
        <v>0</v>
      </c>
      <c r="U2108">
        <v>3</v>
      </c>
      <c r="V2108">
        <v>0.44880534324864008</v>
      </c>
      <c r="W2108">
        <v>1</v>
      </c>
      <c r="X2108">
        <v>0.44880534324864008</v>
      </c>
      <c r="Y2108">
        <v>10</v>
      </c>
      <c r="Z2108">
        <v>146.6968158874696</v>
      </c>
      <c r="AA2108">
        <v>2</v>
      </c>
      <c r="AB2108">
        <v>3</v>
      </c>
      <c r="AC2108">
        <v>7</v>
      </c>
      <c r="AD2108">
        <v>26.01</v>
      </c>
      <c r="AE2108">
        <v>253</v>
      </c>
      <c r="AF2108">
        <v>17</v>
      </c>
      <c r="AG2108">
        <v>60</v>
      </c>
      <c r="AH2108">
        <v>32</v>
      </c>
      <c r="AI2108">
        <v>6.72</v>
      </c>
      <c r="AJ2108">
        <v>23.72</v>
      </c>
      <c r="AK2108">
        <v>12.65</v>
      </c>
      <c r="AL2108">
        <v>-19.63271449999996</v>
      </c>
      <c r="AM2108">
        <v>-43.902649897389402</v>
      </c>
      <c r="AN2108">
        <v>-19.63271449999996</v>
      </c>
      <c r="AO2108">
        <v>-43.902649897389402</v>
      </c>
      <c r="AP2108">
        <v>-19.632581999999999</v>
      </c>
      <c r="AQ2108">
        <v>-43.902416000000002</v>
      </c>
      <c r="AR2108">
        <v>28.617753432996459</v>
      </c>
      <c r="AS2108" t="s">
        <v>65</v>
      </c>
      <c r="AT2108">
        <v>1</v>
      </c>
      <c r="AU2108" t="s">
        <v>75</v>
      </c>
      <c r="AV2108" t="s">
        <v>76</v>
      </c>
      <c r="AW2108" t="s">
        <v>60</v>
      </c>
      <c r="AX2108" t="s">
        <v>68</v>
      </c>
      <c r="AY2108" t="s">
        <v>69</v>
      </c>
      <c r="AZ2108" t="b">
        <v>1</v>
      </c>
    </row>
    <row r="2109" spans="1:52" x14ac:dyDescent="0.3">
      <c r="A2109" t="s">
        <v>52</v>
      </c>
      <c r="B2109" t="s">
        <v>53</v>
      </c>
      <c r="C2109" t="s">
        <v>54</v>
      </c>
      <c r="D2109" t="s">
        <v>55</v>
      </c>
      <c r="E2109" t="s">
        <v>877</v>
      </c>
      <c r="F2109" t="s">
        <v>512</v>
      </c>
      <c r="G2109" t="s">
        <v>77</v>
      </c>
      <c r="H2109" t="s">
        <v>78</v>
      </c>
      <c r="I2109" t="s">
        <v>78</v>
      </c>
      <c r="J2109" t="s">
        <v>60</v>
      </c>
      <c r="K2109" t="s">
        <v>79</v>
      </c>
      <c r="L2109" t="s">
        <v>62</v>
      </c>
      <c r="M2109" t="s">
        <v>79</v>
      </c>
      <c r="N2109" t="s">
        <v>80</v>
      </c>
      <c r="O2109" t="s">
        <v>81</v>
      </c>
      <c r="P2109">
        <v>-19.632463999999999</v>
      </c>
      <c r="Q2109">
        <v>-43.904927999999998</v>
      </c>
      <c r="R2109" s="2" t="str">
        <f>HYPERLINK("https://www.google.com/maps?q=-19.6324640,-43.9049280","Abrir no Google Maps")</f>
        <v>Abrir no Google Maps</v>
      </c>
      <c r="S2109">
        <v>4</v>
      </c>
      <c r="T2109">
        <v>244.1735197453369</v>
      </c>
      <c r="U2109">
        <v>3</v>
      </c>
      <c r="V2109">
        <v>0.45470709339322468</v>
      </c>
      <c r="W2109">
        <v>1</v>
      </c>
      <c r="X2109">
        <v>0.45470709339322468</v>
      </c>
      <c r="Y2109">
        <v>10</v>
      </c>
      <c r="Z2109">
        <v>287.26068152447448</v>
      </c>
      <c r="AA2109">
        <v>2</v>
      </c>
      <c r="AB2109">
        <v>3</v>
      </c>
      <c r="AC2109">
        <v>7</v>
      </c>
      <c r="AD2109">
        <v>26.01</v>
      </c>
      <c r="AE2109">
        <v>253</v>
      </c>
      <c r="AF2109">
        <v>17</v>
      </c>
      <c r="AG2109">
        <v>60</v>
      </c>
      <c r="AH2109">
        <v>32</v>
      </c>
      <c r="AI2109">
        <v>6.72</v>
      </c>
      <c r="AJ2109">
        <v>23.72</v>
      </c>
      <c r="AK2109">
        <v>12.65</v>
      </c>
      <c r="AL2109">
        <v>-19.63247099999996</v>
      </c>
      <c r="AM2109">
        <v>-43.904964174285787</v>
      </c>
      <c r="AN2109">
        <v>-19.63247099999996</v>
      </c>
      <c r="AO2109">
        <v>-43.904964174285787</v>
      </c>
      <c r="AP2109">
        <v>-19.632463999999999</v>
      </c>
      <c r="AQ2109">
        <v>-43.904927999999998</v>
      </c>
      <c r="AR2109">
        <v>3.8720457500200469</v>
      </c>
      <c r="AS2109" t="s">
        <v>65</v>
      </c>
      <c r="AT2109">
        <v>1</v>
      </c>
      <c r="AU2109" t="s">
        <v>82</v>
      </c>
      <c r="AV2109" t="s">
        <v>83</v>
      </c>
      <c r="AW2109" t="s">
        <v>60</v>
      </c>
      <c r="AX2109" t="s">
        <v>68</v>
      </c>
      <c r="AY2109" t="s">
        <v>69</v>
      </c>
      <c r="AZ2109" t="b">
        <v>1</v>
      </c>
    </row>
    <row r="2110" spans="1:52" x14ac:dyDescent="0.3">
      <c r="A2110" t="s">
        <v>52</v>
      </c>
      <c r="B2110" t="s">
        <v>53</v>
      </c>
      <c r="C2110" t="s">
        <v>54</v>
      </c>
      <c r="D2110" t="s">
        <v>55</v>
      </c>
      <c r="E2110" t="s">
        <v>877</v>
      </c>
      <c r="F2110" t="s">
        <v>512</v>
      </c>
      <c r="G2110" t="s">
        <v>97</v>
      </c>
      <c r="H2110" t="s">
        <v>98</v>
      </c>
      <c r="I2110" t="s">
        <v>98</v>
      </c>
      <c r="J2110" t="s">
        <v>60</v>
      </c>
      <c r="K2110" t="s">
        <v>99</v>
      </c>
      <c r="L2110" t="s">
        <v>62</v>
      </c>
      <c r="M2110" t="s">
        <v>99</v>
      </c>
      <c r="N2110" t="s">
        <v>100</v>
      </c>
      <c r="O2110" t="s">
        <v>101</v>
      </c>
      <c r="P2110">
        <v>-19.629822000000001</v>
      </c>
      <c r="Q2110">
        <v>-43.905341</v>
      </c>
      <c r="R2110" s="2" t="str">
        <f>HYPERLINK("https://www.google.com/maps?q=-19.6298220,-43.9053410","Abrir no Google Maps")</f>
        <v>Abrir no Google Maps</v>
      </c>
      <c r="S2110">
        <v>4</v>
      </c>
      <c r="T2110">
        <v>441.30597341744129</v>
      </c>
      <c r="U2110">
        <v>3</v>
      </c>
      <c r="V2110">
        <v>0.44704614480258648</v>
      </c>
      <c r="W2110">
        <v>1</v>
      </c>
      <c r="X2110">
        <v>0.44704614480258648</v>
      </c>
      <c r="Y2110">
        <v>10</v>
      </c>
      <c r="Z2110">
        <v>513.56493751010987</v>
      </c>
      <c r="AA2110">
        <v>2</v>
      </c>
      <c r="AB2110">
        <v>3</v>
      </c>
      <c r="AC2110">
        <v>7</v>
      </c>
      <c r="AD2110">
        <v>26.01</v>
      </c>
      <c r="AE2110">
        <v>253</v>
      </c>
      <c r="AF2110">
        <v>17</v>
      </c>
      <c r="AG2110">
        <v>60</v>
      </c>
      <c r="AH2110">
        <v>32</v>
      </c>
      <c r="AI2110">
        <v>6.72</v>
      </c>
      <c r="AJ2110">
        <v>23.72</v>
      </c>
      <c r="AK2110">
        <v>12.65</v>
      </c>
      <c r="AL2110">
        <v>-19.629671599999941</v>
      </c>
      <c r="AM2110">
        <v>-43.905369597920988</v>
      </c>
      <c r="AN2110">
        <v>-19.629671599999931</v>
      </c>
      <c r="AO2110">
        <v>-43.905369597920988</v>
      </c>
      <c r="AP2110">
        <v>-19.629822000000001</v>
      </c>
      <c r="AQ2110">
        <v>-43.905341</v>
      </c>
      <c r="AR2110">
        <v>17.008917699186132</v>
      </c>
      <c r="AS2110" t="s">
        <v>65</v>
      </c>
      <c r="AT2110">
        <v>1</v>
      </c>
      <c r="AU2110" t="s">
        <v>102</v>
      </c>
      <c r="AV2110" t="s">
        <v>103</v>
      </c>
      <c r="AW2110" t="s">
        <v>60</v>
      </c>
      <c r="AX2110" t="s">
        <v>68</v>
      </c>
      <c r="AY2110" t="s">
        <v>69</v>
      </c>
      <c r="AZ2110" t="b">
        <v>1</v>
      </c>
    </row>
    <row r="2111" spans="1:52" x14ac:dyDescent="0.3">
      <c r="A2111" t="s">
        <v>52</v>
      </c>
      <c r="B2111" t="s">
        <v>53</v>
      </c>
      <c r="C2111" t="s">
        <v>54</v>
      </c>
      <c r="D2111" t="s">
        <v>55</v>
      </c>
      <c r="E2111" t="s">
        <v>877</v>
      </c>
      <c r="F2111" t="s">
        <v>512</v>
      </c>
      <c r="G2111" t="s">
        <v>513</v>
      </c>
      <c r="H2111" t="s">
        <v>514</v>
      </c>
      <c r="I2111" t="s">
        <v>514</v>
      </c>
      <c r="J2111" t="s">
        <v>60</v>
      </c>
      <c r="K2111" t="s">
        <v>185</v>
      </c>
      <c r="L2111" t="s">
        <v>62</v>
      </c>
      <c r="M2111" t="s">
        <v>185</v>
      </c>
      <c r="N2111" t="s">
        <v>515</v>
      </c>
      <c r="O2111" t="s">
        <v>516</v>
      </c>
      <c r="P2111">
        <v>-19.63184</v>
      </c>
      <c r="Q2111">
        <v>-43.899625999999998</v>
      </c>
      <c r="R2111" s="2" t="str">
        <f>HYPERLINK("https://www.google.com/maps?q=-19.6318400,-43.8996260","Abrir no Google Maps")</f>
        <v>Abrir no Google Maps</v>
      </c>
      <c r="S2111">
        <v>4</v>
      </c>
      <c r="T2111">
        <v>317.05369638212568</v>
      </c>
      <c r="U2111">
        <v>2</v>
      </c>
      <c r="V2111">
        <v>0.45648422577883158</v>
      </c>
      <c r="W2111">
        <v>0.85</v>
      </c>
      <c r="X2111">
        <v>0.38801159191200679</v>
      </c>
      <c r="Y2111">
        <v>10</v>
      </c>
      <c r="Z2111">
        <v>467.39112963581732</v>
      </c>
      <c r="AA2111">
        <v>2</v>
      </c>
      <c r="AB2111">
        <v>3</v>
      </c>
      <c r="AC2111">
        <v>7</v>
      </c>
      <c r="AD2111">
        <v>26.01</v>
      </c>
      <c r="AE2111">
        <v>253</v>
      </c>
      <c r="AF2111">
        <v>17</v>
      </c>
      <c r="AG2111">
        <v>60</v>
      </c>
      <c r="AH2111">
        <v>32</v>
      </c>
      <c r="AI2111">
        <v>6.72</v>
      </c>
      <c r="AJ2111">
        <v>23.72</v>
      </c>
      <c r="AK2111">
        <v>12.65</v>
      </c>
      <c r="AL2111">
        <v>-19.631819699999941</v>
      </c>
      <c r="AM2111">
        <v>-43.89977767057065</v>
      </c>
      <c r="AN2111">
        <v>-19.631819699999941</v>
      </c>
      <c r="AO2111">
        <v>-43.89977767057065</v>
      </c>
      <c r="AP2111">
        <v>-19.63184</v>
      </c>
      <c r="AQ2111">
        <v>-43.899625999999998</v>
      </c>
      <c r="AR2111">
        <v>16.062279375806241</v>
      </c>
      <c r="AS2111" t="s">
        <v>65</v>
      </c>
      <c r="AT2111">
        <v>1</v>
      </c>
      <c r="AU2111" t="s">
        <v>517</v>
      </c>
      <c r="AV2111" t="s">
        <v>518</v>
      </c>
      <c r="AW2111" t="s">
        <v>60</v>
      </c>
      <c r="AX2111" t="s">
        <v>68</v>
      </c>
      <c r="AY2111" t="s">
        <v>69</v>
      </c>
      <c r="AZ2111" t="b">
        <v>1</v>
      </c>
    </row>
    <row r="2112" spans="1:52" x14ac:dyDescent="0.3">
      <c r="A2112" t="s">
        <v>52</v>
      </c>
      <c r="B2112" t="s">
        <v>53</v>
      </c>
      <c r="C2112" t="s">
        <v>54</v>
      </c>
      <c r="D2112" t="s">
        <v>55</v>
      </c>
      <c r="E2112" t="s">
        <v>877</v>
      </c>
      <c r="F2112" t="s">
        <v>512</v>
      </c>
      <c r="G2112" t="s">
        <v>519</v>
      </c>
      <c r="H2112" t="s">
        <v>520</v>
      </c>
      <c r="I2112" t="s">
        <v>520</v>
      </c>
      <c r="J2112" t="s">
        <v>60</v>
      </c>
      <c r="K2112" t="s">
        <v>72</v>
      </c>
      <c r="L2112" t="s">
        <v>62</v>
      </c>
      <c r="M2112" t="s">
        <v>72</v>
      </c>
      <c r="N2112" t="s">
        <v>521</v>
      </c>
      <c r="O2112" t="s">
        <v>522</v>
      </c>
      <c r="P2112">
        <v>-19.634713000000001</v>
      </c>
      <c r="Q2112">
        <v>-43.908909999999999</v>
      </c>
      <c r="R2112" s="2" t="str">
        <f>HYPERLINK("https://www.google.com/maps?q=-19.6347130,-43.9089100","Abrir no Google Maps")</f>
        <v>Abrir no Google Maps</v>
      </c>
      <c r="S2112">
        <v>4</v>
      </c>
      <c r="T2112">
        <v>700.74700083720154</v>
      </c>
      <c r="U2112">
        <v>1</v>
      </c>
      <c r="V2112">
        <v>0.38670969877523997</v>
      </c>
      <c r="W2112">
        <v>0.85</v>
      </c>
      <c r="X2112">
        <v>0.32870324395895401</v>
      </c>
      <c r="Y2112">
        <v>10</v>
      </c>
      <c r="Z2112">
        <v>557.86159429038207</v>
      </c>
      <c r="AA2112">
        <v>2</v>
      </c>
      <c r="AB2112">
        <v>3</v>
      </c>
      <c r="AC2112">
        <v>7</v>
      </c>
      <c r="AD2112">
        <v>26.01</v>
      </c>
      <c r="AE2112">
        <v>253</v>
      </c>
      <c r="AF2112">
        <v>17</v>
      </c>
      <c r="AG2112">
        <v>60</v>
      </c>
      <c r="AH2112">
        <v>32</v>
      </c>
      <c r="AI2112">
        <v>6.72</v>
      </c>
      <c r="AJ2112">
        <v>23.72</v>
      </c>
      <c r="AK2112">
        <v>12.65</v>
      </c>
      <c r="AL2112">
        <v>-19.634626949999959</v>
      </c>
      <c r="AM2112">
        <v>-43.909020333181857</v>
      </c>
      <c r="AN2112">
        <v>-19.634626949999959</v>
      </c>
      <c r="AO2112">
        <v>-43.909020333181857</v>
      </c>
      <c r="AP2112">
        <v>-19.634713000000001</v>
      </c>
      <c r="AQ2112">
        <v>-43.908909999999999</v>
      </c>
      <c r="AR2112">
        <v>15.01933861967664</v>
      </c>
      <c r="AS2112" t="s">
        <v>65</v>
      </c>
      <c r="AT2112">
        <v>1</v>
      </c>
      <c r="AU2112" t="s">
        <v>523</v>
      </c>
      <c r="AV2112" t="s">
        <v>524</v>
      </c>
      <c r="AW2112" t="s">
        <v>60</v>
      </c>
      <c r="AX2112" t="s">
        <v>68</v>
      </c>
      <c r="AY2112" t="s">
        <v>69</v>
      </c>
      <c r="AZ2112" t="b">
        <v>1</v>
      </c>
    </row>
    <row r="2113" spans="1:52" x14ac:dyDescent="0.3">
      <c r="A2113" t="s">
        <v>52</v>
      </c>
      <c r="B2113" t="s">
        <v>53</v>
      </c>
      <c r="C2113" t="s">
        <v>54</v>
      </c>
      <c r="D2113" t="s">
        <v>55</v>
      </c>
      <c r="E2113" t="s">
        <v>877</v>
      </c>
      <c r="F2113" t="s">
        <v>512</v>
      </c>
      <c r="G2113" t="s">
        <v>394</v>
      </c>
      <c r="H2113" t="s">
        <v>395</v>
      </c>
      <c r="I2113" t="s">
        <v>395</v>
      </c>
      <c r="J2113" t="s">
        <v>60</v>
      </c>
      <c r="K2113" t="s">
        <v>286</v>
      </c>
      <c r="L2113" t="s">
        <v>62</v>
      </c>
      <c r="M2113" t="s">
        <v>286</v>
      </c>
      <c r="N2113" t="s">
        <v>396</v>
      </c>
      <c r="O2113" t="s">
        <v>88</v>
      </c>
      <c r="P2113">
        <v>-19.636932999999999</v>
      </c>
      <c r="Q2113">
        <v>-43.882691999999999</v>
      </c>
      <c r="R2113" s="2" t="str">
        <f>HYPERLINK("https://www.google.com/maps?q=-19.6369330,-43.8826920","Abrir no Google Maps")</f>
        <v>Abrir no Google Maps</v>
      </c>
      <c r="S2113">
        <v>3</v>
      </c>
      <c r="T2113">
        <v>523.52675813688109</v>
      </c>
      <c r="U2113">
        <v>4</v>
      </c>
      <c r="V2113">
        <v>0.47197337816364598</v>
      </c>
      <c r="W2113">
        <v>1</v>
      </c>
      <c r="X2113">
        <v>0.47197337816364598</v>
      </c>
      <c r="Y2113">
        <v>10</v>
      </c>
      <c r="Z2113">
        <v>372.58135532659509</v>
      </c>
      <c r="AA2113">
        <v>2</v>
      </c>
      <c r="AB2113">
        <v>3</v>
      </c>
      <c r="AC2113">
        <v>7</v>
      </c>
      <c r="AD2113">
        <v>26.01</v>
      </c>
      <c r="AE2113">
        <v>253</v>
      </c>
      <c r="AF2113">
        <v>17</v>
      </c>
      <c r="AG2113">
        <v>60</v>
      </c>
      <c r="AH2113">
        <v>32</v>
      </c>
      <c r="AI2113">
        <v>6.72</v>
      </c>
      <c r="AJ2113">
        <v>23.72</v>
      </c>
      <c r="AK2113">
        <v>12.65</v>
      </c>
      <c r="AL2113">
        <v>-19.637159949999951</v>
      </c>
      <c r="AM2113">
        <v>-43.882643289441461</v>
      </c>
      <c r="AN2113">
        <v>-19.637159949999951</v>
      </c>
      <c r="AO2113">
        <v>-43.882643289441461</v>
      </c>
      <c r="AP2113">
        <v>-19.636932999999999</v>
      </c>
      <c r="AQ2113">
        <v>-43.882691999999999</v>
      </c>
      <c r="AR2113">
        <v>25.775099947452478</v>
      </c>
      <c r="AS2113" t="s">
        <v>65</v>
      </c>
      <c r="AT2113">
        <v>1</v>
      </c>
      <c r="AU2113" t="s">
        <v>397</v>
      </c>
      <c r="AV2113" t="s">
        <v>398</v>
      </c>
      <c r="AW2113" t="s">
        <v>60</v>
      </c>
      <c r="AX2113" t="s">
        <v>68</v>
      </c>
      <c r="AY2113" t="s">
        <v>69</v>
      </c>
      <c r="AZ2113" t="b">
        <v>1</v>
      </c>
    </row>
    <row r="2114" spans="1:52" x14ac:dyDescent="0.3">
      <c r="A2114" t="s">
        <v>52</v>
      </c>
      <c r="B2114" t="s">
        <v>53</v>
      </c>
      <c r="C2114" t="s">
        <v>54</v>
      </c>
      <c r="D2114" t="s">
        <v>55</v>
      </c>
      <c r="E2114" t="s">
        <v>877</v>
      </c>
      <c r="F2114" t="s">
        <v>512</v>
      </c>
      <c r="G2114" t="s">
        <v>399</v>
      </c>
      <c r="H2114" t="s">
        <v>400</v>
      </c>
      <c r="I2114" t="s">
        <v>400</v>
      </c>
      <c r="J2114" t="s">
        <v>60</v>
      </c>
      <c r="K2114" t="s">
        <v>286</v>
      </c>
      <c r="L2114" t="s">
        <v>62</v>
      </c>
      <c r="M2114" t="s">
        <v>286</v>
      </c>
      <c r="N2114" t="s">
        <v>401</v>
      </c>
      <c r="O2114" t="s">
        <v>402</v>
      </c>
      <c r="P2114">
        <v>-19.639906</v>
      </c>
      <c r="Q2114">
        <v>-43.886059000000003</v>
      </c>
      <c r="R2114" s="2" t="str">
        <f>HYPERLINK("https://www.google.com/maps?q=-19.6399060,-43.8860590","Abrir no Google Maps")</f>
        <v>Abrir no Google Maps</v>
      </c>
      <c r="S2114">
        <v>3</v>
      </c>
      <c r="T2114">
        <v>256.0748811302048</v>
      </c>
      <c r="U2114">
        <v>4</v>
      </c>
      <c r="V2114">
        <v>0.47629134150873281</v>
      </c>
      <c r="W2114">
        <v>1</v>
      </c>
      <c r="X2114">
        <v>0.47629134150873281</v>
      </c>
      <c r="Y2114">
        <v>10</v>
      </c>
      <c r="Z2114">
        <v>205.06236700857289</v>
      </c>
      <c r="AA2114">
        <v>2</v>
      </c>
      <c r="AB2114">
        <v>3</v>
      </c>
      <c r="AC2114">
        <v>7</v>
      </c>
      <c r="AD2114">
        <v>26.01</v>
      </c>
      <c r="AE2114">
        <v>253</v>
      </c>
      <c r="AF2114">
        <v>17</v>
      </c>
      <c r="AG2114">
        <v>60</v>
      </c>
      <c r="AH2114">
        <v>32</v>
      </c>
      <c r="AI2114">
        <v>6.72</v>
      </c>
      <c r="AJ2114">
        <v>23.72</v>
      </c>
      <c r="AK2114">
        <v>12.65</v>
      </c>
      <c r="AL2114">
        <v>-19.639789499999949</v>
      </c>
      <c r="AM2114">
        <v>-43.885737855031408</v>
      </c>
      <c r="AN2114">
        <v>-19.639789499999949</v>
      </c>
      <c r="AO2114">
        <v>-43.885737855031408</v>
      </c>
      <c r="AP2114">
        <v>-19.639906</v>
      </c>
      <c r="AQ2114">
        <v>-43.886059000000003</v>
      </c>
      <c r="AR2114">
        <v>36.081349702130403</v>
      </c>
      <c r="AS2114" t="s">
        <v>65</v>
      </c>
      <c r="AT2114">
        <v>1</v>
      </c>
      <c r="AU2114" t="s">
        <v>403</v>
      </c>
      <c r="AV2114" t="s">
        <v>404</v>
      </c>
      <c r="AW2114" t="s">
        <v>60</v>
      </c>
      <c r="AX2114" t="s">
        <v>68</v>
      </c>
      <c r="AY2114" t="s">
        <v>69</v>
      </c>
      <c r="AZ2114" t="b">
        <v>1</v>
      </c>
    </row>
    <row r="2115" spans="1:52" x14ac:dyDescent="0.3">
      <c r="A2115" t="s">
        <v>52</v>
      </c>
      <c r="B2115" t="s">
        <v>53</v>
      </c>
      <c r="C2115" t="s">
        <v>54</v>
      </c>
      <c r="D2115" t="s">
        <v>55</v>
      </c>
      <c r="E2115" t="s">
        <v>877</v>
      </c>
      <c r="F2115" t="s">
        <v>512</v>
      </c>
      <c r="G2115" t="s">
        <v>284</v>
      </c>
      <c r="H2115" t="s">
        <v>285</v>
      </c>
      <c r="I2115" t="s">
        <v>285</v>
      </c>
      <c r="J2115" t="s">
        <v>60</v>
      </c>
      <c r="K2115" t="s">
        <v>286</v>
      </c>
      <c r="L2115" t="s">
        <v>62</v>
      </c>
      <c r="M2115" t="s">
        <v>286</v>
      </c>
      <c r="N2115" t="s">
        <v>287</v>
      </c>
      <c r="O2115" t="s">
        <v>288</v>
      </c>
      <c r="P2115">
        <v>-19.639790000000001</v>
      </c>
      <c r="Q2115">
        <v>-43.882798999999999</v>
      </c>
      <c r="R2115" s="2" t="str">
        <f>HYPERLINK("https://www.google.com/maps?q=-19.6397900,-43.8827990","Abrir no Google Maps")</f>
        <v>Abrir no Google Maps</v>
      </c>
      <c r="S2115">
        <v>3</v>
      </c>
      <c r="T2115">
        <v>242.7052058134478</v>
      </c>
      <c r="U2115">
        <v>4</v>
      </c>
      <c r="V2115">
        <v>0.48944919336654158</v>
      </c>
      <c r="W2115">
        <v>1</v>
      </c>
      <c r="X2115">
        <v>0.48944919336654158</v>
      </c>
      <c r="Y2115">
        <v>10</v>
      </c>
      <c r="Z2115">
        <v>187.2088809462339</v>
      </c>
      <c r="AA2115">
        <v>2</v>
      </c>
      <c r="AB2115">
        <v>3</v>
      </c>
      <c r="AC2115">
        <v>7</v>
      </c>
      <c r="AD2115">
        <v>26.01</v>
      </c>
      <c r="AE2115">
        <v>253</v>
      </c>
      <c r="AF2115">
        <v>17</v>
      </c>
      <c r="AG2115">
        <v>60</v>
      </c>
      <c r="AH2115">
        <v>32</v>
      </c>
      <c r="AI2115">
        <v>6.72</v>
      </c>
      <c r="AJ2115">
        <v>23.72</v>
      </c>
      <c r="AK2115">
        <v>12.65</v>
      </c>
      <c r="AL2115">
        <v>-19.639855599999951</v>
      </c>
      <c r="AM2115">
        <v>-43.882909745178452</v>
      </c>
      <c r="AN2115">
        <v>-19.639855599999951</v>
      </c>
      <c r="AO2115">
        <v>-43.882909745178452</v>
      </c>
      <c r="AP2115">
        <v>-19.639790000000001</v>
      </c>
      <c r="AQ2115">
        <v>-43.882798999999999</v>
      </c>
      <c r="AR2115">
        <v>13.716486068571211</v>
      </c>
      <c r="AS2115" t="s">
        <v>65</v>
      </c>
      <c r="AT2115">
        <v>1</v>
      </c>
      <c r="AU2115" t="s">
        <v>289</v>
      </c>
      <c r="AV2115" t="s">
        <v>290</v>
      </c>
      <c r="AW2115" t="s">
        <v>60</v>
      </c>
      <c r="AX2115" t="s">
        <v>68</v>
      </c>
      <c r="AY2115" t="s">
        <v>69</v>
      </c>
      <c r="AZ2115" t="b">
        <v>1</v>
      </c>
    </row>
    <row r="2116" spans="1:52" x14ac:dyDescent="0.3">
      <c r="A2116" t="s">
        <v>52</v>
      </c>
      <c r="B2116" t="s">
        <v>53</v>
      </c>
      <c r="C2116" t="s">
        <v>54</v>
      </c>
      <c r="D2116" t="s">
        <v>55</v>
      </c>
      <c r="E2116" t="s">
        <v>877</v>
      </c>
      <c r="F2116" t="s">
        <v>512</v>
      </c>
      <c r="G2116" t="s">
        <v>405</v>
      </c>
      <c r="H2116" t="s">
        <v>406</v>
      </c>
      <c r="I2116" t="s">
        <v>406</v>
      </c>
      <c r="J2116" t="s">
        <v>60</v>
      </c>
      <c r="K2116" t="s">
        <v>286</v>
      </c>
      <c r="L2116" t="s">
        <v>62</v>
      </c>
      <c r="M2116" t="s">
        <v>286</v>
      </c>
      <c r="N2116" t="s">
        <v>407</v>
      </c>
      <c r="O2116" t="s">
        <v>408</v>
      </c>
      <c r="P2116">
        <v>-19.646345</v>
      </c>
      <c r="Q2116">
        <v>-43.882294999999999</v>
      </c>
      <c r="R2116" s="2" t="str">
        <f>HYPERLINK("https://www.google.com/maps?q=-19.6463450,-43.8822950","Abrir no Google Maps")</f>
        <v>Abrir no Google Maps</v>
      </c>
      <c r="S2116">
        <v>3</v>
      </c>
      <c r="T2116">
        <v>450.3180538635894</v>
      </c>
      <c r="U2116">
        <v>4</v>
      </c>
      <c r="V2116">
        <v>0.46344086021505371</v>
      </c>
      <c r="W2116">
        <v>1</v>
      </c>
      <c r="X2116">
        <v>0.46344086021505371</v>
      </c>
      <c r="Y2116">
        <v>10</v>
      </c>
      <c r="Z2116">
        <v>349.23341775902583</v>
      </c>
      <c r="AA2116">
        <v>2</v>
      </c>
      <c r="AB2116">
        <v>3</v>
      </c>
      <c r="AC2116">
        <v>7</v>
      </c>
      <c r="AD2116">
        <v>26.01</v>
      </c>
      <c r="AE2116">
        <v>253</v>
      </c>
      <c r="AF2116">
        <v>17</v>
      </c>
      <c r="AG2116">
        <v>60</v>
      </c>
      <c r="AH2116">
        <v>32</v>
      </c>
      <c r="AI2116">
        <v>6.72</v>
      </c>
      <c r="AJ2116">
        <v>23.72</v>
      </c>
      <c r="AK2116">
        <v>12.65</v>
      </c>
      <c r="AL2116">
        <v>-19.646391649999941</v>
      </c>
      <c r="AM2116">
        <v>-43.882007396993302</v>
      </c>
      <c r="AN2116">
        <v>-19.646391649999941</v>
      </c>
      <c r="AO2116">
        <v>-43.882007396993302</v>
      </c>
      <c r="AP2116">
        <v>-19.646345</v>
      </c>
      <c r="AQ2116">
        <v>-43.882294999999999</v>
      </c>
      <c r="AR2116">
        <v>30.596105513395301</v>
      </c>
      <c r="AS2116" t="s">
        <v>65</v>
      </c>
      <c r="AT2116">
        <v>1</v>
      </c>
      <c r="AU2116" t="s">
        <v>409</v>
      </c>
      <c r="AV2116" t="s">
        <v>410</v>
      </c>
      <c r="AW2116" t="s">
        <v>60</v>
      </c>
      <c r="AX2116" t="s">
        <v>68</v>
      </c>
      <c r="AY2116" t="s">
        <v>69</v>
      </c>
      <c r="AZ2116" t="b">
        <v>1</v>
      </c>
    </row>
    <row r="2117" spans="1:52" x14ac:dyDescent="0.3">
      <c r="A2117" t="s">
        <v>52</v>
      </c>
      <c r="B2117" t="s">
        <v>53</v>
      </c>
      <c r="C2117" t="s">
        <v>54</v>
      </c>
      <c r="D2117" t="s">
        <v>55</v>
      </c>
      <c r="E2117" t="s">
        <v>877</v>
      </c>
      <c r="F2117" t="s">
        <v>512</v>
      </c>
      <c r="G2117" t="s">
        <v>291</v>
      </c>
      <c r="H2117" t="s">
        <v>292</v>
      </c>
      <c r="I2117" t="s">
        <v>292</v>
      </c>
      <c r="J2117" t="s">
        <v>60</v>
      </c>
      <c r="K2117" t="s">
        <v>286</v>
      </c>
      <c r="L2117" t="s">
        <v>62</v>
      </c>
      <c r="M2117" t="s">
        <v>286</v>
      </c>
      <c r="N2117" t="s">
        <v>293</v>
      </c>
      <c r="O2117" t="s">
        <v>294</v>
      </c>
      <c r="P2117">
        <v>-19.640333999999999</v>
      </c>
      <c r="Q2117">
        <v>-43.880004999999997</v>
      </c>
      <c r="R2117" s="2" t="str">
        <f>HYPERLINK("https://www.google.com/maps?q=-19.6403340,-43.8800050","Abrir no Google Maps")</f>
        <v>Abrir no Google Maps</v>
      </c>
      <c r="S2117">
        <v>3</v>
      </c>
      <c r="T2117">
        <v>276.80943817309782</v>
      </c>
      <c r="U2117">
        <v>3</v>
      </c>
      <c r="V2117">
        <v>0.45806794055201688</v>
      </c>
      <c r="W2117">
        <v>1</v>
      </c>
      <c r="X2117">
        <v>0.45806794055201688</v>
      </c>
      <c r="Y2117">
        <v>10</v>
      </c>
      <c r="Z2117">
        <v>361.98332038983392</v>
      </c>
      <c r="AA2117">
        <v>2</v>
      </c>
      <c r="AB2117">
        <v>3</v>
      </c>
      <c r="AC2117">
        <v>7</v>
      </c>
      <c r="AD2117">
        <v>26.01</v>
      </c>
      <c r="AE2117">
        <v>253</v>
      </c>
      <c r="AF2117">
        <v>17</v>
      </c>
      <c r="AG2117">
        <v>60</v>
      </c>
      <c r="AH2117">
        <v>32</v>
      </c>
      <c r="AI2117">
        <v>6.72</v>
      </c>
      <c r="AJ2117">
        <v>23.72</v>
      </c>
      <c r="AK2117">
        <v>12.65</v>
      </c>
      <c r="AL2117">
        <v>-19.640260249999951</v>
      </c>
      <c r="AM2117">
        <v>-43.880090474326408</v>
      </c>
      <c r="AN2117">
        <v>-19.640260249999951</v>
      </c>
      <c r="AO2117">
        <v>-43.880090474326408</v>
      </c>
      <c r="AP2117">
        <v>-19.640333999999999</v>
      </c>
      <c r="AQ2117">
        <v>-43.880004999999997</v>
      </c>
      <c r="AR2117">
        <v>12.153556195359609</v>
      </c>
      <c r="AS2117" t="s">
        <v>65</v>
      </c>
      <c r="AT2117">
        <v>1</v>
      </c>
      <c r="AU2117" t="s">
        <v>295</v>
      </c>
      <c r="AV2117" t="s">
        <v>296</v>
      </c>
      <c r="AW2117" t="s">
        <v>60</v>
      </c>
      <c r="AX2117" t="s">
        <v>68</v>
      </c>
      <c r="AY2117" t="s">
        <v>69</v>
      </c>
      <c r="AZ2117" t="b">
        <v>1</v>
      </c>
    </row>
    <row r="2118" spans="1:52" x14ac:dyDescent="0.3">
      <c r="A2118" t="s">
        <v>52</v>
      </c>
      <c r="B2118" t="s">
        <v>53</v>
      </c>
      <c r="C2118" t="s">
        <v>54</v>
      </c>
      <c r="D2118" t="s">
        <v>55</v>
      </c>
      <c r="E2118" t="s">
        <v>877</v>
      </c>
      <c r="F2118" t="s">
        <v>512</v>
      </c>
      <c r="G2118" t="s">
        <v>411</v>
      </c>
      <c r="H2118" t="s">
        <v>412</v>
      </c>
      <c r="I2118" t="s">
        <v>412</v>
      </c>
      <c r="J2118" t="s">
        <v>60</v>
      </c>
      <c r="K2118" t="s">
        <v>179</v>
      </c>
      <c r="L2118" t="s">
        <v>62</v>
      </c>
      <c r="M2118" t="s">
        <v>179</v>
      </c>
      <c r="N2118" t="s">
        <v>413</v>
      </c>
      <c r="O2118" t="s">
        <v>414</v>
      </c>
      <c r="P2118">
        <v>-19.650079000000002</v>
      </c>
      <c r="Q2118">
        <v>-43.884253999999999</v>
      </c>
      <c r="R2118" s="2" t="str">
        <f>HYPERLINK("https://www.google.com/maps?q=-19.6500790,-43.8842540","Abrir no Google Maps")</f>
        <v>Abrir no Google Maps</v>
      </c>
      <c r="S2118">
        <v>3</v>
      </c>
      <c r="T2118">
        <v>797.21430129715498</v>
      </c>
      <c r="U2118">
        <v>3</v>
      </c>
      <c r="V2118">
        <v>0.44144736842105259</v>
      </c>
      <c r="W2118">
        <v>1</v>
      </c>
      <c r="X2118">
        <v>0.44144736842105259</v>
      </c>
      <c r="Y2118">
        <v>10</v>
      </c>
      <c r="Z2118">
        <v>774.04145012702554</v>
      </c>
      <c r="AA2118">
        <v>2</v>
      </c>
      <c r="AB2118">
        <v>3</v>
      </c>
      <c r="AC2118">
        <v>7</v>
      </c>
      <c r="AD2118">
        <v>26.01</v>
      </c>
      <c r="AE2118">
        <v>253</v>
      </c>
      <c r="AF2118">
        <v>17</v>
      </c>
      <c r="AG2118">
        <v>60</v>
      </c>
      <c r="AH2118">
        <v>32</v>
      </c>
      <c r="AI2118">
        <v>6.72</v>
      </c>
      <c r="AJ2118">
        <v>23.72</v>
      </c>
      <c r="AK2118">
        <v>12.65</v>
      </c>
      <c r="AL2118">
        <v>-19.649199399999961</v>
      </c>
      <c r="AM2118">
        <v>-43.883888390043637</v>
      </c>
      <c r="AN2118">
        <v>-19.649199399999961</v>
      </c>
      <c r="AO2118">
        <v>-43.883888390043637</v>
      </c>
      <c r="AP2118">
        <v>-19.650079000000002</v>
      </c>
      <c r="AQ2118">
        <v>-43.884253999999999</v>
      </c>
      <c r="AR2118">
        <v>105.1518915696123</v>
      </c>
      <c r="AS2118" t="s">
        <v>65</v>
      </c>
      <c r="AT2118">
        <v>1</v>
      </c>
      <c r="AU2118" t="s">
        <v>415</v>
      </c>
      <c r="AV2118" t="s">
        <v>416</v>
      </c>
      <c r="AW2118" t="s">
        <v>60</v>
      </c>
      <c r="AX2118" t="s">
        <v>68</v>
      </c>
      <c r="AY2118" t="s">
        <v>69</v>
      </c>
      <c r="AZ2118" t="b">
        <v>1</v>
      </c>
    </row>
    <row r="2119" spans="1:52" x14ac:dyDescent="0.3">
      <c r="A2119" t="s">
        <v>52</v>
      </c>
      <c r="B2119" t="s">
        <v>53</v>
      </c>
      <c r="C2119" t="s">
        <v>54</v>
      </c>
      <c r="D2119" t="s">
        <v>55</v>
      </c>
      <c r="E2119" t="s">
        <v>877</v>
      </c>
      <c r="F2119" t="s">
        <v>512</v>
      </c>
      <c r="G2119" t="s">
        <v>525</v>
      </c>
      <c r="H2119" t="s">
        <v>526</v>
      </c>
      <c r="I2119" t="s">
        <v>526</v>
      </c>
      <c r="J2119" t="s">
        <v>60</v>
      </c>
      <c r="K2119" t="s">
        <v>286</v>
      </c>
      <c r="L2119" t="s">
        <v>62</v>
      </c>
      <c r="M2119" t="s">
        <v>286</v>
      </c>
      <c r="N2119" t="s">
        <v>527</v>
      </c>
      <c r="O2119" t="s">
        <v>113</v>
      </c>
      <c r="P2119">
        <v>-19.629049999999999</v>
      </c>
      <c r="Q2119">
        <v>-43.887543000000001</v>
      </c>
      <c r="R2119" s="2" t="str">
        <f>HYPERLINK("https://www.google.com/maps?q=-19.6290500,-43.8875430","Abrir no Google Maps")</f>
        <v>Abrir no Google Maps</v>
      </c>
      <c r="S2119">
        <v>3</v>
      </c>
      <c r="T2119">
        <v>420.9244758141914</v>
      </c>
      <c r="U2119">
        <v>2</v>
      </c>
      <c r="V2119">
        <v>0.47332015810276679</v>
      </c>
      <c r="W2119">
        <v>0.85</v>
      </c>
      <c r="X2119">
        <v>0.40232213438735182</v>
      </c>
      <c r="Y2119">
        <v>18</v>
      </c>
      <c r="Z2119">
        <v>298.16529694300579</v>
      </c>
      <c r="AA2119">
        <v>2</v>
      </c>
      <c r="AB2119">
        <v>3</v>
      </c>
      <c r="AC2119">
        <v>7</v>
      </c>
      <c r="AD2119">
        <v>26.01</v>
      </c>
      <c r="AE2119">
        <v>253</v>
      </c>
      <c r="AF2119">
        <v>17</v>
      </c>
      <c r="AG2119">
        <v>60</v>
      </c>
      <c r="AH2119">
        <v>32</v>
      </c>
      <c r="AI2119">
        <v>6.72</v>
      </c>
      <c r="AJ2119">
        <v>23.72</v>
      </c>
      <c r="AK2119">
        <v>12.65</v>
      </c>
      <c r="AL2119">
        <v>-19.62914789999996</v>
      </c>
      <c r="AM2119">
        <v>-43.887659532387332</v>
      </c>
      <c r="AN2119">
        <v>-19.62914789999996</v>
      </c>
      <c r="AO2119">
        <v>-43.887659532387332</v>
      </c>
      <c r="AP2119">
        <v>-19.629049999999999</v>
      </c>
      <c r="AQ2119">
        <v>-43.887543000000001</v>
      </c>
      <c r="AR2119">
        <v>16.372645779361299</v>
      </c>
      <c r="AS2119" t="s">
        <v>65</v>
      </c>
      <c r="AT2119">
        <v>1</v>
      </c>
      <c r="AU2119" t="s">
        <v>528</v>
      </c>
      <c r="AV2119" t="s">
        <v>529</v>
      </c>
      <c r="AW2119" t="s">
        <v>60</v>
      </c>
      <c r="AX2119" t="s">
        <v>68</v>
      </c>
      <c r="AY2119" t="s">
        <v>69</v>
      </c>
      <c r="AZ2119" t="b">
        <v>1</v>
      </c>
    </row>
    <row r="2120" spans="1:52" x14ac:dyDescent="0.3">
      <c r="A2120" t="s">
        <v>52</v>
      </c>
      <c r="B2120" t="s">
        <v>53</v>
      </c>
      <c r="C2120" t="s">
        <v>54</v>
      </c>
      <c r="D2120" t="s">
        <v>55</v>
      </c>
      <c r="E2120" t="s">
        <v>877</v>
      </c>
      <c r="F2120" t="s">
        <v>512</v>
      </c>
      <c r="G2120" t="s">
        <v>388</v>
      </c>
      <c r="H2120" t="s">
        <v>389</v>
      </c>
      <c r="I2120" t="s">
        <v>389</v>
      </c>
      <c r="J2120" t="s">
        <v>60</v>
      </c>
      <c r="K2120" t="s">
        <v>185</v>
      </c>
      <c r="L2120" t="s">
        <v>62</v>
      </c>
      <c r="M2120" t="s">
        <v>185</v>
      </c>
      <c r="N2120" t="s">
        <v>390</v>
      </c>
      <c r="O2120" t="s">
        <v>391</v>
      </c>
      <c r="P2120">
        <v>-19.628802</v>
      </c>
      <c r="Q2120">
        <v>-43.891649000000001</v>
      </c>
      <c r="R2120" s="2" t="str">
        <f>HYPERLINK("https://www.google.com/maps?q=-19.6288020,-43.8916490","Abrir no Google Maps")</f>
        <v>Abrir no Google Maps</v>
      </c>
      <c r="S2120">
        <v>3</v>
      </c>
      <c r="T2120">
        <v>0</v>
      </c>
      <c r="U2120">
        <v>2</v>
      </c>
      <c r="V2120">
        <v>0.49550807615323739</v>
      </c>
      <c r="W2120">
        <v>0.85</v>
      </c>
      <c r="X2120">
        <v>0.42118186473025182</v>
      </c>
      <c r="Y2120">
        <v>18</v>
      </c>
      <c r="Z2120">
        <v>117.5064585283839</v>
      </c>
      <c r="AA2120">
        <v>2</v>
      </c>
      <c r="AB2120">
        <v>3</v>
      </c>
      <c r="AC2120">
        <v>7</v>
      </c>
      <c r="AD2120">
        <v>26.01</v>
      </c>
      <c r="AE2120">
        <v>253</v>
      </c>
      <c r="AF2120">
        <v>17</v>
      </c>
      <c r="AG2120">
        <v>60</v>
      </c>
      <c r="AH2120">
        <v>32</v>
      </c>
      <c r="AI2120">
        <v>6.72</v>
      </c>
      <c r="AJ2120">
        <v>23.72</v>
      </c>
      <c r="AK2120">
        <v>12.65</v>
      </c>
      <c r="AL2120">
        <v>-19.628865499999961</v>
      </c>
      <c r="AM2120">
        <v>-43.891662391334172</v>
      </c>
      <c r="AN2120">
        <v>-19.628865499999961</v>
      </c>
      <c r="AO2120">
        <v>-43.891662391334172</v>
      </c>
      <c r="AP2120">
        <v>-19.628802</v>
      </c>
      <c r="AQ2120">
        <v>-43.891649000000001</v>
      </c>
      <c r="AR2120">
        <v>7.2069201904448459</v>
      </c>
      <c r="AS2120" t="s">
        <v>65</v>
      </c>
      <c r="AT2120">
        <v>1</v>
      </c>
      <c r="AU2120" t="s">
        <v>392</v>
      </c>
      <c r="AV2120" t="s">
        <v>393</v>
      </c>
      <c r="AW2120" t="s">
        <v>60</v>
      </c>
      <c r="AX2120" t="s">
        <v>68</v>
      </c>
      <c r="AY2120" t="s">
        <v>69</v>
      </c>
      <c r="AZ2120" t="b">
        <v>1</v>
      </c>
    </row>
    <row r="2121" spans="1:52" x14ac:dyDescent="0.3">
      <c r="A2121" t="s">
        <v>52</v>
      </c>
      <c r="B2121" t="s">
        <v>53</v>
      </c>
      <c r="C2121" t="s">
        <v>54</v>
      </c>
      <c r="D2121" t="s">
        <v>55</v>
      </c>
      <c r="E2121" t="s">
        <v>877</v>
      </c>
      <c r="F2121" t="s">
        <v>512</v>
      </c>
      <c r="G2121" t="s">
        <v>530</v>
      </c>
      <c r="H2121" t="s">
        <v>531</v>
      </c>
      <c r="I2121" t="s">
        <v>531</v>
      </c>
      <c r="J2121" t="s">
        <v>60</v>
      </c>
      <c r="K2121" t="s">
        <v>185</v>
      </c>
      <c r="L2121" t="s">
        <v>62</v>
      </c>
      <c r="M2121" t="s">
        <v>185</v>
      </c>
      <c r="N2121" t="s">
        <v>532</v>
      </c>
      <c r="O2121" t="s">
        <v>533</v>
      </c>
      <c r="P2121">
        <v>-19.625264000000001</v>
      </c>
      <c r="Q2121">
        <v>-43.889451000000001</v>
      </c>
      <c r="R2121" s="2" t="str">
        <f>HYPERLINK("https://www.google.com/maps?q=-19.6252640,-43.8894510","Abrir no Google Maps")</f>
        <v>Abrir no Google Maps</v>
      </c>
      <c r="S2121">
        <v>3</v>
      </c>
      <c r="T2121">
        <v>466.11340370665903</v>
      </c>
      <c r="U2121">
        <v>2</v>
      </c>
      <c r="V2121">
        <v>0.47676767676767667</v>
      </c>
      <c r="W2121">
        <v>0.85</v>
      </c>
      <c r="X2121">
        <v>0.40525252525252509</v>
      </c>
      <c r="Y2121">
        <v>18</v>
      </c>
      <c r="Z2121">
        <v>320.77337440837812</v>
      </c>
      <c r="AA2121">
        <v>2</v>
      </c>
      <c r="AB2121">
        <v>3</v>
      </c>
      <c r="AC2121">
        <v>7</v>
      </c>
      <c r="AD2121">
        <v>26.01</v>
      </c>
      <c r="AE2121">
        <v>253</v>
      </c>
      <c r="AF2121">
        <v>17</v>
      </c>
      <c r="AG2121">
        <v>60</v>
      </c>
      <c r="AH2121">
        <v>32</v>
      </c>
      <c r="AI2121">
        <v>6.72</v>
      </c>
      <c r="AJ2121">
        <v>23.72</v>
      </c>
      <c r="AK2121">
        <v>12.65</v>
      </c>
      <c r="AL2121">
        <v>-19.62516189999997</v>
      </c>
      <c r="AM2121">
        <v>-43.88954614566876</v>
      </c>
      <c r="AN2121">
        <v>-19.62516189999997</v>
      </c>
      <c r="AO2121">
        <v>-43.88954614566876</v>
      </c>
      <c r="AP2121">
        <v>-19.625264000000001</v>
      </c>
      <c r="AQ2121">
        <v>-43.889451000000001</v>
      </c>
      <c r="AR2121">
        <v>15.12310549834147</v>
      </c>
      <c r="AS2121" t="s">
        <v>65</v>
      </c>
      <c r="AT2121">
        <v>1</v>
      </c>
      <c r="AU2121" t="s">
        <v>534</v>
      </c>
      <c r="AV2121" t="s">
        <v>535</v>
      </c>
      <c r="AW2121" t="s">
        <v>60</v>
      </c>
      <c r="AX2121" t="s">
        <v>68</v>
      </c>
      <c r="AY2121" t="s">
        <v>69</v>
      </c>
      <c r="AZ2121" t="b">
        <v>1</v>
      </c>
    </row>
    <row r="2122" spans="1:52" x14ac:dyDescent="0.3">
      <c r="A2122" t="s">
        <v>52</v>
      </c>
      <c r="B2122" t="s">
        <v>53</v>
      </c>
      <c r="C2122" t="s">
        <v>54</v>
      </c>
      <c r="D2122" t="s">
        <v>55</v>
      </c>
      <c r="E2122" t="s">
        <v>877</v>
      </c>
      <c r="F2122" t="s">
        <v>512</v>
      </c>
      <c r="G2122" t="s">
        <v>536</v>
      </c>
      <c r="H2122" t="s">
        <v>537</v>
      </c>
      <c r="I2122" t="s">
        <v>537</v>
      </c>
      <c r="J2122" t="s">
        <v>60</v>
      </c>
      <c r="K2122" t="s">
        <v>185</v>
      </c>
      <c r="L2122" t="s">
        <v>62</v>
      </c>
      <c r="M2122" t="s">
        <v>185</v>
      </c>
      <c r="N2122" t="s">
        <v>538</v>
      </c>
      <c r="O2122" t="s">
        <v>408</v>
      </c>
      <c r="P2122">
        <v>-19.630147999999998</v>
      </c>
      <c r="Q2122">
        <v>-43.893844000000001</v>
      </c>
      <c r="R2122" s="2" t="str">
        <f>HYPERLINK("https://www.google.com/maps?q=-19.6301480,-43.8938440","Abrir no Google Maps")</f>
        <v>Abrir no Google Maps</v>
      </c>
      <c r="S2122">
        <v>3</v>
      </c>
      <c r="T2122">
        <v>262.94285160220159</v>
      </c>
      <c r="U2122">
        <v>2</v>
      </c>
      <c r="V2122">
        <v>0.46056714820759759</v>
      </c>
      <c r="W2122">
        <v>0.85</v>
      </c>
      <c r="X2122">
        <v>0.39148207597645801</v>
      </c>
      <c r="Y2122">
        <v>18</v>
      </c>
      <c r="Z2122">
        <v>351.25774094845309</v>
      </c>
      <c r="AA2122">
        <v>2</v>
      </c>
      <c r="AB2122">
        <v>3</v>
      </c>
      <c r="AC2122">
        <v>7</v>
      </c>
      <c r="AD2122">
        <v>26.01</v>
      </c>
      <c r="AE2122">
        <v>253</v>
      </c>
      <c r="AF2122">
        <v>17</v>
      </c>
      <c r="AG2122">
        <v>60</v>
      </c>
      <c r="AH2122">
        <v>32</v>
      </c>
      <c r="AI2122">
        <v>6.72</v>
      </c>
      <c r="AJ2122">
        <v>23.72</v>
      </c>
      <c r="AK2122">
        <v>12.65</v>
      </c>
      <c r="AL2122">
        <v>-19.630177599999939</v>
      </c>
      <c r="AM2122">
        <v>-43.893752755034278</v>
      </c>
      <c r="AN2122">
        <v>-19.630177599999939</v>
      </c>
      <c r="AO2122">
        <v>-43.893752755034278</v>
      </c>
      <c r="AP2122">
        <v>-19.630147999999998</v>
      </c>
      <c r="AQ2122">
        <v>-43.893844000000001</v>
      </c>
      <c r="AR2122">
        <v>10.1185927114604</v>
      </c>
      <c r="AS2122" t="s">
        <v>65</v>
      </c>
      <c r="AT2122">
        <v>1</v>
      </c>
      <c r="AU2122" t="s">
        <v>539</v>
      </c>
      <c r="AV2122" t="s">
        <v>540</v>
      </c>
      <c r="AW2122" t="s">
        <v>60</v>
      </c>
      <c r="AX2122" t="s">
        <v>68</v>
      </c>
      <c r="AY2122" t="s">
        <v>69</v>
      </c>
      <c r="AZ2122" t="b">
        <v>1</v>
      </c>
    </row>
    <row r="2123" spans="1:52" x14ac:dyDescent="0.3">
      <c r="A2123" t="s">
        <v>52</v>
      </c>
      <c r="B2123" t="s">
        <v>53</v>
      </c>
      <c r="C2123" t="s">
        <v>54</v>
      </c>
      <c r="D2123" t="s">
        <v>55</v>
      </c>
      <c r="E2123" t="s">
        <v>877</v>
      </c>
      <c r="F2123" t="s">
        <v>512</v>
      </c>
      <c r="G2123" t="s">
        <v>541</v>
      </c>
      <c r="H2123" t="s">
        <v>542</v>
      </c>
      <c r="I2123" t="s">
        <v>542</v>
      </c>
      <c r="J2123" t="s">
        <v>60</v>
      </c>
      <c r="K2123" t="s">
        <v>445</v>
      </c>
      <c r="L2123" t="s">
        <v>62</v>
      </c>
      <c r="M2123" t="s">
        <v>445</v>
      </c>
      <c r="N2123" t="s">
        <v>543</v>
      </c>
      <c r="O2123" t="s">
        <v>328</v>
      </c>
      <c r="P2123">
        <v>-19.642263</v>
      </c>
      <c r="Q2123">
        <v>-43.881428999999997</v>
      </c>
      <c r="R2123" s="2" t="str">
        <f>HYPERLINK("https://www.google.com/maps?q=-19.6422630,-43.8814290","Abrir no Google Maps")</f>
        <v>Abrir no Google Maps</v>
      </c>
      <c r="S2123">
        <v>3</v>
      </c>
      <c r="T2123">
        <v>0</v>
      </c>
      <c r="U2123">
        <v>2</v>
      </c>
      <c r="V2123">
        <v>0.46541641459971761</v>
      </c>
      <c r="W2123">
        <v>0.85</v>
      </c>
      <c r="X2123">
        <v>0.39560395240975998</v>
      </c>
      <c r="Y2123">
        <v>10</v>
      </c>
      <c r="Z2123">
        <v>162.4764384685345</v>
      </c>
      <c r="AA2123">
        <v>2</v>
      </c>
      <c r="AB2123">
        <v>3</v>
      </c>
      <c r="AC2123">
        <v>7</v>
      </c>
      <c r="AD2123">
        <v>26.01</v>
      </c>
      <c r="AE2123">
        <v>253</v>
      </c>
      <c r="AF2123">
        <v>17</v>
      </c>
      <c r="AG2123">
        <v>60</v>
      </c>
      <c r="AH2123">
        <v>32</v>
      </c>
      <c r="AI2123">
        <v>6.72</v>
      </c>
      <c r="AJ2123">
        <v>23.72</v>
      </c>
      <c r="AK2123">
        <v>12.65</v>
      </c>
      <c r="AL2123">
        <v>-19.642346249999949</v>
      </c>
      <c r="AM2123">
        <v>-43.881546938715289</v>
      </c>
      <c r="AN2123">
        <v>-19.642346249999939</v>
      </c>
      <c r="AO2123">
        <v>-43.881546938715289</v>
      </c>
      <c r="AP2123">
        <v>-19.642263</v>
      </c>
      <c r="AQ2123">
        <v>-43.881428999999997</v>
      </c>
      <c r="AR2123">
        <v>15.45239906956777</v>
      </c>
      <c r="AS2123" t="s">
        <v>65</v>
      </c>
      <c r="AT2123">
        <v>1</v>
      </c>
      <c r="AU2123" t="s">
        <v>544</v>
      </c>
      <c r="AV2123" t="s">
        <v>545</v>
      </c>
      <c r="AW2123" t="s">
        <v>60</v>
      </c>
      <c r="AX2123" t="s">
        <v>68</v>
      </c>
      <c r="AY2123" t="s">
        <v>69</v>
      </c>
      <c r="AZ2123" t="b">
        <v>1</v>
      </c>
    </row>
    <row r="2124" spans="1:52" x14ac:dyDescent="0.3">
      <c r="A2124" t="s">
        <v>52</v>
      </c>
      <c r="B2124" t="s">
        <v>53</v>
      </c>
      <c r="C2124" t="s">
        <v>54</v>
      </c>
      <c r="D2124" t="s">
        <v>55</v>
      </c>
      <c r="E2124" t="s">
        <v>877</v>
      </c>
      <c r="F2124" t="s">
        <v>512</v>
      </c>
      <c r="G2124" t="s">
        <v>563</v>
      </c>
      <c r="H2124" t="s">
        <v>564</v>
      </c>
      <c r="I2124" t="s">
        <v>564</v>
      </c>
      <c r="J2124" t="s">
        <v>60</v>
      </c>
      <c r="K2124" t="s">
        <v>445</v>
      </c>
      <c r="L2124" t="s">
        <v>62</v>
      </c>
      <c r="M2124" t="s">
        <v>445</v>
      </c>
      <c r="N2124" t="s">
        <v>565</v>
      </c>
      <c r="O2124" t="s">
        <v>566</v>
      </c>
      <c r="P2124">
        <v>-19.645859000000002</v>
      </c>
      <c r="Q2124">
        <v>-43.878008000000001</v>
      </c>
      <c r="R2124" s="2" t="str">
        <f>HYPERLINK("https://www.google.com/maps?q=-19.6458590,-43.8780080","Abrir no Google Maps")</f>
        <v>Abrir no Google Maps</v>
      </c>
      <c r="S2124">
        <v>3</v>
      </c>
      <c r="T2124">
        <v>535.60651658514928</v>
      </c>
      <c r="U2124">
        <v>2</v>
      </c>
      <c r="V2124">
        <v>0.46786853078243801</v>
      </c>
      <c r="W2124">
        <v>0.85</v>
      </c>
      <c r="X2124">
        <v>0.39768825116507228</v>
      </c>
      <c r="Y2124">
        <v>10</v>
      </c>
      <c r="Z2124">
        <v>356.77070476702067</v>
      </c>
      <c r="AA2124">
        <v>2</v>
      </c>
      <c r="AB2124">
        <v>3</v>
      </c>
      <c r="AC2124">
        <v>7</v>
      </c>
      <c r="AD2124">
        <v>26.01</v>
      </c>
      <c r="AE2124">
        <v>253</v>
      </c>
      <c r="AF2124">
        <v>17</v>
      </c>
      <c r="AG2124">
        <v>60</v>
      </c>
      <c r="AH2124">
        <v>32</v>
      </c>
      <c r="AI2124">
        <v>6.72</v>
      </c>
      <c r="AJ2124">
        <v>23.72</v>
      </c>
      <c r="AK2124">
        <v>12.65</v>
      </c>
      <c r="AL2124">
        <v>-19.645894599999959</v>
      </c>
      <c r="AM2124">
        <v>-43.878073476665591</v>
      </c>
      <c r="AN2124">
        <v>-19.645894599999959</v>
      </c>
      <c r="AO2124">
        <v>-43.878073476665591</v>
      </c>
      <c r="AP2124">
        <v>-19.645859000000002</v>
      </c>
      <c r="AQ2124">
        <v>-43.878008000000001</v>
      </c>
      <c r="AR2124">
        <v>7.9263849189726594</v>
      </c>
      <c r="AS2124" t="s">
        <v>65</v>
      </c>
      <c r="AT2124">
        <v>1</v>
      </c>
      <c r="AU2124" t="s">
        <v>567</v>
      </c>
      <c r="AV2124" t="s">
        <v>568</v>
      </c>
      <c r="AW2124" t="s">
        <v>60</v>
      </c>
      <c r="AX2124" t="s">
        <v>68</v>
      </c>
      <c r="AY2124" t="s">
        <v>69</v>
      </c>
      <c r="AZ2124" t="b">
        <v>1</v>
      </c>
    </row>
    <row r="2125" spans="1:52" x14ac:dyDescent="0.3">
      <c r="A2125" t="s">
        <v>52</v>
      </c>
      <c r="B2125" t="s">
        <v>53</v>
      </c>
      <c r="C2125" t="s">
        <v>54</v>
      </c>
      <c r="D2125" t="s">
        <v>55</v>
      </c>
      <c r="E2125" t="s">
        <v>877</v>
      </c>
      <c r="F2125" t="s">
        <v>512</v>
      </c>
      <c r="G2125" t="s">
        <v>586</v>
      </c>
      <c r="H2125" t="s">
        <v>587</v>
      </c>
      <c r="I2125" t="s">
        <v>587</v>
      </c>
      <c r="J2125" t="s">
        <v>60</v>
      </c>
      <c r="K2125" t="s">
        <v>286</v>
      </c>
      <c r="L2125" t="s">
        <v>62</v>
      </c>
      <c r="M2125" t="s">
        <v>286</v>
      </c>
      <c r="N2125" t="s">
        <v>588</v>
      </c>
      <c r="O2125" t="s">
        <v>589</v>
      </c>
      <c r="P2125">
        <v>-19.638362999999998</v>
      </c>
      <c r="Q2125">
        <v>-43.887081000000002</v>
      </c>
      <c r="R2125" s="2" t="str">
        <f>HYPERLINK("https://www.google.com/maps?q=-19.6383630,-43.8870810","Abrir no Google Maps")</f>
        <v>Abrir no Google Maps</v>
      </c>
      <c r="S2125">
        <v>3</v>
      </c>
      <c r="T2125">
        <v>521.16909902210193</v>
      </c>
      <c r="U2125">
        <v>2</v>
      </c>
      <c r="V2125">
        <v>0.49486434108527128</v>
      </c>
      <c r="W2125">
        <v>0.85</v>
      </c>
      <c r="X2125">
        <v>0.4206346899224806</v>
      </c>
      <c r="Y2125">
        <v>10</v>
      </c>
      <c r="Z2125">
        <v>416.66355243950221</v>
      </c>
      <c r="AA2125">
        <v>2</v>
      </c>
      <c r="AB2125">
        <v>3</v>
      </c>
      <c r="AC2125">
        <v>7</v>
      </c>
      <c r="AD2125">
        <v>26.01</v>
      </c>
      <c r="AE2125">
        <v>253</v>
      </c>
      <c r="AF2125">
        <v>17</v>
      </c>
      <c r="AG2125">
        <v>60</v>
      </c>
      <c r="AH2125">
        <v>32</v>
      </c>
      <c r="AI2125">
        <v>6.72</v>
      </c>
      <c r="AJ2125">
        <v>23.72</v>
      </c>
      <c r="AK2125">
        <v>12.65</v>
      </c>
      <c r="AL2125">
        <v>-19.638074649999961</v>
      </c>
      <c r="AM2125">
        <v>-43.887517684870552</v>
      </c>
      <c r="AN2125">
        <v>-19.638074649999961</v>
      </c>
      <c r="AO2125">
        <v>-43.887517684870552</v>
      </c>
      <c r="AP2125">
        <v>-19.638362999999998</v>
      </c>
      <c r="AQ2125">
        <v>-43.887081000000002</v>
      </c>
      <c r="AR2125">
        <v>55.915550702564907</v>
      </c>
      <c r="AS2125" t="s">
        <v>65</v>
      </c>
      <c r="AT2125">
        <v>1</v>
      </c>
      <c r="AU2125" t="s">
        <v>590</v>
      </c>
      <c r="AV2125" t="s">
        <v>591</v>
      </c>
      <c r="AW2125" t="s">
        <v>60</v>
      </c>
      <c r="AX2125" t="s">
        <v>68</v>
      </c>
      <c r="AY2125" t="s">
        <v>69</v>
      </c>
      <c r="AZ2125" t="b">
        <v>1</v>
      </c>
    </row>
    <row r="2126" spans="1:52" x14ac:dyDescent="0.3">
      <c r="A2126" t="s">
        <v>52</v>
      </c>
      <c r="B2126" t="s">
        <v>53</v>
      </c>
      <c r="C2126" t="s">
        <v>54</v>
      </c>
      <c r="D2126" t="s">
        <v>55</v>
      </c>
      <c r="E2126" t="s">
        <v>877</v>
      </c>
      <c r="F2126" t="s">
        <v>512</v>
      </c>
      <c r="G2126" t="s">
        <v>575</v>
      </c>
      <c r="H2126" t="s">
        <v>576</v>
      </c>
      <c r="I2126" t="s">
        <v>576</v>
      </c>
      <c r="J2126" t="s">
        <v>60</v>
      </c>
      <c r="K2126" t="s">
        <v>445</v>
      </c>
      <c r="L2126" t="s">
        <v>62</v>
      </c>
      <c r="M2126" t="s">
        <v>445</v>
      </c>
      <c r="N2126" t="s">
        <v>577</v>
      </c>
      <c r="O2126" t="s">
        <v>214</v>
      </c>
      <c r="P2126">
        <v>-19.639865</v>
      </c>
      <c r="Q2126">
        <v>-43.877858000000003</v>
      </c>
      <c r="R2126" s="2" t="str">
        <f>HYPERLINK("https://www.google.com/maps?q=-19.6398650,-43.8778580","Abrir no Google Maps")</f>
        <v>Abrir no Google Maps</v>
      </c>
      <c r="S2126">
        <v>3</v>
      </c>
      <c r="T2126">
        <v>497.47318171010488</v>
      </c>
      <c r="U2126">
        <v>2</v>
      </c>
      <c r="V2126">
        <v>0.47480403135498322</v>
      </c>
      <c r="W2126">
        <v>0.85</v>
      </c>
      <c r="X2126">
        <v>0.40358342665173569</v>
      </c>
      <c r="Y2126">
        <v>10</v>
      </c>
      <c r="Z2126">
        <v>547.08184956634818</v>
      </c>
      <c r="AA2126">
        <v>2</v>
      </c>
      <c r="AB2126">
        <v>3</v>
      </c>
      <c r="AC2126">
        <v>7</v>
      </c>
      <c r="AD2126">
        <v>26.01</v>
      </c>
      <c r="AE2126">
        <v>253</v>
      </c>
      <c r="AF2126">
        <v>17</v>
      </c>
      <c r="AG2126">
        <v>60</v>
      </c>
      <c r="AH2126">
        <v>32</v>
      </c>
      <c r="AI2126">
        <v>6.72</v>
      </c>
      <c r="AJ2126">
        <v>23.72</v>
      </c>
      <c r="AK2126">
        <v>12.65</v>
      </c>
      <c r="AL2126">
        <v>-19.639907499999961</v>
      </c>
      <c r="AM2126">
        <v>-43.877561677180587</v>
      </c>
      <c r="AN2126">
        <v>-19.639907499999961</v>
      </c>
      <c r="AO2126">
        <v>-43.877561677180587</v>
      </c>
      <c r="AP2126">
        <v>-19.639865</v>
      </c>
      <c r="AQ2126">
        <v>-43.877858000000003</v>
      </c>
      <c r="AR2126">
        <v>31.4257813556037</v>
      </c>
      <c r="AS2126" t="s">
        <v>65</v>
      </c>
      <c r="AT2126">
        <v>1</v>
      </c>
      <c r="AU2126" t="s">
        <v>578</v>
      </c>
      <c r="AV2126" t="s">
        <v>579</v>
      </c>
      <c r="AW2126" t="s">
        <v>60</v>
      </c>
      <c r="AX2126" t="s">
        <v>68</v>
      </c>
      <c r="AY2126" t="s">
        <v>69</v>
      </c>
      <c r="AZ2126" t="b">
        <v>1</v>
      </c>
    </row>
    <row r="2127" spans="1:52" x14ac:dyDescent="0.3">
      <c r="A2127" t="s">
        <v>52</v>
      </c>
      <c r="B2127" t="s">
        <v>53</v>
      </c>
      <c r="C2127" t="s">
        <v>54</v>
      </c>
      <c r="D2127" t="s">
        <v>55</v>
      </c>
      <c r="E2127" t="s">
        <v>877</v>
      </c>
      <c r="F2127" t="s">
        <v>512</v>
      </c>
      <c r="G2127" t="s">
        <v>546</v>
      </c>
      <c r="H2127" t="s">
        <v>547</v>
      </c>
      <c r="I2127" t="s">
        <v>547</v>
      </c>
      <c r="J2127" t="s">
        <v>60</v>
      </c>
      <c r="K2127" t="s">
        <v>445</v>
      </c>
      <c r="L2127" t="s">
        <v>62</v>
      </c>
      <c r="M2127" t="s">
        <v>445</v>
      </c>
      <c r="N2127" t="s">
        <v>548</v>
      </c>
      <c r="O2127" t="s">
        <v>549</v>
      </c>
      <c r="P2127">
        <v>-19.642752999999999</v>
      </c>
      <c r="Q2127">
        <v>-43.879080999999999</v>
      </c>
      <c r="R2127" s="2" t="str">
        <f>HYPERLINK("https://www.google.com/maps?q=-19.6427530,-43.8790810","Abrir no Google Maps")</f>
        <v>Abrir no Google Maps</v>
      </c>
      <c r="S2127">
        <v>3</v>
      </c>
      <c r="T2127">
        <v>256.19518367376457</v>
      </c>
      <c r="U2127">
        <v>1</v>
      </c>
      <c r="V2127">
        <v>0.43395620625441461</v>
      </c>
      <c r="W2127">
        <v>0.85</v>
      </c>
      <c r="X2127">
        <v>0.36886277531625239</v>
      </c>
      <c r="Y2127">
        <v>10</v>
      </c>
      <c r="Z2127">
        <v>192.73978446408199</v>
      </c>
      <c r="AA2127">
        <v>2</v>
      </c>
      <c r="AB2127">
        <v>3</v>
      </c>
      <c r="AC2127">
        <v>7</v>
      </c>
      <c r="AD2127">
        <v>26.01</v>
      </c>
      <c r="AE2127">
        <v>253</v>
      </c>
      <c r="AF2127">
        <v>17</v>
      </c>
      <c r="AG2127">
        <v>60</v>
      </c>
      <c r="AH2127">
        <v>32</v>
      </c>
      <c r="AI2127">
        <v>6.72</v>
      </c>
      <c r="AJ2127">
        <v>23.72</v>
      </c>
      <c r="AK2127">
        <v>12.65</v>
      </c>
      <c r="AL2127">
        <v>-19.642703749999949</v>
      </c>
      <c r="AM2127">
        <v>-43.879132974738582</v>
      </c>
      <c r="AN2127">
        <v>-19.642703749999949</v>
      </c>
      <c r="AO2127">
        <v>-43.879132974738582</v>
      </c>
      <c r="AP2127">
        <v>-19.642752999999999</v>
      </c>
      <c r="AQ2127">
        <v>-43.879080999999999</v>
      </c>
      <c r="AR2127">
        <v>7.7298757823687696</v>
      </c>
      <c r="AS2127" t="s">
        <v>65</v>
      </c>
      <c r="AT2127">
        <v>1</v>
      </c>
      <c r="AU2127" t="s">
        <v>550</v>
      </c>
      <c r="AV2127" t="s">
        <v>551</v>
      </c>
      <c r="AW2127" t="s">
        <v>60</v>
      </c>
      <c r="AX2127" t="s">
        <v>68</v>
      </c>
      <c r="AY2127" t="s">
        <v>69</v>
      </c>
      <c r="AZ2127" t="b">
        <v>1</v>
      </c>
    </row>
    <row r="2128" spans="1:52" x14ac:dyDescent="0.3">
      <c r="A2128" t="s">
        <v>52</v>
      </c>
      <c r="B2128" t="s">
        <v>53</v>
      </c>
      <c r="C2128" t="s">
        <v>54</v>
      </c>
      <c r="D2128" t="s">
        <v>55</v>
      </c>
      <c r="E2128" t="s">
        <v>877</v>
      </c>
      <c r="F2128" t="s">
        <v>512</v>
      </c>
      <c r="G2128" t="s">
        <v>552</v>
      </c>
      <c r="H2128" t="s">
        <v>553</v>
      </c>
      <c r="I2128" t="s">
        <v>553</v>
      </c>
      <c r="J2128" t="s">
        <v>60</v>
      </c>
      <c r="K2128" t="s">
        <v>445</v>
      </c>
      <c r="L2128" t="s">
        <v>62</v>
      </c>
      <c r="M2128" t="s">
        <v>445</v>
      </c>
      <c r="N2128" t="s">
        <v>554</v>
      </c>
      <c r="O2128" t="s">
        <v>207</v>
      </c>
      <c r="P2128">
        <v>-19.641549999999999</v>
      </c>
      <c r="Q2128">
        <v>-43.873263999999999</v>
      </c>
      <c r="R2128" s="2" t="str">
        <f>HYPERLINK("https://www.google.com/maps?q=-19.6415500,-43.8732640","Abrir no Google Maps")</f>
        <v>Abrir no Google Maps</v>
      </c>
      <c r="S2128">
        <v>3</v>
      </c>
      <c r="T2128">
        <v>879.45465995735231</v>
      </c>
      <c r="U2128">
        <v>1</v>
      </c>
      <c r="V2128">
        <v>0.40274960558936218</v>
      </c>
      <c r="W2128">
        <v>0.85</v>
      </c>
      <c r="X2128">
        <v>0.34233716475095782</v>
      </c>
      <c r="Y2128">
        <v>10</v>
      </c>
      <c r="Z2128">
        <v>830.70905214077095</v>
      </c>
      <c r="AA2128">
        <v>2</v>
      </c>
      <c r="AB2128">
        <v>3</v>
      </c>
      <c r="AC2128">
        <v>7</v>
      </c>
      <c r="AD2128">
        <v>26.01</v>
      </c>
      <c r="AE2128">
        <v>253</v>
      </c>
      <c r="AF2128">
        <v>17</v>
      </c>
      <c r="AG2128">
        <v>60</v>
      </c>
      <c r="AH2128">
        <v>32</v>
      </c>
      <c r="AI2128">
        <v>6.72</v>
      </c>
      <c r="AJ2128">
        <v>23.72</v>
      </c>
      <c r="AK2128">
        <v>12.65</v>
      </c>
      <c r="AL2128">
        <v>-19.641459949999959</v>
      </c>
      <c r="AM2128">
        <v>-43.873212145688711</v>
      </c>
      <c r="AN2128">
        <v>-19.641459949999959</v>
      </c>
      <c r="AO2128">
        <v>-43.873212145688711</v>
      </c>
      <c r="AP2128">
        <v>-19.641549999999999</v>
      </c>
      <c r="AQ2128">
        <v>-43.873263999999999</v>
      </c>
      <c r="AR2128">
        <v>11.40368340137019</v>
      </c>
      <c r="AS2128" t="s">
        <v>65</v>
      </c>
      <c r="AT2128">
        <v>1</v>
      </c>
      <c r="AU2128" t="s">
        <v>555</v>
      </c>
      <c r="AV2128" t="s">
        <v>556</v>
      </c>
      <c r="AW2128" t="s">
        <v>60</v>
      </c>
      <c r="AX2128" t="s">
        <v>68</v>
      </c>
      <c r="AY2128" t="s">
        <v>69</v>
      </c>
      <c r="AZ2128" t="b">
        <v>1</v>
      </c>
    </row>
    <row r="2129" spans="1:52" x14ac:dyDescent="0.3">
      <c r="A2129" t="s">
        <v>52</v>
      </c>
      <c r="B2129" t="s">
        <v>53</v>
      </c>
      <c r="C2129" t="s">
        <v>54</v>
      </c>
      <c r="D2129" t="s">
        <v>55</v>
      </c>
      <c r="E2129" t="s">
        <v>877</v>
      </c>
      <c r="F2129" t="s">
        <v>512</v>
      </c>
      <c r="G2129" t="s">
        <v>557</v>
      </c>
      <c r="H2129" t="s">
        <v>558</v>
      </c>
      <c r="I2129" t="s">
        <v>558</v>
      </c>
      <c r="J2129" t="s">
        <v>60</v>
      </c>
      <c r="K2129" t="s">
        <v>445</v>
      </c>
      <c r="L2129" t="s">
        <v>62</v>
      </c>
      <c r="M2129" t="s">
        <v>445</v>
      </c>
      <c r="N2129" t="s">
        <v>559</v>
      </c>
      <c r="O2129" t="s">
        <v>560</v>
      </c>
      <c r="P2129">
        <v>-19.641839000000001</v>
      </c>
      <c r="Q2129">
        <v>-43.876227</v>
      </c>
      <c r="R2129" s="2" t="str">
        <f>HYPERLINK("https://www.google.com/maps?q=-19.6418390,-43.8762270","Abrir no Google Maps")</f>
        <v>Abrir no Google Maps</v>
      </c>
      <c r="S2129">
        <v>3</v>
      </c>
      <c r="T2129">
        <v>564.50471877254449</v>
      </c>
      <c r="U2129">
        <v>1</v>
      </c>
      <c r="V2129">
        <v>0.4469058246542128</v>
      </c>
      <c r="W2129">
        <v>0.85</v>
      </c>
      <c r="X2129">
        <v>0.37986995095608089</v>
      </c>
      <c r="Y2129">
        <v>10</v>
      </c>
      <c r="Z2129">
        <v>490.40238336341412</v>
      </c>
      <c r="AA2129">
        <v>2</v>
      </c>
      <c r="AB2129">
        <v>3</v>
      </c>
      <c r="AC2129">
        <v>7</v>
      </c>
      <c r="AD2129">
        <v>26.01</v>
      </c>
      <c r="AE2129">
        <v>253</v>
      </c>
      <c r="AF2129">
        <v>17</v>
      </c>
      <c r="AG2129">
        <v>60</v>
      </c>
      <c r="AH2129">
        <v>32</v>
      </c>
      <c r="AI2129">
        <v>6.72</v>
      </c>
      <c r="AJ2129">
        <v>23.72</v>
      </c>
      <c r="AK2129">
        <v>12.65</v>
      </c>
      <c r="AL2129">
        <v>-19.641880699999941</v>
      </c>
      <c r="AM2129">
        <v>-43.876185869580858</v>
      </c>
      <c r="AN2129">
        <v>-19.641880699999941</v>
      </c>
      <c r="AO2129">
        <v>-43.876185869580858</v>
      </c>
      <c r="AP2129">
        <v>-19.641839000000001</v>
      </c>
      <c r="AQ2129">
        <v>-43.876227</v>
      </c>
      <c r="AR2129">
        <v>6.3359121862683301</v>
      </c>
      <c r="AS2129" t="s">
        <v>65</v>
      </c>
      <c r="AT2129">
        <v>1</v>
      </c>
      <c r="AU2129" t="s">
        <v>561</v>
      </c>
      <c r="AV2129" t="s">
        <v>562</v>
      </c>
      <c r="AW2129" t="s">
        <v>60</v>
      </c>
      <c r="AX2129" t="s">
        <v>68</v>
      </c>
      <c r="AY2129" t="s">
        <v>69</v>
      </c>
      <c r="AZ2129" t="b">
        <v>1</v>
      </c>
    </row>
    <row r="2130" spans="1:52" x14ac:dyDescent="0.3">
      <c r="A2130" t="s">
        <v>52</v>
      </c>
      <c r="B2130" t="s">
        <v>53</v>
      </c>
      <c r="C2130" t="s">
        <v>54</v>
      </c>
      <c r="D2130" t="s">
        <v>55</v>
      </c>
      <c r="E2130" t="s">
        <v>877</v>
      </c>
      <c r="F2130" t="s">
        <v>512</v>
      </c>
      <c r="G2130" t="s">
        <v>569</v>
      </c>
      <c r="H2130" t="s">
        <v>570</v>
      </c>
      <c r="I2130" t="s">
        <v>570</v>
      </c>
      <c r="J2130" t="s">
        <v>60</v>
      </c>
      <c r="K2130" t="s">
        <v>445</v>
      </c>
      <c r="L2130" t="s">
        <v>62</v>
      </c>
      <c r="M2130" t="s">
        <v>445</v>
      </c>
      <c r="N2130" t="s">
        <v>571</v>
      </c>
      <c r="O2130" t="s">
        <v>572</v>
      </c>
      <c r="P2130">
        <v>-19.646602999999999</v>
      </c>
      <c r="Q2130">
        <v>-43.879826000000001</v>
      </c>
      <c r="R2130" s="2" t="str">
        <f>HYPERLINK("https://www.google.com/maps?q=-19.6466030,-43.8798260","Abrir no Google Maps")</f>
        <v>Abrir no Google Maps</v>
      </c>
      <c r="S2130">
        <v>3</v>
      </c>
      <c r="T2130">
        <v>497.89126003830972</v>
      </c>
      <c r="U2130">
        <v>1</v>
      </c>
      <c r="V2130">
        <v>0.4366250188167996</v>
      </c>
      <c r="W2130">
        <v>0.85</v>
      </c>
      <c r="X2130">
        <v>0.37113126599427959</v>
      </c>
      <c r="Y2130">
        <v>10</v>
      </c>
      <c r="Z2130">
        <v>228.69190976735251</v>
      </c>
      <c r="AA2130">
        <v>2</v>
      </c>
      <c r="AB2130">
        <v>3</v>
      </c>
      <c r="AC2130">
        <v>7</v>
      </c>
      <c r="AD2130">
        <v>26.01</v>
      </c>
      <c r="AE2130">
        <v>253</v>
      </c>
      <c r="AF2130">
        <v>17</v>
      </c>
      <c r="AG2130">
        <v>60</v>
      </c>
      <c r="AH2130">
        <v>32</v>
      </c>
      <c r="AI2130">
        <v>6.72</v>
      </c>
      <c r="AJ2130">
        <v>23.72</v>
      </c>
      <c r="AK2130">
        <v>12.65</v>
      </c>
      <c r="AL2130">
        <v>-19.646577499999982</v>
      </c>
      <c r="AM2130">
        <v>-43.879934131171261</v>
      </c>
      <c r="AN2130">
        <v>-19.646577499999971</v>
      </c>
      <c r="AO2130">
        <v>-43.879934131171261</v>
      </c>
      <c r="AP2130">
        <v>-19.646602999999999</v>
      </c>
      <c r="AQ2130">
        <v>-43.879826000000001</v>
      </c>
      <c r="AR2130">
        <v>11.68641198848764</v>
      </c>
      <c r="AS2130" t="s">
        <v>65</v>
      </c>
      <c r="AT2130">
        <v>1</v>
      </c>
      <c r="AU2130" t="s">
        <v>573</v>
      </c>
      <c r="AV2130" t="s">
        <v>574</v>
      </c>
      <c r="AW2130" t="s">
        <v>60</v>
      </c>
      <c r="AX2130" t="s">
        <v>68</v>
      </c>
      <c r="AY2130" t="s">
        <v>69</v>
      </c>
      <c r="AZ2130" t="b">
        <v>1</v>
      </c>
    </row>
    <row r="2131" spans="1:52" x14ac:dyDescent="0.3">
      <c r="A2131" t="s">
        <v>52</v>
      </c>
      <c r="B2131" t="s">
        <v>53</v>
      </c>
      <c r="C2131" t="s">
        <v>54</v>
      </c>
      <c r="D2131" t="s">
        <v>55</v>
      </c>
      <c r="E2131" t="s">
        <v>877</v>
      </c>
      <c r="F2131" t="s">
        <v>512</v>
      </c>
      <c r="G2131" t="s">
        <v>580</v>
      </c>
      <c r="H2131" t="s">
        <v>581</v>
      </c>
      <c r="I2131" t="s">
        <v>581</v>
      </c>
      <c r="J2131" t="s">
        <v>60</v>
      </c>
      <c r="K2131" t="s">
        <v>179</v>
      </c>
      <c r="L2131" t="s">
        <v>62</v>
      </c>
      <c r="M2131" t="s">
        <v>179</v>
      </c>
      <c r="N2131" t="s">
        <v>582</v>
      </c>
      <c r="O2131" t="s">
        <v>583</v>
      </c>
      <c r="P2131">
        <v>-19.651917999999998</v>
      </c>
      <c r="Q2131">
        <v>-43.888081</v>
      </c>
      <c r="R2131" s="2" t="str">
        <f>HYPERLINK("https://www.google.com/maps?q=-19.6519180,-43.8880810","Abrir no Google Maps")</f>
        <v>Abrir no Google Maps</v>
      </c>
      <c r="S2131">
        <v>3</v>
      </c>
      <c r="T2131">
        <v>1192.758363020145</v>
      </c>
      <c r="U2131">
        <v>1</v>
      </c>
      <c r="V2131">
        <v>0.42861255037420842</v>
      </c>
      <c r="W2131">
        <v>0.85</v>
      </c>
      <c r="X2131">
        <v>0.36432066781807709</v>
      </c>
      <c r="Y2131">
        <v>10</v>
      </c>
      <c r="Z2131">
        <v>1164.020417046748</v>
      </c>
      <c r="AA2131">
        <v>2</v>
      </c>
      <c r="AB2131">
        <v>3</v>
      </c>
      <c r="AC2131">
        <v>7</v>
      </c>
      <c r="AD2131">
        <v>26.01</v>
      </c>
      <c r="AE2131">
        <v>253</v>
      </c>
      <c r="AF2131">
        <v>17</v>
      </c>
      <c r="AG2131">
        <v>60</v>
      </c>
      <c r="AH2131">
        <v>32</v>
      </c>
      <c r="AI2131">
        <v>6.72</v>
      </c>
      <c r="AJ2131">
        <v>23.72</v>
      </c>
      <c r="AK2131">
        <v>12.65</v>
      </c>
      <c r="AL2131">
        <v>-19.65182809999996</v>
      </c>
      <c r="AM2131">
        <v>-43.887955347266519</v>
      </c>
      <c r="AN2131">
        <v>-19.65182809999996</v>
      </c>
      <c r="AO2131">
        <v>-43.887955347266519</v>
      </c>
      <c r="AP2131">
        <v>-19.651917999999998</v>
      </c>
      <c r="AQ2131">
        <v>-43.888081</v>
      </c>
      <c r="AR2131">
        <v>16.543262936495491</v>
      </c>
      <c r="AS2131" t="s">
        <v>65</v>
      </c>
      <c r="AT2131">
        <v>1</v>
      </c>
      <c r="AU2131" t="s">
        <v>584</v>
      </c>
      <c r="AV2131" t="s">
        <v>585</v>
      </c>
      <c r="AW2131" t="s">
        <v>60</v>
      </c>
      <c r="AX2131" t="s">
        <v>68</v>
      </c>
      <c r="AY2131" t="s">
        <v>69</v>
      </c>
      <c r="AZ2131" t="b">
        <v>1</v>
      </c>
    </row>
    <row r="2132" spans="1:52" x14ac:dyDescent="0.3">
      <c r="A2132" t="s">
        <v>52</v>
      </c>
      <c r="B2132" t="s">
        <v>53</v>
      </c>
      <c r="C2132" t="s">
        <v>54</v>
      </c>
      <c r="D2132" t="s">
        <v>55</v>
      </c>
      <c r="E2132" t="s">
        <v>877</v>
      </c>
      <c r="F2132" t="s">
        <v>512</v>
      </c>
      <c r="G2132" t="s">
        <v>592</v>
      </c>
      <c r="H2132" t="s">
        <v>593</v>
      </c>
      <c r="I2132" t="s">
        <v>593</v>
      </c>
      <c r="J2132" t="s">
        <v>60</v>
      </c>
      <c r="K2132" t="s">
        <v>445</v>
      </c>
      <c r="L2132" t="s">
        <v>62</v>
      </c>
      <c r="M2132" t="s">
        <v>445</v>
      </c>
      <c r="N2132" t="s">
        <v>594</v>
      </c>
      <c r="O2132" t="s">
        <v>477</v>
      </c>
      <c r="P2132">
        <v>-19.640709000000001</v>
      </c>
      <c r="Q2132">
        <v>-43.868687999999999</v>
      </c>
      <c r="R2132" s="2" t="str">
        <f>HYPERLINK("https://www.google.com/maps?q=-19.6407090,-43.8686880","Abrir no Google Maps")</f>
        <v>Abrir no Google Maps</v>
      </c>
      <c r="S2132">
        <v>1</v>
      </c>
      <c r="T2132">
        <v>1174.9679995958841</v>
      </c>
      <c r="U2132">
        <v>3</v>
      </c>
      <c r="V2132">
        <v>0.44685363643851411</v>
      </c>
      <c r="W2132">
        <v>1</v>
      </c>
      <c r="X2132">
        <v>0.44685363643851411</v>
      </c>
      <c r="Y2132">
        <v>10</v>
      </c>
      <c r="Z2132">
        <v>1230.8029594060461</v>
      </c>
      <c r="AA2132">
        <v>2</v>
      </c>
      <c r="AB2132">
        <v>3</v>
      </c>
      <c r="AC2132">
        <v>7</v>
      </c>
      <c r="AD2132">
        <v>26.01</v>
      </c>
      <c r="AE2132">
        <v>253</v>
      </c>
      <c r="AF2132">
        <v>17</v>
      </c>
      <c r="AG2132">
        <v>60</v>
      </c>
      <c r="AH2132">
        <v>32</v>
      </c>
      <c r="AI2132">
        <v>6.72</v>
      </c>
      <c r="AJ2132">
        <v>23.72</v>
      </c>
      <c r="AK2132">
        <v>12.65</v>
      </c>
      <c r="AL2132">
        <v>-19.641057949999979</v>
      </c>
      <c r="AM2132">
        <v>-43.868800137485707</v>
      </c>
      <c r="AN2132">
        <v>-19.641057949999979</v>
      </c>
      <c r="AO2132">
        <v>-43.868800137485707</v>
      </c>
      <c r="AP2132">
        <v>-19.640709000000001</v>
      </c>
      <c r="AQ2132">
        <v>-43.868687999999999</v>
      </c>
      <c r="AR2132">
        <v>40.585293798071682</v>
      </c>
      <c r="AS2132" t="s">
        <v>65</v>
      </c>
      <c r="AT2132">
        <v>1</v>
      </c>
      <c r="AU2132" t="s">
        <v>595</v>
      </c>
      <c r="AV2132" t="s">
        <v>596</v>
      </c>
      <c r="AW2132" t="s">
        <v>60</v>
      </c>
      <c r="AX2132" t="s">
        <v>68</v>
      </c>
      <c r="AY2132" t="s">
        <v>69</v>
      </c>
      <c r="AZ2132" t="b">
        <v>1</v>
      </c>
    </row>
    <row r="2133" spans="1:52" x14ac:dyDescent="0.3">
      <c r="A2133" t="s">
        <v>52</v>
      </c>
      <c r="B2133" t="s">
        <v>53</v>
      </c>
      <c r="C2133" t="s">
        <v>54</v>
      </c>
      <c r="D2133" t="s">
        <v>55</v>
      </c>
      <c r="E2133" t="s">
        <v>877</v>
      </c>
      <c r="F2133" t="s">
        <v>512</v>
      </c>
      <c r="G2133" t="s">
        <v>597</v>
      </c>
      <c r="H2133" t="s">
        <v>598</v>
      </c>
      <c r="I2133" t="s">
        <v>598</v>
      </c>
      <c r="J2133" t="s">
        <v>60</v>
      </c>
      <c r="K2133" t="s">
        <v>445</v>
      </c>
      <c r="L2133" t="s">
        <v>62</v>
      </c>
      <c r="M2133" t="s">
        <v>445</v>
      </c>
      <c r="N2133" t="s">
        <v>599</v>
      </c>
      <c r="O2133" t="s">
        <v>391</v>
      </c>
      <c r="P2133">
        <v>-19.637060999999999</v>
      </c>
      <c r="Q2133">
        <v>-43.871026000000001</v>
      </c>
      <c r="R2133" s="2" t="str">
        <f>HYPERLINK("https://www.google.com/maps?q=-19.6370610,-43.8710260","Abrir no Google Maps")</f>
        <v>Abrir no Google Maps</v>
      </c>
      <c r="S2133">
        <v>1</v>
      </c>
      <c r="T2133">
        <v>737.61884389282102</v>
      </c>
      <c r="U2133">
        <v>3</v>
      </c>
      <c r="V2133">
        <v>0.43027689553369308</v>
      </c>
      <c r="W2133">
        <v>1</v>
      </c>
      <c r="X2133">
        <v>0.43027689553369308</v>
      </c>
      <c r="Y2133">
        <v>10</v>
      </c>
      <c r="Z2133">
        <v>1331.4501394006061</v>
      </c>
      <c r="AA2133">
        <v>2</v>
      </c>
      <c r="AB2133">
        <v>3</v>
      </c>
      <c r="AC2133">
        <v>7</v>
      </c>
      <c r="AD2133">
        <v>26.01</v>
      </c>
      <c r="AE2133">
        <v>253</v>
      </c>
      <c r="AF2133">
        <v>17</v>
      </c>
      <c r="AG2133">
        <v>60</v>
      </c>
      <c r="AH2133">
        <v>32</v>
      </c>
      <c r="AI2133">
        <v>6.72</v>
      </c>
      <c r="AJ2133">
        <v>23.72</v>
      </c>
      <c r="AK2133">
        <v>12.65</v>
      </c>
      <c r="AL2133">
        <v>-19.637111899999951</v>
      </c>
      <c r="AM2133">
        <v>-43.870888931681193</v>
      </c>
      <c r="AN2133">
        <v>-19.637111899999951</v>
      </c>
      <c r="AO2133">
        <v>-43.870888931681193</v>
      </c>
      <c r="AP2133">
        <v>-19.637060999999999</v>
      </c>
      <c r="AQ2133">
        <v>-43.871026000000001</v>
      </c>
      <c r="AR2133">
        <v>15.44770924391884</v>
      </c>
      <c r="AS2133" t="s">
        <v>65</v>
      </c>
      <c r="AT2133">
        <v>1</v>
      </c>
      <c r="AU2133" t="s">
        <v>600</v>
      </c>
      <c r="AV2133" t="s">
        <v>601</v>
      </c>
      <c r="AW2133" t="s">
        <v>60</v>
      </c>
      <c r="AX2133" t="s">
        <v>68</v>
      </c>
      <c r="AY2133" t="s">
        <v>69</v>
      </c>
      <c r="AZ2133" t="b">
        <v>1</v>
      </c>
    </row>
    <row r="2134" spans="1:52" x14ac:dyDescent="0.3">
      <c r="A2134" t="s">
        <v>52</v>
      </c>
      <c r="B2134" t="s">
        <v>53</v>
      </c>
      <c r="C2134" t="s">
        <v>54</v>
      </c>
      <c r="D2134" t="s">
        <v>55</v>
      </c>
      <c r="E2134" t="s">
        <v>877</v>
      </c>
      <c r="F2134" t="s">
        <v>512</v>
      </c>
      <c r="G2134" t="s">
        <v>602</v>
      </c>
      <c r="H2134" t="s">
        <v>603</v>
      </c>
      <c r="I2134" t="s">
        <v>603</v>
      </c>
      <c r="J2134" t="s">
        <v>60</v>
      </c>
      <c r="K2134" t="s">
        <v>185</v>
      </c>
      <c r="L2134" t="s">
        <v>62</v>
      </c>
      <c r="M2134" t="s">
        <v>185</v>
      </c>
      <c r="N2134" t="s">
        <v>604</v>
      </c>
      <c r="O2134" t="s">
        <v>341</v>
      </c>
      <c r="P2134">
        <v>-19.624801999999999</v>
      </c>
      <c r="Q2134">
        <v>-43.891128999999999</v>
      </c>
      <c r="R2134" s="2" t="str">
        <f>HYPERLINK("https://www.google.com/maps?q=-19.6248020,-43.8911290","Abrir no Google Maps")</f>
        <v>Abrir no Google Maps</v>
      </c>
      <c r="S2134">
        <v>1</v>
      </c>
      <c r="T2134">
        <v>340.53720321500958</v>
      </c>
      <c r="U2134">
        <v>2</v>
      </c>
      <c r="V2134">
        <v>0.4539473684210526</v>
      </c>
      <c r="W2134">
        <v>0.85</v>
      </c>
      <c r="X2134">
        <v>0.3858552631578947</v>
      </c>
      <c r="Y2134">
        <v>18</v>
      </c>
      <c r="Z2134">
        <v>362.68114540183888</v>
      </c>
      <c r="AA2134">
        <v>2</v>
      </c>
      <c r="AB2134">
        <v>3</v>
      </c>
      <c r="AC2134">
        <v>7</v>
      </c>
      <c r="AD2134">
        <v>26.01</v>
      </c>
      <c r="AE2134">
        <v>253</v>
      </c>
      <c r="AF2134">
        <v>17</v>
      </c>
      <c r="AG2134">
        <v>60</v>
      </c>
      <c r="AH2134">
        <v>32</v>
      </c>
      <c r="AI2134">
        <v>6.72</v>
      </c>
      <c r="AJ2134">
        <v>23.72</v>
      </c>
      <c r="AK2134">
        <v>12.65</v>
      </c>
      <c r="AL2134">
        <v>-19.625033299999959</v>
      </c>
      <c r="AM2134">
        <v>-43.891084256403538</v>
      </c>
      <c r="AN2134">
        <v>-19.625033299999959</v>
      </c>
      <c r="AO2134">
        <v>-43.891084256403538</v>
      </c>
      <c r="AP2134">
        <v>-19.624801999999999</v>
      </c>
      <c r="AQ2134">
        <v>-43.891128999999999</v>
      </c>
      <c r="AR2134">
        <v>26.172240371022362</v>
      </c>
      <c r="AS2134" t="s">
        <v>65</v>
      </c>
      <c r="AT2134">
        <v>1</v>
      </c>
      <c r="AU2134" t="s">
        <v>605</v>
      </c>
      <c r="AV2134" t="s">
        <v>606</v>
      </c>
      <c r="AW2134" t="s">
        <v>60</v>
      </c>
      <c r="AX2134" t="s">
        <v>68</v>
      </c>
      <c r="AY2134" t="s">
        <v>69</v>
      </c>
      <c r="AZ2134" t="b">
        <v>1</v>
      </c>
    </row>
    <row r="2135" spans="1:52" x14ac:dyDescent="0.3">
      <c r="A2135" t="s">
        <v>52</v>
      </c>
      <c r="B2135" t="s">
        <v>53</v>
      </c>
      <c r="C2135" t="s">
        <v>54</v>
      </c>
      <c r="D2135" t="s">
        <v>55</v>
      </c>
      <c r="E2135" t="s">
        <v>877</v>
      </c>
      <c r="F2135" t="s">
        <v>512</v>
      </c>
      <c r="G2135" t="s">
        <v>123</v>
      </c>
      <c r="H2135" t="s">
        <v>607</v>
      </c>
      <c r="I2135" t="s">
        <v>607</v>
      </c>
      <c r="J2135" t="s">
        <v>60</v>
      </c>
      <c r="K2135" t="s">
        <v>333</v>
      </c>
      <c r="L2135" t="s">
        <v>62</v>
      </c>
      <c r="M2135" t="s">
        <v>333</v>
      </c>
      <c r="N2135" t="s">
        <v>125</v>
      </c>
      <c r="O2135" t="s">
        <v>608</v>
      </c>
      <c r="P2135">
        <v>-19.636002999999999</v>
      </c>
      <c r="Q2135">
        <v>-43.908445</v>
      </c>
      <c r="R2135" s="2" t="str">
        <f>HYPERLINK("https://www.google.com/maps?q=-19.6360030,-43.9084450","Abrir no Google Maps")</f>
        <v>Abrir no Google Maps</v>
      </c>
      <c r="S2135">
        <v>1</v>
      </c>
      <c r="T2135">
        <v>612.64850802557942</v>
      </c>
      <c r="U2135">
        <v>2</v>
      </c>
      <c r="V2135">
        <v>0.46318926974664681</v>
      </c>
      <c r="W2135">
        <v>0.85</v>
      </c>
      <c r="X2135">
        <v>0.39371087928464982</v>
      </c>
      <c r="Y2135">
        <v>10</v>
      </c>
      <c r="Z2135">
        <v>606.91793961222209</v>
      </c>
      <c r="AA2135">
        <v>2</v>
      </c>
      <c r="AB2135">
        <v>3</v>
      </c>
      <c r="AC2135">
        <v>7</v>
      </c>
      <c r="AD2135">
        <v>26.01</v>
      </c>
      <c r="AE2135">
        <v>253</v>
      </c>
      <c r="AF2135">
        <v>17</v>
      </c>
      <c r="AG2135">
        <v>60</v>
      </c>
      <c r="AH2135">
        <v>32</v>
      </c>
      <c r="AI2135">
        <v>6.72</v>
      </c>
      <c r="AJ2135">
        <v>23.72</v>
      </c>
      <c r="AK2135">
        <v>12.65</v>
      </c>
      <c r="AL2135">
        <v>-19.63618049999997</v>
      </c>
      <c r="AM2135">
        <v>-43.908471095478113</v>
      </c>
      <c r="AN2135">
        <v>-19.63618049999997</v>
      </c>
      <c r="AO2135">
        <v>-43.908471095478113</v>
      </c>
      <c r="AP2135">
        <v>-19.636002999999999</v>
      </c>
      <c r="AQ2135">
        <v>-43.908445</v>
      </c>
      <c r="AR2135">
        <v>19.947824476218141</v>
      </c>
      <c r="AS2135" t="s">
        <v>65</v>
      </c>
      <c r="AT2135">
        <v>1</v>
      </c>
      <c r="AU2135" t="s">
        <v>609</v>
      </c>
      <c r="AV2135" t="s">
        <v>610</v>
      </c>
      <c r="AW2135" t="s">
        <v>60</v>
      </c>
      <c r="AX2135" t="s">
        <v>68</v>
      </c>
      <c r="AY2135" t="s">
        <v>69</v>
      </c>
      <c r="AZ2135" t="b">
        <v>1</v>
      </c>
    </row>
    <row r="2136" spans="1:52" x14ac:dyDescent="0.3">
      <c r="A2136" t="s">
        <v>52</v>
      </c>
      <c r="B2136" t="s">
        <v>53</v>
      </c>
      <c r="C2136" t="s">
        <v>54</v>
      </c>
      <c r="D2136" t="s">
        <v>55</v>
      </c>
      <c r="E2136" t="s">
        <v>877</v>
      </c>
      <c r="F2136" t="s">
        <v>512</v>
      </c>
      <c r="G2136" t="s">
        <v>611</v>
      </c>
      <c r="H2136" t="s">
        <v>612</v>
      </c>
      <c r="I2136" t="s">
        <v>612</v>
      </c>
      <c r="J2136" t="s">
        <v>60</v>
      </c>
      <c r="K2136" t="s">
        <v>445</v>
      </c>
      <c r="L2136" t="s">
        <v>62</v>
      </c>
      <c r="M2136" t="s">
        <v>445</v>
      </c>
      <c r="N2136" t="s">
        <v>613</v>
      </c>
      <c r="O2136" t="s">
        <v>94</v>
      </c>
      <c r="P2136">
        <v>-19.639271999999998</v>
      </c>
      <c r="Q2136">
        <v>-43.875624000000002</v>
      </c>
      <c r="R2136" s="2" t="str">
        <f>HYPERLINK("https://www.google.com/maps?q=-19.6392720,-43.8756240","Abrir no Google Maps")</f>
        <v>Abrir no Google Maps</v>
      </c>
      <c r="S2136">
        <v>1</v>
      </c>
      <c r="T2136">
        <v>618.4798639458262</v>
      </c>
      <c r="U2136">
        <v>2</v>
      </c>
      <c r="V2136">
        <v>0.484375</v>
      </c>
      <c r="W2136">
        <v>0.85</v>
      </c>
      <c r="X2136">
        <v>0.41171875000000002</v>
      </c>
      <c r="Y2136">
        <v>10</v>
      </c>
      <c r="Z2136">
        <v>724.62991660382431</v>
      </c>
      <c r="AA2136">
        <v>2</v>
      </c>
      <c r="AB2136">
        <v>3</v>
      </c>
      <c r="AC2136">
        <v>7</v>
      </c>
      <c r="AD2136">
        <v>26.01</v>
      </c>
      <c r="AE2136">
        <v>253</v>
      </c>
      <c r="AF2136">
        <v>17</v>
      </c>
      <c r="AG2136">
        <v>60</v>
      </c>
      <c r="AH2136">
        <v>32</v>
      </c>
      <c r="AI2136">
        <v>6.72</v>
      </c>
      <c r="AJ2136">
        <v>23.72</v>
      </c>
      <c r="AK2136">
        <v>12.65</v>
      </c>
      <c r="AL2136">
        <v>-19.639239899999978</v>
      </c>
      <c r="AM2136">
        <v>-43.875497463228079</v>
      </c>
      <c r="AN2136">
        <v>-19.639239899999978</v>
      </c>
      <c r="AO2136">
        <v>-43.875497463228079</v>
      </c>
      <c r="AP2136">
        <v>-19.639271999999998</v>
      </c>
      <c r="AQ2136">
        <v>-43.875624000000002</v>
      </c>
      <c r="AR2136">
        <v>13.73946951590594</v>
      </c>
      <c r="AS2136" t="s">
        <v>65</v>
      </c>
      <c r="AT2136">
        <v>1</v>
      </c>
      <c r="AU2136" t="s">
        <v>614</v>
      </c>
      <c r="AV2136" t="s">
        <v>615</v>
      </c>
      <c r="AW2136" t="s">
        <v>60</v>
      </c>
      <c r="AX2136" t="s">
        <v>68</v>
      </c>
      <c r="AY2136" t="s">
        <v>69</v>
      </c>
      <c r="AZ2136" t="b">
        <v>1</v>
      </c>
    </row>
    <row r="2137" spans="1:52" x14ac:dyDescent="0.3">
      <c r="A2137" t="s">
        <v>52</v>
      </c>
      <c r="B2137" t="s">
        <v>53</v>
      </c>
      <c r="C2137" t="s">
        <v>54</v>
      </c>
      <c r="D2137" t="s">
        <v>55</v>
      </c>
      <c r="E2137" t="s">
        <v>878</v>
      </c>
      <c r="F2137" t="s">
        <v>57</v>
      </c>
      <c r="G2137" t="s">
        <v>177</v>
      </c>
      <c r="H2137" t="s">
        <v>178</v>
      </c>
      <c r="I2137" t="s">
        <v>178</v>
      </c>
      <c r="J2137" t="s">
        <v>60</v>
      </c>
      <c r="K2137" t="s">
        <v>179</v>
      </c>
      <c r="L2137" t="s">
        <v>62</v>
      </c>
      <c r="M2137" t="s">
        <v>179</v>
      </c>
      <c r="N2137" t="s">
        <v>180</v>
      </c>
      <c r="O2137" t="s">
        <v>120</v>
      </c>
      <c r="P2137">
        <v>-19.651526</v>
      </c>
      <c r="Q2137">
        <v>-43.891382999999998</v>
      </c>
      <c r="R2137" s="2" t="str">
        <f>HYPERLINK("https://www.google.com/maps?q=-19.6515260,-43.8913830","Abrir no Google Maps")</f>
        <v>Abrir no Google Maps</v>
      </c>
      <c r="S2137">
        <v>4</v>
      </c>
      <c r="T2137">
        <v>925.67779296789433</v>
      </c>
      <c r="U2137">
        <v>4</v>
      </c>
      <c r="V2137">
        <v>0.31876970318819881</v>
      </c>
      <c r="W2137">
        <v>1</v>
      </c>
      <c r="X2137">
        <v>0.31876970318819881</v>
      </c>
      <c r="Y2137">
        <v>7</v>
      </c>
      <c r="Z2137">
        <v>1193.102297436121</v>
      </c>
      <c r="AA2137">
        <v>2</v>
      </c>
      <c r="AB2137">
        <v>3</v>
      </c>
      <c r="AC2137">
        <v>7</v>
      </c>
      <c r="AD2137">
        <v>27.39</v>
      </c>
      <c r="AE2137">
        <v>253</v>
      </c>
      <c r="AF2137">
        <v>12</v>
      </c>
      <c r="AG2137">
        <v>75</v>
      </c>
      <c r="AH2137">
        <v>32</v>
      </c>
      <c r="AI2137">
        <v>4.74</v>
      </c>
      <c r="AJ2137">
        <v>29.64</v>
      </c>
      <c r="AK2137">
        <v>12.65</v>
      </c>
      <c r="AL2137">
        <v>-19.651590199999958</v>
      </c>
      <c r="AM2137">
        <v>-43.891399191449963</v>
      </c>
      <c r="AN2137">
        <v>-19.651590199999958</v>
      </c>
      <c r="AO2137">
        <v>-43.891399191449963</v>
      </c>
      <c r="AP2137">
        <v>-19.651526</v>
      </c>
      <c r="AQ2137">
        <v>-43.891382999999998</v>
      </c>
      <c r="AR2137">
        <v>7.3455622550785931</v>
      </c>
      <c r="AS2137" t="s">
        <v>65</v>
      </c>
      <c r="AT2137">
        <v>1</v>
      </c>
      <c r="AU2137" t="s">
        <v>181</v>
      </c>
      <c r="AV2137" t="s">
        <v>182</v>
      </c>
      <c r="AW2137" t="s">
        <v>60</v>
      </c>
      <c r="AX2137" t="s">
        <v>68</v>
      </c>
      <c r="AY2137" t="s">
        <v>69</v>
      </c>
      <c r="AZ2137" t="b">
        <v>1</v>
      </c>
    </row>
    <row r="2138" spans="1:52" x14ac:dyDescent="0.3">
      <c r="A2138" t="s">
        <v>52</v>
      </c>
      <c r="B2138" t="s">
        <v>53</v>
      </c>
      <c r="C2138" t="s">
        <v>54</v>
      </c>
      <c r="D2138" t="s">
        <v>55</v>
      </c>
      <c r="E2138" t="s">
        <v>878</v>
      </c>
      <c r="F2138" t="s">
        <v>57</v>
      </c>
      <c r="G2138" t="s">
        <v>617</v>
      </c>
      <c r="H2138" t="s">
        <v>618</v>
      </c>
      <c r="I2138" t="s">
        <v>618</v>
      </c>
      <c r="J2138" t="s">
        <v>60</v>
      </c>
      <c r="K2138" t="s">
        <v>164</v>
      </c>
      <c r="L2138" t="s">
        <v>62</v>
      </c>
      <c r="M2138" t="s">
        <v>164</v>
      </c>
      <c r="N2138" t="s">
        <v>619</v>
      </c>
      <c r="O2138" t="s">
        <v>533</v>
      </c>
      <c r="P2138">
        <v>-19.647825000000001</v>
      </c>
      <c r="Q2138">
        <v>-43.908369</v>
      </c>
      <c r="R2138" s="2" t="str">
        <f>HYPERLINK("https://www.google.com/maps?q=-19.6478250,-43.9083690","Abrir no Google Maps")</f>
        <v>Abrir no Google Maps</v>
      </c>
      <c r="S2138">
        <v>4</v>
      </c>
      <c r="T2138">
        <v>492.67524679338959</v>
      </c>
      <c r="U2138">
        <v>4</v>
      </c>
      <c r="V2138">
        <v>0.33840319094543081</v>
      </c>
      <c r="W2138">
        <v>1</v>
      </c>
      <c r="X2138">
        <v>0.33840319094543081</v>
      </c>
      <c r="Y2138">
        <v>4</v>
      </c>
      <c r="Z2138">
        <v>410.3082448803296</v>
      </c>
      <c r="AA2138">
        <v>2</v>
      </c>
      <c r="AB2138">
        <v>3</v>
      </c>
      <c r="AC2138">
        <v>7</v>
      </c>
      <c r="AD2138">
        <v>27.39</v>
      </c>
      <c r="AE2138">
        <v>253</v>
      </c>
      <c r="AF2138">
        <v>12</v>
      </c>
      <c r="AG2138">
        <v>75</v>
      </c>
      <c r="AH2138">
        <v>32</v>
      </c>
      <c r="AI2138">
        <v>4.74</v>
      </c>
      <c r="AJ2138">
        <v>29.64</v>
      </c>
      <c r="AK2138">
        <v>12.65</v>
      </c>
      <c r="AL2138">
        <v>-19.647879399999969</v>
      </c>
      <c r="AM2138">
        <v>-43.908372097349897</v>
      </c>
      <c r="AN2138">
        <v>-19.647879399999969</v>
      </c>
      <c r="AO2138">
        <v>-43.908372097349897</v>
      </c>
      <c r="AP2138">
        <v>-19.647825000000001</v>
      </c>
      <c r="AQ2138">
        <v>-43.908369</v>
      </c>
      <c r="AR2138">
        <v>6.06450779015137</v>
      </c>
      <c r="AS2138" t="s">
        <v>65</v>
      </c>
      <c r="AT2138">
        <v>1</v>
      </c>
      <c r="AU2138" t="s">
        <v>620</v>
      </c>
      <c r="AV2138" t="s">
        <v>621</v>
      </c>
      <c r="AW2138" t="s">
        <v>60</v>
      </c>
      <c r="AX2138" t="s">
        <v>68</v>
      </c>
      <c r="AY2138" t="s">
        <v>69</v>
      </c>
      <c r="AZ2138" t="b">
        <v>1</v>
      </c>
    </row>
    <row r="2139" spans="1:52" x14ac:dyDescent="0.3">
      <c r="A2139" t="s">
        <v>52</v>
      </c>
      <c r="B2139" t="s">
        <v>53</v>
      </c>
      <c r="C2139" t="s">
        <v>54</v>
      </c>
      <c r="D2139" t="s">
        <v>55</v>
      </c>
      <c r="E2139" t="s">
        <v>878</v>
      </c>
      <c r="F2139" t="s">
        <v>57</v>
      </c>
      <c r="G2139" t="s">
        <v>190</v>
      </c>
      <c r="H2139" t="s">
        <v>191</v>
      </c>
      <c r="I2139" t="s">
        <v>191</v>
      </c>
      <c r="J2139" t="s">
        <v>60</v>
      </c>
      <c r="K2139" t="s">
        <v>192</v>
      </c>
      <c r="L2139" t="s">
        <v>62</v>
      </c>
      <c r="M2139" t="s">
        <v>192</v>
      </c>
      <c r="N2139" t="s">
        <v>193</v>
      </c>
      <c r="O2139" t="s">
        <v>194</v>
      </c>
      <c r="P2139">
        <v>-19.654112000000001</v>
      </c>
      <c r="Q2139">
        <v>-43.910761999999998</v>
      </c>
      <c r="R2139" s="2" t="str">
        <f>HYPERLINK("https://www.google.com/maps?q=-19.6541120,-43.9107620","Abrir no Google Maps")</f>
        <v>Abrir no Google Maps</v>
      </c>
      <c r="S2139">
        <v>4</v>
      </c>
      <c r="T2139">
        <v>1080.0524626304521</v>
      </c>
      <c r="U2139">
        <v>4</v>
      </c>
      <c r="V2139">
        <v>0.29121797578828817</v>
      </c>
      <c r="W2139">
        <v>1</v>
      </c>
      <c r="X2139">
        <v>0.29121797578828817</v>
      </c>
      <c r="Y2139">
        <v>4</v>
      </c>
      <c r="Z2139">
        <v>666.99022879086885</v>
      </c>
      <c r="AA2139">
        <v>2</v>
      </c>
      <c r="AB2139">
        <v>3</v>
      </c>
      <c r="AC2139">
        <v>7</v>
      </c>
      <c r="AD2139">
        <v>27.39</v>
      </c>
      <c r="AE2139">
        <v>253</v>
      </c>
      <c r="AF2139">
        <v>12</v>
      </c>
      <c r="AG2139">
        <v>75</v>
      </c>
      <c r="AH2139">
        <v>32</v>
      </c>
      <c r="AI2139">
        <v>4.74</v>
      </c>
      <c r="AJ2139">
        <v>29.64</v>
      </c>
      <c r="AK2139">
        <v>12.65</v>
      </c>
      <c r="AL2139">
        <v>-19.653869149999959</v>
      </c>
      <c r="AM2139">
        <v>-43.911142816432779</v>
      </c>
      <c r="AN2139">
        <v>-19.653869149999959</v>
      </c>
      <c r="AO2139">
        <v>-43.911142816432779</v>
      </c>
      <c r="AP2139">
        <v>-19.654112000000001</v>
      </c>
      <c r="AQ2139">
        <v>-43.910761999999998</v>
      </c>
      <c r="AR2139">
        <v>48.214810864237499</v>
      </c>
      <c r="AS2139" t="s">
        <v>65</v>
      </c>
      <c r="AT2139">
        <v>1</v>
      </c>
      <c r="AU2139" t="s">
        <v>195</v>
      </c>
      <c r="AV2139" t="s">
        <v>196</v>
      </c>
      <c r="AW2139" t="s">
        <v>60</v>
      </c>
      <c r="AX2139" t="s">
        <v>68</v>
      </c>
      <c r="AY2139" t="s">
        <v>69</v>
      </c>
      <c r="AZ2139" t="b">
        <v>1</v>
      </c>
    </row>
    <row r="2140" spans="1:52" x14ac:dyDescent="0.3">
      <c r="A2140" t="s">
        <v>52</v>
      </c>
      <c r="B2140" t="s">
        <v>53</v>
      </c>
      <c r="C2140" t="s">
        <v>54</v>
      </c>
      <c r="D2140" t="s">
        <v>55</v>
      </c>
      <c r="E2140" t="s">
        <v>878</v>
      </c>
      <c r="F2140" t="s">
        <v>57</v>
      </c>
      <c r="G2140" t="s">
        <v>210</v>
      </c>
      <c r="H2140" t="s">
        <v>211</v>
      </c>
      <c r="I2140" t="s">
        <v>211</v>
      </c>
      <c r="J2140" t="s">
        <v>60</v>
      </c>
      <c r="K2140" t="s">
        <v>212</v>
      </c>
      <c r="L2140" t="s">
        <v>62</v>
      </c>
      <c r="M2140" t="s">
        <v>212</v>
      </c>
      <c r="N2140" t="s">
        <v>213</v>
      </c>
      <c r="O2140" t="s">
        <v>214</v>
      </c>
      <c r="P2140">
        <v>-19.632814</v>
      </c>
      <c r="Q2140">
        <v>-43.930782000000001</v>
      </c>
      <c r="R2140" s="2" t="str">
        <f>HYPERLINK("https://www.google.com/maps?q=-19.6328140,-43.9307820","Abrir no Google Maps")</f>
        <v>Abrir no Google Maps</v>
      </c>
      <c r="S2140">
        <v>4</v>
      </c>
      <c r="T2140">
        <v>1643.2659380538339</v>
      </c>
      <c r="U2140">
        <v>4</v>
      </c>
      <c r="V2140">
        <v>0.33800009902951078</v>
      </c>
      <c r="W2140">
        <v>1</v>
      </c>
      <c r="X2140">
        <v>0.33800009902951078</v>
      </c>
      <c r="Y2140">
        <v>3</v>
      </c>
      <c r="Z2140">
        <v>1661.7410651481421</v>
      </c>
      <c r="AA2140">
        <v>2</v>
      </c>
      <c r="AB2140">
        <v>3</v>
      </c>
      <c r="AC2140">
        <v>7</v>
      </c>
      <c r="AD2140">
        <v>27.39</v>
      </c>
      <c r="AE2140">
        <v>253</v>
      </c>
      <c r="AF2140">
        <v>12</v>
      </c>
      <c r="AG2140">
        <v>75</v>
      </c>
      <c r="AH2140">
        <v>32</v>
      </c>
      <c r="AI2140">
        <v>4.74</v>
      </c>
      <c r="AJ2140">
        <v>29.64</v>
      </c>
      <c r="AK2140">
        <v>12.65</v>
      </c>
      <c r="AL2140">
        <v>-19.633145799999941</v>
      </c>
      <c r="AM2140">
        <v>-43.930948481999309</v>
      </c>
      <c r="AN2140">
        <v>-19.633145799999941</v>
      </c>
      <c r="AO2140">
        <v>-43.930948481999309</v>
      </c>
      <c r="AP2140">
        <v>-19.632814</v>
      </c>
      <c r="AQ2140">
        <v>-43.930782000000001</v>
      </c>
      <c r="AR2140">
        <v>40.852848555758172</v>
      </c>
      <c r="AS2140" t="s">
        <v>65</v>
      </c>
      <c r="AT2140">
        <v>1</v>
      </c>
      <c r="AU2140" t="s">
        <v>215</v>
      </c>
      <c r="AV2140" t="s">
        <v>216</v>
      </c>
      <c r="AW2140" t="s">
        <v>60</v>
      </c>
      <c r="AX2140" t="s">
        <v>68</v>
      </c>
      <c r="AY2140" t="s">
        <v>69</v>
      </c>
      <c r="AZ2140" t="b">
        <v>1</v>
      </c>
    </row>
    <row r="2141" spans="1:52" x14ac:dyDescent="0.3">
      <c r="A2141" t="s">
        <v>52</v>
      </c>
      <c r="B2141" t="s">
        <v>53</v>
      </c>
      <c r="C2141" t="s">
        <v>54</v>
      </c>
      <c r="D2141" t="s">
        <v>55</v>
      </c>
      <c r="E2141" t="s">
        <v>878</v>
      </c>
      <c r="F2141" t="s">
        <v>57</v>
      </c>
      <c r="G2141" t="s">
        <v>438</v>
      </c>
      <c r="H2141" t="s">
        <v>627</v>
      </c>
      <c r="I2141" t="s">
        <v>627</v>
      </c>
      <c r="J2141" t="s">
        <v>60</v>
      </c>
      <c r="K2141" t="s">
        <v>628</v>
      </c>
      <c r="L2141" t="s">
        <v>62</v>
      </c>
      <c r="M2141" t="s">
        <v>628</v>
      </c>
      <c r="N2141" t="s">
        <v>629</v>
      </c>
      <c r="O2141" t="s">
        <v>120</v>
      </c>
      <c r="P2141">
        <v>-19.628743</v>
      </c>
      <c r="Q2141">
        <v>-43.943513000000003</v>
      </c>
      <c r="R2141" s="2" t="str">
        <f>HYPERLINK("https://www.google.com/maps?q=-19.6287430,-43.9435130","Abrir no Google Maps")</f>
        <v>Abrir no Google Maps</v>
      </c>
      <c r="S2141">
        <v>4</v>
      </c>
      <c r="T2141">
        <v>3557.9101481053699</v>
      </c>
      <c r="U2141">
        <v>4</v>
      </c>
      <c r="V2141">
        <v>0.39269001701644918</v>
      </c>
      <c r="W2141">
        <v>0.85</v>
      </c>
      <c r="X2141">
        <v>0.33378651446398178</v>
      </c>
      <c r="Y2141">
        <v>3</v>
      </c>
      <c r="Z2141">
        <v>2502.7249183190038</v>
      </c>
      <c r="AA2141">
        <v>2</v>
      </c>
      <c r="AB2141">
        <v>3</v>
      </c>
      <c r="AC2141">
        <v>7</v>
      </c>
      <c r="AD2141">
        <v>27.39</v>
      </c>
      <c r="AE2141">
        <v>253</v>
      </c>
      <c r="AF2141">
        <v>12</v>
      </c>
      <c r="AG2141">
        <v>75</v>
      </c>
      <c r="AH2141">
        <v>32</v>
      </c>
      <c r="AI2141">
        <v>4.74</v>
      </c>
      <c r="AJ2141">
        <v>29.64</v>
      </c>
      <c r="AK2141">
        <v>12.65</v>
      </c>
      <c r="AL2141">
        <v>-19.629071349999951</v>
      </c>
      <c r="AM2141">
        <v>-43.948698793409463</v>
      </c>
      <c r="AN2141">
        <v>-19.629071349999951</v>
      </c>
      <c r="AO2141">
        <v>-43.948698793409463</v>
      </c>
      <c r="AP2141">
        <v>-19.628743</v>
      </c>
      <c r="AQ2141">
        <v>-43.943513000000003</v>
      </c>
      <c r="AR2141">
        <v>544.96217050785538</v>
      </c>
      <c r="AS2141" t="s">
        <v>65</v>
      </c>
      <c r="AT2141">
        <v>1</v>
      </c>
      <c r="AU2141" t="s">
        <v>630</v>
      </c>
      <c r="AV2141" t="s">
        <v>631</v>
      </c>
      <c r="AW2141" t="s">
        <v>60</v>
      </c>
      <c r="AX2141" t="s">
        <v>68</v>
      </c>
      <c r="AY2141" t="s">
        <v>69</v>
      </c>
      <c r="AZ2141" t="b">
        <v>1</v>
      </c>
    </row>
    <row r="2142" spans="1:52" x14ac:dyDescent="0.3">
      <c r="A2142" t="s">
        <v>52</v>
      </c>
      <c r="B2142" t="s">
        <v>53</v>
      </c>
      <c r="C2142" t="s">
        <v>54</v>
      </c>
      <c r="D2142" t="s">
        <v>55</v>
      </c>
      <c r="E2142" t="s">
        <v>878</v>
      </c>
      <c r="F2142" t="s">
        <v>57</v>
      </c>
      <c r="G2142" t="s">
        <v>217</v>
      </c>
      <c r="H2142" t="s">
        <v>218</v>
      </c>
      <c r="I2142" t="s">
        <v>218</v>
      </c>
      <c r="J2142" t="s">
        <v>60</v>
      </c>
      <c r="K2142" t="s">
        <v>219</v>
      </c>
      <c r="L2142" t="s">
        <v>62</v>
      </c>
      <c r="M2142" t="s">
        <v>219</v>
      </c>
      <c r="N2142" t="s">
        <v>220</v>
      </c>
      <c r="O2142" t="s">
        <v>221</v>
      </c>
      <c r="P2142">
        <v>-19.668924000000001</v>
      </c>
      <c r="Q2142">
        <v>-43.888824</v>
      </c>
      <c r="R2142" s="2" t="str">
        <f>HYPERLINK("https://www.google.com/maps?q=-19.6689240,-43.8888240","Abrir no Google Maps")</f>
        <v>Abrir no Google Maps</v>
      </c>
      <c r="S2142">
        <v>4</v>
      </c>
      <c r="T2142">
        <v>911.82770913869297</v>
      </c>
      <c r="U2142">
        <v>4</v>
      </c>
      <c r="V2142">
        <v>0.30454749103942658</v>
      </c>
      <c r="W2142">
        <v>1</v>
      </c>
      <c r="X2142">
        <v>0.30454749103942658</v>
      </c>
      <c r="Y2142">
        <v>3</v>
      </c>
      <c r="Z2142">
        <v>306.43809582423751</v>
      </c>
      <c r="AA2142">
        <v>2</v>
      </c>
      <c r="AB2142">
        <v>3</v>
      </c>
      <c r="AC2142">
        <v>7</v>
      </c>
      <c r="AD2142">
        <v>27.39</v>
      </c>
      <c r="AE2142">
        <v>253</v>
      </c>
      <c r="AF2142">
        <v>12</v>
      </c>
      <c r="AG2142">
        <v>75</v>
      </c>
      <c r="AH2142">
        <v>32</v>
      </c>
      <c r="AI2142">
        <v>4.74</v>
      </c>
      <c r="AJ2142">
        <v>29.64</v>
      </c>
      <c r="AK2142">
        <v>12.65</v>
      </c>
      <c r="AL2142">
        <v>-19.669015399999981</v>
      </c>
      <c r="AM2142">
        <v>-43.88883436988452</v>
      </c>
      <c r="AN2142">
        <v>-19.669015399999971</v>
      </c>
      <c r="AO2142">
        <v>-43.88883436988452</v>
      </c>
      <c r="AP2142">
        <v>-19.668924000000001</v>
      </c>
      <c r="AQ2142">
        <v>-43.888824</v>
      </c>
      <c r="AR2142">
        <v>10.23254983885769</v>
      </c>
      <c r="AS2142" t="s">
        <v>65</v>
      </c>
      <c r="AT2142">
        <v>1</v>
      </c>
      <c r="AU2142" t="s">
        <v>222</v>
      </c>
      <c r="AV2142" t="s">
        <v>223</v>
      </c>
      <c r="AW2142" t="s">
        <v>60</v>
      </c>
      <c r="AX2142" t="s">
        <v>68</v>
      </c>
      <c r="AY2142" t="s">
        <v>69</v>
      </c>
      <c r="AZ2142" t="b">
        <v>1</v>
      </c>
    </row>
    <row r="2143" spans="1:52" x14ac:dyDescent="0.3">
      <c r="A2143" t="s">
        <v>52</v>
      </c>
      <c r="B2143" t="s">
        <v>53</v>
      </c>
      <c r="C2143" t="s">
        <v>54</v>
      </c>
      <c r="D2143" t="s">
        <v>55</v>
      </c>
      <c r="E2143" t="s">
        <v>878</v>
      </c>
      <c r="F2143" t="s">
        <v>57</v>
      </c>
      <c r="G2143" t="s">
        <v>233</v>
      </c>
      <c r="H2143" t="s">
        <v>234</v>
      </c>
      <c r="I2143" t="s">
        <v>234</v>
      </c>
      <c r="J2143" t="s">
        <v>60</v>
      </c>
      <c r="K2143" t="s">
        <v>235</v>
      </c>
      <c r="L2143" t="s">
        <v>62</v>
      </c>
      <c r="M2143" t="s">
        <v>235</v>
      </c>
      <c r="N2143" t="s">
        <v>236</v>
      </c>
      <c r="O2143" t="s">
        <v>120</v>
      </c>
      <c r="P2143">
        <v>-19.621310000000001</v>
      </c>
      <c r="Q2143">
        <v>-43.919790999999996</v>
      </c>
      <c r="R2143" s="2" t="str">
        <f>HYPERLINK("https://www.google.com/maps?q=-19.6213100,-43.9197910","Abrir no Google Maps")</f>
        <v>Abrir no Google Maps</v>
      </c>
      <c r="S2143">
        <v>4</v>
      </c>
      <c r="T2143">
        <v>1927.7454867197271</v>
      </c>
      <c r="U2143">
        <v>4</v>
      </c>
      <c r="V2143">
        <v>0.33360315837309701</v>
      </c>
      <c r="W2143">
        <v>1</v>
      </c>
      <c r="X2143">
        <v>0.33360315837309701</v>
      </c>
      <c r="Y2143">
        <v>3</v>
      </c>
      <c r="Z2143">
        <v>1860.010741524231</v>
      </c>
      <c r="AA2143">
        <v>2</v>
      </c>
      <c r="AB2143">
        <v>3</v>
      </c>
      <c r="AC2143">
        <v>7</v>
      </c>
      <c r="AD2143">
        <v>27.39</v>
      </c>
      <c r="AE2143">
        <v>253</v>
      </c>
      <c r="AF2143">
        <v>12</v>
      </c>
      <c r="AG2143">
        <v>75</v>
      </c>
      <c r="AH2143">
        <v>32</v>
      </c>
      <c r="AI2143">
        <v>4.74</v>
      </c>
      <c r="AJ2143">
        <v>29.64</v>
      </c>
      <c r="AK2143">
        <v>12.65</v>
      </c>
      <c r="AL2143">
        <v>-19.620273649999941</v>
      </c>
      <c r="AM2143">
        <v>-43.920429283389112</v>
      </c>
      <c r="AN2143">
        <v>-19.620273649999941</v>
      </c>
      <c r="AO2143">
        <v>-43.920429283389112</v>
      </c>
      <c r="AP2143">
        <v>-19.621310000000001</v>
      </c>
      <c r="AQ2143">
        <v>-43.919790999999996</v>
      </c>
      <c r="AR2143">
        <v>133.3747125733897</v>
      </c>
      <c r="AS2143" t="s">
        <v>65</v>
      </c>
      <c r="AT2143">
        <v>1</v>
      </c>
      <c r="AU2143" t="s">
        <v>237</v>
      </c>
      <c r="AV2143" t="s">
        <v>238</v>
      </c>
      <c r="AW2143" t="s">
        <v>60</v>
      </c>
      <c r="AX2143" t="s">
        <v>68</v>
      </c>
      <c r="AY2143" t="s">
        <v>69</v>
      </c>
      <c r="AZ2143" t="b">
        <v>1</v>
      </c>
    </row>
    <row r="2144" spans="1:52" x14ac:dyDescent="0.3">
      <c r="A2144" t="s">
        <v>52</v>
      </c>
      <c r="B2144" t="s">
        <v>53</v>
      </c>
      <c r="C2144" t="s">
        <v>54</v>
      </c>
      <c r="D2144" t="s">
        <v>55</v>
      </c>
      <c r="E2144" t="s">
        <v>878</v>
      </c>
      <c r="F2144" t="s">
        <v>57</v>
      </c>
      <c r="G2144" t="s">
        <v>438</v>
      </c>
      <c r="H2144" t="s">
        <v>752</v>
      </c>
      <c r="I2144" t="s">
        <v>752</v>
      </c>
      <c r="J2144" t="s">
        <v>60</v>
      </c>
      <c r="K2144" t="s">
        <v>753</v>
      </c>
      <c r="L2144" t="s">
        <v>62</v>
      </c>
      <c r="M2144" t="s">
        <v>753</v>
      </c>
      <c r="N2144" t="s">
        <v>754</v>
      </c>
      <c r="O2144" t="s">
        <v>755</v>
      </c>
      <c r="P2144">
        <v>-19.659098</v>
      </c>
      <c r="Q2144">
        <v>-43.888488000000002</v>
      </c>
      <c r="R2144" s="2" t="str">
        <f>HYPERLINK("https://www.google.com/maps?q=-19.6590980,-43.8884880","Abrir no Google Maps")</f>
        <v>Abrir no Google Maps</v>
      </c>
      <c r="S2144">
        <v>4</v>
      </c>
      <c r="T2144">
        <v>1037.769377643863</v>
      </c>
      <c r="U2144">
        <v>4</v>
      </c>
      <c r="V2144">
        <v>0.4011297678275289</v>
      </c>
      <c r="W2144">
        <v>0.85</v>
      </c>
      <c r="X2144">
        <v>0.34096030265339949</v>
      </c>
      <c r="Y2144">
        <v>1</v>
      </c>
      <c r="Z2144">
        <v>847.56431815704627</v>
      </c>
      <c r="AA2144">
        <v>2</v>
      </c>
      <c r="AB2144">
        <v>3</v>
      </c>
      <c r="AC2144">
        <v>7</v>
      </c>
      <c r="AD2144">
        <v>27.39</v>
      </c>
      <c r="AE2144">
        <v>253</v>
      </c>
      <c r="AF2144">
        <v>12</v>
      </c>
      <c r="AG2144">
        <v>75</v>
      </c>
      <c r="AH2144">
        <v>32</v>
      </c>
      <c r="AI2144">
        <v>4.74</v>
      </c>
      <c r="AJ2144">
        <v>29.64</v>
      </c>
      <c r="AK2144">
        <v>12.65</v>
      </c>
      <c r="AL2144">
        <v>-19.659176099999971</v>
      </c>
      <c r="AM2144">
        <v>-43.888431463374943</v>
      </c>
      <c r="AN2144">
        <v>-19.659176099999971</v>
      </c>
      <c r="AO2144">
        <v>-43.888431463374943</v>
      </c>
      <c r="AP2144">
        <v>-19.659098</v>
      </c>
      <c r="AQ2144">
        <v>-43.888488000000002</v>
      </c>
      <c r="AR2144">
        <v>10.5220828934303</v>
      </c>
      <c r="AS2144" t="s">
        <v>65</v>
      </c>
      <c r="AT2144">
        <v>1</v>
      </c>
      <c r="AU2144" t="s">
        <v>756</v>
      </c>
      <c r="AV2144" t="s">
        <v>757</v>
      </c>
      <c r="AW2144" t="s">
        <v>60</v>
      </c>
      <c r="AX2144" t="s">
        <v>68</v>
      </c>
      <c r="AY2144" t="s">
        <v>69</v>
      </c>
      <c r="AZ2144" t="b">
        <v>1</v>
      </c>
    </row>
    <row r="2145" spans="1:52" x14ac:dyDescent="0.3">
      <c r="A2145" t="s">
        <v>52</v>
      </c>
      <c r="B2145" t="s">
        <v>53</v>
      </c>
      <c r="C2145" t="s">
        <v>54</v>
      </c>
      <c r="D2145" t="s">
        <v>55</v>
      </c>
      <c r="E2145" t="s">
        <v>878</v>
      </c>
      <c r="F2145" t="s">
        <v>57</v>
      </c>
      <c r="G2145" t="s">
        <v>258</v>
      </c>
      <c r="H2145" t="s">
        <v>259</v>
      </c>
      <c r="I2145" t="s">
        <v>259</v>
      </c>
      <c r="J2145" t="s">
        <v>60</v>
      </c>
      <c r="K2145" t="s">
        <v>192</v>
      </c>
      <c r="L2145" t="s">
        <v>62</v>
      </c>
      <c r="M2145" t="s">
        <v>192</v>
      </c>
      <c r="N2145" t="s">
        <v>260</v>
      </c>
      <c r="O2145" t="s">
        <v>261</v>
      </c>
      <c r="P2145">
        <v>-19.651322</v>
      </c>
      <c r="Q2145">
        <v>-43.909526999999997</v>
      </c>
      <c r="R2145" s="2" t="str">
        <f>HYPERLINK("https://www.google.com/maps?q=-19.6513220,-43.9095270","Abrir no Google Maps")</f>
        <v>Abrir no Google Maps</v>
      </c>
      <c r="S2145">
        <v>4</v>
      </c>
      <c r="T2145">
        <v>818.75599819160288</v>
      </c>
      <c r="U2145">
        <v>4</v>
      </c>
      <c r="V2145">
        <v>0.30816877794336811</v>
      </c>
      <c r="W2145">
        <v>1</v>
      </c>
      <c r="X2145">
        <v>0.30816877794336811</v>
      </c>
      <c r="Y2145">
        <v>1</v>
      </c>
      <c r="Z2145">
        <v>730.53961508554767</v>
      </c>
      <c r="AA2145">
        <v>2</v>
      </c>
      <c r="AB2145">
        <v>3</v>
      </c>
      <c r="AC2145">
        <v>7</v>
      </c>
      <c r="AD2145">
        <v>27.39</v>
      </c>
      <c r="AE2145">
        <v>253</v>
      </c>
      <c r="AF2145">
        <v>12</v>
      </c>
      <c r="AG2145">
        <v>75</v>
      </c>
      <c r="AH2145">
        <v>32</v>
      </c>
      <c r="AI2145">
        <v>4.74</v>
      </c>
      <c r="AJ2145">
        <v>29.64</v>
      </c>
      <c r="AK2145">
        <v>12.65</v>
      </c>
      <c r="AL2145">
        <v>-19.65143184999997</v>
      </c>
      <c r="AM2145">
        <v>-43.910059983056307</v>
      </c>
      <c r="AN2145">
        <v>-19.65143184999997</v>
      </c>
      <c r="AO2145">
        <v>-43.910059983056307</v>
      </c>
      <c r="AP2145">
        <v>-19.651322</v>
      </c>
      <c r="AQ2145">
        <v>-43.909526999999997</v>
      </c>
      <c r="AR2145">
        <v>57.198416395481701</v>
      </c>
      <c r="AS2145" t="s">
        <v>65</v>
      </c>
      <c r="AT2145">
        <v>1</v>
      </c>
      <c r="AU2145" t="s">
        <v>262</v>
      </c>
      <c r="AV2145" t="s">
        <v>263</v>
      </c>
      <c r="AW2145" t="s">
        <v>60</v>
      </c>
      <c r="AX2145" t="s">
        <v>68</v>
      </c>
      <c r="AY2145" t="s">
        <v>69</v>
      </c>
      <c r="AZ2145" t="b">
        <v>1</v>
      </c>
    </row>
    <row r="2146" spans="1:52" x14ac:dyDescent="0.3">
      <c r="A2146" t="s">
        <v>52</v>
      </c>
      <c r="B2146" t="s">
        <v>53</v>
      </c>
      <c r="C2146" t="s">
        <v>54</v>
      </c>
      <c r="D2146" t="s">
        <v>55</v>
      </c>
      <c r="E2146" t="s">
        <v>878</v>
      </c>
      <c r="F2146" t="s">
        <v>57</v>
      </c>
      <c r="G2146" t="s">
        <v>622</v>
      </c>
      <c r="H2146" t="s">
        <v>623</v>
      </c>
      <c r="I2146" t="s">
        <v>623</v>
      </c>
      <c r="J2146" t="s">
        <v>60</v>
      </c>
      <c r="K2146" t="s">
        <v>219</v>
      </c>
      <c r="L2146" t="s">
        <v>62</v>
      </c>
      <c r="M2146" t="s">
        <v>219</v>
      </c>
      <c r="N2146" t="s">
        <v>624</v>
      </c>
      <c r="O2146" t="s">
        <v>113</v>
      </c>
      <c r="P2146">
        <v>-19.670276999999999</v>
      </c>
      <c r="Q2146">
        <v>-43.893808</v>
      </c>
      <c r="R2146" s="2" t="str">
        <f>HYPERLINK("https://www.google.com/maps?q=-19.6702770,-43.8938080","Abrir no Google Maps")</f>
        <v>Abrir no Google Maps</v>
      </c>
      <c r="S2146">
        <v>4</v>
      </c>
      <c r="T2146">
        <v>846.9753608437735</v>
      </c>
      <c r="U2146">
        <v>4</v>
      </c>
      <c r="V2146">
        <v>0.3409802770028873</v>
      </c>
      <c r="W2146">
        <v>1</v>
      </c>
      <c r="X2146">
        <v>0.3409802770028873</v>
      </c>
      <c r="Y2146">
        <v>1</v>
      </c>
      <c r="Z2146">
        <v>600.43160852236622</v>
      </c>
      <c r="AA2146">
        <v>2</v>
      </c>
      <c r="AB2146">
        <v>3</v>
      </c>
      <c r="AC2146">
        <v>7</v>
      </c>
      <c r="AD2146">
        <v>27.39</v>
      </c>
      <c r="AE2146">
        <v>253</v>
      </c>
      <c r="AF2146">
        <v>12</v>
      </c>
      <c r="AG2146">
        <v>75</v>
      </c>
      <c r="AH2146">
        <v>32</v>
      </c>
      <c r="AI2146">
        <v>4.74</v>
      </c>
      <c r="AJ2146">
        <v>29.64</v>
      </c>
      <c r="AK2146">
        <v>12.65</v>
      </c>
      <c r="AL2146">
        <v>-19.670319349999971</v>
      </c>
      <c r="AM2146">
        <v>-43.893716431206371</v>
      </c>
      <c r="AN2146">
        <v>-19.670319349999971</v>
      </c>
      <c r="AO2146">
        <v>-43.893716431206371</v>
      </c>
      <c r="AP2146">
        <v>-19.670276999999999</v>
      </c>
      <c r="AQ2146">
        <v>-43.893808</v>
      </c>
      <c r="AR2146">
        <v>10.693863517034069</v>
      </c>
      <c r="AS2146" t="s">
        <v>65</v>
      </c>
      <c r="AT2146">
        <v>1</v>
      </c>
      <c r="AU2146" t="s">
        <v>625</v>
      </c>
      <c r="AV2146" t="s">
        <v>626</v>
      </c>
      <c r="AW2146" t="s">
        <v>60</v>
      </c>
      <c r="AX2146" t="s">
        <v>68</v>
      </c>
      <c r="AY2146" t="s">
        <v>69</v>
      </c>
      <c r="AZ2146" t="b">
        <v>1</v>
      </c>
    </row>
    <row r="2147" spans="1:52" x14ac:dyDescent="0.3">
      <c r="A2147" t="s">
        <v>52</v>
      </c>
      <c r="B2147" t="s">
        <v>53</v>
      </c>
      <c r="C2147" t="s">
        <v>54</v>
      </c>
      <c r="D2147" t="s">
        <v>55</v>
      </c>
      <c r="E2147" t="s">
        <v>878</v>
      </c>
      <c r="F2147" t="s">
        <v>57</v>
      </c>
      <c r="G2147" t="s">
        <v>217</v>
      </c>
      <c r="H2147" t="s">
        <v>264</v>
      </c>
      <c r="I2147" t="s">
        <v>264</v>
      </c>
      <c r="J2147" t="s">
        <v>60</v>
      </c>
      <c r="K2147" t="s">
        <v>219</v>
      </c>
      <c r="L2147" t="s">
        <v>62</v>
      </c>
      <c r="M2147" t="s">
        <v>219</v>
      </c>
      <c r="N2147" t="s">
        <v>220</v>
      </c>
      <c r="O2147" t="s">
        <v>265</v>
      </c>
      <c r="P2147">
        <v>-19.668958</v>
      </c>
      <c r="Q2147">
        <v>-43.890619999999998</v>
      </c>
      <c r="R2147" s="2" t="str">
        <f>HYPERLINK("https://www.google.com/maps?q=-19.6689580,-43.8906200","Abrir no Google Maps")</f>
        <v>Abrir no Google Maps</v>
      </c>
      <c r="S2147">
        <v>4</v>
      </c>
      <c r="T2147">
        <v>893.53138484322108</v>
      </c>
      <c r="U2147">
        <v>4</v>
      </c>
      <c r="V2147">
        <v>0.31462613702469722</v>
      </c>
      <c r="W2147">
        <v>1</v>
      </c>
      <c r="X2147">
        <v>0.31462613702469722</v>
      </c>
      <c r="Y2147">
        <v>1</v>
      </c>
      <c r="Z2147">
        <v>336.68220024294959</v>
      </c>
      <c r="AA2147">
        <v>2</v>
      </c>
      <c r="AB2147">
        <v>3</v>
      </c>
      <c r="AC2147">
        <v>7</v>
      </c>
      <c r="AD2147">
        <v>27.39</v>
      </c>
      <c r="AE2147">
        <v>253</v>
      </c>
      <c r="AF2147">
        <v>12</v>
      </c>
      <c r="AG2147">
        <v>75</v>
      </c>
      <c r="AH2147">
        <v>32</v>
      </c>
      <c r="AI2147">
        <v>4.74</v>
      </c>
      <c r="AJ2147">
        <v>29.64</v>
      </c>
      <c r="AK2147">
        <v>12.65</v>
      </c>
      <c r="AL2147">
        <v>-19.669114549999961</v>
      </c>
      <c r="AM2147">
        <v>-43.890740893526242</v>
      </c>
      <c r="AN2147">
        <v>-19.669114549999961</v>
      </c>
      <c r="AO2147">
        <v>-43.890740893526242</v>
      </c>
      <c r="AP2147">
        <v>-19.668958</v>
      </c>
      <c r="AQ2147">
        <v>-43.890619999999998</v>
      </c>
      <c r="AR2147">
        <v>21.54764375256557</v>
      </c>
      <c r="AS2147" t="s">
        <v>65</v>
      </c>
      <c r="AT2147">
        <v>1</v>
      </c>
      <c r="AU2147" t="s">
        <v>266</v>
      </c>
      <c r="AV2147" t="s">
        <v>267</v>
      </c>
      <c r="AW2147" t="s">
        <v>60</v>
      </c>
      <c r="AX2147" t="s">
        <v>68</v>
      </c>
      <c r="AY2147" t="s">
        <v>69</v>
      </c>
      <c r="AZ2147" t="b">
        <v>1</v>
      </c>
    </row>
    <row r="2148" spans="1:52" x14ac:dyDescent="0.3">
      <c r="A2148" t="s">
        <v>52</v>
      </c>
      <c r="B2148" t="s">
        <v>53</v>
      </c>
      <c r="C2148" t="s">
        <v>54</v>
      </c>
      <c r="D2148" t="s">
        <v>55</v>
      </c>
      <c r="E2148" t="s">
        <v>878</v>
      </c>
      <c r="F2148" t="s">
        <v>57</v>
      </c>
      <c r="G2148" t="s">
        <v>664</v>
      </c>
      <c r="H2148" t="s">
        <v>665</v>
      </c>
      <c r="I2148" t="s">
        <v>665</v>
      </c>
      <c r="J2148" t="s">
        <v>60</v>
      </c>
      <c r="K2148" t="s">
        <v>666</v>
      </c>
      <c r="L2148" t="s">
        <v>62</v>
      </c>
      <c r="M2148" t="s">
        <v>666</v>
      </c>
      <c r="N2148" t="s">
        <v>667</v>
      </c>
      <c r="O2148" t="s">
        <v>120</v>
      </c>
      <c r="P2148">
        <v>-19.682517000000001</v>
      </c>
      <c r="Q2148">
        <v>-43.886673000000002</v>
      </c>
      <c r="R2148" s="2" t="str">
        <f>HYPERLINK("https://www.google.com/maps?q=-19.6825170,-43.8866730","Abrir no Google Maps")</f>
        <v>Abrir no Google Maps</v>
      </c>
      <c r="S2148">
        <v>4</v>
      </c>
      <c r="T2148">
        <v>688.73237714666766</v>
      </c>
      <c r="U2148">
        <v>4</v>
      </c>
      <c r="V2148">
        <v>0.43903882575757569</v>
      </c>
      <c r="W2148">
        <v>0.85</v>
      </c>
      <c r="X2148">
        <v>0.37318300189393933</v>
      </c>
      <c r="Y2148">
        <v>0</v>
      </c>
      <c r="Z2148">
        <v>961.20849723967763</v>
      </c>
      <c r="AA2148">
        <v>2</v>
      </c>
      <c r="AB2148">
        <v>3</v>
      </c>
      <c r="AC2148">
        <v>7</v>
      </c>
      <c r="AD2148">
        <v>27.39</v>
      </c>
      <c r="AE2148">
        <v>253</v>
      </c>
      <c r="AF2148">
        <v>12</v>
      </c>
      <c r="AG2148">
        <v>75</v>
      </c>
      <c r="AH2148">
        <v>32</v>
      </c>
      <c r="AI2148">
        <v>4.74</v>
      </c>
      <c r="AJ2148">
        <v>29.64</v>
      </c>
      <c r="AK2148">
        <v>12.65</v>
      </c>
      <c r="AL2148">
        <v>-19.683136299999941</v>
      </c>
      <c r="AM2148">
        <v>-43.888254237759512</v>
      </c>
      <c r="AN2148">
        <v>-19.683136299999941</v>
      </c>
      <c r="AO2148">
        <v>-43.888254237759512</v>
      </c>
      <c r="AP2148">
        <v>-19.682517000000001</v>
      </c>
      <c r="AQ2148">
        <v>-43.886673000000002</v>
      </c>
      <c r="AR2148">
        <v>179.50479253324011</v>
      </c>
      <c r="AS2148" t="s">
        <v>65</v>
      </c>
      <c r="AT2148">
        <v>1</v>
      </c>
      <c r="AU2148" t="s">
        <v>668</v>
      </c>
      <c r="AV2148" t="s">
        <v>669</v>
      </c>
      <c r="AW2148" t="s">
        <v>60</v>
      </c>
      <c r="AX2148" t="s">
        <v>68</v>
      </c>
      <c r="AY2148" t="s">
        <v>69</v>
      </c>
      <c r="AZ2148" t="b">
        <v>1</v>
      </c>
    </row>
    <row r="2149" spans="1:52" x14ac:dyDescent="0.3">
      <c r="A2149" t="s">
        <v>52</v>
      </c>
      <c r="B2149" t="s">
        <v>53</v>
      </c>
      <c r="C2149" t="s">
        <v>54</v>
      </c>
      <c r="D2149" t="s">
        <v>55</v>
      </c>
      <c r="E2149" t="s">
        <v>878</v>
      </c>
      <c r="F2149" t="s">
        <v>176</v>
      </c>
      <c r="G2149" t="s">
        <v>70</v>
      </c>
      <c r="H2149" t="s">
        <v>71</v>
      </c>
      <c r="I2149" t="s">
        <v>71</v>
      </c>
      <c r="J2149" t="s">
        <v>60</v>
      </c>
      <c r="K2149" t="s">
        <v>72</v>
      </c>
      <c r="L2149" t="s">
        <v>62</v>
      </c>
      <c r="M2149" t="s">
        <v>72</v>
      </c>
      <c r="N2149" t="s">
        <v>73</v>
      </c>
      <c r="O2149" t="s">
        <v>74</v>
      </c>
      <c r="P2149">
        <v>-19.632581999999999</v>
      </c>
      <c r="Q2149">
        <v>-43.902416000000002</v>
      </c>
      <c r="R2149" s="2" t="str">
        <f>HYPERLINK("https://www.google.com/maps?q=-19.6325820,-43.9024160","Abrir no Google Maps")</f>
        <v>Abrir no Google Maps</v>
      </c>
      <c r="S2149">
        <v>4</v>
      </c>
      <c r="T2149">
        <v>0</v>
      </c>
      <c r="U2149">
        <v>3</v>
      </c>
      <c r="V2149">
        <v>0.2106127636622368</v>
      </c>
      <c r="W2149">
        <v>1</v>
      </c>
      <c r="X2149">
        <v>0.2106127636622368</v>
      </c>
      <c r="Y2149">
        <v>10</v>
      </c>
      <c r="Z2149">
        <v>146.6968158874696</v>
      </c>
      <c r="AA2149">
        <v>2</v>
      </c>
      <c r="AB2149">
        <v>3</v>
      </c>
      <c r="AC2149">
        <v>7</v>
      </c>
      <c r="AD2149">
        <v>27.39</v>
      </c>
      <c r="AE2149">
        <v>253</v>
      </c>
      <c r="AF2149">
        <v>12</v>
      </c>
      <c r="AG2149">
        <v>75</v>
      </c>
      <c r="AH2149">
        <v>32</v>
      </c>
      <c r="AI2149">
        <v>4.74</v>
      </c>
      <c r="AJ2149">
        <v>29.64</v>
      </c>
      <c r="AK2149">
        <v>12.65</v>
      </c>
      <c r="AL2149">
        <v>-19.63271449999996</v>
      </c>
      <c r="AM2149">
        <v>-43.902649897389402</v>
      </c>
      <c r="AN2149">
        <v>-19.63271449999996</v>
      </c>
      <c r="AO2149">
        <v>-43.902649897389402</v>
      </c>
      <c r="AP2149">
        <v>-19.632581999999999</v>
      </c>
      <c r="AQ2149">
        <v>-43.902416000000002</v>
      </c>
      <c r="AR2149">
        <v>28.617753432996459</v>
      </c>
      <c r="AS2149" t="s">
        <v>65</v>
      </c>
      <c r="AT2149">
        <v>1</v>
      </c>
      <c r="AU2149" t="s">
        <v>75</v>
      </c>
      <c r="AV2149" t="s">
        <v>76</v>
      </c>
      <c r="AW2149" t="s">
        <v>60</v>
      </c>
      <c r="AX2149" t="s">
        <v>68</v>
      </c>
      <c r="AY2149" t="s">
        <v>69</v>
      </c>
      <c r="AZ2149" t="b">
        <v>1</v>
      </c>
    </row>
    <row r="2150" spans="1:52" x14ac:dyDescent="0.3">
      <c r="A2150" t="s">
        <v>52</v>
      </c>
      <c r="B2150" t="s">
        <v>53</v>
      </c>
      <c r="C2150" t="s">
        <v>54</v>
      </c>
      <c r="D2150" t="s">
        <v>55</v>
      </c>
      <c r="E2150" t="s">
        <v>878</v>
      </c>
      <c r="F2150" t="s">
        <v>176</v>
      </c>
      <c r="G2150" t="s">
        <v>197</v>
      </c>
      <c r="H2150" t="s">
        <v>198</v>
      </c>
      <c r="I2150" t="s">
        <v>198</v>
      </c>
      <c r="J2150" t="s">
        <v>60</v>
      </c>
      <c r="K2150" t="s">
        <v>199</v>
      </c>
      <c r="L2150" t="s">
        <v>62</v>
      </c>
      <c r="M2150" t="s">
        <v>199</v>
      </c>
      <c r="N2150" t="s">
        <v>200</v>
      </c>
      <c r="O2150" t="s">
        <v>201</v>
      </c>
      <c r="P2150">
        <v>-19.639250000000001</v>
      </c>
      <c r="Q2150">
        <v>-43.916449999999998</v>
      </c>
      <c r="R2150" s="2" t="str">
        <f>HYPERLINK("https://www.google.com/maps?q=-19.6392500,-43.9164500","Abrir no Google Maps")</f>
        <v>Abrir no Google Maps</v>
      </c>
      <c r="S2150">
        <v>4</v>
      </c>
      <c r="T2150">
        <v>249.46350881074861</v>
      </c>
      <c r="U2150">
        <v>3</v>
      </c>
      <c r="V2150">
        <v>0.27924225961862409</v>
      </c>
      <c r="W2150">
        <v>1</v>
      </c>
      <c r="X2150">
        <v>0.27924225961862409</v>
      </c>
      <c r="Y2150">
        <v>3</v>
      </c>
      <c r="Z2150">
        <v>267.54148787490578</v>
      </c>
      <c r="AA2150">
        <v>2</v>
      </c>
      <c r="AB2150">
        <v>3</v>
      </c>
      <c r="AC2150">
        <v>7</v>
      </c>
      <c r="AD2150">
        <v>27.39</v>
      </c>
      <c r="AE2150">
        <v>253</v>
      </c>
      <c r="AF2150">
        <v>12</v>
      </c>
      <c r="AG2150">
        <v>75</v>
      </c>
      <c r="AH2150">
        <v>32</v>
      </c>
      <c r="AI2150">
        <v>4.74</v>
      </c>
      <c r="AJ2150">
        <v>29.64</v>
      </c>
      <c r="AK2150">
        <v>12.65</v>
      </c>
      <c r="AL2150">
        <v>-19.639331149999951</v>
      </c>
      <c r="AM2150">
        <v>-43.916434187886892</v>
      </c>
      <c r="AN2150">
        <v>-19.639331149999951</v>
      </c>
      <c r="AO2150">
        <v>-43.916434187886892</v>
      </c>
      <c r="AP2150">
        <v>-19.639250000000001</v>
      </c>
      <c r="AQ2150">
        <v>-43.916449999999998</v>
      </c>
      <c r="AR2150">
        <v>9.1844750188843953</v>
      </c>
      <c r="AS2150" t="s">
        <v>65</v>
      </c>
      <c r="AT2150">
        <v>1</v>
      </c>
      <c r="AU2150" t="s">
        <v>202</v>
      </c>
      <c r="AV2150" t="s">
        <v>203</v>
      </c>
      <c r="AW2150" t="s">
        <v>60</v>
      </c>
      <c r="AX2150" t="s">
        <v>68</v>
      </c>
      <c r="AY2150" t="s">
        <v>69</v>
      </c>
      <c r="AZ2150" t="b">
        <v>1</v>
      </c>
    </row>
    <row r="2151" spans="1:52" x14ac:dyDescent="0.3">
      <c r="A2151" t="s">
        <v>52</v>
      </c>
      <c r="B2151" t="s">
        <v>53</v>
      </c>
      <c r="C2151" t="s">
        <v>54</v>
      </c>
      <c r="D2151" t="s">
        <v>55</v>
      </c>
      <c r="E2151" t="s">
        <v>878</v>
      </c>
      <c r="F2151" t="s">
        <v>176</v>
      </c>
      <c r="G2151" t="s">
        <v>204</v>
      </c>
      <c r="H2151" t="s">
        <v>205</v>
      </c>
      <c r="I2151" t="s">
        <v>205</v>
      </c>
      <c r="J2151" t="s">
        <v>60</v>
      </c>
      <c r="K2151" t="s">
        <v>171</v>
      </c>
      <c r="L2151" t="s">
        <v>62</v>
      </c>
      <c r="M2151" t="s">
        <v>171</v>
      </c>
      <c r="N2151" t="s">
        <v>206</v>
      </c>
      <c r="O2151" t="s">
        <v>207</v>
      </c>
      <c r="P2151">
        <v>-19.674109000000001</v>
      </c>
      <c r="Q2151">
        <v>-43.890711000000003</v>
      </c>
      <c r="R2151" s="2" t="str">
        <f>HYPERLINK("https://www.google.com/maps?q=-19.6741090,-43.8907110","Abrir no Google Maps")</f>
        <v>Abrir no Google Maps</v>
      </c>
      <c r="S2151">
        <v>4</v>
      </c>
      <c r="T2151">
        <v>396.53059443764772</v>
      </c>
      <c r="U2151">
        <v>3</v>
      </c>
      <c r="V2151">
        <v>0.26082479405264219</v>
      </c>
      <c r="W2151">
        <v>1</v>
      </c>
      <c r="X2151">
        <v>0.26082479405264219</v>
      </c>
      <c r="Y2151">
        <v>3</v>
      </c>
      <c r="Z2151">
        <v>499.22520255557538</v>
      </c>
      <c r="AA2151">
        <v>2</v>
      </c>
      <c r="AB2151">
        <v>3</v>
      </c>
      <c r="AC2151">
        <v>7</v>
      </c>
      <c r="AD2151">
        <v>27.39</v>
      </c>
      <c r="AE2151">
        <v>253</v>
      </c>
      <c r="AF2151">
        <v>12</v>
      </c>
      <c r="AG2151">
        <v>75</v>
      </c>
      <c r="AH2151">
        <v>32</v>
      </c>
      <c r="AI2151">
        <v>4.74</v>
      </c>
      <c r="AJ2151">
        <v>29.64</v>
      </c>
      <c r="AK2151">
        <v>12.65</v>
      </c>
      <c r="AL2151">
        <v>-19.67362479999997</v>
      </c>
      <c r="AM2151">
        <v>-43.89068378253377</v>
      </c>
      <c r="AN2151">
        <v>-19.67362479999997</v>
      </c>
      <c r="AO2151">
        <v>-43.89068378253377</v>
      </c>
      <c r="AP2151">
        <v>-19.674109000000001</v>
      </c>
      <c r="AQ2151">
        <v>-43.890711000000003</v>
      </c>
      <c r="AR2151">
        <v>53.976595260276227</v>
      </c>
      <c r="AS2151" t="s">
        <v>65</v>
      </c>
      <c r="AT2151">
        <v>1</v>
      </c>
      <c r="AU2151" t="s">
        <v>208</v>
      </c>
      <c r="AV2151" t="s">
        <v>209</v>
      </c>
      <c r="AW2151" t="s">
        <v>60</v>
      </c>
      <c r="AX2151" t="s">
        <v>68</v>
      </c>
      <c r="AY2151" t="s">
        <v>69</v>
      </c>
      <c r="AZ2151" t="b">
        <v>1</v>
      </c>
    </row>
    <row r="2152" spans="1:52" x14ac:dyDescent="0.3">
      <c r="A2152" t="s">
        <v>52</v>
      </c>
      <c r="B2152" t="s">
        <v>53</v>
      </c>
      <c r="C2152" t="s">
        <v>54</v>
      </c>
      <c r="D2152" t="s">
        <v>55</v>
      </c>
      <c r="E2152" t="s">
        <v>878</v>
      </c>
      <c r="F2152" t="s">
        <v>176</v>
      </c>
      <c r="G2152" t="s">
        <v>123</v>
      </c>
      <c r="H2152" t="s">
        <v>124</v>
      </c>
      <c r="I2152" t="s">
        <v>124</v>
      </c>
      <c r="J2152" t="s">
        <v>60</v>
      </c>
      <c r="K2152" t="s">
        <v>72</v>
      </c>
      <c r="L2152" t="s">
        <v>62</v>
      </c>
      <c r="M2152" t="s">
        <v>72</v>
      </c>
      <c r="N2152" t="s">
        <v>125</v>
      </c>
      <c r="O2152" t="s">
        <v>126</v>
      </c>
      <c r="P2152">
        <v>-19.634015000000002</v>
      </c>
      <c r="Q2152">
        <v>-43.918776000000001</v>
      </c>
      <c r="R2152" s="2" t="str">
        <f>HYPERLINK("https://www.google.com/maps?q=-19.6340150,-43.9187760","Abrir no Google Maps")</f>
        <v>Abrir no Google Maps</v>
      </c>
      <c r="S2152">
        <v>4</v>
      </c>
      <c r="T2152">
        <v>525.62818365919122</v>
      </c>
      <c r="U2152">
        <v>3</v>
      </c>
      <c r="V2152">
        <v>0.24983012611437261</v>
      </c>
      <c r="W2152">
        <v>1</v>
      </c>
      <c r="X2152">
        <v>0.24983012611437261</v>
      </c>
      <c r="Y2152">
        <v>3</v>
      </c>
      <c r="Z2152">
        <v>474.91441433808131</v>
      </c>
      <c r="AA2152">
        <v>2</v>
      </c>
      <c r="AB2152">
        <v>3</v>
      </c>
      <c r="AC2152">
        <v>7</v>
      </c>
      <c r="AD2152">
        <v>27.39</v>
      </c>
      <c r="AE2152">
        <v>253</v>
      </c>
      <c r="AF2152">
        <v>12</v>
      </c>
      <c r="AG2152">
        <v>75</v>
      </c>
      <c r="AH2152">
        <v>32</v>
      </c>
      <c r="AI2152">
        <v>4.74</v>
      </c>
      <c r="AJ2152">
        <v>29.64</v>
      </c>
      <c r="AK2152">
        <v>12.65</v>
      </c>
      <c r="AL2152">
        <v>-19.63405809999994</v>
      </c>
      <c r="AM2152">
        <v>-43.919666391328043</v>
      </c>
      <c r="AN2152">
        <v>-19.63405809999994</v>
      </c>
      <c r="AO2152">
        <v>-43.919666391328029</v>
      </c>
      <c r="AP2152">
        <v>-19.634015000000002</v>
      </c>
      <c r="AQ2152">
        <v>-43.918776000000001</v>
      </c>
      <c r="AR2152">
        <v>93.478621134470259</v>
      </c>
      <c r="AS2152" t="s">
        <v>65</v>
      </c>
      <c r="AT2152">
        <v>1</v>
      </c>
      <c r="AU2152" t="s">
        <v>127</v>
      </c>
      <c r="AV2152" t="s">
        <v>128</v>
      </c>
      <c r="AW2152" t="s">
        <v>60</v>
      </c>
      <c r="AX2152" t="s">
        <v>68</v>
      </c>
      <c r="AY2152" t="s">
        <v>69</v>
      </c>
      <c r="AZ2152" t="b">
        <v>1</v>
      </c>
    </row>
    <row r="2153" spans="1:52" x14ac:dyDescent="0.3">
      <c r="A2153" t="s">
        <v>52</v>
      </c>
      <c r="B2153" t="s">
        <v>53</v>
      </c>
      <c r="C2153" t="s">
        <v>54</v>
      </c>
      <c r="D2153" t="s">
        <v>55</v>
      </c>
      <c r="E2153" t="s">
        <v>878</v>
      </c>
      <c r="F2153" t="s">
        <v>176</v>
      </c>
      <c r="G2153" t="s">
        <v>129</v>
      </c>
      <c r="H2153" t="s">
        <v>130</v>
      </c>
      <c r="I2153" t="s">
        <v>130</v>
      </c>
      <c r="J2153" t="s">
        <v>60</v>
      </c>
      <c r="K2153" t="s">
        <v>131</v>
      </c>
      <c r="L2153" t="s">
        <v>62</v>
      </c>
      <c r="M2153" t="s">
        <v>131</v>
      </c>
      <c r="N2153" t="s">
        <v>132</v>
      </c>
      <c r="O2153" t="s">
        <v>133</v>
      </c>
      <c r="P2153">
        <v>-19.632088</v>
      </c>
      <c r="Q2153">
        <v>-43.916114999999998</v>
      </c>
      <c r="R2153" s="2" t="str">
        <f>HYPERLINK("https://www.google.com/maps?q=-19.6320880,-43.9161150","Abrir no Google Maps")</f>
        <v>Abrir no Google Maps</v>
      </c>
      <c r="S2153">
        <v>4</v>
      </c>
      <c r="T2153">
        <v>566.5346232632869</v>
      </c>
      <c r="U2153">
        <v>3</v>
      </c>
      <c r="V2153">
        <v>0.2470661919831223</v>
      </c>
      <c r="W2153">
        <v>1</v>
      </c>
      <c r="X2153">
        <v>0.2470661919831223</v>
      </c>
      <c r="Y2153">
        <v>3</v>
      </c>
      <c r="Z2153">
        <v>488.06597434012792</v>
      </c>
      <c r="AA2153">
        <v>2</v>
      </c>
      <c r="AB2153">
        <v>3</v>
      </c>
      <c r="AC2153">
        <v>7</v>
      </c>
      <c r="AD2153">
        <v>27.39</v>
      </c>
      <c r="AE2153">
        <v>253</v>
      </c>
      <c r="AF2153">
        <v>12</v>
      </c>
      <c r="AG2153">
        <v>75</v>
      </c>
      <c r="AH2153">
        <v>32</v>
      </c>
      <c r="AI2153">
        <v>4.74</v>
      </c>
      <c r="AJ2153">
        <v>29.64</v>
      </c>
      <c r="AK2153">
        <v>12.65</v>
      </c>
      <c r="AL2153">
        <v>-19.632034449999939</v>
      </c>
      <c r="AM2153">
        <v>-43.916174776913351</v>
      </c>
      <c r="AN2153">
        <v>-19.632034449999939</v>
      </c>
      <c r="AO2153">
        <v>-43.916174776913351</v>
      </c>
      <c r="AP2153">
        <v>-19.632088</v>
      </c>
      <c r="AQ2153">
        <v>-43.916114999999998</v>
      </c>
      <c r="AR2153">
        <v>8.6497324882263911</v>
      </c>
      <c r="AS2153" t="s">
        <v>65</v>
      </c>
      <c r="AT2153">
        <v>1</v>
      </c>
      <c r="AU2153" t="s">
        <v>134</v>
      </c>
      <c r="AV2153" t="s">
        <v>135</v>
      </c>
      <c r="AW2153" t="s">
        <v>60</v>
      </c>
      <c r="AX2153" t="s">
        <v>68</v>
      </c>
      <c r="AY2153" t="s">
        <v>69</v>
      </c>
      <c r="AZ2153" t="b">
        <v>1</v>
      </c>
    </row>
    <row r="2154" spans="1:52" x14ac:dyDescent="0.3">
      <c r="A2154" t="s">
        <v>52</v>
      </c>
      <c r="B2154" t="s">
        <v>53</v>
      </c>
      <c r="C2154" t="s">
        <v>54</v>
      </c>
      <c r="D2154" t="s">
        <v>55</v>
      </c>
      <c r="E2154" t="s">
        <v>878</v>
      </c>
      <c r="F2154" t="s">
        <v>176</v>
      </c>
      <c r="G2154" t="s">
        <v>129</v>
      </c>
      <c r="H2154" t="s">
        <v>136</v>
      </c>
      <c r="I2154" t="s">
        <v>136</v>
      </c>
      <c r="J2154" t="s">
        <v>60</v>
      </c>
      <c r="K2154" t="s">
        <v>131</v>
      </c>
      <c r="L2154" t="s">
        <v>62</v>
      </c>
      <c r="M2154" t="s">
        <v>131</v>
      </c>
      <c r="N2154" t="s">
        <v>132</v>
      </c>
      <c r="O2154" t="s">
        <v>133</v>
      </c>
      <c r="P2154">
        <v>-19.632290999999999</v>
      </c>
      <c r="Q2154">
        <v>-43.916542999999997</v>
      </c>
      <c r="R2154" s="2" t="str">
        <f>HYPERLINK("https://www.google.com/maps?q=-19.6322910,-43.9165430","Abrir no Google Maps")</f>
        <v>Abrir no Google Maps</v>
      </c>
      <c r="S2154">
        <v>4</v>
      </c>
      <c r="T2154">
        <v>556.95255545673058</v>
      </c>
      <c r="U2154">
        <v>3</v>
      </c>
      <c r="V2154">
        <v>0.24619834949215141</v>
      </c>
      <c r="W2154">
        <v>1</v>
      </c>
      <c r="X2154">
        <v>0.24619834949215141</v>
      </c>
      <c r="Y2154">
        <v>3</v>
      </c>
      <c r="Z2154">
        <v>479.66756878400719</v>
      </c>
      <c r="AA2154">
        <v>2</v>
      </c>
      <c r="AB2154">
        <v>3</v>
      </c>
      <c r="AC2154">
        <v>7</v>
      </c>
      <c r="AD2154">
        <v>27.39</v>
      </c>
      <c r="AE2154">
        <v>253</v>
      </c>
      <c r="AF2154">
        <v>12</v>
      </c>
      <c r="AG2154">
        <v>75</v>
      </c>
      <c r="AH2154">
        <v>32</v>
      </c>
      <c r="AI2154">
        <v>4.74</v>
      </c>
      <c r="AJ2154">
        <v>29.64</v>
      </c>
      <c r="AK2154">
        <v>12.65</v>
      </c>
      <c r="AL2154">
        <v>-19.63215424999996</v>
      </c>
      <c r="AM2154">
        <v>-43.916542189528307</v>
      </c>
      <c r="AN2154">
        <v>-19.63215424999996</v>
      </c>
      <c r="AO2154">
        <v>-43.916542189528307</v>
      </c>
      <c r="AP2154">
        <v>-19.632290999999999</v>
      </c>
      <c r="AQ2154">
        <v>-43.916542999999997</v>
      </c>
      <c r="AR2154">
        <v>15.22324717984722</v>
      </c>
      <c r="AS2154" t="s">
        <v>65</v>
      </c>
      <c r="AT2154">
        <v>1</v>
      </c>
      <c r="AU2154" t="s">
        <v>137</v>
      </c>
      <c r="AV2154" t="s">
        <v>138</v>
      </c>
      <c r="AW2154" t="s">
        <v>60</v>
      </c>
      <c r="AX2154" t="s">
        <v>68</v>
      </c>
      <c r="AY2154" t="s">
        <v>69</v>
      </c>
      <c r="AZ2154" t="b">
        <v>1</v>
      </c>
    </row>
    <row r="2155" spans="1:52" x14ac:dyDescent="0.3">
      <c r="A2155" t="s">
        <v>52</v>
      </c>
      <c r="B2155" t="s">
        <v>53</v>
      </c>
      <c r="C2155" t="s">
        <v>54</v>
      </c>
      <c r="D2155" t="s">
        <v>55</v>
      </c>
      <c r="E2155" t="s">
        <v>878</v>
      </c>
      <c r="F2155" t="s">
        <v>176</v>
      </c>
      <c r="G2155" t="s">
        <v>197</v>
      </c>
      <c r="H2155" t="s">
        <v>224</v>
      </c>
      <c r="I2155" t="s">
        <v>224</v>
      </c>
      <c r="J2155" t="s">
        <v>60</v>
      </c>
      <c r="K2155" t="s">
        <v>199</v>
      </c>
      <c r="L2155" t="s">
        <v>62</v>
      </c>
      <c r="M2155" t="s">
        <v>199</v>
      </c>
      <c r="N2155" t="s">
        <v>200</v>
      </c>
      <c r="O2155" t="s">
        <v>225</v>
      </c>
      <c r="P2155">
        <v>-19.637217</v>
      </c>
      <c r="Q2155">
        <v>-43.916117</v>
      </c>
      <c r="R2155" s="2" t="str">
        <f>HYPERLINK("https://www.google.com/maps?q=-19.6372170,-43.9161170","Abrir no Google Maps")</f>
        <v>Abrir no Google Maps</v>
      </c>
      <c r="S2155">
        <v>4</v>
      </c>
      <c r="T2155">
        <v>0</v>
      </c>
      <c r="U2155">
        <v>3</v>
      </c>
      <c r="V2155">
        <v>0.2595462091864969</v>
      </c>
      <c r="W2155">
        <v>1</v>
      </c>
      <c r="X2155">
        <v>0.2595462091864969</v>
      </c>
      <c r="Y2155">
        <v>3</v>
      </c>
      <c r="Z2155">
        <v>94.289538231800577</v>
      </c>
      <c r="AA2155">
        <v>2</v>
      </c>
      <c r="AB2155">
        <v>3</v>
      </c>
      <c r="AC2155">
        <v>7</v>
      </c>
      <c r="AD2155">
        <v>27.39</v>
      </c>
      <c r="AE2155">
        <v>253</v>
      </c>
      <c r="AF2155">
        <v>12</v>
      </c>
      <c r="AG2155">
        <v>75</v>
      </c>
      <c r="AH2155">
        <v>32</v>
      </c>
      <c r="AI2155">
        <v>4.74</v>
      </c>
      <c r="AJ2155">
        <v>29.64</v>
      </c>
      <c r="AK2155">
        <v>12.65</v>
      </c>
      <c r="AL2155">
        <v>-19.63714454999996</v>
      </c>
      <c r="AM2155">
        <v>-43.915856532303224</v>
      </c>
      <c r="AN2155">
        <v>-19.63714454999996</v>
      </c>
      <c r="AO2155">
        <v>-43.915856532303224</v>
      </c>
      <c r="AP2155">
        <v>-19.637217</v>
      </c>
      <c r="AQ2155">
        <v>-43.916117</v>
      </c>
      <c r="AR2155">
        <v>28.47493692061667</v>
      </c>
      <c r="AS2155" t="s">
        <v>65</v>
      </c>
      <c r="AT2155">
        <v>1</v>
      </c>
      <c r="AU2155" t="s">
        <v>226</v>
      </c>
      <c r="AV2155" t="s">
        <v>227</v>
      </c>
      <c r="AW2155" t="s">
        <v>60</v>
      </c>
      <c r="AX2155" t="s">
        <v>68</v>
      </c>
      <c r="AY2155" t="s">
        <v>69</v>
      </c>
      <c r="AZ2155" t="b">
        <v>1</v>
      </c>
    </row>
    <row r="2156" spans="1:52" x14ac:dyDescent="0.3">
      <c r="A2156" t="s">
        <v>52</v>
      </c>
      <c r="B2156" t="s">
        <v>53</v>
      </c>
      <c r="C2156" t="s">
        <v>54</v>
      </c>
      <c r="D2156" t="s">
        <v>55</v>
      </c>
      <c r="E2156" t="s">
        <v>878</v>
      </c>
      <c r="F2156" t="s">
        <v>176</v>
      </c>
      <c r="G2156" t="s">
        <v>228</v>
      </c>
      <c r="H2156" t="s">
        <v>229</v>
      </c>
      <c r="I2156" t="s">
        <v>229</v>
      </c>
      <c r="J2156" t="s">
        <v>60</v>
      </c>
      <c r="K2156" t="s">
        <v>199</v>
      </c>
      <c r="L2156" t="s">
        <v>62</v>
      </c>
      <c r="M2156" t="s">
        <v>199</v>
      </c>
      <c r="N2156" t="s">
        <v>230</v>
      </c>
      <c r="O2156" t="s">
        <v>88</v>
      </c>
      <c r="P2156">
        <v>-19.637703999999999</v>
      </c>
      <c r="Q2156">
        <v>-43.913817999999999</v>
      </c>
      <c r="R2156" s="2" t="str">
        <f>HYPERLINK("https://www.google.com/maps?q=-19.6377040,-43.9138180","Abrir no Google Maps")</f>
        <v>Abrir no Google Maps</v>
      </c>
      <c r="S2156">
        <v>4</v>
      </c>
      <c r="T2156">
        <v>216.67225021659709</v>
      </c>
      <c r="U2156">
        <v>3</v>
      </c>
      <c r="V2156">
        <v>0.24762079225508479</v>
      </c>
      <c r="W2156">
        <v>1</v>
      </c>
      <c r="X2156">
        <v>0.24762079225508479</v>
      </c>
      <c r="Y2156">
        <v>3</v>
      </c>
      <c r="Z2156">
        <v>250.25912407368671</v>
      </c>
      <c r="AA2156">
        <v>2</v>
      </c>
      <c r="AB2156">
        <v>3</v>
      </c>
      <c r="AC2156">
        <v>7</v>
      </c>
      <c r="AD2156">
        <v>27.39</v>
      </c>
      <c r="AE2156">
        <v>253</v>
      </c>
      <c r="AF2156">
        <v>12</v>
      </c>
      <c r="AG2156">
        <v>75</v>
      </c>
      <c r="AH2156">
        <v>32</v>
      </c>
      <c r="AI2156">
        <v>4.74</v>
      </c>
      <c r="AJ2156">
        <v>29.64</v>
      </c>
      <c r="AK2156">
        <v>12.65</v>
      </c>
      <c r="AL2156">
        <v>-19.637548049999939</v>
      </c>
      <c r="AM2156">
        <v>-43.91383458447649</v>
      </c>
      <c r="AN2156">
        <v>-19.637548049999939</v>
      </c>
      <c r="AO2156">
        <v>-43.91383458447649</v>
      </c>
      <c r="AP2156">
        <v>-19.637703999999999</v>
      </c>
      <c r="AQ2156">
        <v>-43.913817999999999</v>
      </c>
      <c r="AR2156">
        <v>17.44721566371809</v>
      </c>
      <c r="AS2156" t="s">
        <v>65</v>
      </c>
      <c r="AT2156">
        <v>1</v>
      </c>
      <c r="AU2156" t="s">
        <v>231</v>
      </c>
      <c r="AV2156" t="s">
        <v>232</v>
      </c>
      <c r="AW2156" t="s">
        <v>60</v>
      </c>
      <c r="AX2156" t="s">
        <v>68</v>
      </c>
      <c r="AY2156" t="s">
        <v>69</v>
      </c>
      <c r="AZ2156" t="b">
        <v>1</v>
      </c>
    </row>
    <row r="2157" spans="1:52" x14ac:dyDescent="0.3">
      <c r="A2157" t="s">
        <v>52</v>
      </c>
      <c r="B2157" t="s">
        <v>53</v>
      </c>
      <c r="C2157" t="s">
        <v>54</v>
      </c>
      <c r="D2157" t="s">
        <v>55</v>
      </c>
      <c r="E2157" t="s">
        <v>878</v>
      </c>
      <c r="F2157" t="s">
        <v>176</v>
      </c>
      <c r="G2157" t="s">
        <v>151</v>
      </c>
      <c r="H2157" t="s">
        <v>152</v>
      </c>
      <c r="I2157" t="s">
        <v>152</v>
      </c>
      <c r="J2157" t="s">
        <v>60</v>
      </c>
      <c r="K2157" t="s">
        <v>72</v>
      </c>
      <c r="L2157" t="s">
        <v>62</v>
      </c>
      <c r="M2157" t="s">
        <v>72</v>
      </c>
      <c r="N2157" t="s">
        <v>153</v>
      </c>
      <c r="O2157" t="s">
        <v>81</v>
      </c>
      <c r="P2157">
        <v>-19.635065999999998</v>
      </c>
      <c r="Q2157">
        <v>-43.916640000000001</v>
      </c>
      <c r="R2157" s="2" t="str">
        <f>HYPERLINK("https://www.google.com/maps?q=-19.6350660,-43.9166400","Abrir no Google Maps")</f>
        <v>Abrir no Google Maps</v>
      </c>
      <c r="S2157">
        <v>4</v>
      </c>
      <c r="T2157">
        <v>245.09875796292749</v>
      </c>
      <c r="U2157">
        <v>3</v>
      </c>
      <c r="V2157">
        <v>0.2587453950711382</v>
      </c>
      <c r="W2157">
        <v>1</v>
      </c>
      <c r="X2157">
        <v>0.2587453950711382</v>
      </c>
      <c r="Y2157">
        <v>3</v>
      </c>
      <c r="Z2157">
        <v>207.74356419317499</v>
      </c>
      <c r="AA2157">
        <v>2</v>
      </c>
      <c r="AB2157">
        <v>3</v>
      </c>
      <c r="AC2157">
        <v>7</v>
      </c>
      <c r="AD2157">
        <v>27.39</v>
      </c>
      <c r="AE2157">
        <v>253</v>
      </c>
      <c r="AF2157">
        <v>12</v>
      </c>
      <c r="AG2157">
        <v>75</v>
      </c>
      <c r="AH2157">
        <v>32</v>
      </c>
      <c r="AI2157">
        <v>4.74</v>
      </c>
      <c r="AJ2157">
        <v>29.64</v>
      </c>
      <c r="AK2157">
        <v>12.65</v>
      </c>
      <c r="AL2157">
        <v>-19.63505579999995</v>
      </c>
      <c r="AM2157">
        <v>-43.916633303072622</v>
      </c>
      <c r="AN2157">
        <v>-19.63505579999995</v>
      </c>
      <c r="AO2157">
        <v>-43.916633303072622</v>
      </c>
      <c r="AP2157">
        <v>-19.635065999999998</v>
      </c>
      <c r="AQ2157">
        <v>-43.916640000000001</v>
      </c>
      <c r="AR2157">
        <v>1.335026849412978</v>
      </c>
      <c r="AS2157" t="s">
        <v>65</v>
      </c>
      <c r="AT2157">
        <v>1</v>
      </c>
      <c r="AU2157" t="s">
        <v>154</v>
      </c>
      <c r="AV2157" t="s">
        <v>155</v>
      </c>
      <c r="AW2157" t="s">
        <v>60</v>
      </c>
      <c r="AX2157" t="s">
        <v>68</v>
      </c>
      <c r="AY2157" t="s">
        <v>69</v>
      </c>
      <c r="AZ2157" t="b">
        <v>1</v>
      </c>
    </row>
    <row r="2158" spans="1:52" x14ac:dyDescent="0.3">
      <c r="A2158" t="s">
        <v>52</v>
      </c>
      <c r="B2158" t="s">
        <v>53</v>
      </c>
      <c r="C2158" t="s">
        <v>54</v>
      </c>
      <c r="D2158" t="s">
        <v>55</v>
      </c>
      <c r="E2158" t="s">
        <v>878</v>
      </c>
      <c r="F2158" t="s">
        <v>176</v>
      </c>
      <c r="G2158" t="s">
        <v>156</v>
      </c>
      <c r="H2158" t="s">
        <v>157</v>
      </c>
      <c r="I2158" t="s">
        <v>157</v>
      </c>
      <c r="J2158" t="s">
        <v>60</v>
      </c>
      <c r="K2158" t="s">
        <v>79</v>
      </c>
      <c r="L2158" t="s">
        <v>62</v>
      </c>
      <c r="M2158" t="s">
        <v>79</v>
      </c>
      <c r="N2158" t="s">
        <v>158</v>
      </c>
      <c r="O2158" t="s">
        <v>159</v>
      </c>
      <c r="P2158">
        <v>-19.634687</v>
      </c>
      <c r="Q2158">
        <v>-43.912925999999999</v>
      </c>
      <c r="R2158" s="2" t="str">
        <f>HYPERLINK("https://www.google.com/maps?q=-19.6346870,-43.9129260","Abrir no Google Maps")</f>
        <v>Abrir no Google Maps</v>
      </c>
      <c r="S2158">
        <v>4</v>
      </c>
      <c r="T2158">
        <v>363.69725005634331</v>
      </c>
      <c r="U2158">
        <v>3</v>
      </c>
      <c r="V2158">
        <v>0.24894683578760651</v>
      </c>
      <c r="W2158">
        <v>1</v>
      </c>
      <c r="X2158">
        <v>0.24894683578760651</v>
      </c>
      <c r="Y2158">
        <v>3</v>
      </c>
      <c r="Z2158">
        <v>343.04088334900467</v>
      </c>
      <c r="AA2158">
        <v>2</v>
      </c>
      <c r="AB2158">
        <v>3</v>
      </c>
      <c r="AC2158">
        <v>7</v>
      </c>
      <c r="AD2158">
        <v>27.39</v>
      </c>
      <c r="AE2158">
        <v>253</v>
      </c>
      <c r="AF2158">
        <v>12</v>
      </c>
      <c r="AG2158">
        <v>75</v>
      </c>
      <c r="AH2158">
        <v>32</v>
      </c>
      <c r="AI2158">
        <v>4.74</v>
      </c>
      <c r="AJ2158">
        <v>29.64</v>
      </c>
      <c r="AK2158">
        <v>12.65</v>
      </c>
      <c r="AL2158">
        <v>-19.635145849999962</v>
      </c>
      <c r="AM2158">
        <v>-43.913103387269381</v>
      </c>
      <c r="AN2158">
        <v>-19.635145849999962</v>
      </c>
      <c r="AO2158">
        <v>-43.913103387269381</v>
      </c>
      <c r="AP2158">
        <v>-19.634687</v>
      </c>
      <c r="AQ2158">
        <v>-43.912925999999999</v>
      </c>
      <c r="AR2158">
        <v>54.359794849827942</v>
      </c>
      <c r="AS2158" t="s">
        <v>65</v>
      </c>
      <c r="AT2158">
        <v>1</v>
      </c>
      <c r="AU2158" t="s">
        <v>160</v>
      </c>
      <c r="AV2158" t="s">
        <v>161</v>
      </c>
      <c r="AW2158" t="s">
        <v>60</v>
      </c>
      <c r="AX2158" t="s">
        <v>68</v>
      </c>
      <c r="AY2158" t="s">
        <v>69</v>
      </c>
      <c r="AZ2158" t="b">
        <v>1</v>
      </c>
    </row>
    <row r="2159" spans="1:52" x14ac:dyDescent="0.3">
      <c r="A2159" t="s">
        <v>52</v>
      </c>
      <c r="B2159" t="s">
        <v>53</v>
      </c>
      <c r="C2159" t="s">
        <v>54</v>
      </c>
      <c r="D2159" t="s">
        <v>55</v>
      </c>
      <c r="E2159" t="s">
        <v>878</v>
      </c>
      <c r="F2159" t="s">
        <v>176</v>
      </c>
      <c r="G2159" t="s">
        <v>239</v>
      </c>
      <c r="H2159" t="s">
        <v>240</v>
      </c>
      <c r="I2159" t="s">
        <v>240</v>
      </c>
      <c r="J2159" t="s">
        <v>60</v>
      </c>
      <c r="K2159" t="s">
        <v>241</v>
      </c>
      <c r="L2159" t="s">
        <v>62</v>
      </c>
      <c r="M2159" t="s">
        <v>241</v>
      </c>
      <c r="N2159" t="s">
        <v>242</v>
      </c>
      <c r="O2159" t="s">
        <v>243</v>
      </c>
      <c r="P2159">
        <v>-19.64987</v>
      </c>
      <c r="Q2159">
        <v>-43.901328999999997</v>
      </c>
      <c r="R2159" s="2" t="str">
        <f>HYPERLINK("https://www.google.com/maps?q=-19.6498700,-43.9013290","Abrir no Google Maps")</f>
        <v>Abrir no Google Maps</v>
      </c>
      <c r="S2159">
        <v>4</v>
      </c>
      <c r="T2159">
        <v>379.88574886534309</v>
      </c>
      <c r="U2159">
        <v>3</v>
      </c>
      <c r="V2159">
        <v>0.22654837852206269</v>
      </c>
      <c r="W2159">
        <v>1</v>
      </c>
      <c r="X2159">
        <v>0.22654837852206269</v>
      </c>
      <c r="Y2159">
        <v>1</v>
      </c>
      <c r="Z2159">
        <v>442.33649591135162</v>
      </c>
      <c r="AA2159">
        <v>2</v>
      </c>
      <c r="AB2159">
        <v>3</v>
      </c>
      <c r="AC2159">
        <v>7</v>
      </c>
      <c r="AD2159">
        <v>27.39</v>
      </c>
      <c r="AE2159">
        <v>253</v>
      </c>
      <c r="AF2159">
        <v>12</v>
      </c>
      <c r="AG2159">
        <v>75</v>
      </c>
      <c r="AH2159">
        <v>32</v>
      </c>
      <c r="AI2159">
        <v>4.74</v>
      </c>
      <c r="AJ2159">
        <v>29.64</v>
      </c>
      <c r="AK2159">
        <v>12.65</v>
      </c>
      <c r="AL2159">
        <v>-19.64971674999995</v>
      </c>
      <c r="AM2159">
        <v>-43.901441574655102</v>
      </c>
      <c r="AN2159">
        <v>-19.64971674999995</v>
      </c>
      <c r="AO2159">
        <v>-43.901441574655102</v>
      </c>
      <c r="AP2159">
        <v>-19.64987</v>
      </c>
      <c r="AQ2159">
        <v>-43.901328999999997</v>
      </c>
      <c r="AR2159">
        <v>20.744262514610401</v>
      </c>
      <c r="AS2159" t="s">
        <v>65</v>
      </c>
      <c r="AT2159">
        <v>1</v>
      </c>
      <c r="AU2159" t="s">
        <v>244</v>
      </c>
      <c r="AV2159" t="s">
        <v>245</v>
      </c>
      <c r="AW2159" t="s">
        <v>60</v>
      </c>
      <c r="AX2159" t="s">
        <v>68</v>
      </c>
      <c r="AY2159" t="s">
        <v>69</v>
      </c>
      <c r="AZ2159" t="b">
        <v>1</v>
      </c>
    </row>
    <row r="2160" spans="1:52" x14ac:dyDescent="0.3">
      <c r="A2160" t="s">
        <v>52</v>
      </c>
      <c r="B2160" t="s">
        <v>53</v>
      </c>
      <c r="C2160" t="s">
        <v>54</v>
      </c>
      <c r="D2160" t="s">
        <v>55</v>
      </c>
      <c r="E2160" t="s">
        <v>878</v>
      </c>
      <c r="F2160" t="s">
        <v>176</v>
      </c>
      <c r="G2160" t="s">
        <v>879</v>
      </c>
      <c r="H2160" t="s">
        <v>880</v>
      </c>
      <c r="I2160" t="s">
        <v>880</v>
      </c>
      <c r="J2160" t="s">
        <v>60</v>
      </c>
      <c r="K2160" t="s">
        <v>179</v>
      </c>
      <c r="L2160" t="s">
        <v>62</v>
      </c>
      <c r="M2160" t="s">
        <v>179</v>
      </c>
      <c r="N2160" t="s">
        <v>881</v>
      </c>
      <c r="O2160" t="s">
        <v>882</v>
      </c>
      <c r="P2160">
        <v>-19.655272</v>
      </c>
      <c r="Q2160">
        <v>-43.886634999999998</v>
      </c>
      <c r="R2160" s="2" t="str">
        <f>HYPERLINK("https://www.google.com/maps?q=-19.6552720,-43.8866350","Abrir no Google Maps")</f>
        <v>Abrir no Google Maps</v>
      </c>
      <c r="S2160">
        <v>4</v>
      </c>
      <c r="T2160">
        <v>1203.9607445844181</v>
      </c>
      <c r="U2160">
        <v>3</v>
      </c>
      <c r="V2160">
        <v>0.31304186891351471</v>
      </c>
      <c r="W2160">
        <v>0.85</v>
      </c>
      <c r="X2160">
        <v>0.26608558857648751</v>
      </c>
      <c r="Y2160">
        <v>1</v>
      </c>
      <c r="Z2160">
        <v>1289.6849299916501</v>
      </c>
      <c r="AA2160">
        <v>2</v>
      </c>
      <c r="AB2160">
        <v>3</v>
      </c>
      <c r="AC2160">
        <v>7</v>
      </c>
      <c r="AD2160">
        <v>27.39</v>
      </c>
      <c r="AE2160">
        <v>253</v>
      </c>
      <c r="AF2160">
        <v>12</v>
      </c>
      <c r="AG2160">
        <v>75</v>
      </c>
      <c r="AH2160">
        <v>32</v>
      </c>
      <c r="AI2160">
        <v>4.74</v>
      </c>
      <c r="AJ2160">
        <v>29.64</v>
      </c>
      <c r="AK2160">
        <v>12.65</v>
      </c>
      <c r="AL2160">
        <v>-19.65514999999996</v>
      </c>
      <c r="AM2160">
        <v>-43.886771117091207</v>
      </c>
      <c r="AN2160">
        <v>-19.65514999999996</v>
      </c>
      <c r="AO2160">
        <v>-43.886771117091207</v>
      </c>
      <c r="AP2160">
        <v>-19.655272</v>
      </c>
      <c r="AQ2160">
        <v>-43.886634999999998</v>
      </c>
      <c r="AR2160">
        <v>19.699450542679688</v>
      </c>
      <c r="AS2160" t="s">
        <v>65</v>
      </c>
      <c r="AT2160">
        <v>1</v>
      </c>
      <c r="AU2160" t="s">
        <v>883</v>
      </c>
      <c r="AV2160" t="s">
        <v>884</v>
      </c>
      <c r="AW2160" t="s">
        <v>60</v>
      </c>
      <c r="AX2160" t="s">
        <v>68</v>
      </c>
      <c r="AY2160" t="s">
        <v>69</v>
      </c>
      <c r="AZ2160" t="b">
        <v>1</v>
      </c>
    </row>
    <row r="2161" spans="1:52" x14ac:dyDescent="0.3">
      <c r="A2161" t="s">
        <v>52</v>
      </c>
      <c r="B2161" t="s">
        <v>53</v>
      </c>
      <c r="C2161" t="s">
        <v>54</v>
      </c>
      <c r="D2161" t="s">
        <v>55</v>
      </c>
      <c r="E2161" t="s">
        <v>878</v>
      </c>
      <c r="F2161" t="s">
        <v>176</v>
      </c>
      <c r="G2161" t="s">
        <v>885</v>
      </c>
      <c r="H2161" t="s">
        <v>886</v>
      </c>
      <c r="I2161" t="s">
        <v>886</v>
      </c>
      <c r="J2161" t="s">
        <v>60</v>
      </c>
      <c r="K2161" t="s">
        <v>887</v>
      </c>
      <c r="L2161" t="s">
        <v>62</v>
      </c>
      <c r="M2161" t="s">
        <v>887</v>
      </c>
      <c r="N2161" t="s">
        <v>888</v>
      </c>
      <c r="O2161" t="s">
        <v>889</v>
      </c>
      <c r="P2161">
        <v>-19.645567</v>
      </c>
      <c r="Q2161">
        <v>-43.899566999999998</v>
      </c>
      <c r="R2161" s="2" t="str">
        <f>HYPERLINK("https://www.google.com/maps?q=-19.6455670,-43.8995670","Abrir no Google Maps")</f>
        <v>Abrir no Google Maps</v>
      </c>
      <c r="S2161">
        <v>4</v>
      </c>
      <c r="T2161">
        <v>479.82055552065151</v>
      </c>
      <c r="U2161">
        <v>3</v>
      </c>
      <c r="V2161">
        <v>0.25549470609711578</v>
      </c>
      <c r="W2161">
        <v>0.85</v>
      </c>
      <c r="X2161">
        <v>0.21717050018254841</v>
      </c>
      <c r="Y2161">
        <v>1</v>
      </c>
      <c r="Z2161">
        <v>557.58742449390377</v>
      </c>
      <c r="AA2161">
        <v>2</v>
      </c>
      <c r="AB2161">
        <v>3</v>
      </c>
      <c r="AC2161">
        <v>7</v>
      </c>
      <c r="AD2161">
        <v>27.39</v>
      </c>
      <c r="AE2161">
        <v>253</v>
      </c>
      <c r="AF2161">
        <v>12</v>
      </c>
      <c r="AG2161">
        <v>75</v>
      </c>
      <c r="AH2161">
        <v>32</v>
      </c>
      <c r="AI2161">
        <v>4.74</v>
      </c>
      <c r="AJ2161">
        <v>29.64</v>
      </c>
      <c r="AK2161">
        <v>12.65</v>
      </c>
      <c r="AL2161">
        <v>-19.64558274999996</v>
      </c>
      <c r="AM2161">
        <v>-43.899453722024241</v>
      </c>
      <c r="AN2161">
        <v>-19.64558274999996</v>
      </c>
      <c r="AO2161">
        <v>-43.899453722024241</v>
      </c>
      <c r="AP2161">
        <v>-19.645567</v>
      </c>
      <c r="AQ2161">
        <v>-43.899566999999998</v>
      </c>
      <c r="AR2161">
        <v>12.00479697648735</v>
      </c>
      <c r="AS2161" t="s">
        <v>65</v>
      </c>
      <c r="AT2161">
        <v>1</v>
      </c>
      <c r="AU2161" t="s">
        <v>890</v>
      </c>
      <c r="AV2161" t="s">
        <v>891</v>
      </c>
      <c r="AW2161" t="s">
        <v>60</v>
      </c>
      <c r="AX2161" t="s">
        <v>68</v>
      </c>
      <c r="AY2161" t="s">
        <v>69</v>
      </c>
      <c r="AZ2161" t="b">
        <v>1</v>
      </c>
    </row>
    <row r="2162" spans="1:52" x14ac:dyDescent="0.3">
      <c r="A2162" t="s">
        <v>52</v>
      </c>
      <c r="B2162" t="s">
        <v>53</v>
      </c>
      <c r="C2162" t="s">
        <v>54</v>
      </c>
      <c r="D2162" t="s">
        <v>55</v>
      </c>
      <c r="E2162" t="s">
        <v>878</v>
      </c>
      <c r="F2162" t="s">
        <v>176</v>
      </c>
      <c r="G2162" t="s">
        <v>246</v>
      </c>
      <c r="H2162" t="s">
        <v>247</v>
      </c>
      <c r="I2162" t="s">
        <v>247</v>
      </c>
      <c r="J2162" t="s">
        <v>60</v>
      </c>
      <c r="K2162" t="s">
        <v>164</v>
      </c>
      <c r="L2162" t="s">
        <v>62</v>
      </c>
      <c r="M2162" t="s">
        <v>164</v>
      </c>
      <c r="N2162" t="s">
        <v>248</v>
      </c>
      <c r="O2162" t="s">
        <v>249</v>
      </c>
      <c r="P2162">
        <v>-19.6448</v>
      </c>
      <c r="Q2162">
        <v>-43.901600999999999</v>
      </c>
      <c r="R2162" s="2" t="str">
        <f>HYPERLINK("https://www.google.com/maps?q=-19.6448000,-43.9016010","Abrir no Google Maps")</f>
        <v>Abrir no Google Maps</v>
      </c>
      <c r="S2162">
        <v>4</v>
      </c>
      <c r="T2162">
        <v>317.869447308274</v>
      </c>
      <c r="U2162">
        <v>3</v>
      </c>
      <c r="V2162">
        <v>0.20986933632413429</v>
      </c>
      <c r="W2162">
        <v>1</v>
      </c>
      <c r="X2162">
        <v>0.20986933632413429</v>
      </c>
      <c r="Y2162">
        <v>1</v>
      </c>
      <c r="Z2162">
        <v>349.42631749673592</v>
      </c>
      <c r="AA2162">
        <v>2</v>
      </c>
      <c r="AB2162">
        <v>3</v>
      </c>
      <c r="AC2162">
        <v>7</v>
      </c>
      <c r="AD2162">
        <v>27.39</v>
      </c>
      <c r="AE2162">
        <v>253</v>
      </c>
      <c r="AF2162">
        <v>12</v>
      </c>
      <c r="AG2162">
        <v>75</v>
      </c>
      <c r="AH2162">
        <v>32</v>
      </c>
      <c r="AI2162">
        <v>4.74</v>
      </c>
      <c r="AJ2162">
        <v>29.64</v>
      </c>
      <c r="AK2162">
        <v>12.65</v>
      </c>
      <c r="AL2162">
        <v>-19.644877249999951</v>
      </c>
      <c r="AM2162">
        <v>-43.901796079893373</v>
      </c>
      <c r="AN2162">
        <v>-19.644877249999951</v>
      </c>
      <c r="AO2162">
        <v>-43.901796079893373</v>
      </c>
      <c r="AP2162">
        <v>-19.6448</v>
      </c>
      <c r="AQ2162">
        <v>-43.901600999999999</v>
      </c>
      <c r="AR2162">
        <v>22.186635956426102</v>
      </c>
      <c r="AS2162" t="s">
        <v>65</v>
      </c>
      <c r="AT2162">
        <v>1</v>
      </c>
      <c r="AU2162" t="s">
        <v>250</v>
      </c>
      <c r="AV2162" t="s">
        <v>251</v>
      </c>
      <c r="AW2162" t="s">
        <v>60</v>
      </c>
      <c r="AX2162" t="s">
        <v>68</v>
      </c>
      <c r="AY2162" t="s">
        <v>69</v>
      </c>
      <c r="AZ2162" t="b">
        <v>1</v>
      </c>
    </row>
    <row r="2163" spans="1:52" x14ac:dyDescent="0.3">
      <c r="A2163" t="s">
        <v>52</v>
      </c>
      <c r="B2163" t="s">
        <v>53</v>
      </c>
      <c r="C2163" t="s">
        <v>54</v>
      </c>
      <c r="D2163" t="s">
        <v>55</v>
      </c>
      <c r="E2163" t="s">
        <v>878</v>
      </c>
      <c r="F2163" t="s">
        <v>176</v>
      </c>
      <c r="G2163" t="s">
        <v>647</v>
      </c>
      <c r="H2163" t="s">
        <v>648</v>
      </c>
      <c r="I2163" t="s">
        <v>648</v>
      </c>
      <c r="J2163" t="s">
        <v>60</v>
      </c>
      <c r="K2163" t="s">
        <v>219</v>
      </c>
      <c r="L2163" t="s">
        <v>62</v>
      </c>
      <c r="M2163" t="s">
        <v>219</v>
      </c>
      <c r="N2163" t="s">
        <v>649</v>
      </c>
      <c r="O2163" t="s">
        <v>650</v>
      </c>
      <c r="P2163">
        <v>-19.665845999999998</v>
      </c>
      <c r="Q2163">
        <v>-43.889798999999996</v>
      </c>
      <c r="R2163" s="2" t="str">
        <f>HYPERLINK("https://www.google.com/maps?q=-19.6658460,-43.8897990","Abrir no Google Maps")</f>
        <v>Abrir no Google Maps</v>
      </c>
      <c r="S2163">
        <v>4</v>
      </c>
      <c r="T2163">
        <v>1250.455343908134</v>
      </c>
      <c r="U2163">
        <v>3</v>
      </c>
      <c r="V2163">
        <v>0.33383849723095349</v>
      </c>
      <c r="W2163">
        <v>0.85</v>
      </c>
      <c r="X2163">
        <v>0.28376272264631047</v>
      </c>
      <c r="Y2163">
        <v>1</v>
      </c>
      <c r="Z2163">
        <v>82.379279290412427</v>
      </c>
      <c r="AA2163">
        <v>2</v>
      </c>
      <c r="AB2163">
        <v>3</v>
      </c>
      <c r="AC2163">
        <v>7</v>
      </c>
      <c r="AD2163">
        <v>27.39</v>
      </c>
      <c r="AE2163">
        <v>253</v>
      </c>
      <c r="AF2163">
        <v>12</v>
      </c>
      <c r="AG2163">
        <v>75</v>
      </c>
      <c r="AH2163">
        <v>32</v>
      </c>
      <c r="AI2163">
        <v>4.74</v>
      </c>
      <c r="AJ2163">
        <v>29.64</v>
      </c>
      <c r="AK2163">
        <v>12.65</v>
      </c>
      <c r="AL2163">
        <v>-19.665872099999941</v>
      </c>
      <c r="AM2163">
        <v>-43.889753298873359</v>
      </c>
      <c r="AN2163">
        <v>-19.665872099999941</v>
      </c>
      <c r="AO2163">
        <v>-43.889753298873359</v>
      </c>
      <c r="AP2163">
        <v>-19.665845999999998</v>
      </c>
      <c r="AQ2163">
        <v>-43.889798999999996</v>
      </c>
      <c r="AR2163">
        <v>5.6029010526379528</v>
      </c>
      <c r="AS2163" t="s">
        <v>65</v>
      </c>
      <c r="AT2163">
        <v>1</v>
      </c>
      <c r="AU2163" t="s">
        <v>651</v>
      </c>
      <c r="AV2163" t="s">
        <v>652</v>
      </c>
      <c r="AW2163" t="s">
        <v>60</v>
      </c>
      <c r="AX2163" t="s">
        <v>68</v>
      </c>
      <c r="AY2163" t="s">
        <v>69</v>
      </c>
      <c r="AZ2163" t="b">
        <v>1</v>
      </c>
    </row>
    <row r="2164" spans="1:52" x14ac:dyDescent="0.3">
      <c r="A2164" t="s">
        <v>52</v>
      </c>
      <c r="B2164" t="s">
        <v>53</v>
      </c>
      <c r="C2164" t="s">
        <v>54</v>
      </c>
      <c r="D2164" t="s">
        <v>55</v>
      </c>
      <c r="E2164" t="s">
        <v>878</v>
      </c>
      <c r="F2164" t="s">
        <v>176</v>
      </c>
      <c r="G2164" t="s">
        <v>506</v>
      </c>
      <c r="H2164" t="s">
        <v>653</v>
      </c>
      <c r="I2164" t="s">
        <v>653</v>
      </c>
      <c r="J2164" t="s">
        <v>60</v>
      </c>
      <c r="K2164" t="s">
        <v>219</v>
      </c>
      <c r="L2164" t="s">
        <v>62</v>
      </c>
      <c r="M2164" t="s">
        <v>219</v>
      </c>
      <c r="N2164" t="s">
        <v>654</v>
      </c>
      <c r="O2164" t="s">
        <v>655</v>
      </c>
      <c r="P2164">
        <v>-19.663547000000001</v>
      </c>
      <c r="Q2164">
        <v>-43.887289000000003</v>
      </c>
      <c r="R2164" s="2" t="str">
        <f>HYPERLINK("https://www.google.com/maps?q=-19.6635470,-43.8872890","Abrir no Google Maps")</f>
        <v>Abrir no Google Maps</v>
      </c>
      <c r="S2164">
        <v>4</v>
      </c>
      <c r="T2164">
        <v>1322.0974038105271</v>
      </c>
      <c r="U2164">
        <v>3</v>
      </c>
      <c r="V2164">
        <v>0.3064166666666665</v>
      </c>
      <c r="W2164">
        <v>0.85</v>
      </c>
      <c r="X2164">
        <v>0.26045416666666649</v>
      </c>
      <c r="Y2164">
        <v>1</v>
      </c>
      <c r="Z2164">
        <v>410.01820565428989</v>
      </c>
      <c r="AA2164">
        <v>2</v>
      </c>
      <c r="AB2164">
        <v>3</v>
      </c>
      <c r="AC2164">
        <v>7</v>
      </c>
      <c r="AD2164">
        <v>27.39</v>
      </c>
      <c r="AE2164">
        <v>253</v>
      </c>
      <c r="AF2164">
        <v>12</v>
      </c>
      <c r="AG2164">
        <v>75</v>
      </c>
      <c r="AH2164">
        <v>32</v>
      </c>
      <c r="AI2164">
        <v>4.74</v>
      </c>
      <c r="AJ2164">
        <v>29.64</v>
      </c>
      <c r="AK2164">
        <v>12.65</v>
      </c>
      <c r="AL2164">
        <v>-19.663324149999969</v>
      </c>
      <c r="AM2164">
        <v>-43.887335428407333</v>
      </c>
      <c r="AN2164">
        <v>-19.663324149999969</v>
      </c>
      <c r="AO2164">
        <v>-43.887335428407333</v>
      </c>
      <c r="AP2164">
        <v>-19.663547000000001</v>
      </c>
      <c r="AQ2164">
        <v>-43.887289000000003</v>
      </c>
      <c r="AR2164">
        <v>25.280585055537909</v>
      </c>
      <c r="AS2164" t="s">
        <v>65</v>
      </c>
      <c r="AT2164">
        <v>1</v>
      </c>
      <c r="AU2164" t="s">
        <v>656</v>
      </c>
      <c r="AV2164" t="s">
        <v>657</v>
      </c>
      <c r="AW2164" t="s">
        <v>60</v>
      </c>
      <c r="AX2164" t="s">
        <v>68</v>
      </c>
      <c r="AY2164" t="s">
        <v>69</v>
      </c>
      <c r="AZ2164" t="b">
        <v>1</v>
      </c>
    </row>
    <row r="2165" spans="1:52" x14ac:dyDescent="0.3">
      <c r="A2165" t="s">
        <v>52</v>
      </c>
      <c r="B2165" t="s">
        <v>53</v>
      </c>
      <c r="C2165" t="s">
        <v>54</v>
      </c>
      <c r="D2165" t="s">
        <v>55</v>
      </c>
      <c r="E2165" t="s">
        <v>878</v>
      </c>
      <c r="F2165" t="s">
        <v>176</v>
      </c>
      <c r="G2165" t="s">
        <v>273</v>
      </c>
      <c r="H2165" t="s">
        <v>274</v>
      </c>
      <c r="I2165" t="s">
        <v>274</v>
      </c>
      <c r="J2165" t="s">
        <v>60</v>
      </c>
      <c r="K2165" t="s">
        <v>171</v>
      </c>
      <c r="L2165" t="s">
        <v>62</v>
      </c>
      <c r="M2165" t="s">
        <v>171</v>
      </c>
      <c r="N2165" t="s">
        <v>275</v>
      </c>
      <c r="O2165" t="s">
        <v>276</v>
      </c>
      <c r="P2165">
        <v>-19.679956000000001</v>
      </c>
      <c r="Q2165">
        <v>-43.888520999999997</v>
      </c>
      <c r="R2165" s="2" t="str">
        <f>HYPERLINK("https://www.google.com/maps?q=-19.6799560,-43.8885210","Abrir no Google Maps")</f>
        <v>Abrir no Google Maps</v>
      </c>
      <c r="S2165">
        <v>4</v>
      </c>
      <c r="T2165">
        <v>346.2974251077423</v>
      </c>
      <c r="U2165">
        <v>3</v>
      </c>
      <c r="V2165">
        <v>0.28067787687352908</v>
      </c>
      <c r="W2165">
        <v>1</v>
      </c>
      <c r="X2165">
        <v>0.28067787687352908</v>
      </c>
      <c r="Y2165">
        <v>0</v>
      </c>
      <c r="Z2165">
        <v>223.68420981797229</v>
      </c>
      <c r="AA2165">
        <v>2</v>
      </c>
      <c r="AB2165">
        <v>3</v>
      </c>
      <c r="AC2165">
        <v>7</v>
      </c>
      <c r="AD2165">
        <v>27.39</v>
      </c>
      <c r="AE2165">
        <v>253</v>
      </c>
      <c r="AF2165">
        <v>12</v>
      </c>
      <c r="AG2165">
        <v>75</v>
      </c>
      <c r="AH2165">
        <v>32</v>
      </c>
      <c r="AI2165">
        <v>4.74</v>
      </c>
      <c r="AJ2165">
        <v>29.64</v>
      </c>
      <c r="AK2165">
        <v>12.65</v>
      </c>
      <c r="AL2165">
        <v>-19.67989189999998</v>
      </c>
      <c r="AM2165">
        <v>-43.888485157753777</v>
      </c>
      <c r="AN2165">
        <v>-19.67989189999998</v>
      </c>
      <c r="AO2165">
        <v>-43.888485157753777</v>
      </c>
      <c r="AP2165">
        <v>-19.679956000000001</v>
      </c>
      <c r="AQ2165">
        <v>-43.888520999999997</v>
      </c>
      <c r="AR2165">
        <v>8.0641961934087583</v>
      </c>
      <c r="AS2165" t="s">
        <v>65</v>
      </c>
      <c r="AT2165">
        <v>1</v>
      </c>
      <c r="AU2165" t="s">
        <v>277</v>
      </c>
      <c r="AV2165" t="s">
        <v>278</v>
      </c>
      <c r="AW2165" t="s">
        <v>60</v>
      </c>
      <c r="AX2165" t="s">
        <v>68</v>
      </c>
      <c r="AY2165" t="s">
        <v>69</v>
      </c>
      <c r="AZ2165" t="b">
        <v>1</v>
      </c>
    </row>
    <row r="2166" spans="1:52" x14ac:dyDescent="0.3">
      <c r="A2166" t="s">
        <v>52</v>
      </c>
      <c r="B2166" t="s">
        <v>53</v>
      </c>
      <c r="C2166" t="s">
        <v>54</v>
      </c>
      <c r="D2166" t="s">
        <v>55</v>
      </c>
      <c r="E2166" t="s">
        <v>878</v>
      </c>
      <c r="F2166" t="s">
        <v>176</v>
      </c>
      <c r="G2166" t="s">
        <v>169</v>
      </c>
      <c r="H2166" t="s">
        <v>170</v>
      </c>
      <c r="I2166" t="s">
        <v>170</v>
      </c>
      <c r="J2166" t="s">
        <v>60</v>
      </c>
      <c r="K2166" t="s">
        <v>171</v>
      </c>
      <c r="L2166" t="s">
        <v>62</v>
      </c>
      <c r="M2166" t="s">
        <v>171</v>
      </c>
      <c r="N2166" t="s">
        <v>172</v>
      </c>
      <c r="O2166" t="s">
        <v>173</v>
      </c>
      <c r="P2166">
        <v>-19.676233</v>
      </c>
      <c r="Q2166">
        <v>-43.88861</v>
      </c>
      <c r="R2166" s="2" t="str">
        <f>HYPERLINK("https://www.google.com/maps?q=-19.6762330,-43.8886100","Abrir no Google Maps")</f>
        <v>Abrir no Google Maps</v>
      </c>
      <c r="S2166">
        <v>4</v>
      </c>
      <c r="T2166">
        <v>209.5772620412292</v>
      </c>
      <c r="U2166">
        <v>3</v>
      </c>
      <c r="V2166">
        <v>0.24729539909805551</v>
      </c>
      <c r="W2166">
        <v>1</v>
      </c>
      <c r="X2166">
        <v>0.24729539909805551</v>
      </c>
      <c r="Y2166">
        <v>0</v>
      </c>
      <c r="Z2166">
        <v>194.26571923644971</v>
      </c>
      <c r="AA2166">
        <v>2</v>
      </c>
      <c r="AB2166">
        <v>3</v>
      </c>
      <c r="AC2166">
        <v>7</v>
      </c>
      <c r="AD2166">
        <v>27.39</v>
      </c>
      <c r="AE2166">
        <v>253</v>
      </c>
      <c r="AF2166">
        <v>12</v>
      </c>
      <c r="AG2166">
        <v>75</v>
      </c>
      <c r="AH2166">
        <v>32</v>
      </c>
      <c r="AI2166">
        <v>4.74</v>
      </c>
      <c r="AJ2166">
        <v>29.64</v>
      </c>
      <c r="AK2166">
        <v>12.65</v>
      </c>
      <c r="AL2166">
        <v>-19.676097449999961</v>
      </c>
      <c r="AM2166">
        <v>-43.888455613153738</v>
      </c>
      <c r="AN2166">
        <v>-19.676097449999961</v>
      </c>
      <c r="AO2166">
        <v>-43.888455613153738</v>
      </c>
      <c r="AP2166">
        <v>-19.676233</v>
      </c>
      <c r="AQ2166">
        <v>-43.88861</v>
      </c>
      <c r="AR2166">
        <v>22.126352434234079</v>
      </c>
      <c r="AS2166" t="s">
        <v>65</v>
      </c>
      <c r="AT2166">
        <v>1</v>
      </c>
      <c r="AU2166" t="s">
        <v>174</v>
      </c>
      <c r="AV2166" t="s">
        <v>175</v>
      </c>
      <c r="AW2166" t="s">
        <v>60</v>
      </c>
      <c r="AX2166" t="s">
        <v>68</v>
      </c>
      <c r="AY2166" t="s">
        <v>69</v>
      </c>
      <c r="AZ2166" t="b">
        <v>1</v>
      </c>
    </row>
    <row r="2167" spans="1:52" x14ac:dyDescent="0.3">
      <c r="A2167" t="s">
        <v>52</v>
      </c>
      <c r="B2167" t="s">
        <v>53</v>
      </c>
      <c r="C2167" t="s">
        <v>54</v>
      </c>
      <c r="D2167" t="s">
        <v>55</v>
      </c>
      <c r="E2167" t="s">
        <v>878</v>
      </c>
      <c r="F2167" t="s">
        <v>176</v>
      </c>
      <c r="G2167" t="s">
        <v>279</v>
      </c>
      <c r="H2167" t="s">
        <v>280</v>
      </c>
      <c r="I2167" t="s">
        <v>280</v>
      </c>
      <c r="J2167" t="s">
        <v>60</v>
      </c>
      <c r="K2167" t="s">
        <v>171</v>
      </c>
      <c r="L2167" t="s">
        <v>62</v>
      </c>
      <c r="M2167" t="s">
        <v>171</v>
      </c>
      <c r="N2167" t="s">
        <v>281</v>
      </c>
      <c r="O2167" t="s">
        <v>282</v>
      </c>
      <c r="P2167">
        <v>-19.677088000000001</v>
      </c>
      <c r="Q2167">
        <v>-43.890014000000001</v>
      </c>
      <c r="R2167" s="2" t="str">
        <f>HYPERLINK("https://www.google.com/maps?q=-19.6770880,-43.8900140","Abrir no Google Maps")</f>
        <v>Abrir no Google Maps</v>
      </c>
      <c r="S2167">
        <v>4</v>
      </c>
      <c r="T2167">
        <v>0</v>
      </c>
      <c r="U2167">
        <v>3</v>
      </c>
      <c r="V2167">
        <v>0.26576749886000911</v>
      </c>
      <c r="W2167">
        <v>1</v>
      </c>
      <c r="X2167">
        <v>0.26576749886000911</v>
      </c>
      <c r="Y2167">
        <v>0</v>
      </c>
      <c r="Z2167">
        <v>151.75635194559609</v>
      </c>
      <c r="AA2167">
        <v>2</v>
      </c>
      <c r="AB2167">
        <v>3</v>
      </c>
      <c r="AC2167">
        <v>7</v>
      </c>
      <c r="AD2167">
        <v>27.39</v>
      </c>
      <c r="AE2167">
        <v>253</v>
      </c>
      <c r="AF2167">
        <v>12</v>
      </c>
      <c r="AG2167">
        <v>75</v>
      </c>
      <c r="AH2167">
        <v>32</v>
      </c>
      <c r="AI2167">
        <v>4.74</v>
      </c>
      <c r="AJ2167">
        <v>29.64</v>
      </c>
      <c r="AK2167">
        <v>12.65</v>
      </c>
      <c r="AL2167">
        <v>-19.677165649999949</v>
      </c>
      <c r="AM2167">
        <v>-43.890106299611283</v>
      </c>
      <c r="AN2167">
        <v>-19.677165649999949</v>
      </c>
      <c r="AO2167">
        <v>-43.890106299611283</v>
      </c>
      <c r="AP2167">
        <v>-19.677088000000001</v>
      </c>
      <c r="AQ2167">
        <v>-43.890014000000001</v>
      </c>
      <c r="AR2167">
        <v>12.973833126778279</v>
      </c>
      <c r="AS2167" t="s">
        <v>65</v>
      </c>
      <c r="AT2167">
        <v>1</v>
      </c>
      <c r="AU2167" t="s">
        <v>283</v>
      </c>
      <c r="AV2167" t="s">
        <v>175</v>
      </c>
      <c r="AW2167" t="s">
        <v>60</v>
      </c>
      <c r="AX2167" t="s">
        <v>68</v>
      </c>
      <c r="AY2167" t="s">
        <v>69</v>
      </c>
      <c r="AZ2167" t="b">
        <v>1</v>
      </c>
    </row>
    <row r="2168" spans="1:52" x14ac:dyDescent="0.3">
      <c r="A2168" t="s">
        <v>52</v>
      </c>
      <c r="B2168" t="s">
        <v>53</v>
      </c>
      <c r="C2168" t="s">
        <v>54</v>
      </c>
      <c r="D2168" t="s">
        <v>55</v>
      </c>
      <c r="E2168" t="s">
        <v>878</v>
      </c>
      <c r="F2168" t="s">
        <v>176</v>
      </c>
      <c r="G2168" t="s">
        <v>670</v>
      </c>
      <c r="H2168" t="s">
        <v>671</v>
      </c>
      <c r="I2168" t="s">
        <v>671</v>
      </c>
      <c r="J2168" t="s">
        <v>60</v>
      </c>
      <c r="K2168" t="s">
        <v>672</v>
      </c>
      <c r="L2168" t="s">
        <v>62</v>
      </c>
      <c r="M2168" t="s">
        <v>672</v>
      </c>
      <c r="N2168" t="s">
        <v>673</v>
      </c>
      <c r="O2168" t="s">
        <v>424</v>
      </c>
      <c r="P2168">
        <v>-19.574909999999999</v>
      </c>
      <c r="Q2168">
        <v>-43.906655999999998</v>
      </c>
      <c r="R2168" s="2" t="str">
        <f>HYPERLINK("https://www.google.com/maps?q=-19.5749100,-43.9066560","Abrir no Google Maps")</f>
        <v>Abrir no Google Maps</v>
      </c>
      <c r="S2168">
        <v>3</v>
      </c>
      <c r="T2168">
        <v>1366.716412286687</v>
      </c>
      <c r="U2168">
        <v>4</v>
      </c>
      <c r="V2168">
        <v>0.3650672031254556</v>
      </c>
      <c r="W2168">
        <v>1</v>
      </c>
      <c r="X2168">
        <v>0.3650672031254556</v>
      </c>
      <c r="Y2168">
        <v>7</v>
      </c>
      <c r="Z2168">
        <v>1153.3004962806151</v>
      </c>
      <c r="AA2168">
        <v>2</v>
      </c>
      <c r="AB2168">
        <v>3</v>
      </c>
      <c r="AC2168">
        <v>7</v>
      </c>
      <c r="AD2168">
        <v>27.39</v>
      </c>
      <c r="AE2168">
        <v>253</v>
      </c>
      <c r="AF2168">
        <v>12</v>
      </c>
      <c r="AG2168">
        <v>75</v>
      </c>
      <c r="AH2168">
        <v>32</v>
      </c>
      <c r="AI2168">
        <v>4.74</v>
      </c>
      <c r="AJ2168">
        <v>29.64</v>
      </c>
      <c r="AK2168">
        <v>12.65</v>
      </c>
      <c r="AL2168">
        <v>-19.574026899999978</v>
      </c>
      <c r="AM2168">
        <v>-43.907476033591983</v>
      </c>
      <c r="AN2168">
        <v>-19.574026899999978</v>
      </c>
      <c r="AO2168">
        <v>-43.907476033591983</v>
      </c>
      <c r="AP2168">
        <v>-19.574909999999999</v>
      </c>
      <c r="AQ2168">
        <v>-43.906655999999998</v>
      </c>
      <c r="AR2168">
        <v>130.62174183264671</v>
      </c>
      <c r="AS2168" t="s">
        <v>65</v>
      </c>
      <c r="AT2168">
        <v>1</v>
      </c>
      <c r="AU2168" t="s">
        <v>674</v>
      </c>
      <c r="AV2168" t="s">
        <v>675</v>
      </c>
      <c r="AW2168" t="s">
        <v>60</v>
      </c>
      <c r="AX2168" t="s">
        <v>68</v>
      </c>
      <c r="AY2168" t="s">
        <v>69</v>
      </c>
      <c r="AZ2168" t="b">
        <v>1</v>
      </c>
    </row>
    <row r="2169" spans="1:52" x14ac:dyDescent="0.3">
      <c r="A2169" t="s">
        <v>52</v>
      </c>
      <c r="B2169" t="s">
        <v>53</v>
      </c>
      <c r="C2169" t="s">
        <v>54</v>
      </c>
      <c r="D2169" t="s">
        <v>55</v>
      </c>
      <c r="E2169" t="s">
        <v>878</v>
      </c>
      <c r="F2169" t="s">
        <v>176</v>
      </c>
      <c r="G2169" t="s">
        <v>892</v>
      </c>
      <c r="H2169" t="s">
        <v>893</v>
      </c>
      <c r="I2169" t="s">
        <v>893</v>
      </c>
      <c r="J2169" t="s">
        <v>60</v>
      </c>
      <c r="K2169" t="s">
        <v>894</v>
      </c>
      <c r="L2169" t="s">
        <v>62</v>
      </c>
      <c r="M2169" t="s">
        <v>894</v>
      </c>
      <c r="N2169" t="s">
        <v>895</v>
      </c>
      <c r="O2169" t="s">
        <v>896</v>
      </c>
      <c r="P2169">
        <v>-19.664353999999999</v>
      </c>
      <c r="Q2169">
        <v>-43.929133</v>
      </c>
      <c r="R2169" s="2" t="str">
        <f>HYPERLINK("https://www.google.com/maps?q=-19.6643540,-43.9291330","Abrir no Google Maps")</f>
        <v>Abrir no Google Maps</v>
      </c>
      <c r="S2169">
        <v>3</v>
      </c>
      <c r="T2169">
        <v>2169.9111185068241</v>
      </c>
      <c r="U2169">
        <v>4</v>
      </c>
      <c r="V2169">
        <v>0.3492188997508146</v>
      </c>
      <c r="W2169">
        <v>0.85</v>
      </c>
      <c r="X2169">
        <v>0.29683606478819241</v>
      </c>
      <c r="Y2169">
        <v>5</v>
      </c>
      <c r="Z2169">
        <v>1851.910893151613</v>
      </c>
      <c r="AA2169">
        <v>2</v>
      </c>
      <c r="AB2169">
        <v>3</v>
      </c>
      <c r="AC2169">
        <v>7</v>
      </c>
      <c r="AD2169">
        <v>27.39</v>
      </c>
      <c r="AE2169">
        <v>253</v>
      </c>
      <c r="AF2169">
        <v>12</v>
      </c>
      <c r="AG2169">
        <v>75</v>
      </c>
      <c r="AH2169">
        <v>32</v>
      </c>
      <c r="AI2169">
        <v>4.74</v>
      </c>
      <c r="AJ2169">
        <v>29.64</v>
      </c>
      <c r="AK2169">
        <v>12.65</v>
      </c>
      <c r="AL2169">
        <v>-19.66389644999995</v>
      </c>
      <c r="AM2169">
        <v>-43.929631132528527</v>
      </c>
      <c r="AN2169">
        <v>-19.66389644999995</v>
      </c>
      <c r="AO2169">
        <v>-43.929631132528527</v>
      </c>
      <c r="AP2169">
        <v>-19.664353999999999</v>
      </c>
      <c r="AQ2169">
        <v>-43.929133</v>
      </c>
      <c r="AR2169">
        <v>72.945668999702804</v>
      </c>
      <c r="AS2169" t="s">
        <v>65</v>
      </c>
      <c r="AT2169">
        <v>1</v>
      </c>
      <c r="AU2169" t="s">
        <v>897</v>
      </c>
      <c r="AV2169" t="s">
        <v>898</v>
      </c>
      <c r="AW2169" t="s">
        <v>60</v>
      </c>
      <c r="AX2169" t="s">
        <v>68</v>
      </c>
      <c r="AY2169" t="s">
        <v>69</v>
      </c>
      <c r="AZ2169" t="b">
        <v>1</v>
      </c>
    </row>
    <row r="2170" spans="1:52" x14ac:dyDescent="0.3">
      <c r="A2170" t="s">
        <v>52</v>
      </c>
      <c r="B2170" t="s">
        <v>53</v>
      </c>
      <c r="C2170" t="s">
        <v>54</v>
      </c>
      <c r="D2170" t="s">
        <v>55</v>
      </c>
      <c r="E2170" t="s">
        <v>878</v>
      </c>
      <c r="F2170" t="s">
        <v>176</v>
      </c>
      <c r="G2170" t="s">
        <v>664</v>
      </c>
      <c r="H2170" t="s">
        <v>899</v>
      </c>
      <c r="I2170" t="s">
        <v>899</v>
      </c>
      <c r="J2170" t="s">
        <v>60</v>
      </c>
      <c r="K2170" t="s">
        <v>900</v>
      </c>
      <c r="L2170" t="s">
        <v>62</v>
      </c>
      <c r="M2170" t="s">
        <v>900</v>
      </c>
      <c r="N2170" t="s">
        <v>901</v>
      </c>
      <c r="O2170" t="s">
        <v>902</v>
      </c>
      <c r="P2170">
        <v>-19.672141</v>
      </c>
      <c r="Q2170">
        <v>-43.931755000000003</v>
      </c>
      <c r="R2170" s="2" t="str">
        <f>HYPERLINK("https://www.google.com/maps?q=-19.6721410,-43.9317550","Abrir no Google Maps")</f>
        <v>Abrir no Google Maps</v>
      </c>
      <c r="S2170">
        <v>3</v>
      </c>
      <c r="T2170">
        <v>2643.2273287748048</v>
      </c>
      <c r="U2170">
        <v>4</v>
      </c>
      <c r="V2170">
        <v>0.88749999999999996</v>
      </c>
      <c r="W2170">
        <v>0.85</v>
      </c>
      <c r="X2170">
        <v>0.75437499999999991</v>
      </c>
      <c r="Y2170">
        <v>5</v>
      </c>
      <c r="Z2170">
        <v>2580.297887511721</v>
      </c>
      <c r="AA2170">
        <v>2</v>
      </c>
      <c r="AB2170">
        <v>3</v>
      </c>
      <c r="AC2170">
        <v>7</v>
      </c>
      <c r="AD2170">
        <v>27.39</v>
      </c>
      <c r="AE2170">
        <v>253</v>
      </c>
      <c r="AF2170">
        <v>12</v>
      </c>
      <c r="AG2170">
        <v>75</v>
      </c>
      <c r="AH2170">
        <v>32</v>
      </c>
      <c r="AI2170">
        <v>4.74</v>
      </c>
      <c r="AJ2170">
        <v>29.64</v>
      </c>
      <c r="AK2170">
        <v>12.65</v>
      </c>
      <c r="AL2170">
        <v>-19.673616949999971</v>
      </c>
      <c r="AM2170">
        <v>-43.932753394200773</v>
      </c>
      <c r="AN2170">
        <v>-19.673616949999971</v>
      </c>
      <c r="AO2170">
        <v>-43.932753394200773</v>
      </c>
      <c r="AP2170">
        <v>-19.672141</v>
      </c>
      <c r="AQ2170">
        <v>-43.931755000000003</v>
      </c>
      <c r="AR2170">
        <v>194.801793771528</v>
      </c>
      <c r="AS2170" t="s">
        <v>65</v>
      </c>
      <c r="AT2170">
        <v>1</v>
      </c>
      <c r="AU2170" t="s">
        <v>903</v>
      </c>
      <c r="AV2170" t="s">
        <v>904</v>
      </c>
      <c r="AW2170" t="s">
        <v>60</v>
      </c>
      <c r="AX2170" t="s">
        <v>68</v>
      </c>
      <c r="AY2170" t="s">
        <v>69</v>
      </c>
      <c r="AZ2170" t="b">
        <v>1</v>
      </c>
    </row>
    <row r="2171" spans="1:52" x14ac:dyDescent="0.3">
      <c r="A2171" t="s">
        <v>52</v>
      </c>
      <c r="B2171" t="s">
        <v>53</v>
      </c>
      <c r="C2171" t="s">
        <v>54</v>
      </c>
      <c r="D2171" t="s">
        <v>55</v>
      </c>
      <c r="E2171" t="s">
        <v>878</v>
      </c>
      <c r="F2171" t="s">
        <v>176</v>
      </c>
      <c r="G2171" t="s">
        <v>696</v>
      </c>
      <c r="H2171" t="s">
        <v>697</v>
      </c>
      <c r="I2171" t="s">
        <v>697</v>
      </c>
      <c r="J2171" t="s">
        <v>60</v>
      </c>
      <c r="K2171" t="s">
        <v>192</v>
      </c>
      <c r="L2171" t="s">
        <v>62</v>
      </c>
      <c r="M2171" t="s">
        <v>192</v>
      </c>
      <c r="N2171" t="s">
        <v>698</v>
      </c>
      <c r="O2171" t="s">
        <v>201</v>
      </c>
      <c r="P2171">
        <v>-19.657964</v>
      </c>
      <c r="Q2171">
        <v>-43.913791000000003</v>
      </c>
      <c r="R2171" s="2" t="str">
        <f>HYPERLINK("https://www.google.com/maps?q=-19.6579640,-43.9137910","Abrir no Google Maps")</f>
        <v>Abrir no Google Maps</v>
      </c>
      <c r="S2171">
        <v>3</v>
      </c>
      <c r="T2171">
        <v>1058.2952342500039</v>
      </c>
      <c r="U2171">
        <v>4</v>
      </c>
      <c r="V2171">
        <v>0.3525516795865633</v>
      </c>
      <c r="W2171">
        <v>0.85</v>
      </c>
      <c r="X2171">
        <v>0.29966892764857878</v>
      </c>
      <c r="Y2171">
        <v>5</v>
      </c>
      <c r="Z2171">
        <v>569.88485997938767</v>
      </c>
      <c r="AA2171">
        <v>2</v>
      </c>
      <c r="AB2171">
        <v>3</v>
      </c>
      <c r="AC2171">
        <v>7</v>
      </c>
      <c r="AD2171">
        <v>27.39</v>
      </c>
      <c r="AE2171">
        <v>253</v>
      </c>
      <c r="AF2171">
        <v>12</v>
      </c>
      <c r="AG2171">
        <v>75</v>
      </c>
      <c r="AH2171">
        <v>32</v>
      </c>
      <c r="AI2171">
        <v>4.74</v>
      </c>
      <c r="AJ2171">
        <v>29.64</v>
      </c>
      <c r="AK2171">
        <v>12.65</v>
      </c>
      <c r="AL2171">
        <v>-19.656920099999951</v>
      </c>
      <c r="AM2171">
        <v>-43.913287088959777</v>
      </c>
      <c r="AN2171">
        <v>-19.656920099999951</v>
      </c>
      <c r="AO2171">
        <v>-43.913287088959777</v>
      </c>
      <c r="AP2171">
        <v>-19.657964</v>
      </c>
      <c r="AQ2171">
        <v>-43.913791000000003</v>
      </c>
      <c r="AR2171">
        <v>127.6506083298423</v>
      </c>
      <c r="AS2171" t="s">
        <v>65</v>
      </c>
      <c r="AT2171">
        <v>1</v>
      </c>
      <c r="AU2171" t="s">
        <v>699</v>
      </c>
      <c r="AV2171" t="s">
        <v>700</v>
      </c>
      <c r="AW2171" t="s">
        <v>60</v>
      </c>
      <c r="AX2171" t="s">
        <v>68</v>
      </c>
      <c r="AY2171" t="s">
        <v>69</v>
      </c>
      <c r="AZ2171" t="b">
        <v>1</v>
      </c>
    </row>
    <row r="2172" spans="1:52" x14ac:dyDescent="0.3">
      <c r="A2172" t="s">
        <v>52</v>
      </c>
      <c r="B2172" t="s">
        <v>53</v>
      </c>
      <c r="C2172" t="s">
        <v>54</v>
      </c>
      <c r="D2172" t="s">
        <v>55</v>
      </c>
      <c r="E2172" t="s">
        <v>878</v>
      </c>
      <c r="F2172" t="s">
        <v>176</v>
      </c>
      <c r="G2172" t="s">
        <v>905</v>
      </c>
      <c r="H2172" t="s">
        <v>906</v>
      </c>
      <c r="I2172" t="s">
        <v>906</v>
      </c>
      <c r="J2172" t="s">
        <v>60</v>
      </c>
      <c r="K2172" t="s">
        <v>907</v>
      </c>
      <c r="L2172" t="s">
        <v>62</v>
      </c>
      <c r="M2172" t="s">
        <v>907</v>
      </c>
      <c r="N2172" t="s">
        <v>908</v>
      </c>
      <c r="O2172" t="s">
        <v>335</v>
      </c>
      <c r="P2172">
        <v>-19.651126000000001</v>
      </c>
      <c r="Q2172">
        <v>-43.927838000000001</v>
      </c>
      <c r="R2172" s="2" t="str">
        <f>HYPERLINK("https://www.google.com/maps?q=-19.6511260,-43.9278380","Abrir no Google Maps")</f>
        <v>Abrir no Google Maps</v>
      </c>
      <c r="S2172">
        <v>3</v>
      </c>
      <c r="T2172">
        <v>1859.539110053179</v>
      </c>
      <c r="U2172">
        <v>4</v>
      </c>
      <c r="V2172">
        <v>0.349691770647653</v>
      </c>
      <c r="W2172">
        <v>0.85</v>
      </c>
      <c r="X2172">
        <v>0.29723800505050502</v>
      </c>
      <c r="Y2172">
        <v>5</v>
      </c>
      <c r="Z2172">
        <v>1995.036482136632</v>
      </c>
      <c r="AA2172">
        <v>2</v>
      </c>
      <c r="AB2172">
        <v>3</v>
      </c>
      <c r="AC2172">
        <v>7</v>
      </c>
      <c r="AD2172">
        <v>27.39</v>
      </c>
      <c r="AE2172">
        <v>253</v>
      </c>
      <c r="AF2172">
        <v>12</v>
      </c>
      <c r="AG2172">
        <v>75</v>
      </c>
      <c r="AH2172">
        <v>32</v>
      </c>
      <c r="AI2172">
        <v>4.74</v>
      </c>
      <c r="AJ2172">
        <v>29.64</v>
      </c>
      <c r="AK2172">
        <v>12.65</v>
      </c>
      <c r="AL2172">
        <v>-19.65112704999996</v>
      </c>
      <c r="AM2172">
        <v>-43.928081369537409</v>
      </c>
      <c r="AN2172">
        <v>-19.65112704999996</v>
      </c>
      <c r="AO2172">
        <v>-43.928081369537409</v>
      </c>
      <c r="AP2172">
        <v>-19.651126000000001</v>
      </c>
      <c r="AQ2172">
        <v>-43.927838000000001</v>
      </c>
      <c r="AR2172">
        <v>25.514271408217368</v>
      </c>
      <c r="AS2172" t="s">
        <v>65</v>
      </c>
      <c r="AT2172">
        <v>1</v>
      </c>
      <c r="AU2172" t="s">
        <v>909</v>
      </c>
      <c r="AV2172" t="s">
        <v>910</v>
      </c>
      <c r="AW2172" t="s">
        <v>60</v>
      </c>
      <c r="AX2172" t="s">
        <v>68</v>
      </c>
      <c r="AY2172" t="s">
        <v>69</v>
      </c>
      <c r="AZ2172" t="b">
        <v>1</v>
      </c>
    </row>
    <row r="2173" spans="1:52" x14ac:dyDescent="0.3">
      <c r="A2173" t="s">
        <v>52</v>
      </c>
      <c r="B2173" t="s">
        <v>53</v>
      </c>
      <c r="C2173" t="s">
        <v>54</v>
      </c>
      <c r="D2173" t="s">
        <v>55</v>
      </c>
      <c r="E2173" t="s">
        <v>878</v>
      </c>
      <c r="F2173" t="s">
        <v>176</v>
      </c>
      <c r="G2173" t="s">
        <v>911</v>
      </c>
      <c r="H2173" t="s">
        <v>912</v>
      </c>
      <c r="I2173" t="s">
        <v>912</v>
      </c>
      <c r="J2173" t="s">
        <v>60</v>
      </c>
      <c r="K2173" t="s">
        <v>913</v>
      </c>
      <c r="L2173" t="s">
        <v>62</v>
      </c>
      <c r="M2173" t="s">
        <v>913</v>
      </c>
      <c r="N2173" t="s">
        <v>914</v>
      </c>
      <c r="O2173" t="s">
        <v>379</v>
      </c>
      <c r="P2173">
        <v>-19.656382000000001</v>
      </c>
      <c r="Q2173">
        <v>-43.918891000000002</v>
      </c>
      <c r="R2173" s="2" t="str">
        <f>HYPERLINK("https://www.google.com/maps?q=-19.6563820,-43.9188910","Abrir no Google Maps")</f>
        <v>Abrir no Google Maps</v>
      </c>
      <c r="S2173">
        <v>3</v>
      </c>
      <c r="T2173">
        <v>1430.0531526317161</v>
      </c>
      <c r="U2173">
        <v>4</v>
      </c>
      <c r="V2173">
        <v>0.34486459233650241</v>
      </c>
      <c r="W2173">
        <v>0.85</v>
      </c>
      <c r="X2173">
        <v>0.29313490348602711</v>
      </c>
      <c r="Y2173">
        <v>5</v>
      </c>
      <c r="Z2173">
        <v>1029.373628482881</v>
      </c>
      <c r="AA2173">
        <v>2</v>
      </c>
      <c r="AB2173">
        <v>3</v>
      </c>
      <c r="AC2173">
        <v>7</v>
      </c>
      <c r="AD2173">
        <v>27.39</v>
      </c>
      <c r="AE2173">
        <v>253</v>
      </c>
      <c r="AF2173">
        <v>12</v>
      </c>
      <c r="AG2173">
        <v>75</v>
      </c>
      <c r="AH2173">
        <v>32</v>
      </c>
      <c r="AI2173">
        <v>4.74</v>
      </c>
      <c r="AJ2173">
        <v>29.64</v>
      </c>
      <c r="AK2173">
        <v>12.65</v>
      </c>
      <c r="AL2173">
        <v>-19.65660079999995</v>
      </c>
      <c r="AM2173">
        <v>-43.918817127441343</v>
      </c>
      <c r="AN2173">
        <v>-19.65660079999995</v>
      </c>
      <c r="AO2173">
        <v>-43.918817127441343</v>
      </c>
      <c r="AP2173">
        <v>-19.656382000000001</v>
      </c>
      <c r="AQ2173">
        <v>-43.918891000000002</v>
      </c>
      <c r="AR2173">
        <v>25.558330696822669</v>
      </c>
      <c r="AS2173" t="s">
        <v>65</v>
      </c>
      <c r="AT2173">
        <v>1</v>
      </c>
      <c r="AU2173" t="s">
        <v>915</v>
      </c>
      <c r="AV2173" t="s">
        <v>916</v>
      </c>
      <c r="AW2173" t="s">
        <v>60</v>
      </c>
      <c r="AX2173" t="s">
        <v>68</v>
      </c>
      <c r="AY2173" t="s">
        <v>69</v>
      </c>
      <c r="AZ2173" t="b">
        <v>1</v>
      </c>
    </row>
    <row r="2174" spans="1:52" x14ac:dyDescent="0.3">
      <c r="A2174" t="s">
        <v>52</v>
      </c>
      <c r="B2174" t="s">
        <v>53</v>
      </c>
      <c r="C2174" t="s">
        <v>54</v>
      </c>
      <c r="D2174" t="s">
        <v>55</v>
      </c>
      <c r="E2174" t="s">
        <v>878</v>
      </c>
      <c r="F2174" t="s">
        <v>176</v>
      </c>
      <c r="G2174" t="s">
        <v>917</v>
      </c>
      <c r="H2174" t="s">
        <v>918</v>
      </c>
      <c r="I2174" t="s">
        <v>918</v>
      </c>
      <c r="J2174" t="s">
        <v>60</v>
      </c>
      <c r="K2174" t="s">
        <v>907</v>
      </c>
      <c r="L2174" t="s">
        <v>62</v>
      </c>
      <c r="M2174" t="s">
        <v>907</v>
      </c>
      <c r="N2174" t="s">
        <v>919</v>
      </c>
      <c r="O2174" t="s">
        <v>920</v>
      </c>
      <c r="P2174">
        <v>-19.658954999999999</v>
      </c>
      <c r="Q2174">
        <v>-43.932918999999998</v>
      </c>
      <c r="R2174" s="2" t="str">
        <f>HYPERLINK("https://www.google.com/maps?q=-19.6589550,-43.9329190","Abrir no Google Maps")</f>
        <v>Abrir no Google Maps</v>
      </c>
      <c r="S2174">
        <v>3</v>
      </c>
      <c r="T2174">
        <v>2607.2172609178169</v>
      </c>
      <c r="U2174">
        <v>4</v>
      </c>
      <c r="V2174">
        <v>0.34512012012012011</v>
      </c>
      <c r="W2174">
        <v>0.85</v>
      </c>
      <c r="X2174">
        <v>0.29335210210210211</v>
      </c>
      <c r="Y2174">
        <v>5</v>
      </c>
      <c r="Z2174">
        <v>2458.9199945045921</v>
      </c>
      <c r="AA2174">
        <v>2</v>
      </c>
      <c r="AB2174">
        <v>3</v>
      </c>
      <c r="AC2174">
        <v>7</v>
      </c>
      <c r="AD2174">
        <v>27.39</v>
      </c>
      <c r="AE2174">
        <v>253</v>
      </c>
      <c r="AF2174">
        <v>12</v>
      </c>
      <c r="AG2174">
        <v>75</v>
      </c>
      <c r="AH2174">
        <v>32</v>
      </c>
      <c r="AI2174">
        <v>4.74</v>
      </c>
      <c r="AJ2174">
        <v>29.64</v>
      </c>
      <c r="AK2174">
        <v>12.65</v>
      </c>
      <c r="AL2174">
        <v>-19.659283599999949</v>
      </c>
      <c r="AM2174">
        <v>-43.932973290492171</v>
      </c>
      <c r="AN2174">
        <v>-19.659283599999949</v>
      </c>
      <c r="AO2174">
        <v>-43.932973290492171</v>
      </c>
      <c r="AP2174">
        <v>-19.658954999999999</v>
      </c>
      <c r="AQ2174">
        <v>-43.932918999999998</v>
      </c>
      <c r="AR2174">
        <v>37.01985334564332</v>
      </c>
      <c r="AS2174" t="s">
        <v>65</v>
      </c>
      <c r="AT2174">
        <v>1</v>
      </c>
      <c r="AU2174" t="s">
        <v>921</v>
      </c>
      <c r="AV2174" t="s">
        <v>922</v>
      </c>
      <c r="AW2174" t="s">
        <v>60</v>
      </c>
      <c r="AX2174" t="s">
        <v>68</v>
      </c>
      <c r="AY2174" t="s">
        <v>69</v>
      </c>
      <c r="AZ2174" t="b">
        <v>1</v>
      </c>
    </row>
    <row r="2175" spans="1:52" x14ac:dyDescent="0.3">
      <c r="A2175" t="s">
        <v>52</v>
      </c>
      <c r="B2175" t="s">
        <v>53</v>
      </c>
      <c r="C2175" t="s">
        <v>54</v>
      </c>
      <c r="D2175" t="s">
        <v>55</v>
      </c>
      <c r="E2175" t="s">
        <v>878</v>
      </c>
      <c r="F2175" t="s">
        <v>176</v>
      </c>
      <c r="G2175" t="s">
        <v>923</v>
      </c>
      <c r="H2175" t="s">
        <v>924</v>
      </c>
      <c r="I2175" t="s">
        <v>924</v>
      </c>
      <c r="J2175" t="s">
        <v>60</v>
      </c>
      <c r="K2175" t="s">
        <v>907</v>
      </c>
      <c r="L2175" t="s">
        <v>62</v>
      </c>
      <c r="M2175" t="s">
        <v>907</v>
      </c>
      <c r="N2175" t="s">
        <v>925</v>
      </c>
      <c r="O2175" t="s">
        <v>926</v>
      </c>
      <c r="P2175">
        <v>-19.657489000000002</v>
      </c>
      <c r="Q2175">
        <v>-43.935346000000003</v>
      </c>
      <c r="R2175" s="2" t="str">
        <f>HYPERLINK("https://www.google.com/maps?q=-19.6574890,-43.9353460","Abrir no Google Maps")</f>
        <v>Abrir no Google Maps</v>
      </c>
      <c r="S2175">
        <v>3</v>
      </c>
      <c r="T2175">
        <v>2800.1929894127052</v>
      </c>
      <c r="U2175">
        <v>4</v>
      </c>
      <c r="V2175">
        <v>0.36156517094017088</v>
      </c>
      <c r="W2175">
        <v>0.85</v>
      </c>
      <c r="X2175">
        <v>0.30733039529914519</v>
      </c>
      <c r="Y2175">
        <v>5</v>
      </c>
      <c r="Z2175">
        <v>2832.2302483820372</v>
      </c>
      <c r="AA2175">
        <v>2</v>
      </c>
      <c r="AB2175">
        <v>3</v>
      </c>
      <c r="AC2175">
        <v>7</v>
      </c>
      <c r="AD2175">
        <v>27.39</v>
      </c>
      <c r="AE2175">
        <v>253</v>
      </c>
      <c r="AF2175">
        <v>12</v>
      </c>
      <c r="AG2175">
        <v>75</v>
      </c>
      <c r="AH2175">
        <v>32</v>
      </c>
      <c r="AI2175">
        <v>4.74</v>
      </c>
      <c r="AJ2175">
        <v>29.64</v>
      </c>
      <c r="AK2175">
        <v>12.65</v>
      </c>
      <c r="AL2175">
        <v>-19.657255599999932</v>
      </c>
      <c r="AM2175">
        <v>-43.934577856858752</v>
      </c>
      <c r="AN2175">
        <v>-19.657255599999932</v>
      </c>
      <c r="AO2175">
        <v>-43.934577856858752</v>
      </c>
      <c r="AP2175">
        <v>-19.657489000000002</v>
      </c>
      <c r="AQ2175">
        <v>-43.935346000000003</v>
      </c>
      <c r="AR2175">
        <v>84.614185651873711</v>
      </c>
      <c r="AS2175" t="s">
        <v>65</v>
      </c>
      <c r="AT2175">
        <v>1</v>
      </c>
      <c r="AU2175" t="s">
        <v>927</v>
      </c>
      <c r="AV2175" t="s">
        <v>922</v>
      </c>
      <c r="AW2175" t="s">
        <v>60</v>
      </c>
      <c r="AX2175" t="s">
        <v>68</v>
      </c>
      <c r="AY2175" t="s">
        <v>69</v>
      </c>
      <c r="AZ2175" t="b">
        <v>1</v>
      </c>
    </row>
    <row r="2176" spans="1:52" x14ac:dyDescent="0.3">
      <c r="A2176" t="s">
        <v>52</v>
      </c>
      <c r="B2176" t="s">
        <v>53</v>
      </c>
      <c r="C2176" t="s">
        <v>54</v>
      </c>
      <c r="D2176" t="s">
        <v>55</v>
      </c>
      <c r="E2176" t="s">
        <v>878</v>
      </c>
      <c r="F2176" t="s">
        <v>176</v>
      </c>
      <c r="G2176" t="s">
        <v>309</v>
      </c>
      <c r="H2176" t="s">
        <v>676</v>
      </c>
      <c r="I2176" t="s">
        <v>676</v>
      </c>
      <c r="J2176" t="s">
        <v>60</v>
      </c>
      <c r="K2176" t="s">
        <v>311</v>
      </c>
      <c r="L2176" t="s">
        <v>62</v>
      </c>
      <c r="M2176" t="s">
        <v>311</v>
      </c>
      <c r="N2176" t="s">
        <v>677</v>
      </c>
      <c r="O2176" t="s">
        <v>678</v>
      </c>
      <c r="P2176">
        <v>-19.567574</v>
      </c>
      <c r="Q2176">
        <v>-43.916691</v>
      </c>
      <c r="R2176" s="2" t="str">
        <f>HYPERLINK("https://www.google.com/maps?q=-19.5675740,-43.9166910","Abrir no Google Maps")</f>
        <v>Abrir no Google Maps</v>
      </c>
      <c r="S2176">
        <v>3</v>
      </c>
      <c r="T2176">
        <v>964.07840012317956</v>
      </c>
      <c r="U2176">
        <v>4</v>
      </c>
      <c r="V2176">
        <v>0.3386056702197478</v>
      </c>
      <c r="W2176">
        <v>1</v>
      </c>
      <c r="X2176">
        <v>0.3386056702197478</v>
      </c>
      <c r="Y2176">
        <v>5</v>
      </c>
      <c r="Z2176">
        <v>848.74171565955544</v>
      </c>
      <c r="AA2176">
        <v>2</v>
      </c>
      <c r="AB2176">
        <v>3</v>
      </c>
      <c r="AC2176">
        <v>7</v>
      </c>
      <c r="AD2176">
        <v>27.39</v>
      </c>
      <c r="AE2176">
        <v>253</v>
      </c>
      <c r="AF2176">
        <v>12</v>
      </c>
      <c r="AG2176">
        <v>75</v>
      </c>
      <c r="AH2176">
        <v>32</v>
      </c>
      <c r="AI2176">
        <v>4.74</v>
      </c>
      <c r="AJ2176">
        <v>29.64</v>
      </c>
      <c r="AK2176">
        <v>12.65</v>
      </c>
      <c r="AL2176">
        <v>-19.568204099999971</v>
      </c>
      <c r="AM2176">
        <v>-43.914085447159053</v>
      </c>
      <c r="AN2176">
        <v>-19.568204099999971</v>
      </c>
      <c r="AO2176">
        <v>-43.914085447159053</v>
      </c>
      <c r="AP2176">
        <v>-19.567574</v>
      </c>
      <c r="AQ2176">
        <v>-43.916691</v>
      </c>
      <c r="AR2176">
        <v>282.15548573552991</v>
      </c>
      <c r="AS2176" t="s">
        <v>65</v>
      </c>
      <c r="AT2176">
        <v>1</v>
      </c>
      <c r="AU2176" t="s">
        <v>679</v>
      </c>
      <c r="AV2176" t="s">
        <v>680</v>
      </c>
      <c r="AW2176" t="s">
        <v>60</v>
      </c>
      <c r="AX2176" t="s">
        <v>68</v>
      </c>
      <c r="AY2176" t="s">
        <v>69</v>
      </c>
      <c r="AZ2176" t="b">
        <v>1</v>
      </c>
    </row>
    <row r="2177" spans="1:52" x14ac:dyDescent="0.3">
      <c r="A2177" t="s">
        <v>52</v>
      </c>
      <c r="B2177" t="s">
        <v>53</v>
      </c>
      <c r="C2177" t="s">
        <v>54</v>
      </c>
      <c r="D2177" t="s">
        <v>55</v>
      </c>
      <c r="E2177" t="s">
        <v>878</v>
      </c>
      <c r="F2177" t="s">
        <v>176</v>
      </c>
      <c r="G2177" t="s">
        <v>664</v>
      </c>
      <c r="H2177" t="s">
        <v>928</v>
      </c>
      <c r="I2177" t="s">
        <v>928</v>
      </c>
      <c r="J2177" t="s">
        <v>60</v>
      </c>
      <c r="K2177" t="s">
        <v>683</v>
      </c>
      <c r="L2177" t="s">
        <v>62</v>
      </c>
      <c r="M2177" t="s">
        <v>683</v>
      </c>
      <c r="N2177" t="s">
        <v>929</v>
      </c>
      <c r="O2177" t="s">
        <v>930</v>
      </c>
      <c r="P2177">
        <v>-19.549015000000001</v>
      </c>
      <c r="Q2177">
        <v>-43.909182999999999</v>
      </c>
      <c r="R2177" s="2" t="str">
        <f>HYPERLINK("https://www.google.com/maps?q=-19.5490150,-43.9091830","Abrir no Google Maps")</f>
        <v>Abrir no Google Maps</v>
      </c>
      <c r="S2177">
        <v>3</v>
      </c>
      <c r="T2177">
        <v>3090.85419833485</v>
      </c>
      <c r="U2177">
        <v>4</v>
      </c>
      <c r="V2177">
        <v>0.46498599439775912</v>
      </c>
      <c r="W2177">
        <v>0.85</v>
      </c>
      <c r="X2177">
        <v>0.39523809523809522</v>
      </c>
      <c r="Y2177">
        <v>5</v>
      </c>
      <c r="Z2177">
        <v>2994.6428088771122</v>
      </c>
      <c r="AA2177">
        <v>2</v>
      </c>
      <c r="AB2177">
        <v>3</v>
      </c>
      <c r="AC2177">
        <v>7</v>
      </c>
      <c r="AD2177">
        <v>27.39</v>
      </c>
      <c r="AE2177">
        <v>253</v>
      </c>
      <c r="AF2177">
        <v>12</v>
      </c>
      <c r="AG2177">
        <v>75</v>
      </c>
      <c r="AH2177">
        <v>32</v>
      </c>
      <c r="AI2177">
        <v>4.74</v>
      </c>
      <c r="AJ2177">
        <v>29.64</v>
      </c>
      <c r="AK2177">
        <v>12.65</v>
      </c>
      <c r="AL2177">
        <v>-19.54963969999994</v>
      </c>
      <c r="AM2177">
        <v>-43.906959588363577</v>
      </c>
      <c r="AN2177">
        <v>-19.54963969999994</v>
      </c>
      <c r="AO2177">
        <v>-43.906959588363577</v>
      </c>
      <c r="AP2177">
        <v>-19.549015000000001</v>
      </c>
      <c r="AQ2177">
        <v>-43.909182999999999</v>
      </c>
      <c r="AR2177">
        <v>243.3880141146102</v>
      </c>
      <c r="AS2177" t="s">
        <v>65</v>
      </c>
      <c r="AT2177">
        <v>1</v>
      </c>
      <c r="AU2177" t="s">
        <v>931</v>
      </c>
      <c r="AV2177" t="s">
        <v>932</v>
      </c>
      <c r="AW2177" t="s">
        <v>60</v>
      </c>
      <c r="AX2177" t="s">
        <v>68</v>
      </c>
      <c r="AY2177" t="s">
        <v>69</v>
      </c>
      <c r="AZ2177" t="b">
        <v>1</v>
      </c>
    </row>
    <row r="2178" spans="1:52" x14ac:dyDescent="0.3">
      <c r="A2178" t="s">
        <v>52</v>
      </c>
      <c r="B2178" t="s">
        <v>53</v>
      </c>
      <c r="C2178" t="s">
        <v>54</v>
      </c>
      <c r="D2178" t="s">
        <v>55</v>
      </c>
      <c r="E2178" t="s">
        <v>878</v>
      </c>
      <c r="F2178" t="s">
        <v>176</v>
      </c>
      <c r="G2178" t="s">
        <v>309</v>
      </c>
      <c r="H2178" t="s">
        <v>933</v>
      </c>
      <c r="I2178" t="s">
        <v>933</v>
      </c>
      <c r="J2178" t="s">
        <v>60</v>
      </c>
      <c r="K2178" t="s">
        <v>311</v>
      </c>
      <c r="L2178" t="s">
        <v>62</v>
      </c>
      <c r="M2178" t="s">
        <v>311</v>
      </c>
      <c r="N2178" t="s">
        <v>677</v>
      </c>
      <c r="O2178" t="s">
        <v>934</v>
      </c>
      <c r="P2178">
        <v>-19.580655</v>
      </c>
      <c r="Q2178">
        <v>-43.914876999999997</v>
      </c>
      <c r="R2178" s="2" t="str">
        <f>HYPERLINK("https://www.google.com/maps?q=-19.5806550,-43.9148770","Abrir no Google Maps")</f>
        <v>Abrir no Google Maps</v>
      </c>
      <c r="S2178">
        <v>3</v>
      </c>
      <c r="T2178">
        <v>890.88510131674673</v>
      </c>
      <c r="U2178">
        <v>4</v>
      </c>
      <c r="V2178">
        <v>0.35052910052910041</v>
      </c>
      <c r="W2178">
        <v>0.85</v>
      </c>
      <c r="X2178">
        <v>0.29794973544973541</v>
      </c>
      <c r="Y2178">
        <v>5</v>
      </c>
      <c r="Z2178">
        <v>908.71324402850848</v>
      </c>
      <c r="AA2178">
        <v>2</v>
      </c>
      <c r="AB2178">
        <v>3</v>
      </c>
      <c r="AC2178">
        <v>7</v>
      </c>
      <c r="AD2178">
        <v>27.39</v>
      </c>
      <c r="AE2178">
        <v>253</v>
      </c>
      <c r="AF2178">
        <v>12</v>
      </c>
      <c r="AG2178">
        <v>75</v>
      </c>
      <c r="AH2178">
        <v>32</v>
      </c>
      <c r="AI2178">
        <v>4.74</v>
      </c>
      <c r="AJ2178">
        <v>29.64</v>
      </c>
      <c r="AK2178">
        <v>12.65</v>
      </c>
      <c r="AL2178">
        <v>-19.580250799999959</v>
      </c>
      <c r="AM2178">
        <v>-43.914614567235688</v>
      </c>
      <c r="AN2178">
        <v>-19.580250799999959</v>
      </c>
      <c r="AO2178">
        <v>-43.914614567235688</v>
      </c>
      <c r="AP2178">
        <v>-19.580655</v>
      </c>
      <c r="AQ2178">
        <v>-43.914876999999997</v>
      </c>
      <c r="AR2178">
        <v>52.746618191688249</v>
      </c>
      <c r="AS2178" t="s">
        <v>65</v>
      </c>
      <c r="AT2178">
        <v>1</v>
      </c>
      <c r="AU2178" t="s">
        <v>935</v>
      </c>
      <c r="AV2178" t="s">
        <v>936</v>
      </c>
      <c r="AW2178" t="s">
        <v>60</v>
      </c>
      <c r="AX2178" t="s">
        <v>68</v>
      </c>
      <c r="AY2178" t="s">
        <v>69</v>
      </c>
      <c r="AZ2178" t="b">
        <v>1</v>
      </c>
    </row>
    <row r="2179" spans="1:52" x14ac:dyDescent="0.3">
      <c r="A2179" t="s">
        <v>52</v>
      </c>
      <c r="B2179" t="s">
        <v>53</v>
      </c>
      <c r="C2179" t="s">
        <v>54</v>
      </c>
      <c r="D2179" t="s">
        <v>55</v>
      </c>
      <c r="E2179" t="s">
        <v>878</v>
      </c>
      <c r="F2179" t="s">
        <v>176</v>
      </c>
      <c r="G2179" t="s">
        <v>937</v>
      </c>
      <c r="H2179" t="s">
        <v>938</v>
      </c>
      <c r="I2179" t="s">
        <v>938</v>
      </c>
      <c r="J2179" t="s">
        <v>60</v>
      </c>
      <c r="K2179" t="s">
        <v>311</v>
      </c>
      <c r="L2179" t="s">
        <v>62</v>
      </c>
      <c r="M2179" t="s">
        <v>311</v>
      </c>
      <c r="N2179" t="s">
        <v>939</v>
      </c>
      <c r="O2179" t="s">
        <v>120</v>
      </c>
      <c r="P2179">
        <v>-19.581396999999999</v>
      </c>
      <c r="Q2179">
        <v>-43.926879</v>
      </c>
      <c r="R2179" s="2" t="str">
        <f>HYPERLINK("https://www.google.com/maps?q=-19.5813970,-43.9268790","Abrir no Google Maps")</f>
        <v>Abrir no Google Maps</v>
      </c>
      <c r="S2179">
        <v>3</v>
      </c>
      <c r="T2179">
        <v>938.76262853352762</v>
      </c>
      <c r="U2179">
        <v>4</v>
      </c>
      <c r="V2179">
        <v>0.49762413875029698</v>
      </c>
      <c r="W2179">
        <v>0.85</v>
      </c>
      <c r="X2179">
        <v>0.42298051793775238</v>
      </c>
      <c r="Y2179">
        <v>5</v>
      </c>
      <c r="Z2179">
        <v>1210.0618710840349</v>
      </c>
      <c r="AA2179">
        <v>2</v>
      </c>
      <c r="AB2179">
        <v>3</v>
      </c>
      <c r="AC2179">
        <v>7</v>
      </c>
      <c r="AD2179">
        <v>27.39</v>
      </c>
      <c r="AE2179">
        <v>253</v>
      </c>
      <c r="AF2179">
        <v>12</v>
      </c>
      <c r="AG2179">
        <v>75</v>
      </c>
      <c r="AH2179">
        <v>32</v>
      </c>
      <c r="AI2179">
        <v>4.74</v>
      </c>
      <c r="AJ2179">
        <v>29.64</v>
      </c>
      <c r="AK2179">
        <v>12.65</v>
      </c>
      <c r="AL2179">
        <v>-19.581164049999959</v>
      </c>
      <c r="AM2179">
        <v>-43.925959417045739</v>
      </c>
      <c r="AN2179">
        <v>-19.581164049999959</v>
      </c>
      <c r="AO2179">
        <v>-43.925959417045739</v>
      </c>
      <c r="AP2179">
        <v>-19.581396999999999</v>
      </c>
      <c r="AQ2179">
        <v>-43.926879</v>
      </c>
      <c r="AR2179">
        <v>99.873148985389307</v>
      </c>
      <c r="AS2179" t="s">
        <v>65</v>
      </c>
      <c r="AT2179">
        <v>1</v>
      </c>
      <c r="AU2179" t="s">
        <v>940</v>
      </c>
      <c r="AV2179" t="s">
        <v>941</v>
      </c>
      <c r="AW2179" t="s">
        <v>60</v>
      </c>
      <c r="AX2179" t="s">
        <v>68</v>
      </c>
      <c r="AY2179" t="s">
        <v>69</v>
      </c>
      <c r="AZ2179" t="b">
        <v>1</v>
      </c>
    </row>
    <row r="2180" spans="1:52" x14ac:dyDescent="0.3">
      <c r="A2180" t="s">
        <v>52</v>
      </c>
      <c r="B2180" t="s">
        <v>53</v>
      </c>
      <c r="C2180" t="s">
        <v>54</v>
      </c>
      <c r="D2180" t="s">
        <v>55</v>
      </c>
      <c r="E2180" t="s">
        <v>878</v>
      </c>
      <c r="F2180" t="s">
        <v>176</v>
      </c>
      <c r="G2180" t="s">
        <v>433</v>
      </c>
      <c r="H2180" t="s">
        <v>434</v>
      </c>
      <c r="I2180" t="s">
        <v>434</v>
      </c>
      <c r="J2180" t="s">
        <v>60</v>
      </c>
      <c r="K2180" t="s">
        <v>311</v>
      </c>
      <c r="L2180" t="s">
        <v>62</v>
      </c>
      <c r="M2180" t="s">
        <v>311</v>
      </c>
      <c r="N2180" t="s">
        <v>435</v>
      </c>
      <c r="O2180" t="s">
        <v>120</v>
      </c>
      <c r="P2180">
        <v>-19.563834</v>
      </c>
      <c r="Q2180">
        <v>-43.917617</v>
      </c>
      <c r="R2180" s="2" t="str">
        <f>HYPERLINK("https://www.google.com/maps?q=-19.5638340,-43.9176170","Abrir no Google Maps")</f>
        <v>Abrir no Google Maps</v>
      </c>
      <c r="S2180">
        <v>3</v>
      </c>
      <c r="T2180">
        <v>1208.4380275937069</v>
      </c>
      <c r="U2180">
        <v>4</v>
      </c>
      <c r="V2180">
        <v>0.29034398242055448</v>
      </c>
      <c r="W2180">
        <v>1</v>
      </c>
      <c r="X2180">
        <v>0.29034398242055448</v>
      </c>
      <c r="Y2180">
        <v>5</v>
      </c>
      <c r="Z2180">
        <v>1239.357315084522</v>
      </c>
      <c r="AA2180">
        <v>2</v>
      </c>
      <c r="AB2180">
        <v>3</v>
      </c>
      <c r="AC2180">
        <v>7</v>
      </c>
      <c r="AD2180">
        <v>27.39</v>
      </c>
      <c r="AE2180">
        <v>253</v>
      </c>
      <c r="AF2180">
        <v>12</v>
      </c>
      <c r="AG2180">
        <v>75</v>
      </c>
      <c r="AH2180">
        <v>32</v>
      </c>
      <c r="AI2180">
        <v>4.74</v>
      </c>
      <c r="AJ2180">
        <v>29.64</v>
      </c>
      <c r="AK2180">
        <v>12.65</v>
      </c>
      <c r="AL2180">
        <v>-19.563932349999959</v>
      </c>
      <c r="AM2180">
        <v>-43.917383104532327</v>
      </c>
      <c r="AN2180">
        <v>-19.563932349999959</v>
      </c>
      <c r="AO2180">
        <v>-43.917383104532327</v>
      </c>
      <c r="AP2180">
        <v>-19.563834</v>
      </c>
      <c r="AQ2180">
        <v>-43.917617</v>
      </c>
      <c r="AR2180">
        <v>26.86608405010627</v>
      </c>
      <c r="AS2180" t="s">
        <v>65</v>
      </c>
      <c r="AT2180">
        <v>1</v>
      </c>
      <c r="AU2180" t="s">
        <v>436</v>
      </c>
      <c r="AV2180" t="s">
        <v>437</v>
      </c>
      <c r="AW2180" t="s">
        <v>60</v>
      </c>
      <c r="AX2180" t="s">
        <v>68</v>
      </c>
      <c r="AY2180" t="s">
        <v>69</v>
      </c>
      <c r="AZ2180" t="b">
        <v>1</v>
      </c>
    </row>
    <row r="2181" spans="1:52" x14ac:dyDescent="0.3">
      <c r="A2181" t="s">
        <v>52</v>
      </c>
      <c r="B2181" t="s">
        <v>53</v>
      </c>
      <c r="C2181" t="s">
        <v>54</v>
      </c>
      <c r="D2181" t="s">
        <v>55</v>
      </c>
      <c r="E2181" t="s">
        <v>878</v>
      </c>
      <c r="F2181" t="s">
        <v>176</v>
      </c>
      <c r="G2181" t="s">
        <v>705</v>
      </c>
      <c r="H2181" t="s">
        <v>706</v>
      </c>
      <c r="I2181" t="s">
        <v>706</v>
      </c>
      <c r="J2181" t="s">
        <v>60</v>
      </c>
      <c r="K2181" t="s">
        <v>707</v>
      </c>
      <c r="L2181" t="s">
        <v>62</v>
      </c>
      <c r="M2181" t="s">
        <v>707</v>
      </c>
      <c r="N2181" t="s">
        <v>708</v>
      </c>
      <c r="O2181" t="s">
        <v>709</v>
      </c>
      <c r="P2181">
        <v>-19.649132000000002</v>
      </c>
      <c r="Q2181">
        <v>-43.913184999999999</v>
      </c>
      <c r="R2181" s="2" t="str">
        <f>HYPERLINK("https://www.google.com/maps?q=-19.6491320,-43.9131850","Abrir no Google Maps")</f>
        <v>Abrir no Google Maps</v>
      </c>
      <c r="S2181">
        <v>3</v>
      </c>
      <c r="T2181">
        <v>708.05095277627129</v>
      </c>
      <c r="U2181">
        <v>4</v>
      </c>
      <c r="V2181">
        <v>0.30101579598439432</v>
      </c>
      <c r="W2181">
        <v>1</v>
      </c>
      <c r="X2181">
        <v>0.30101579598439432</v>
      </c>
      <c r="Y2181">
        <v>4</v>
      </c>
      <c r="Z2181">
        <v>786.89435979618963</v>
      </c>
      <c r="AA2181">
        <v>2</v>
      </c>
      <c r="AB2181">
        <v>3</v>
      </c>
      <c r="AC2181">
        <v>7</v>
      </c>
      <c r="AD2181">
        <v>27.39</v>
      </c>
      <c r="AE2181">
        <v>253</v>
      </c>
      <c r="AF2181">
        <v>12</v>
      </c>
      <c r="AG2181">
        <v>75</v>
      </c>
      <c r="AH2181">
        <v>32</v>
      </c>
      <c r="AI2181">
        <v>4.74</v>
      </c>
      <c r="AJ2181">
        <v>29.64</v>
      </c>
      <c r="AK2181">
        <v>12.65</v>
      </c>
      <c r="AL2181">
        <v>-19.649055099999941</v>
      </c>
      <c r="AM2181">
        <v>-43.912942827576757</v>
      </c>
      <c r="AN2181">
        <v>-19.649055099999941</v>
      </c>
      <c r="AO2181">
        <v>-43.912942827576771</v>
      </c>
      <c r="AP2181">
        <v>-19.649132000000002</v>
      </c>
      <c r="AQ2181">
        <v>-43.913184999999999</v>
      </c>
      <c r="AR2181">
        <v>26.793189431239711</v>
      </c>
      <c r="AS2181" t="s">
        <v>65</v>
      </c>
      <c r="AT2181">
        <v>1</v>
      </c>
      <c r="AU2181" t="s">
        <v>710</v>
      </c>
      <c r="AV2181" t="s">
        <v>711</v>
      </c>
      <c r="AW2181" t="s">
        <v>60</v>
      </c>
      <c r="AX2181" t="s">
        <v>68</v>
      </c>
      <c r="AY2181" t="s">
        <v>69</v>
      </c>
      <c r="AZ2181" t="b">
        <v>1</v>
      </c>
    </row>
    <row r="2182" spans="1:52" x14ac:dyDescent="0.3">
      <c r="A2182" t="s">
        <v>52</v>
      </c>
      <c r="B2182" t="s">
        <v>53</v>
      </c>
      <c r="C2182" t="s">
        <v>54</v>
      </c>
      <c r="D2182" t="s">
        <v>55</v>
      </c>
      <c r="E2182" t="s">
        <v>878</v>
      </c>
      <c r="F2182" t="s">
        <v>176</v>
      </c>
      <c r="G2182" t="s">
        <v>712</v>
      </c>
      <c r="H2182" t="s">
        <v>713</v>
      </c>
      <c r="I2182" t="s">
        <v>713</v>
      </c>
      <c r="J2182" t="s">
        <v>60</v>
      </c>
      <c r="K2182" t="s">
        <v>192</v>
      </c>
      <c r="L2182" t="s">
        <v>62</v>
      </c>
      <c r="M2182" t="s">
        <v>192</v>
      </c>
      <c r="N2182" t="s">
        <v>714</v>
      </c>
      <c r="O2182" t="s">
        <v>715</v>
      </c>
      <c r="P2182">
        <v>-19.653379999999999</v>
      </c>
      <c r="Q2182">
        <v>-43.914634999999997</v>
      </c>
      <c r="R2182" s="2" t="str">
        <f>HYPERLINK("https://www.google.com/maps?q=-19.6533800,-43.9146350","Abrir no Google Maps")</f>
        <v>Abrir no Google Maps</v>
      </c>
      <c r="S2182">
        <v>3</v>
      </c>
      <c r="T2182">
        <v>1209.6845317210091</v>
      </c>
      <c r="U2182">
        <v>4</v>
      </c>
      <c r="V2182">
        <v>0.31328171229250351</v>
      </c>
      <c r="W2182">
        <v>1</v>
      </c>
      <c r="X2182">
        <v>0.31328171229250351</v>
      </c>
      <c r="Y2182">
        <v>4</v>
      </c>
      <c r="Z2182">
        <v>948.79528152345983</v>
      </c>
      <c r="AA2182">
        <v>2</v>
      </c>
      <c r="AB2182">
        <v>3</v>
      </c>
      <c r="AC2182">
        <v>7</v>
      </c>
      <c r="AD2182">
        <v>27.39</v>
      </c>
      <c r="AE2182">
        <v>253</v>
      </c>
      <c r="AF2182">
        <v>12</v>
      </c>
      <c r="AG2182">
        <v>75</v>
      </c>
      <c r="AH2182">
        <v>32</v>
      </c>
      <c r="AI2182">
        <v>4.74</v>
      </c>
      <c r="AJ2182">
        <v>29.64</v>
      </c>
      <c r="AK2182">
        <v>12.65</v>
      </c>
      <c r="AL2182">
        <v>-19.653402249999939</v>
      </c>
      <c r="AM2182">
        <v>-43.91489200796137</v>
      </c>
      <c r="AN2182">
        <v>-19.653402249999939</v>
      </c>
      <c r="AO2182">
        <v>-43.91489200796137</v>
      </c>
      <c r="AP2182">
        <v>-19.653379999999999</v>
      </c>
      <c r="AQ2182">
        <v>-43.914634999999997</v>
      </c>
      <c r="AR2182">
        <v>27.0570338493382</v>
      </c>
      <c r="AS2182" t="s">
        <v>65</v>
      </c>
      <c r="AT2182">
        <v>1</v>
      </c>
      <c r="AU2182" t="s">
        <v>716</v>
      </c>
      <c r="AV2182" t="s">
        <v>717</v>
      </c>
      <c r="AW2182" t="s">
        <v>60</v>
      </c>
      <c r="AX2182" t="s">
        <v>68</v>
      </c>
      <c r="AY2182" t="s">
        <v>69</v>
      </c>
      <c r="AZ2182" t="b">
        <v>1</v>
      </c>
    </row>
    <row r="2183" spans="1:52" x14ac:dyDescent="0.3">
      <c r="A2183" t="s">
        <v>52</v>
      </c>
      <c r="B2183" t="s">
        <v>53</v>
      </c>
      <c r="C2183" t="s">
        <v>54</v>
      </c>
      <c r="D2183" t="s">
        <v>55</v>
      </c>
      <c r="E2183" t="s">
        <v>878</v>
      </c>
      <c r="F2183" t="s">
        <v>176</v>
      </c>
      <c r="G2183" t="s">
        <v>817</v>
      </c>
      <c r="H2183" t="s">
        <v>818</v>
      </c>
      <c r="I2183" t="s">
        <v>818</v>
      </c>
      <c r="J2183" t="s">
        <v>60</v>
      </c>
      <c r="K2183" t="s">
        <v>707</v>
      </c>
      <c r="L2183" t="s">
        <v>62</v>
      </c>
      <c r="M2183" t="s">
        <v>707</v>
      </c>
      <c r="N2183" t="s">
        <v>819</v>
      </c>
      <c r="O2183" t="s">
        <v>820</v>
      </c>
      <c r="P2183">
        <v>-19.646678000000001</v>
      </c>
      <c r="Q2183">
        <v>-43.916181999999999</v>
      </c>
      <c r="R2183" s="2" t="str">
        <f>HYPERLINK("https://www.google.com/maps?q=-19.6466780,-43.9161820","Abrir no Google Maps")</f>
        <v>Abrir no Google Maps</v>
      </c>
      <c r="S2183">
        <v>3</v>
      </c>
      <c r="T2183">
        <v>585.47304728217193</v>
      </c>
      <c r="U2183">
        <v>4</v>
      </c>
      <c r="V2183">
        <v>0.35536007309614381</v>
      </c>
      <c r="W2183">
        <v>0.85</v>
      </c>
      <c r="X2183">
        <v>0.30205606213172231</v>
      </c>
      <c r="Y2183">
        <v>4</v>
      </c>
      <c r="Z2183">
        <v>1049.840216432643</v>
      </c>
      <c r="AA2183">
        <v>2</v>
      </c>
      <c r="AB2183">
        <v>3</v>
      </c>
      <c r="AC2183">
        <v>7</v>
      </c>
      <c r="AD2183">
        <v>27.39</v>
      </c>
      <c r="AE2183">
        <v>253</v>
      </c>
      <c r="AF2183">
        <v>12</v>
      </c>
      <c r="AG2183">
        <v>75</v>
      </c>
      <c r="AH2183">
        <v>32</v>
      </c>
      <c r="AI2183">
        <v>4.74</v>
      </c>
      <c r="AJ2183">
        <v>29.64</v>
      </c>
      <c r="AK2183">
        <v>12.65</v>
      </c>
      <c r="AL2183">
        <v>-19.646615149999949</v>
      </c>
      <c r="AM2183">
        <v>-43.916470989843219</v>
      </c>
      <c r="AN2183">
        <v>-19.646615149999949</v>
      </c>
      <c r="AO2183">
        <v>-43.916470989843219</v>
      </c>
      <c r="AP2183">
        <v>-19.646678000000001</v>
      </c>
      <c r="AQ2183">
        <v>-43.916181999999999</v>
      </c>
      <c r="AR2183">
        <v>31.094865307664481</v>
      </c>
      <c r="AS2183" t="s">
        <v>65</v>
      </c>
      <c r="AT2183">
        <v>1</v>
      </c>
      <c r="AU2183" t="s">
        <v>821</v>
      </c>
      <c r="AV2183" t="s">
        <v>822</v>
      </c>
      <c r="AW2183" t="s">
        <v>60</v>
      </c>
      <c r="AX2183" t="s">
        <v>68</v>
      </c>
      <c r="AY2183" t="s">
        <v>69</v>
      </c>
      <c r="AZ2183" t="b">
        <v>1</v>
      </c>
    </row>
    <row r="2184" spans="1:52" x14ac:dyDescent="0.3">
      <c r="A2184" t="s">
        <v>52</v>
      </c>
      <c r="B2184" t="s">
        <v>53</v>
      </c>
      <c r="C2184" t="s">
        <v>54</v>
      </c>
      <c r="D2184" t="s">
        <v>55</v>
      </c>
      <c r="E2184" t="s">
        <v>878</v>
      </c>
      <c r="F2184" t="s">
        <v>176</v>
      </c>
      <c r="G2184" t="s">
        <v>942</v>
      </c>
      <c r="H2184" t="s">
        <v>943</v>
      </c>
      <c r="I2184" t="s">
        <v>943</v>
      </c>
      <c r="J2184" t="s">
        <v>60</v>
      </c>
      <c r="K2184" t="s">
        <v>445</v>
      </c>
      <c r="L2184" t="s">
        <v>62</v>
      </c>
      <c r="M2184" t="s">
        <v>445</v>
      </c>
      <c r="N2184" t="s">
        <v>944</v>
      </c>
      <c r="O2184" t="s">
        <v>945</v>
      </c>
      <c r="P2184">
        <v>-19.647016000000001</v>
      </c>
      <c r="Q2184">
        <v>-43.872928999999999</v>
      </c>
      <c r="R2184" s="2" t="str">
        <f>HYPERLINK("https://www.google.com/maps?q=-19.6470160,-43.8729290","Abrir no Google Maps")</f>
        <v>Abrir no Google Maps</v>
      </c>
      <c r="S2184">
        <v>3</v>
      </c>
      <c r="T2184">
        <v>643.11735976199088</v>
      </c>
      <c r="U2184">
        <v>4</v>
      </c>
      <c r="V2184">
        <v>0.35528649591149591</v>
      </c>
      <c r="W2184">
        <v>0.85</v>
      </c>
      <c r="X2184">
        <v>0.30199352152477149</v>
      </c>
      <c r="Y2184">
        <v>3</v>
      </c>
      <c r="Z2184">
        <v>650.46662777046993</v>
      </c>
      <c r="AA2184">
        <v>2</v>
      </c>
      <c r="AB2184">
        <v>3</v>
      </c>
      <c r="AC2184">
        <v>7</v>
      </c>
      <c r="AD2184">
        <v>27.39</v>
      </c>
      <c r="AE2184">
        <v>253</v>
      </c>
      <c r="AF2184">
        <v>12</v>
      </c>
      <c r="AG2184">
        <v>75</v>
      </c>
      <c r="AH2184">
        <v>32</v>
      </c>
      <c r="AI2184">
        <v>4.74</v>
      </c>
      <c r="AJ2184">
        <v>29.64</v>
      </c>
      <c r="AK2184">
        <v>12.65</v>
      </c>
      <c r="AL2184">
        <v>-19.646915499999949</v>
      </c>
      <c r="AM2184">
        <v>-43.873250804454898</v>
      </c>
      <c r="AN2184">
        <v>-19.646915499999949</v>
      </c>
      <c r="AO2184">
        <v>-43.873250804454898</v>
      </c>
      <c r="AP2184">
        <v>-19.647016000000001</v>
      </c>
      <c r="AQ2184">
        <v>-43.872928999999999</v>
      </c>
      <c r="AR2184">
        <v>35.544311822395962</v>
      </c>
      <c r="AS2184" t="s">
        <v>65</v>
      </c>
      <c r="AT2184">
        <v>1</v>
      </c>
      <c r="AU2184" t="s">
        <v>946</v>
      </c>
      <c r="AV2184" t="s">
        <v>947</v>
      </c>
      <c r="AW2184" t="s">
        <v>60</v>
      </c>
      <c r="AX2184" t="s">
        <v>68</v>
      </c>
      <c r="AY2184" t="s">
        <v>69</v>
      </c>
      <c r="AZ2184" t="b">
        <v>1</v>
      </c>
    </row>
    <row r="2185" spans="1:52" x14ac:dyDescent="0.3">
      <c r="A2185" t="s">
        <v>52</v>
      </c>
      <c r="B2185" t="s">
        <v>53</v>
      </c>
      <c r="C2185" t="s">
        <v>54</v>
      </c>
      <c r="D2185" t="s">
        <v>55</v>
      </c>
      <c r="E2185" t="s">
        <v>878</v>
      </c>
      <c r="F2185" t="s">
        <v>176</v>
      </c>
      <c r="G2185" t="s">
        <v>783</v>
      </c>
      <c r="H2185" t="s">
        <v>784</v>
      </c>
      <c r="I2185" t="s">
        <v>784</v>
      </c>
      <c r="J2185" t="s">
        <v>60</v>
      </c>
      <c r="K2185" t="s">
        <v>326</v>
      </c>
      <c r="L2185" t="s">
        <v>62</v>
      </c>
      <c r="M2185" t="s">
        <v>326</v>
      </c>
      <c r="N2185" t="s">
        <v>785</v>
      </c>
      <c r="O2185" t="s">
        <v>282</v>
      </c>
      <c r="P2185">
        <v>-19.660250999999999</v>
      </c>
      <c r="Q2185">
        <v>-43.872767000000003</v>
      </c>
      <c r="R2185" s="2" t="str">
        <f>HYPERLINK("https://www.google.com/maps?q=-19.6602510,-43.8727670","Abrir no Google Maps")</f>
        <v>Abrir no Google Maps</v>
      </c>
      <c r="S2185">
        <v>3</v>
      </c>
      <c r="T2185">
        <v>867.23644041593502</v>
      </c>
      <c r="U2185">
        <v>4</v>
      </c>
      <c r="V2185">
        <v>0.3571364506099019</v>
      </c>
      <c r="W2185">
        <v>1</v>
      </c>
      <c r="X2185">
        <v>0.3571364506099019</v>
      </c>
      <c r="Y2185">
        <v>3</v>
      </c>
      <c r="Z2185">
        <v>822.53921499947728</v>
      </c>
      <c r="AA2185">
        <v>2</v>
      </c>
      <c r="AB2185">
        <v>3</v>
      </c>
      <c r="AC2185">
        <v>7</v>
      </c>
      <c r="AD2185">
        <v>27.39</v>
      </c>
      <c r="AE2185">
        <v>253</v>
      </c>
      <c r="AF2185">
        <v>12</v>
      </c>
      <c r="AG2185">
        <v>75</v>
      </c>
      <c r="AH2185">
        <v>32</v>
      </c>
      <c r="AI2185">
        <v>4.74</v>
      </c>
      <c r="AJ2185">
        <v>29.64</v>
      </c>
      <c r="AK2185">
        <v>12.65</v>
      </c>
      <c r="AL2185">
        <v>-19.65986969999997</v>
      </c>
      <c r="AM2185">
        <v>-43.872697658306379</v>
      </c>
      <c r="AN2185">
        <v>-19.65986969999997</v>
      </c>
      <c r="AO2185">
        <v>-43.872697658306379</v>
      </c>
      <c r="AP2185">
        <v>-19.660250999999999</v>
      </c>
      <c r="AQ2185">
        <v>-43.872767000000003</v>
      </c>
      <c r="AR2185">
        <v>43.064256320397227</v>
      </c>
      <c r="AS2185" t="s">
        <v>65</v>
      </c>
      <c r="AT2185">
        <v>1</v>
      </c>
      <c r="AU2185" t="s">
        <v>786</v>
      </c>
      <c r="AV2185" t="s">
        <v>787</v>
      </c>
      <c r="AW2185" t="s">
        <v>60</v>
      </c>
      <c r="AX2185" t="s">
        <v>68</v>
      </c>
      <c r="AY2185" t="s">
        <v>69</v>
      </c>
      <c r="AZ2185" t="b">
        <v>1</v>
      </c>
    </row>
    <row r="2186" spans="1:52" x14ac:dyDescent="0.3">
      <c r="A2186" t="s">
        <v>52</v>
      </c>
      <c r="B2186" t="s">
        <v>53</v>
      </c>
      <c r="C2186" t="s">
        <v>54</v>
      </c>
      <c r="D2186" t="s">
        <v>55</v>
      </c>
      <c r="E2186" t="s">
        <v>878</v>
      </c>
      <c r="F2186" t="s">
        <v>176</v>
      </c>
      <c r="G2186" t="s">
        <v>438</v>
      </c>
      <c r="H2186" t="s">
        <v>718</v>
      </c>
      <c r="I2186" t="s">
        <v>718</v>
      </c>
      <c r="J2186" t="s">
        <v>60</v>
      </c>
      <c r="K2186" t="s">
        <v>719</v>
      </c>
      <c r="L2186" t="s">
        <v>62</v>
      </c>
      <c r="M2186" t="s">
        <v>719</v>
      </c>
      <c r="N2186" t="s">
        <v>720</v>
      </c>
      <c r="O2186" t="s">
        <v>721</v>
      </c>
      <c r="P2186">
        <v>-19.659696</v>
      </c>
      <c r="Q2186">
        <v>-43.878183</v>
      </c>
      <c r="R2186" s="2" t="str">
        <f>HYPERLINK("https://www.google.com/maps?q=-19.6596960,-43.8781830","Abrir no Google Maps")</f>
        <v>Abrir no Google Maps</v>
      </c>
      <c r="S2186">
        <v>3</v>
      </c>
      <c r="T2186">
        <v>1123.545826977394</v>
      </c>
      <c r="U2186">
        <v>4</v>
      </c>
      <c r="V2186">
        <v>0.3387322325982598</v>
      </c>
      <c r="W2186">
        <v>1</v>
      </c>
      <c r="X2186">
        <v>0.3387322325982598</v>
      </c>
      <c r="Y2186">
        <v>3</v>
      </c>
      <c r="Z2186">
        <v>1050.5223173666111</v>
      </c>
      <c r="AA2186">
        <v>2</v>
      </c>
      <c r="AB2186">
        <v>3</v>
      </c>
      <c r="AC2186">
        <v>7</v>
      </c>
      <c r="AD2186">
        <v>27.39</v>
      </c>
      <c r="AE2186">
        <v>253</v>
      </c>
      <c r="AF2186">
        <v>12</v>
      </c>
      <c r="AG2186">
        <v>75</v>
      </c>
      <c r="AH2186">
        <v>32</v>
      </c>
      <c r="AI2186">
        <v>4.74</v>
      </c>
      <c r="AJ2186">
        <v>29.64</v>
      </c>
      <c r="AK2186">
        <v>12.65</v>
      </c>
      <c r="AL2186">
        <v>-19.65964904999996</v>
      </c>
      <c r="AM2186">
        <v>-43.878129467040978</v>
      </c>
      <c r="AN2186">
        <v>-19.65964904999996</v>
      </c>
      <c r="AO2186">
        <v>-43.878129467040978</v>
      </c>
      <c r="AP2186">
        <v>-19.659696</v>
      </c>
      <c r="AQ2186">
        <v>-43.878183</v>
      </c>
      <c r="AR2186">
        <v>7.6687382643842978</v>
      </c>
      <c r="AS2186" t="s">
        <v>65</v>
      </c>
      <c r="AT2186">
        <v>1</v>
      </c>
      <c r="AU2186" t="s">
        <v>722</v>
      </c>
      <c r="AV2186" t="s">
        <v>723</v>
      </c>
      <c r="AW2186" t="s">
        <v>60</v>
      </c>
      <c r="AX2186" t="s">
        <v>68</v>
      </c>
      <c r="AY2186" t="s">
        <v>69</v>
      </c>
      <c r="AZ2186" t="b">
        <v>1</v>
      </c>
    </row>
    <row r="2187" spans="1:52" x14ac:dyDescent="0.3">
      <c r="A2187" t="s">
        <v>52</v>
      </c>
      <c r="B2187" t="s">
        <v>53</v>
      </c>
      <c r="C2187" t="s">
        <v>54</v>
      </c>
      <c r="D2187" t="s">
        <v>55</v>
      </c>
      <c r="E2187" t="s">
        <v>878</v>
      </c>
      <c r="F2187" t="s">
        <v>176</v>
      </c>
      <c r="G2187" t="s">
        <v>735</v>
      </c>
      <c r="H2187" t="s">
        <v>736</v>
      </c>
      <c r="I2187" t="s">
        <v>736</v>
      </c>
      <c r="J2187" t="s">
        <v>60</v>
      </c>
      <c r="K2187" t="s">
        <v>352</v>
      </c>
      <c r="L2187" t="s">
        <v>62</v>
      </c>
      <c r="M2187" t="s">
        <v>352</v>
      </c>
      <c r="N2187" t="s">
        <v>737</v>
      </c>
      <c r="O2187" t="s">
        <v>738</v>
      </c>
      <c r="P2187">
        <v>-19.598569999999999</v>
      </c>
      <c r="Q2187">
        <v>-43.884976000000002</v>
      </c>
      <c r="R2187" s="2" t="str">
        <f>HYPERLINK("https://www.google.com/maps?q=-19.5985700,-43.8849760","Abrir no Google Maps")</f>
        <v>Abrir no Google Maps</v>
      </c>
      <c r="S2187">
        <v>3</v>
      </c>
      <c r="T2187">
        <v>2088.975568364679</v>
      </c>
      <c r="U2187">
        <v>4</v>
      </c>
      <c r="V2187">
        <v>0.35693708609271518</v>
      </c>
      <c r="W2187">
        <v>0.85</v>
      </c>
      <c r="X2187">
        <v>0.30339652317880789</v>
      </c>
      <c r="Y2187">
        <v>2</v>
      </c>
      <c r="Z2187">
        <v>1895.3949691608641</v>
      </c>
      <c r="AA2187">
        <v>2</v>
      </c>
      <c r="AB2187">
        <v>3</v>
      </c>
      <c r="AC2187">
        <v>7</v>
      </c>
      <c r="AD2187">
        <v>27.39</v>
      </c>
      <c r="AE2187">
        <v>253</v>
      </c>
      <c r="AF2187">
        <v>12</v>
      </c>
      <c r="AG2187">
        <v>75</v>
      </c>
      <c r="AH2187">
        <v>32</v>
      </c>
      <c r="AI2187">
        <v>4.74</v>
      </c>
      <c r="AJ2187">
        <v>29.64</v>
      </c>
      <c r="AK2187">
        <v>12.65</v>
      </c>
      <c r="AL2187">
        <v>-19.598177199999949</v>
      </c>
      <c r="AM2187">
        <v>-43.884435371838791</v>
      </c>
      <c r="AN2187">
        <v>-19.598177199999949</v>
      </c>
      <c r="AO2187">
        <v>-43.884435371838791</v>
      </c>
      <c r="AP2187">
        <v>-19.598569999999999</v>
      </c>
      <c r="AQ2187">
        <v>-43.884976000000002</v>
      </c>
      <c r="AR2187">
        <v>71.599363100126297</v>
      </c>
      <c r="AS2187" t="s">
        <v>65</v>
      </c>
      <c r="AT2187">
        <v>1</v>
      </c>
      <c r="AU2187" t="s">
        <v>739</v>
      </c>
      <c r="AV2187" t="s">
        <v>740</v>
      </c>
      <c r="AW2187" t="s">
        <v>60</v>
      </c>
      <c r="AX2187" t="s">
        <v>68</v>
      </c>
      <c r="AY2187" t="s">
        <v>69</v>
      </c>
      <c r="AZ2187" t="b">
        <v>1</v>
      </c>
    </row>
    <row r="2188" spans="1:52" x14ac:dyDescent="0.3">
      <c r="A2188" t="s">
        <v>52</v>
      </c>
      <c r="B2188" t="s">
        <v>53</v>
      </c>
      <c r="C2188" t="s">
        <v>54</v>
      </c>
      <c r="D2188" t="s">
        <v>55</v>
      </c>
      <c r="E2188" t="s">
        <v>878</v>
      </c>
      <c r="F2188" t="s">
        <v>176</v>
      </c>
      <c r="G2188" t="s">
        <v>500</v>
      </c>
      <c r="H2188" t="s">
        <v>501</v>
      </c>
      <c r="I2188" t="s">
        <v>501</v>
      </c>
      <c r="J2188" t="s">
        <v>60</v>
      </c>
      <c r="K2188" t="s">
        <v>164</v>
      </c>
      <c r="L2188" t="s">
        <v>62</v>
      </c>
      <c r="M2188" t="s">
        <v>164</v>
      </c>
      <c r="N2188" t="s">
        <v>502</v>
      </c>
      <c r="O2188" t="s">
        <v>503</v>
      </c>
      <c r="P2188">
        <v>-19.665816</v>
      </c>
      <c r="Q2188">
        <v>-43.886322999999997</v>
      </c>
      <c r="R2188" s="2" t="str">
        <f>HYPERLINK("https://www.google.com/maps?q=-19.6658160,-43.8863230","Abrir no Google Maps")</f>
        <v>Abrir no Google Maps</v>
      </c>
      <c r="S2188">
        <v>3</v>
      </c>
      <c r="T2188">
        <v>1149.957610345353</v>
      </c>
      <c r="U2188">
        <v>4</v>
      </c>
      <c r="V2188">
        <v>0.3263118670103361</v>
      </c>
      <c r="W2188">
        <v>1</v>
      </c>
      <c r="X2188">
        <v>0.3263118670103361</v>
      </c>
      <c r="Y2188">
        <v>1</v>
      </c>
      <c r="Z2188">
        <v>381.605286477493</v>
      </c>
      <c r="AA2188">
        <v>2</v>
      </c>
      <c r="AB2188">
        <v>3</v>
      </c>
      <c r="AC2188">
        <v>7</v>
      </c>
      <c r="AD2188">
        <v>27.39</v>
      </c>
      <c r="AE2188">
        <v>253</v>
      </c>
      <c r="AF2188">
        <v>12</v>
      </c>
      <c r="AG2188">
        <v>75</v>
      </c>
      <c r="AH2188">
        <v>32</v>
      </c>
      <c r="AI2188">
        <v>4.74</v>
      </c>
      <c r="AJ2188">
        <v>29.64</v>
      </c>
      <c r="AK2188">
        <v>12.65</v>
      </c>
      <c r="AL2188">
        <v>-19.665844049999951</v>
      </c>
      <c r="AM2188">
        <v>-43.886344205728712</v>
      </c>
      <c r="AN2188">
        <v>-19.665844049999951</v>
      </c>
      <c r="AO2188">
        <v>-43.886344205728712</v>
      </c>
      <c r="AP2188">
        <v>-19.665816</v>
      </c>
      <c r="AQ2188">
        <v>-43.886322999999997</v>
      </c>
      <c r="AR2188">
        <v>3.8329604058735098</v>
      </c>
      <c r="AS2188" t="s">
        <v>65</v>
      </c>
      <c r="AT2188">
        <v>1</v>
      </c>
      <c r="AU2188" t="s">
        <v>504</v>
      </c>
      <c r="AV2188" t="s">
        <v>505</v>
      </c>
      <c r="AW2188" t="s">
        <v>60</v>
      </c>
      <c r="AX2188" t="s">
        <v>68</v>
      </c>
      <c r="AY2188" t="s">
        <v>69</v>
      </c>
      <c r="AZ2188" t="b">
        <v>1</v>
      </c>
    </row>
    <row r="2189" spans="1:52" x14ac:dyDescent="0.3">
      <c r="A2189" t="s">
        <v>52</v>
      </c>
      <c r="B2189" t="s">
        <v>53</v>
      </c>
      <c r="C2189" t="s">
        <v>54</v>
      </c>
      <c r="D2189" t="s">
        <v>55</v>
      </c>
      <c r="E2189" t="s">
        <v>878</v>
      </c>
      <c r="F2189" t="s">
        <v>176</v>
      </c>
      <c r="G2189" t="s">
        <v>741</v>
      </c>
      <c r="H2189" t="s">
        <v>742</v>
      </c>
      <c r="I2189" t="s">
        <v>742</v>
      </c>
      <c r="J2189" t="s">
        <v>60</v>
      </c>
      <c r="K2189" t="s">
        <v>683</v>
      </c>
      <c r="L2189" t="s">
        <v>62</v>
      </c>
      <c r="M2189" t="s">
        <v>683</v>
      </c>
      <c r="N2189" t="s">
        <v>743</v>
      </c>
      <c r="O2189" t="s">
        <v>744</v>
      </c>
      <c r="P2189">
        <v>-19.576246999999999</v>
      </c>
      <c r="Q2189">
        <v>-43.955125000000002</v>
      </c>
      <c r="R2189" s="2" t="str">
        <f>HYPERLINK("https://www.google.com/maps?q=-19.5762470,-43.9551250","Abrir no Google Maps")</f>
        <v>Abrir no Google Maps</v>
      </c>
      <c r="S2189">
        <v>3</v>
      </c>
      <c r="T2189">
        <v>1143.885924274435</v>
      </c>
      <c r="U2189">
        <v>4</v>
      </c>
      <c r="V2189">
        <v>0.35266435541859259</v>
      </c>
      <c r="W2189">
        <v>0.85</v>
      </c>
      <c r="X2189">
        <v>0.29976470210580369</v>
      </c>
      <c r="Y2189">
        <v>1</v>
      </c>
      <c r="Z2189">
        <v>744.36678704803273</v>
      </c>
      <c r="AA2189">
        <v>2</v>
      </c>
      <c r="AB2189">
        <v>3</v>
      </c>
      <c r="AC2189">
        <v>7</v>
      </c>
      <c r="AD2189">
        <v>27.39</v>
      </c>
      <c r="AE2189">
        <v>253</v>
      </c>
      <c r="AF2189">
        <v>12</v>
      </c>
      <c r="AG2189">
        <v>75</v>
      </c>
      <c r="AH2189">
        <v>32</v>
      </c>
      <c r="AI2189">
        <v>4.74</v>
      </c>
      <c r="AJ2189">
        <v>29.64</v>
      </c>
      <c r="AK2189">
        <v>12.65</v>
      </c>
      <c r="AL2189">
        <v>-19.57640394999996</v>
      </c>
      <c r="AM2189">
        <v>-43.955130280186857</v>
      </c>
      <c r="AN2189">
        <v>-19.57640394999996</v>
      </c>
      <c r="AO2189">
        <v>-43.955130280186857</v>
      </c>
      <c r="AP2189">
        <v>-19.576246999999999</v>
      </c>
      <c r="AQ2189">
        <v>-43.955125000000002</v>
      </c>
      <c r="AR2189">
        <v>17.48044912434408</v>
      </c>
      <c r="AS2189" t="s">
        <v>65</v>
      </c>
      <c r="AT2189">
        <v>1</v>
      </c>
      <c r="AU2189" t="s">
        <v>745</v>
      </c>
      <c r="AV2189" t="s">
        <v>746</v>
      </c>
      <c r="AW2189" t="s">
        <v>60</v>
      </c>
      <c r="AX2189" t="s">
        <v>68</v>
      </c>
      <c r="AY2189" t="s">
        <v>69</v>
      </c>
      <c r="AZ2189" t="b">
        <v>1</v>
      </c>
    </row>
    <row r="2190" spans="1:52" x14ac:dyDescent="0.3">
      <c r="A2190" t="s">
        <v>52</v>
      </c>
      <c r="B2190" t="s">
        <v>53</v>
      </c>
      <c r="C2190" t="s">
        <v>54</v>
      </c>
      <c r="D2190" t="s">
        <v>55</v>
      </c>
      <c r="E2190" t="s">
        <v>878</v>
      </c>
      <c r="F2190" t="s">
        <v>176</v>
      </c>
      <c r="G2190" t="s">
        <v>681</v>
      </c>
      <c r="H2190" t="s">
        <v>747</v>
      </c>
      <c r="I2190" t="s">
        <v>747</v>
      </c>
      <c r="J2190" t="s">
        <v>60</v>
      </c>
      <c r="K2190" t="s">
        <v>683</v>
      </c>
      <c r="L2190" t="s">
        <v>62</v>
      </c>
      <c r="M2190" t="s">
        <v>683</v>
      </c>
      <c r="N2190" t="s">
        <v>419</v>
      </c>
      <c r="O2190" t="s">
        <v>748</v>
      </c>
      <c r="P2190">
        <v>-19.570823000000001</v>
      </c>
      <c r="Q2190">
        <v>-43.958823000000002</v>
      </c>
      <c r="R2190" s="2" t="str">
        <f>HYPERLINK("https://www.google.com/maps?q=-19.5708230,-43.9588230","Abrir no Google Maps")</f>
        <v>Abrir no Google Maps</v>
      </c>
      <c r="S2190">
        <v>3</v>
      </c>
      <c r="T2190">
        <v>670.58325756855618</v>
      </c>
      <c r="U2190">
        <v>4</v>
      </c>
      <c r="V2190">
        <v>0.35205314009661831</v>
      </c>
      <c r="W2190">
        <v>0.85</v>
      </c>
      <c r="X2190">
        <v>0.29924516908212562</v>
      </c>
      <c r="Y2190">
        <v>1</v>
      </c>
      <c r="Z2190">
        <v>731.63796944770115</v>
      </c>
      <c r="AA2190">
        <v>2</v>
      </c>
      <c r="AB2190">
        <v>3</v>
      </c>
      <c r="AC2190">
        <v>7</v>
      </c>
      <c r="AD2190">
        <v>27.39</v>
      </c>
      <c r="AE2190">
        <v>253</v>
      </c>
      <c r="AF2190">
        <v>12</v>
      </c>
      <c r="AG2190">
        <v>75</v>
      </c>
      <c r="AH2190">
        <v>32</v>
      </c>
      <c r="AI2190">
        <v>4.74</v>
      </c>
      <c r="AJ2190">
        <v>29.64</v>
      </c>
      <c r="AK2190">
        <v>12.65</v>
      </c>
      <c r="AL2190">
        <v>-19.567904999999939</v>
      </c>
      <c r="AM2190">
        <v>-43.959992321285412</v>
      </c>
      <c r="AN2190">
        <v>-19.567904999999939</v>
      </c>
      <c r="AO2190">
        <v>-43.959992321285412</v>
      </c>
      <c r="AP2190">
        <v>-19.570823000000001</v>
      </c>
      <c r="AQ2190">
        <v>-43.958823000000002</v>
      </c>
      <c r="AR2190">
        <v>347.21597474783073</v>
      </c>
      <c r="AS2190" t="s">
        <v>65</v>
      </c>
      <c r="AT2190">
        <v>1</v>
      </c>
      <c r="AU2190" t="s">
        <v>749</v>
      </c>
      <c r="AV2190" t="s">
        <v>750</v>
      </c>
      <c r="AW2190" t="s">
        <v>60</v>
      </c>
      <c r="AX2190" t="s">
        <v>68</v>
      </c>
      <c r="AY2190" t="s">
        <v>69</v>
      </c>
      <c r="AZ2190" t="b">
        <v>1</v>
      </c>
    </row>
    <row r="2191" spans="1:52" x14ac:dyDescent="0.3">
      <c r="A2191" t="s">
        <v>52</v>
      </c>
      <c r="B2191" t="s">
        <v>53</v>
      </c>
      <c r="C2191" t="s">
        <v>54</v>
      </c>
      <c r="D2191" t="s">
        <v>55</v>
      </c>
      <c r="E2191" t="s">
        <v>878</v>
      </c>
      <c r="F2191" t="s">
        <v>176</v>
      </c>
      <c r="G2191" t="s">
        <v>681</v>
      </c>
      <c r="H2191" t="s">
        <v>948</v>
      </c>
      <c r="I2191" t="s">
        <v>948</v>
      </c>
      <c r="J2191" t="s">
        <v>60</v>
      </c>
      <c r="K2191" t="s">
        <v>683</v>
      </c>
      <c r="L2191" t="s">
        <v>62</v>
      </c>
      <c r="M2191" t="s">
        <v>683</v>
      </c>
      <c r="N2191" t="s">
        <v>949</v>
      </c>
      <c r="O2191" t="s">
        <v>950</v>
      </c>
      <c r="P2191">
        <v>-19.558330000000002</v>
      </c>
      <c r="Q2191">
        <v>-43.943117999999998</v>
      </c>
      <c r="R2191" s="2" t="str">
        <f>HYPERLINK("https://www.google.com/maps?q=-19.5583300,-43.9431180","Abrir no Google Maps")</f>
        <v>Abrir no Google Maps</v>
      </c>
      <c r="S2191">
        <v>3</v>
      </c>
      <c r="T2191">
        <v>2101.5209332133231</v>
      </c>
      <c r="U2191">
        <v>4</v>
      </c>
      <c r="V2191">
        <v>0.88749999999999996</v>
      </c>
      <c r="W2191">
        <v>0.85</v>
      </c>
      <c r="X2191">
        <v>0.75437499999999991</v>
      </c>
      <c r="Y2191">
        <v>1</v>
      </c>
      <c r="Z2191">
        <v>2485.2613891313322</v>
      </c>
      <c r="AA2191">
        <v>2</v>
      </c>
      <c r="AB2191">
        <v>3</v>
      </c>
      <c r="AC2191">
        <v>7</v>
      </c>
      <c r="AD2191">
        <v>27.39</v>
      </c>
      <c r="AE2191">
        <v>253</v>
      </c>
      <c r="AF2191">
        <v>12</v>
      </c>
      <c r="AG2191">
        <v>75</v>
      </c>
      <c r="AH2191">
        <v>32</v>
      </c>
      <c r="AI2191">
        <v>4.74</v>
      </c>
      <c r="AJ2191">
        <v>29.64</v>
      </c>
      <c r="AK2191">
        <v>12.65</v>
      </c>
      <c r="AL2191">
        <v>-19.54990399999997</v>
      </c>
      <c r="AM2191">
        <v>-43.943483965967168</v>
      </c>
      <c r="AN2191">
        <v>-19.54990399999997</v>
      </c>
      <c r="AO2191">
        <v>-43.943483965967168</v>
      </c>
      <c r="AP2191">
        <v>-19.558330000000002</v>
      </c>
      <c r="AQ2191">
        <v>-43.943117999999998</v>
      </c>
      <c r="AR2191">
        <v>938.76763919643156</v>
      </c>
      <c r="AS2191" t="s">
        <v>65</v>
      </c>
      <c r="AT2191">
        <v>1</v>
      </c>
      <c r="AU2191" t="s">
        <v>951</v>
      </c>
      <c r="AV2191" t="s">
        <v>952</v>
      </c>
      <c r="AW2191" t="s">
        <v>60</v>
      </c>
      <c r="AX2191" t="s">
        <v>68</v>
      </c>
      <c r="AY2191" t="s">
        <v>69</v>
      </c>
      <c r="AZ2191" t="b">
        <v>1</v>
      </c>
    </row>
    <row r="2192" spans="1:52" x14ac:dyDescent="0.3">
      <c r="A2192" t="s">
        <v>52</v>
      </c>
      <c r="B2192" t="s">
        <v>53</v>
      </c>
      <c r="C2192" t="s">
        <v>54</v>
      </c>
      <c r="D2192" t="s">
        <v>55</v>
      </c>
      <c r="E2192" t="s">
        <v>878</v>
      </c>
      <c r="F2192" t="s">
        <v>176</v>
      </c>
      <c r="G2192" t="s">
        <v>681</v>
      </c>
      <c r="H2192" t="s">
        <v>682</v>
      </c>
      <c r="I2192" t="s">
        <v>682</v>
      </c>
      <c r="J2192" t="s">
        <v>60</v>
      </c>
      <c r="K2192" t="s">
        <v>683</v>
      </c>
      <c r="L2192" t="s">
        <v>62</v>
      </c>
      <c r="M2192" t="s">
        <v>683</v>
      </c>
      <c r="N2192" t="s">
        <v>684</v>
      </c>
      <c r="O2192" t="s">
        <v>589</v>
      </c>
      <c r="P2192">
        <v>-19.569573999999999</v>
      </c>
      <c r="Q2192">
        <v>-43.948939000000003</v>
      </c>
      <c r="R2192" s="2" t="str">
        <f>HYPERLINK("https://www.google.com/maps?q=-19.5695740,-43.9489390","Abrir no Google Maps")</f>
        <v>Abrir no Google Maps</v>
      </c>
      <c r="S2192">
        <v>3</v>
      </c>
      <c r="T2192">
        <v>710.01170441209865</v>
      </c>
      <c r="U2192">
        <v>4</v>
      </c>
      <c r="V2192">
        <v>0.36621849196001738</v>
      </c>
      <c r="W2192">
        <v>1</v>
      </c>
      <c r="X2192">
        <v>0.36621849196001738</v>
      </c>
      <c r="Y2192">
        <v>1</v>
      </c>
      <c r="Z2192">
        <v>528.51196257580398</v>
      </c>
      <c r="AA2192">
        <v>2</v>
      </c>
      <c r="AB2192">
        <v>3</v>
      </c>
      <c r="AC2192">
        <v>7</v>
      </c>
      <c r="AD2192">
        <v>27.39</v>
      </c>
      <c r="AE2192">
        <v>253</v>
      </c>
      <c r="AF2192">
        <v>12</v>
      </c>
      <c r="AG2192">
        <v>75</v>
      </c>
      <c r="AH2192">
        <v>32</v>
      </c>
      <c r="AI2192">
        <v>4.74</v>
      </c>
      <c r="AJ2192">
        <v>29.64</v>
      </c>
      <c r="AK2192">
        <v>12.65</v>
      </c>
      <c r="AL2192">
        <v>-19.570777549999971</v>
      </c>
      <c r="AM2192">
        <v>-43.949205504203732</v>
      </c>
      <c r="AN2192">
        <v>-19.570777549999981</v>
      </c>
      <c r="AO2192">
        <v>-43.949205504203732</v>
      </c>
      <c r="AP2192">
        <v>-19.569573999999999</v>
      </c>
      <c r="AQ2192">
        <v>-43.948939000000003</v>
      </c>
      <c r="AR2192">
        <v>136.86420500821191</v>
      </c>
      <c r="AS2192" t="s">
        <v>65</v>
      </c>
      <c r="AT2192">
        <v>1</v>
      </c>
      <c r="AU2192" t="s">
        <v>685</v>
      </c>
      <c r="AV2192" t="s">
        <v>686</v>
      </c>
      <c r="AW2192" t="s">
        <v>60</v>
      </c>
      <c r="AX2192" t="s">
        <v>68</v>
      </c>
      <c r="AY2192" t="s">
        <v>69</v>
      </c>
      <c r="AZ2192" t="b">
        <v>1</v>
      </c>
    </row>
    <row r="2193" spans="1:52" x14ac:dyDescent="0.3">
      <c r="A2193" t="s">
        <v>52</v>
      </c>
      <c r="B2193" t="s">
        <v>53</v>
      </c>
      <c r="C2193" t="s">
        <v>54</v>
      </c>
      <c r="D2193" t="s">
        <v>55</v>
      </c>
      <c r="E2193" t="s">
        <v>878</v>
      </c>
      <c r="F2193" t="s">
        <v>176</v>
      </c>
      <c r="G2193" t="s">
        <v>681</v>
      </c>
      <c r="H2193" t="s">
        <v>832</v>
      </c>
      <c r="I2193" t="s">
        <v>832</v>
      </c>
      <c r="J2193" t="s">
        <v>60</v>
      </c>
      <c r="K2193" t="s">
        <v>683</v>
      </c>
      <c r="L2193" t="s">
        <v>62</v>
      </c>
      <c r="M2193" t="s">
        <v>683</v>
      </c>
      <c r="N2193" t="s">
        <v>833</v>
      </c>
      <c r="O2193" t="s">
        <v>834</v>
      </c>
      <c r="P2193">
        <v>-19.566217000000002</v>
      </c>
      <c r="Q2193">
        <v>-43.953677999999996</v>
      </c>
      <c r="R2193" s="2" t="str">
        <f>HYPERLINK("https://www.google.com/maps?q=-19.5662170,-43.9536780","Abrir no Google Maps")</f>
        <v>Abrir no Google Maps</v>
      </c>
      <c r="S2193">
        <v>3</v>
      </c>
      <c r="T2193">
        <v>0</v>
      </c>
      <c r="U2193">
        <v>4</v>
      </c>
      <c r="V2193">
        <v>0.36119281045751639</v>
      </c>
      <c r="W2193">
        <v>0.85</v>
      </c>
      <c r="X2193">
        <v>0.30701388888888892</v>
      </c>
      <c r="Y2193">
        <v>1</v>
      </c>
      <c r="Z2193">
        <v>506.50283483397538</v>
      </c>
      <c r="AA2193">
        <v>2</v>
      </c>
      <c r="AB2193">
        <v>3</v>
      </c>
      <c r="AC2193">
        <v>7</v>
      </c>
      <c r="AD2193">
        <v>27.39</v>
      </c>
      <c r="AE2193">
        <v>253</v>
      </c>
      <c r="AF2193">
        <v>12</v>
      </c>
      <c r="AG2193">
        <v>75</v>
      </c>
      <c r="AH2193">
        <v>32</v>
      </c>
      <c r="AI2193">
        <v>4.74</v>
      </c>
      <c r="AJ2193">
        <v>29.64</v>
      </c>
      <c r="AK2193">
        <v>12.65</v>
      </c>
      <c r="AL2193">
        <v>-19.566136399999952</v>
      </c>
      <c r="AM2193">
        <v>-43.953878321145311</v>
      </c>
      <c r="AN2193">
        <v>-19.566136399999952</v>
      </c>
      <c r="AO2193">
        <v>-43.953878321145311</v>
      </c>
      <c r="AP2193">
        <v>-19.566217000000002</v>
      </c>
      <c r="AQ2193">
        <v>-43.953677999999996</v>
      </c>
      <c r="AR2193">
        <v>22.847551614007049</v>
      </c>
      <c r="AS2193" t="s">
        <v>65</v>
      </c>
      <c r="AT2193">
        <v>1</v>
      </c>
      <c r="AU2193" t="s">
        <v>835</v>
      </c>
      <c r="AV2193" t="s">
        <v>836</v>
      </c>
      <c r="AW2193" t="s">
        <v>60</v>
      </c>
      <c r="AX2193" t="s">
        <v>68</v>
      </c>
      <c r="AY2193" t="s">
        <v>69</v>
      </c>
      <c r="AZ2193" t="b">
        <v>1</v>
      </c>
    </row>
    <row r="2194" spans="1:52" x14ac:dyDescent="0.3">
      <c r="A2194" t="s">
        <v>52</v>
      </c>
      <c r="B2194" t="s">
        <v>53</v>
      </c>
      <c r="C2194" t="s">
        <v>54</v>
      </c>
      <c r="D2194" t="s">
        <v>55</v>
      </c>
      <c r="E2194" t="s">
        <v>878</v>
      </c>
      <c r="F2194" t="s">
        <v>176</v>
      </c>
      <c r="G2194" t="s">
        <v>664</v>
      </c>
      <c r="H2194" t="s">
        <v>687</v>
      </c>
      <c r="I2194" t="s">
        <v>687</v>
      </c>
      <c r="J2194" t="s">
        <v>60</v>
      </c>
      <c r="K2194" t="s">
        <v>683</v>
      </c>
      <c r="L2194" t="s">
        <v>62</v>
      </c>
      <c r="M2194" t="s">
        <v>683</v>
      </c>
      <c r="N2194" t="s">
        <v>688</v>
      </c>
      <c r="O2194" t="s">
        <v>354</v>
      </c>
      <c r="P2194">
        <v>-19.564990999999999</v>
      </c>
      <c r="Q2194">
        <v>-43.947169000000002</v>
      </c>
      <c r="R2194" s="2" t="str">
        <f>HYPERLINK("https://www.google.com/maps?q=-19.5649910,-43.9471690","Abrir no Google Maps")</f>
        <v>Abrir no Google Maps</v>
      </c>
      <c r="S2194">
        <v>3</v>
      </c>
      <c r="T2194">
        <v>686.62887321451433</v>
      </c>
      <c r="U2194">
        <v>4</v>
      </c>
      <c r="V2194">
        <v>0.34898444252376831</v>
      </c>
      <c r="W2194">
        <v>1</v>
      </c>
      <c r="X2194">
        <v>0.34898444252376831</v>
      </c>
      <c r="Y2194">
        <v>1</v>
      </c>
      <c r="Z2194">
        <v>848.87718642784125</v>
      </c>
      <c r="AA2194">
        <v>2</v>
      </c>
      <c r="AB2194">
        <v>3</v>
      </c>
      <c r="AC2194">
        <v>7</v>
      </c>
      <c r="AD2194">
        <v>27.39</v>
      </c>
      <c r="AE2194">
        <v>253</v>
      </c>
      <c r="AF2194">
        <v>12</v>
      </c>
      <c r="AG2194">
        <v>75</v>
      </c>
      <c r="AH2194">
        <v>32</v>
      </c>
      <c r="AI2194">
        <v>4.74</v>
      </c>
      <c r="AJ2194">
        <v>29.64</v>
      </c>
      <c r="AK2194">
        <v>12.65</v>
      </c>
      <c r="AL2194">
        <v>-19.564904949999971</v>
      </c>
      <c r="AM2194">
        <v>-43.94746329903581</v>
      </c>
      <c r="AN2194">
        <v>-19.564904949999971</v>
      </c>
      <c r="AO2194">
        <v>-43.94746329903581</v>
      </c>
      <c r="AP2194">
        <v>-19.564990999999999</v>
      </c>
      <c r="AQ2194">
        <v>-43.947169000000002</v>
      </c>
      <c r="AR2194">
        <v>32.321888980844889</v>
      </c>
      <c r="AS2194" t="s">
        <v>65</v>
      </c>
      <c r="AT2194">
        <v>1</v>
      </c>
      <c r="AU2194" t="s">
        <v>689</v>
      </c>
      <c r="AV2194" t="s">
        <v>690</v>
      </c>
      <c r="AW2194" t="s">
        <v>60</v>
      </c>
      <c r="AX2194" t="s">
        <v>68</v>
      </c>
      <c r="AY2194" t="s">
        <v>69</v>
      </c>
      <c r="AZ2194" t="b">
        <v>1</v>
      </c>
    </row>
    <row r="2195" spans="1:52" x14ac:dyDescent="0.3">
      <c r="A2195" t="s">
        <v>52</v>
      </c>
      <c r="B2195" t="s">
        <v>53</v>
      </c>
      <c r="C2195" t="s">
        <v>54</v>
      </c>
      <c r="D2195" t="s">
        <v>55</v>
      </c>
      <c r="E2195" t="s">
        <v>878</v>
      </c>
      <c r="F2195" t="s">
        <v>176</v>
      </c>
      <c r="G2195" t="s">
        <v>580</v>
      </c>
      <c r="H2195" t="s">
        <v>581</v>
      </c>
      <c r="I2195" t="s">
        <v>581</v>
      </c>
      <c r="J2195" t="s">
        <v>60</v>
      </c>
      <c r="K2195" t="s">
        <v>179</v>
      </c>
      <c r="L2195" t="s">
        <v>62</v>
      </c>
      <c r="M2195" t="s">
        <v>179</v>
      </c>
      <c r="N2195" t="s">
        <v>582</v>
      </c>
      <c r="O2195" t="s">
        <v>583</v>
      </c>
      <c r="P2195">
        <v>-19.651917999999998</v>
      </c>
      <c r="Q2195">
        <v>-43.888081</v>
      </c>
      <c r="R2195" s="2" t="str">
        <f>HYPERLINK("https://www.google.com/maps?q=-19.6519180,-43.8880810","Abrir no Google Maps")</f>
        <v>Abrir no Google Maps</v>
      </c>
      <c r="S2195">
        <v>3</v>
      </c>
      <c r="T2195">
        <v>1192.758363020145</v>
      </c>
      <c r="U2195">
        <v>3</v>
      </c>
      <c r="V2195">
        <v>0.2675884492594337</v>
      </c>
      <c r="W2195">
        <v>0.85</v>
      </c>
      <c r="X2195">
        <v>0.2274501818705186</v>
      </c>
      <c r="Y2195">
        <v>10</v>
      </c>
      <c r="Z2195">
        <v>1164.020417046748</v>
      </c>
      <c r="AA2195">
        <v>2</v>
      </c>
      <c r="AB2195">
        <v>3</v>
      </c>
      <c r="AC2195">
        <v>7</v>
      </c>
      <c r="AD2195">
        <v>27.39</v>
      </c>
      <c r="AE2195">
        <v>253</v>
      </c>
      <c r="AF2195">
        <v>12</v>
      </c>
      <c r="AG2195">
        <v>75</v>
      </c>
      <c r="AH2195">
        <v>32</v>
      </c>
      <c r="AI2195">
        <v>4.74</v>
      </c>
      <c r="AJ2195">
        <v>29.64</v>
      </c>
      <c r="AK2195">
        <v>12.65</v>
      </c>
      <c r="AL2195">
        <v>-19.65182809999996</v>
      </c>
      <c r="AM2195">
        <v>-43.887955347266519</v>
      </c>
      <c r="AN2195">
        <v>-19.65182809999996</v>
      </c>
      <c r="AO2195">
        <v>-43.887955347266519</v>
      </c>
      <c r="AP2195">
        <v>-19.651917999999998</v>
      </c>
      <c r="AQ2195">
        <v>-43.888081</v>
      </c>
      <c r="AR2195">
        <v>16.543262936495491</v>
      </c>
      <c r="AS2195" t="s">
        <v>65</v>
      </c>
      <c r="AT2195">
        <v>1</v>
      </c>
      <c r="AU2195" t="s">
        <v>584</v>
      </c>
      <c r="AV2195" t="s">
        <v>585</v>
      </c>
      <c r="AW2195" t="s">
        <v>60</v>
      </c>
      <c r="AX2195" t="s">
        <v>68</v>
      </c>
      <c r="AY2195" t="s">
        <v>69</v>
      </c>
      <c r="AZ2195" t="b">
        <v>1</v>
      </c>
    </row>
    <row r="2196" spans="1:52" x14ac:dyDescent="0.3">
      <c r="A2196" t="s">
        <v>52</v>
      </c>
      <c r="B2196" t="s">
        <v>53</v>
      </c>
      <c r="C2196" t="s">
        <v>54</v>
      </c>
      <c r="D2196" t="s">
        <v>55</v>
      </c>
      <c r="E2196" t="s">
        <v>878</v>
      </c>
      <c r="F2196" t="s">
        <v>176</v>
      </c>
      <c r="G2196" t="s">
        <v>411</v>
      </c>
      <c r="H2196" t="s">
        <v>412</v>
      </c>
      <c r="I2196" t="s">
        <v>412</v>
      </c>
      <c r="J2196" t="s">
        <v>60</v>
      </c>
      <c r="K2196" t="s">
        <v>179</v>
      </c>
      <c r="L2196" t="s">
        <v>62</v>
      </c>
      <c r="M2196" t="s">
        <v>179</v>
      </c>
      <c r="N2196" t="s">
        <v>413</v>
      </c>
      <c r="O2196" t="s">
        <v>414</v>
      </c>
      <c r="P2196">
        <v>-19.650079000000002</v>
      </c>
      <c r="Q2196">
        <v>-43.884253999999999</v>
      </c>
      <c r="R2196" s="2" t="str">
        <f>HYPERLINK("https://www.google.com/maps?q=-19.6500790,-43.8842540","Abrir no Google Maps")</f>
        <v>Abrir no Google Maps</v>
      </c>
      <c r="S2196">
        <v>3</v>
      </c>
      <c r="T2196">
        <v>797.21430129715498</v>
      </c>
      <c r="U2196">
        <v>3</v>
      </c>
      <c r="V2196">
        <v>0.27167854532163749</v>
      </c>
      <c r="W2196">
        <v>1</v>
      </c>
      <c r="X2196">
        <v>0.27167854532163749</v>
      </c>
      <c r="Y2196">
        <v>10</v>
      </c>
      <c r="Z2196">
        <v>774.04145012702554</v>
      </c>
      <c r="AA2196">
        <v>2</v>
      </c>
      <c r="AB2196">
        <v>3</v>
      </c>
      <c r="AC2196">
        <v>7</v>
      </c>
      <c r="AD2196">
        <v>27.39</v>
      </c>
      <c r="AE2196">
        <v>253</v>
      </c>
      <c r="AF2196">
        <v>12</v>
      </c>
      <c r="AG2196">
        <v>75</v>
      </c>
      <c r="AH2196">
        <v>32</v>
      </c>
      <c r="AI2196">
        <v>4.74</v>
      </c>
      <c r="AJ2196">
        <v>29.64</v>
      </c>
      <c r="AK2196">
        <v>12.65</v>
      </c>
      <c r="AL2196">
        <v>-19.649199399999961</v>
      </c>
      <c r="AM2196">
        <v>-43.883888390043637</v>
      </c>
      <c r="AN2196">
        <v>-19.649199399999961</v>
      </c>
      <c r="AO2196">
        <v>-43.883888390043637</v>
      </c>
      <c r="AP2196">
        <v>-19.650079000000002</v>
      </c>
      <c r="AQ2196">
        <v>-43.884253999999999</v>
      </c>
      <c r="AR2196">
        <v>105.1518915696123</v>
      </c>
      <c r="AS2196" t="s">
        <v>65</v>
      </c>
      <c r="AT2196">
        <v>1</v>
      </c>
      <c r="AU2196" t="s">
        <v>415</v>
      </c>
      <c r="AV2196" t="s">
        <v>416</v>
      </c>
      <c r="AW2196" t="s">
        <v>60</v>
      </c>
      <c r="AX2196" t="s">
        <v>68</v>
      </c>
      <c r="AY2196" t="s">
        <v>69</v>
      </c>
      <c r="AZ2196" t="b">
        <v>1</v>
      </c>
    </row>
    <row r="2197" spans="1:52" x14ac:dyDescent="0.3">
      <c r="A2197" t="s">
        <v>52</v>
      </c>
      <c r="B2197" t="s">
        <v>53</v>
      </c>
      <c r="C2197" t="s">
        <v>54</v>
      </c>
      <c r="D2197" t="s">
        <v>55</v>
      </c>
      <c r="E2197" t="s">
        <v>878</v>
      </c>
      <c r="F2197" t="s">
        <v>176</v>
      </c>
      <c r="G2197" t="s">
        <v>417</v>
      </c>
      <c r="H2197" t="s">
        <v>418</v>
      </c>
      <c r="I2197" t="s">
        <v>418</v>
      </c>
      <c r="J2197" t="s">
        <v>60</v>
      </c>
      <c r="K2197" t="s">
        <v>179</v>
      </c>
      <c r="L2197" t="s">
        <v>62</v>
      </c>
      <c r="M2197" t="s">
        <v>179</v>
      </c>
      <c r="N2197" t="s">
        <v>419</v>
      </c>
      <c r="O2197" t="s">
        <v>420</v>
      </c>
      <c r="P2197">
        <v>-19.646516999999999</v>
      </c>
      <c r="Q2197">
        <v>-43.889716</v>
      </c>
      <c r="R2197" s="2" t="str">
        <f>HYPERLINK("https://www.google.com/maps?q=-19.6465170,-43.8897160","Abrir no Google Maps")</f>
        <v>Abrir no Google Maps</v>
      </c>
      <c r="S2197">
        <v>3</v>
      </c>
      <c r="T2197">
        <v>796.8355517653099</v>
      </c>
      <c r="U2197">
        <v>3</v>
      </c>
      <c r="V2197">
        <v>0.28657174819623638</v>
      </c>
      <c r="W2197">
        <v>1</v>
      </c>
      <c r="X2197">
        <v>0.28657174819623638</v>
      </c>
      <c r="Y2197">
        <v>7</v>
      </c>
      <c r="Z2197">
        <v>749.72812632947034</v>
      </c>
      <c r="AA2197">
        <v>2</v>
      </c>
      <c r="AB2197">
        <v>3</v>
      </c>
      <c r="AC2197">
        <v>7</v>
      </c>
      <c r="AD2197">
        <v>27.39</v>
      </c>
      <c r="AE2197">
        <v>253</v>
      </c>
      <c r="AF2197">
        <v>12</v>
      </c>
      <c r="AG2197">
        <v>75</v>
      </c>
      <c r="AH2197">
        <v>32</v>
      </c>
      <c r="AI2197">
        <v>4.74</v>
      </c>
      <c r="AJ2197">
        <v>29.64</v>
      </c>
      <c r="AK2197">
        <v>12.65</v>
      </c>
      <c r="AL2197">
        <v>-19.646452649999961</v>
      </c>
      <c r="AM2197">
        <v>-43.88991036523079</v>
      </c>
      <c r="AN2197">
        <v>-19.646452649999961</v>
      </c>
      <c r="AO2197">
        <v>-43.88991036523079</v>
      </c>
      <c r="AP2197">
        <v>-19.646516999999999</v>
      </c>
      <c r="AQ2197">
        <v>-43.889716</v>
      </c>
      <c r="AR2197">
        <v>21.599617922669939</v>
      </c>
      <c r="AS2197" t="s">
        <v>65</v>
      </c>
      <c r="AT2197">
        <v>1</v>
      </c>
      <c r="AU2197" t="s">
        <v>421</v>
      </c>
      <c r="AV2197" t="s">
        <v>422</v>
      </c>
      <c r="AW2197" t="s">
        <v>60</v>
      </c>
      <c r="AX2197" t="s">
        <v>68</v>
      </c>
      <c r="AY2197" t="s">
        <v>69</v>
      </c>
      <c r="AZ2197" t="b">
        <v>1</v>
      </c>
    </row>
    <row r="2198" spans="1:52" x14ac:dyDescent="0.3">
      <c r="A2198" t="s">
        <v>52</v>
      </c>
      <c r="B2198" t="s">
        <v>53</v>
      </c>
      <c r="C2198" t="s">
        <v>54</v>
      </c>
      <c r="D2198" t="s">
        <v>55</v>
      </c>
      <c r="E2198" t="s">
        <v>878</v>
      </c>
      <c r="F2198" t="s">
        <v>176</v>
      </c>
      <c r="G2198" t="s">
        <v>953</v>
      </c>
      <c r="H2198" t="s">
        <v>954</v>
      </c>
      <c r="I2198" t="s">
        <v>954</v>
      </c>
      <c r="J2198" t="s">
        <v>60</v>
      </c>
      <c r="K2198" t="s">
        <v>352</v>
      </c>
      <c r="L2198" t="s">
        <v>62</v>
      </c>
      <c r="M2198" t="s">
        <v>352</v>
      </c>
      <c r="N2198" t="s">
        <v>955</v>
      </c>
      <c r="O2198" t="s">
        <v>956</v>
      </c>
      <c r="P2198">
        <v>-19.569683000000001</v>
      </c>
      <c r="Q2198">
        <v>-43.899760999999998</v>
      </c>
      <c r="R2198" s="2" t="str">
        <f>HYPERLINK("https://www.google.com/maps?q=-19.5696830,-43.8997610","Abrir no Google Maps")</f>
        <v>Abrir no Google Maps</v>
      </c>
      <c r="S2198">
        <v>3</v>
      </c>
      <c r="T2198">
        <v>2221.9690671465701</v>
      </c>
      <c r="U2198">
        <v>3</v>
      </c>
      <c r="V2198">
        <v>0.3146878733572282</v>
      </c>
      <c r="W2198">
        <v>0.85</v>
      </c>
      <c r="X2198">
        <v>0.26748469235364403</v>
      </c>
      <c r="Y2198">
        <v>7</v>
      </c>
      <c r="Z2198">
        <v>1910.4724050421739</v>
      </c>
      <c r="AA2198">
        <v>2</v>
      </c>
      <c r="AB2198">
        <v>3</v>
      </c>
      <c r="AC2198">
        <v>7</v>
      </c>
      <c r="AD2198">
        <v>27.39</v>
      </c>
      <c r="AE2198">
        <v>253</v>
      </c>
      <c r="AF2198">
        <v>12</v>
      </c>
      <c r="AG2198">
        <v>75</v>
      </c>
      <c r="AH2198">
        <v>32</v>
      </c>
      <c r="AI2198">
        <v>4.74</v>
      </c>
      <c r="AJ2198">
        <v>29.64</v>
      </c>
      <c r="AK2198">
        <v>12.65</v>
      </c>
      <c r="AL2198">
        <v>-19.569677899999959</v>
      </c>
      <c r="AM2198">
        <v>-43.89992159165115</v>
      </c>
      <c r="AN2198">
        <v>-19.569677899999959</v>
      </c>
      <c r="AO2198">
        <v>-43.89992159165115</v>
      </c>
      <c r="AP2198">
        <v>-19.569683000000001</v>
      </c>
      <c r="AQ2198">
        <v>-43.899760999999998</v>
      </c>
      <c r="AR2198">
        <v>16.853956229636879</v>
      </c>
      <c r="AS2198" t="s">
        <v>65</v>
      </c>
      <c r="AT2198">
        <v>1</v>
      </c>
      <c r="AU2198" t="s">
        <v>957</v>
      </c>
      <c r="AV2198" t="s">
        <v>958</v>
      </c>
      <c r="AW2198" t="s">
        <v>60</v>
      </c>
      <c r="AX2198" t="s">
        <v>68</v>
      </c>
      <c r="AY2198" t="s">
        <v>69</v>
      </c>
      <c r="AZ2198" t="b">
        <v>1</v>
      </c>
    </row>
    <row r="2199" spans="1:52" x14ac:dyDescent="0.3">
      <c r="A2199" t="s">
        <v>52</v>
      </c>
      <c r="B2199" t="s">
        <v>53</v>
      </c>
      <c r="C2199" t="s">
        <v>54</v>
      </c>
      <c r="D2199" t="s">
        <v>55</v>
      </c>
      <c r="E2199" t="s">
        <v>878</v>
      </c>
      <c r="F2199" t="s">
        <v>176</v>
      </c>
      <c r="G2199" t="s">
        <v>691</v>
      </c>
      <c r="H2199" t="s">
        <v>692</v>
      </c>
      <c r="I2199" t="s">
        <v>692</v>
      </c>
      <c r="J2199" t="s">
        <v>60</v>
      </c>
      <c r="K2199" t="s">
        <v>352</v>
      </c>
      <c r="L2199" t="s">
        <v>62</v>
      </c>
      <c r="M2199" t="s">
        <v>352</v>
      </c>
      <c r="N2199" t="s">
        <v>693</v>
      </c>
      <c r="O2199" t="s">
        <v>694</v>
      </c>
      <c r="P2199">
        <v>-19.592984999999999</v>
      </c>
      <c r="Q2199">
        <v>-43.897024999999999</v>
      </c>
      <c r="R2199" s="2" t="str">
        <f>HYPERLINK("https://www.google.com/maps?q=-19.5929850,-43.8970250","Abrir no Google Maps")</f>
        <v>Abrir no Google Maps</v>
      </c>
      <c r="S2199">
        <v>3</v>
      </c>
      <c r="T2199">
        <v>1022.30441514714</v>
      </c>
      <c r="U2199">
        <v>3</v>
      </c>
      <c r="V2199">
        <v>0.3207063008130081</v>
      </c>
      <c r="W2199">
        <v>0.85</v>
      </c>
      <c r="X2199">
        <v>0.27260035569105689</v>
      </c>
      <c r="Y2199">
        <v>7</v>
      </c>
      <c r="Z2199">
        <v>1025.765184854632</v>
      </c>
      <c r="AA2199">
        <v>2</v>
      </c>
      <c r="AB2199">
        <v>3</v>
      </c>
      <c r="AC2199">
        <v>7</v>
      </c>
      <c r="AD2199">
        <v>27.39</v>
      </c>
      <c r="AE2199">
        <v>253</v>
      </c>
      <c r="AF2199">
        <v>12</v>
      </c>
      <c r="AG2199">
        <v>75</v>
      </c>
      <c r="AH2199">
        <v>32</v>
      </c>
      <c r="AI2199">
        <v>4.74</v>
      </c>
      <c r="AJ2199">
        <v>29.64</v>
      </c>
      <c r="AK2199">
        <v>12.65</v>
      </c>
      <c r="AL2199">
        <v>-19.593727299999951</v>
      </c>
      <c r="AM2199">
        <v>-43.89663096630845</v>
      </c>
      <c r="AN2199">
        <v>-19.593727299999951</v>
      </c>
      <c r="AO2199">
        <v>-43.89663096630845</v>
      </c>
      <c r="AP2199">
        <v>-19.592984999999999</v>
      </c>
      <c r="AQ2199">
        <v>-43.897024999999999</v>
      </c>
      <c r="AR2199">
        <v>92.389647241204798</v>
      </c>
      <c r="AS2199" t="s">
        <v>65</v>
      </c>
      <c r="AT2199">
        <v>1</v>
      </c>
      <c r="AU2199" t="s">
        <v>695</v>
      </c>
      <c r="AV2199" t="s">
        <v>375</v>
      </c>
      <c r="AW2199" t="s">
        <v>60</v>
      </c>
      <c r="AX2199" t="s">
        <v>68</v>
      </c>
      <c r="AY2199" t="s">
        <v>69</v>
      </c>
      <c r="AZ2199" t="b">
        <v>1</v>
      </c>
    </row>
    <row r="2200" spans="1:52" x14ac:dyDescent="0.3">
      <c r="A2200" t="s">
        <v>52</v>
      </c>
      <c r="B2200" t="s">
        <v>53</v>
      </c>
      <c r="C2200" t="s">
        <v>54</v>
      </c>
      <c r="D2200" t="s">
        <v>55</v>
      </c>
      <c r="E2200" t="s">
        <v>878</v>
      </c>
      <c r="F2200" t="s">
        <v>176</v>
      </c>
      <c r="G2200" t="s">
        <v>866</v>
      </c>
      <c r="H2200" t="s">
        <v>867</v>
      </c>
      <c r="I2200" t="s">
        <v>867</v>
      </c>
      <c r="J2200" t="s">
        <v>60</v>
      </c>
      <c r="K2200" t="s">
        <v>179</v>
      </c>
      <c r="L2200" t="s">
        <v>62</v>
      </c>
      <c r="M2200" t="s">
        <v>179</v>
      </c>
      <c r="N2200" t="s">
        <v>868</v>
      </c>
      <c r="O2200" t="s">
        <v>869</v>
      </c>
      <c r="P2200">
        <v>-19.646858000000002</v>
      </c>
      <c r="Q2200">
        <v>-43.886454999999998</v>
      </c>
      <c r="R2200" s="2" t="str">
        <f>HYPERLINK("https://www.google.com/maps?q=-19.6468580,-43.8864550","Abrir no Google Maps")</f>
        <v>Abrir no Google Maps</v>
      </c>
      <c r="S2200">
        <v>3</v>
      </c>
      <c r="T2200">
        <v>633.61739124233247</v>
      </c>
      <c r="U2200">
        <v>3</v>
      </c>
      <c r="V2200">
        <v>0.30962469733656173</v>
      </c>
      <c r="W2200">
        <v>0.85</v>
      </c>
      <c r="X2200">
        <v>0.26318099273607748</v>
      </c>
      <c r="Y2200">
        <v>7</v>
      </c>
      <c r="Z2200">
        <v>674.20566084920199</v>
      </c>
      <c r="AA2200">
        <v>2</v>
      </c>
      <c r="AB2200">
        <v>3</v>
      </c>
      <c r="AC2200">
        <v>7</v>
      </c>
      <c r="AD2200">
        <v>27.39</v>
      </c>
      <c r="AE2200">
        <v>253</v>
      </c>
      <c r="AF2200">
        <v>12</v>
      </c>
      <c r="AG2200">
        <v>75</v>
      </c>
      <c r="AH2200">
        <v>32</v>
      </c>
      <c r="AI2200">
        <v>4.74</v>
      </c>
      <c r="AJ2200">
        <v>29.64</v>
      </c>
      <c r="AK2200">
        <v>12.65</v>
      </c>
      <c r="AL2200">
        <v>-19.647064299999951</v>
      </c>
      <c r="AM2200">
        <v>-43.886178336648193</v>
      </c>
      <c r="AN2200">
        <v>-19.647064299999951</v>
      </c>
      <c r="AO2200">
        <v>-43.886178336648193</v>
      </c>
      <c r="AP2200">
        <v>-19.646858000000002</v>
      </c>
      <c r="AQ2200">
        <v>-43.886454999999998</v>
      </c>
      <c r="AR2200">
        <v>36.996001401630338</v>
      </c>
      <c r="AS2200" t="s">
        <v>65</v>
      </c>
      <c r="AT2200">
        <v>1</v>
      </c>
      <c r="AU2200" t="s">
        <v>870</v>
      </c>
      <c r="AV2200" t="s">
        <v>871</v>
      </c>
      <c r="AW2200" t="s">
        <v>60</v>
      </c>
      <c r="AX2200" t="s">
        <v>68</v>
      </c>
      <c r="AY2200" t="s">
        <v>69</v>
      </c>
      <c r="AZ2200" t="b">
        <v>1</v>
      </c>
    </row>
    <row r="2201" spans="1:52" x14ac:dyDescent="0.3">
      <c r="A2201" t="s">
        <v>52</v>
      </c>
      <c r="B2201" t="s">
        <v>53</v>
      </c>
      <c r="C2201" t="s">
        <v>54</v>
      </c>
      <c r="D2201" t="s">
        <v>55</v>
      </c>
      <c r="E2201" t="s">
        <v>878</v>
      </c>
      <c r="F2201" t="s">
        <v>176</v>
      </c>
      <c r="G2201" t="s">
        <v>777</v>
      </c>
      <c r="H2201" t="s">
        <v>778</v>
      </c>
      <c r="I2201" t="s">
        <v>778</v>
      </c>
      <c r="J2201" t="s">
        <v>60</v>
      </c>
      <c r="K2201" t="s">
        <v>352</v>
      </c>
      <c r="L2201" t="s">
        <v>62</v>
      </c>
      <c r="M2201" t="s">
        <v>352</v>
      </c>
      <c r="N2201" t="s">
        <v>779</v>
      </c>
      <c r="O2201" t="s">
        <v>780</v>
      </c>
      <c r="P2201">
        <v>-19.579518</v>
      </c>
      <c r="Q2201">
        <v>-43.909238000000002</v>
      </c>
      <c r="R2201" s="2" t="str">
        <f>HYPERLINK("https://www.google.com/maps?q=-19.5795180,-43.9092380","Abrir no Google Maps")</f>
        <v>Abrir no Google Maps</v>
      </c>
      <c r="S2201">
        <v>3</v>
      </c>
      <c r="T2201">
        <v>1293.9709096326289</v>
      </c>
      <c r="U2201">
        <v>3</v>
      </c>
      <c r="V2201">
        <v>0.3093750926172904</v>
      </c>
      <c r="W2201">
        <v>0.85</v>
      </c>
      <c r="X2201">
        <v>0.26296882872469679</v>
      </c>
      <c r="Y2201">
        <v>7</v>
      </c>
      <c r="Z2201">
        <v>1024.030940986815</v>
      </c>
      <c r="AA2201">
        <v>2</v>
      </c>
      <c r="AB2201">
        <v>3</v>
      </c>
      <c r="AC2201">
        <v>7</v>
      </c>
      <c r="AD2201">
        <v>27.39</v>
      </c>
      <c r="AE2201">
        <v>253</v>
      </c>
      <c r="AF2201">
        <v>12</v>
      </c>
      <c r="AG2201">
        <v>75</v>
      </c>
      <c r="AH2201">
        <v>32</v>
      </c>
      <c r="AI2201">
        <v>4.74</v>
      </c>
      <c r="AJ2201">
        <v>29.64</v>
      </c>
      <c r="AK2201">
        <v>12.65</v>
      </c>
      <c r="AL2201">
        <v>-19.579767999999941</v>
      </c>
      <c r="AM2201">
        <v>-43.909514457818823</v>
      </c>
      <c r="AN2201">
        <v>-19.579767999999941</v>
      </c>
      <c r="AO2201">
        <v>-43.909514457818823</v>
      </c>
      <c r="AP2201">
        <v>-19.579518</v>
      </c>
      <c r="AQ2201">
        <v>-43.909238000000002</v>
      </c>
      <c r="AR2201">
        <v>40.190312724728379</v>
      </c>
      <c r="AS2201" t="s">
        <v>65</v>
      </c>
      <c r="AT2201">
        <v>1</v>
      </c>
      <c r="AU2201" t="s">
        <v>781</v>
      </c>
      <c r="AV2201" t="s">
        <v>782</v>
      </c>
      <c r="AW2201" t="s">
        <v>60</v>
      </c>
      <c r="AX2201" t="s">
        <v>68</v>
      </c>
      <c r="AY2201" t="s">
        <v>69</v>
      </c>
      <c r="AZ2201" t="b">
        <v>1</v>
      </c>
    </row>
    <row r="2202" spans="1:52" x14ac:dyDescent="0.3">
      <c r="A2202" t="s">
        <v>52</v>
      </c>
      <c r="B2202" t="s">
        <v>53</v>
      </c>
      <c r="C2202" t="s">
        <v>54</v>
      </c>
      <c r="D2202" t="s">
        <v>55</v>
      </c>
      <c r="E2202" t="s">
        <v>878</v>
      </c>
      <c r="F2202" t="s">
        <v>176</v>
      </c>
      <c r="G2202" t="s">
        <v>959</v>
      </c>
      <c r="H2202" t="s">
        <v>960</v>
      </c>
      <c r="I2202" t="s">
        <v>960</v>
      </c>
      <c r="J2202" t="s">
        <v>60</v>
      </c>
      <c r="K2202" t="s">
        <v>907</v>
      </c>
      <c r="L2202" t="s">
        <v>62</v>
      </c>
      <c r="M2202" t="s">
        <v>907</v>
      </c>
      <c r="N2202" t="s">
        <v>961</v>
      </c>
      <c r="O2202" t="s">
        <v>962</v>
      </c>
      <c r="P2202">
        <v>-19.654050999999999</v>
      </c>
      <c r="Q2202">
        <v>-43.932704000000001</v>
      </c>
      <c r="R2202" s="2" t="str">
        <f>HYPERLINK("https://www.google.com/maps?q=-19.6540510,-43.9327040","Abrir no Google Maps")</f>
        <v>Abrir no Google Maps</v>
      </c>
      <c r="S2202">
        <v>3</v>
      </c>
      <c r="T2202">
        <v>2477.9540159650719</v>
      </c>
      <c r="U2202">
        <v>3</v>
      </c>
      <c r="V2202">
        <v>0.34131008613503749</v>
      </c>
      <c r="W2202">
        <v>0.85</v>
      </c>
      <c r="X2202">
        <v>0.29011357321478187</v>
      </c>
      <c r="Y2202">
        <v>5</v>
      </c>
      <c r="Z2202">
        <v>2428.6285487606292</v>
      </c>
      <c r="AA2202">
        <v>2</v>
      </c>
      <c r="AB2202">
        <v>3</v>
      </c>
      <c r="AC2202">
        <v>7</v>
      </c>
      <c r="AD2202">
        <v>27.39</v>
      </c>
      <c r="AE2202">
        <v>253</v>
      </c>
      <c r="AF2202">
        <v>12</v>
      </c>
      <c r="AG2202">
        <v>75</v>
      </c>
      <c r="AH2202">
        <v>32</v>
      </c>
      <c r="AI2202">
        <v>4.74</v>
      </c>
      <c r="AJ2202">
        <v>29.64</v>
      </c>
      <c r="AK2202">
        <v>12.65</v>
      </c>
      <c r="AL2202">
        <v>-19.654195799999972</v>
      </c>
      <c r="AM2202">
        <v>-43.933017766283413</v>
      </c>
      <c r="AN2202">
        <v>-19.654195799999972</v>
      </c>
      <c r="AO2202">
        <v>-43.933017766283413</v>
      </c>
      <c r="AP2202">
        <v>-19.654050999999999</v>
      </c>
      <c r="AQ2202">
        <v>-43.932704000000001</v>
      </c>
      <c r="AR2202">
        <v>36.6307284649858</v>
      </c>
      <c r="AS2202" t="s">
        <v>65</v>
      </c>
      <c r="AT2202">
        <v>1</v>
      </c>
      <c r="AU2202" t="s">
        <v>963</v>
      </c>
      <c r="AV2202" t="s">
        <v>964</v>
      </c>
      <c r="AW2202" t="s">
        <v>60</v>
      </c>
      <c r="AX2202" t="s">
        <v>68</v>
      </c>
      <c r="AY2202" t="s">
        <v>69</v>
      </c>
      <c r="AZ2202" t="b">
        <v>1</v>
      </c>
    </row>
    <row r="2203" spans="1:52" x14ac:dyDescent="0.3">
      <c r="A2203" t="s">
        <v>52</v>
      </c>
      <c r="B2203" t="s">
        <v>53</v>
      </c>
      <c r="C2203" t="s">
        <v>54</v>
      </c>
      <c r="D2203" t="s">
        <v>55</v>
      </c>
      <c r="E2203" t="s">
        <v>878</v>
      </c>
      <c r="F2203" t="s">
        <v>176</v>
      </c>
      <c r="G2203" t="s">
        <v>846</v>
      </c>
      <c r="H2203" t="s">
        <v>847</v>
      </c>
      <c r="I2203" t="s">
        <v>847</v>
      </c>
      <c r="J2203" t="s">
        <v>60</v>
      </c>
      <c r="K2203" t="s">
        <v>299</v>
      </c>
      <c r="L2203" t="s">
        <v>62</v>
      </c>
      <c r="M2203" t="s">
        <v>299</v>
      </c>
      <c r="N2203" t="s">
        <v>848</v>
      </c>
      <c r="O2203" t="s">
        <v>120</v>
      </c>
      <c r="P2203">
        <v>-19.673877999999998</v>
      </c>
      <c r="Q2203">
        <v>-43.916899000000001</v>
      </c>
      <c r="R2203" s="2" t="str">
        <f>HYPERLINK("https://www.google.com/maps?q=-19.6738780,-43.9168990","Abrir no Google Maps")</f>
        <v>Abrir no Google Maps</v>
      </c>
      <c r="S2203">
        <v>3</v>
      </c>
      <c r="T2203">
        <v>1198.567403279673</v>
      </c>
      <c r="U2203">
        <v>3</v>
      </c>
      <c r="V2203">
        <v>0.26799242424242431</v>
      </c>
      <c r="W2203">
        <v>0.85</v>
      </c>
      <c r="X2203">
        <v>0.22779356060606071</v>
      </c>
      <c r="Y2203">
        <v>5</v>
      </c>
      <c r="Z2203">
        <v>1339.4235827080181</v>
      </c>
      <c r="AA2203">
        <v>2</v>
      </c>
      <c r="AB2203">
        <v>3</v>
      </c>
      <c r="AC2203">
        <v>7</v>
      </c>
      <c r="AD2203">
        <v>27.39</v>
      </c>
      <c r="AE2203">
        <v>253</v>
      </c>
      <c r="AF2203">
        <v>12</v>
      </c>
      <c r="AG2203">
        <v>75</v>
      </c>
      <c r="AH2203">
        <v>32</v>
      </c>
      <c r="AI2203">
        <v>4.74</v>
      </c>
      <c r="AJ2203">
        <v>29.64</v>
      </c>
      <c r="AK2203">
        <v>12.65</v>
      </c>
      <c r="AL2203">
        <v>-19.673303049999959</v>
      </c>
      <c r="AM2203">
        <v>-43.917027177734163</v>
      </c>
      <c r="AN2203">
        <v>-19.673303049999959</v>
      </c>
      <c r="AO2203">
        <v>-43.917027177734163</v>
      </c>
      <c r="AP2203">
        <v>-19.673877999999998</v>
      </c>
      <c r="AQ2203">
        <v>-43.916899000000001</v>
      </c>
      <c r="AR2203">
        <v>65.398481992136681</v>
      </c>
      <c r="AS2203" t="s">
        <v>65</v>
      </c>
      <c r="AT2203">
        <v>1</v>
      </c>
      <c r="AU2203" t="s">
        <v>849</v>
      </c>
      <c r="AV2203" t="s">
        <v>850</v>
      </c>
      <c r="AW2203" t="s">
        <v>60</v>
      </c>
      <c r="AX2203" t="s">
        <v>68</v>
      </c>
      <c r="AY2203" t="s">
        <v>69</v>
      </c>
      <c r="AZ2203" t="b">
        <v>1</v>
      </c>
    </row>
    <row r="2204" spans="1:52" x14ac:dyDescent="0.3">
      <c r="A2204" t="s">
        <v>52</v>
      </c>
      <c r="B2204" t="s">
        <v>53</v>
      </c>
      <c r="C2204" t="s">
        <v>54</v>
      </c>
      <c r="D2204" t="s">
        <v>55</v>
      </c>
      <c r="E2204" t="s">
        <v>878</v>
      </c>
      <c r="F2204" t="s">
        <v>176</v>
      </c>
      <c r="G2204" t="s">
        <v>965</v>
      </c>
      <c r="H2204" t="s">
        <v>966</v>
      </c>
      <c r="I2204" t="s">
        <v>966</v>
      </c>
      <c r="J2204" t="s">
        <v>60</v>
      </c>
      <c r="K2204" t="s">
        <v>967</v>
      </c>
      <c r="L2204" t="s">
        <v>62</v>
      </c>
      <c r="M2204" t="s">
        <v>967</v>
      </c>
      <c r="N2204" t="s">
        <v>968</v>
      </c>
      <c r="O2204" t="s">
        <v>969</v>
      </c>
      <c r="P2204">
        <v>-19.651464000000001</v>
      </c>
      <c r="Q2204">
        <v>-43.918792000000003</v>
      </c>
      <c r="R2204" s="2" t="str">
        <f>HYPERLINK("https://www.google.com/maps?q=-19.6514640,-43.9187920","Abrir no Google Maps")</f>
        <v>Abrir no Google Maps</v>
      </c>
      <c r="S2204">
        <v>3</v>
      </c>
      <c r="T2204">
        <v>1190.216846357928</v>
      </c>
      <c r="U2204">
        <v>3</v>
      </c>
      <c r="V2204">
        <v>0.33452744499256121</v>
      </c>
      <c r="W2204">
        <v>0.85</v>
      </c>
      <c r="X2204">
        <v>0.28434832824367701</v>
      </c>
      <c r="Y2204">
        <v>5</v>
      </c>
      <c r="Z2204">
        <v>1356.9988901684169</v>
      </c>
      <c r="AA2204">
        <v>2</v>
      </c>
      <c r="AB2204">
        <v>3</v>
      </c>
      <c r="AC2204">
        <v>7</v>
      </c>
      <c r="AD2204">
        <v>27.39</v>
      </c>
      <c r="AE2204">
        <v>253</v>
      </c>
      <c r="AF2204">
        <v>12</v>
      </c>
      <c r="AG2204">
        <v>75</v>
      </c>
      <c r="AH2204">
        <v>32</v>
      </c>
      <c r="AI2204">
        <v>4.74</v>
      </c>
      <c r="AJ2204">
        <v>29.64</v>
      </c>
      <c r="AK2204">
        <v>12.65</v>
      </c>
      <c r="AL2204">
        <v>-19.65165664999995</v>
      </c>
      <c r="AM2204">
        <v>-43.918981871222037</v>
      </c>
      <c r="AN2204">
        <v>-19.65165664999995</v>
      </c>
      <c r="AO2204">
        <v>-43.918981871222051</v>
      </c>
      <c r="AP2204">
        <v>-19.651464000000001</v>
      </c>
      <c r="AQ2204">
        <v>-43.918792000000003</v>
      </c>
      <c r="AR2204">
        <v>29.259968231786829</v>
      </c>
      <c r="AS2204" t="s">
        <v>65</v>
      </c>
      <c r="AT2204">
        <v>1</v>
      </c>
      <c r="AU2204" t="s">
        <v>970</v>
      </c>
      <c r="AV2204" t="s">
        <v>971</v>
      </c>
      <c r="AW2204" t="s">
        <v>60</v>
      </c>
      <c r="AX2204" t="s">
        <v>68</v>
      </c>
      <c r="AY2204" t="s">
        <v>69</v>
      </c>
      <c r="AZ2204" t="b">
        <v>1</v>
      </c>
    </row>
    <row r="2205" spans="1:52" x14ac:dyDescent="0.3">
      <c r="A2205" t="s">
        <v>52</v>
      </c>
      <c r="B2205" t="s">
        <v>53</v>
      </c>
      <c r="C2205" t="s">
        <v>54</v>
      </c>
      <c r="D2205" t="s">
        <v>55</v>
      </c>
      <c r="E2205" t="s">
        <v>878</v>
      </c>
      <c r="F2205" t="s">
        <v>176</v>
      </c>
      <c r="G2205" t="s">
        <v>972</v>
      </c>
      <c r="H2205" t="s">
        <v>973</v>
      </c>
      <c r="I2205" t="s">
        <v>973</v>
      </c>
      <c r="J2205" t="s">
        <v>60</v>
      </c>
      <c r="K2205" t="s">
        <v>894</v>
      </c>
      <c r="L2205" t="s">
        <v>62</v>
      </c>
      <c r="M2205" t="s">
        <v>894</v>
      </c>
      <c r="N2205" t="s">
        <v>974</v>
      </c>
      <c r="O2205" t="s">
        <v>975</v>
      </c>
      <c r="P2205">
        <v>-19.664273999999999</v>
      </c>
      <c r="Q2205">
        <v>-43.923630000000003</v>
      </c>
      <c r="R2205" s="2" t="str">
        <f>HYPERLINK("https://www.google.com/maps?q=-19.6642740,-43.9236300","Abrir no Google Maps")</f>
        <v>Abrir no Google Maps</v>
      </c>
      <c r="S2205">
        <v>3</v>
      </c>
      <c r="T2205">
        <v>1539.540252372062</v>
      </c>
      <c r="U2205">
        <v>3</v>
      </c>
      <c r="V2205">
        <v>0.31237356053532511</v>
      </c>
      <c r="W2205">
        <v>0.85</v>
      </c>
      <c r="X2205">
        <v>0.26551752645502641</v>
      </c>
      <c r="Y2205">
        <v>5</v>
      </c>
      <c r="Z2205">
        <v>1411.2284336870259</v>
      </c>
      <c r="AA2205">
        <v>2</v>
      </c>
      <c r="AB2205">
        <v>3</v>
      </c>
      <c r="AC2205">
        <v>7</v>
      </c>
      <c r="AD2205">
        <v>27.39</v>
      </c>
      <c r="AE2205">
        <v>253</v>
      </c>
      <c r="AF2205">
        <v>12</v>
      </c>
      <c r="AG2205">
        <v>75</v>
      </c>
      <c r="AH2205">
        <v>32</v>
      </c>
      <c r="AI2205">
        <v>4.74</v>
      </c>
      <c r="AJ2205">
        <v>29.64</v>
      </c>
      <c r="AK2205">
        <v>12.65</v>
      </c>
      <c r="AL2205">
        <v>-19.66411749999995</v>
      </c>
      <c r="AM2205">
        <v>-43.923613546022402</v>
      </c>
      <c r="AN2205">
        <v>-19.664117499999939</v>
      </c>
      <c r="AO2205">
        <v>-43.923613546022402</v>
      </c>
      <c r="AP2205">
        <v>-19.664273999999999</v>
      </c>
      <c r="AQ2205">
        <v>-43.923630000000003</v>
      </c>
      <c r="AR2205">
        <v>17.50675622353647</v>
      </c>
      <c r="AS2205" t="s">
        <v>65</v>
      </c>
      <c r="AT2205">
        <v>1</v>
      </c>
      <c r="AU2205" t="s">
        <v>976</v>
      </c>
      <c r="AV2205" t="s">
        <v>977</v>
      </c>
      <c r="AW2205" t="s">
        <v>60</v>
      </c>
      <c r="AX2205" t="s">
        <v>68</v>
      </c>
      <c r="AY2205" t="s">
        <v>69</v>
      </c>
      <c r="AZ2205" t="b">
        <v>1</v>
      </c>
    </row>
    <row r="2206" spans="1:52" x14ac:dyDescent="0.3">
      <c r="A2206" t="s">
        <v>52</v>
      </c>
      <c r="B2206" t="s">
        <v>53</v>
      </c>
      <c r="C2206" t="s">
        <v>54</v>
      </c>
      <c r="D2206" t="s">
        <v>55</v>
      </c>
      <c r="E2206" t="s">
        <v>878</v>
      </c>
      <c r="F2206" t="s">
        <v>176</v>
      </c>
      <c r="G2206" t="s">
        <v>789</v>
      </c>
      <c r="H2206" t="s">
        <v>790</v>
      </c>
      <c r="I2206" t="s">
        <v>790</v>
      </c>
      <c r="J2206" t="s">
        <v>60</v>
      </c>
      <c r="K2206" t="s">
        <v>118</v>
      </c>
      <c r="L2206" t="s">
        <v>62</v>
      </c>
      <c r="M2206" t="s">
        <v>118</v>
      </c>
      <c r="N2206" t="s">
        <v>791</v>
      </c>
      <c r="O2206" t="s">
        <v>792</v>
      </c>
      <c r="P2206">
        <v>-19.662614999999999</v>
      </c>
      <c r="Q2206">
        <v>-43.910375999999999</v>
      </c>
      <c r="R2206" s="2" t="str">
        <f>HYPERLINK("https://www.google.com/maps?q=-19.6626150,-43.9103760","Abrir no Google Maps")</f>
        <v>Abrir no Google Maps</v>
      </c>
      <c r="S2206">
        <v>3</v>
      </c>
      <c r="T2206">
        <v>0</v>
      </c>
      <c r="U2206">
        <v>3</v>
      </c>
      <c r="V2206">
        <v>0.30579876392920691</v>
      </c>
      <c r="W2206">
        <v>0.85</v>
      </c>
      <c r="X2206">
        <v>0.25992894933982591</v>
      </c>
      <c r="Y2206">
        <v>5</v>
      </c>
      <c r="Z2206">
        <v>397.70149705938968</v>
      </c>
      <c r="AA2206">
        <v>2</v>
      </c>
      <c r="AB2206">
        <v>3</v>
      </c>
      <c r="AC2206">
        <v>7</v>
      </c>
      <c r="AD2206">
        <v>27.39</v>
      </c>
      <c r="AE2206">
        <v>253</v>
      </c>
      <c r="AF2206">
        <v>12</v>
      </c>
      <c r="AG2206">
        <v>75</v>
      </c>
      <c r="AH2206">
        <v>32</v>
      </c>
      <c r="AI2206">
        <v>4.74</v>
      </c>
      <c r="AJ2206">
        <v>29.64</v>
      </c>
      <c r="AK2206">
        <v>12.65</v>
      </c>
      <c r="AL2206">
        <v>-19.665581849999938</v>
      </c>
      <c r="AM2206">
        <v>-43.909010688892621</v>
      </c>
      <c r="AN2206">
        <v>-19.665581849999938</v>
      </c>
      <c r="AO2206">
        <v>-43.909010688892621</v>
      </c>
      <c r="AP2206">
        <v>-19.662614999999999</v>
      </c>
      <c r="AQ2206">
        <v>-43.910375999999999</v>
      </c>
      <c r="AR2206">
        <v>359.94703265997708</v>
      </c>
      <c r="AS2206" t="s">
        <v>65</v>
      </c>
      <c r="AT2206">
        <v>1</v>
      </c>
      <c r="AU2206" t="s">
        <v>793</v>
      </c>
      <c r="AV2206" t="s">
        <v>794</v>
      </c>
      <c r="AW2206" t="s">
        <v>60</v>
      </c>
      <c r="AX2206" t="s">
        <v>68</v>
      </c>
      <c r="AY2206" t="s">
        <v>69</v>
      </c>
      <c r="AZ2206" t="b">
        <v>1</v>
      </c>
    </row>
    <row r="2207" spans="1:52" x14ac:dyDescent="0.3">
      <c r="A2207" t="s">
        <v>52</v>
      </c>
      <c r="B2207" t="s">
        <v>53</v>
      </c>
      <c r="C2207" t="s">
        <v>54</v>
      </c>
      <c r="D2207" t="s">
        <v>55</v>
      </c>
      <c r="E2207" t="s">
        <v>878</v>
      </c>
      <c r="F2207" t="s">
        <v>176</v>
      </c>
      <c r="G2207" t="s">
        <v>771</v>
      </c>
      <c r="H2207" t="s">
        <v>772</v>
      </c>
      <c r="I2207" t="s">
        <v>772</v>
      </c>
      <c r="J2207" t="s">
        <v>60</v>
      </c>
      <c r="K2207" t="s">
        <v>311</v>
      </c>
      <c r="L2207" t="s">
        <v>62</v>
      </c>
      <c r="M2207" t="s">
        <v>311</v>
      </c>
      <c r="N2207" t="s">
        <v>773</v>
      </c>
      <c r="O2207" t="s">
        <v>282</v>
      </c>
      <c r="P2207">
        <v>-19.577828</v>
      </c>
      <c r="Q2207">
        <v>-43.913378999999999</v>
      </c>
      <c r="R2207" s="2" t="str">
        <f>HYPERLINK("https://www.google.com/maps?q=-19.5778280,-43.9133790","Abrir no Google Maps")</f>
        <v>Abrir no Google Maps</v>
      </c>
      <c r="S2207">
        <v>3</v>
      </c>
      <c r="T2207">
        <v>859.03342664962076</v>
      </c>
      <c r="U2207">
        <v>3</v>
      </c>
      <c r="V2207">
        <v>0.31542528137240322</v>
      </c>
      <c r="W2207">
        <v>0.85</v>
      </c>
      <c r="X2207">
        <v>0.2681114891665427</v>
      </c>
      <c r="Y2207">
        <v>5</v>
      </c>
      <c r="Z2207">
        <v>914.62514325481504</v>
      </c>
      <c r="AA2207">
        <v>2</v>
      </c>
      <c r="AB2207">
        <v>3</v>
      </c>
      <c r="AC2207">
        <v>7</v>
      </c>
      <c r="AD2207">
        <v>27.39</v>
      </c>
      <c r="AE2207">
        <v>253</v>
      </c>
      <c r="AF2207">
        <v>12</v>
      </c>
      <c r="AG2207">
        <v>75</v>
      </c>
      <c r="AH2207">
        <v>32</v>
      </c>
      <c r="AI2207">
        <v>4.74</v>
      </c>
      <c r="AJ2207">
        <v>29.64</v>
      </c>
      <c r="AK2207">
        <v>12.65</v>
      </c>
      <c r="AL2207">
        <v>-19.578014799999949</v>
      </c>
      <c r="AM2207">
        <v>-43.913225677886878</v>
      </c>
      <c r="AN2207">
        <v>-19.578014799999949</v>
      </c>
      <c r="AO2207">
        <v>-43.913225677886878</v>
      </c>
      <c r="AP2207">
        <v>-19.577828</v>
      </c>
      <c r="AQ2207">
        <v>-43.913378999999999</v>
      </c>
      <c r="AR2207">
        <v>26.287162248725519</v>
      </c>
      <c r="AS2207" t="s">
        <v>65</v>
      </c>
      <c r="AT2207">
        <v>1</v>
      </c>
      <c r="AU2207" t="s">
        <v>774</v>
      </c>
      <c r="AV2207" t="s">
        <v>775</v>
      </c>
      <c r="AW2207" t="s">
        <v>60</v>
      </c>
      <c r="AX2207" t="s">
        <v>68</v>
      </c>
      <c r="AY2207" t="s">
        <v>69</v>
      </c>
      <c r="AZ2207" t="b">
        <v>1</v>
      </c>
    </row>
    <row r="2208" spans="1:52" x14ac:dyDescent="0.3">
      <c r="A2208" t="s">
        <v>52</v>
      </c>
      <c r="B2208" t="s">
        <v>53</v>
      </c>
      <c r="C2208" t="s">
        <v>54</v>
      </c>
      <c r="D2208" t="s">
        <v>55</v>
      </c>
      <c r="E2208" t="s">
        <v>878</v>
      </c>
      <c r="F2208" t="s">
        <v>176</v>
      </c>
      <c r="G2208" t="s">
        <v>664</v>
      </c>
      <c r="H2208" t="s">
        <v>701</v>
      </c>
      <c r="I2208" t="s">
        <v>701</v>
      </c>
      <c r="J2208" t="s">
        <v>60</v>
      </c>
      <c r="K2208" t="s">
        <v>311</v>
      </c>
      <c r="L2208" t="s">
        <v>62</v>
      </c>
      <c r="M2208" t="s">
        <v>311</v>
      </c>
      <c r="N2208" t="s">
        <v>435</v>
      </c>
      <c r="O2208" t="s">
        <v>702</v>
      </c>
      <c r="P2208">
        <v>-19.565729000000001</v>
      </c>
      <c r="Q2208">
        <v>-43.920665999999997</v>
      </c>
      <c r="R2208" s="2" t="str">
        <f>HYPERLINK("https://www.google.com/maps?q=-19.5657290,-43.9206660","Abrir no Google Maps")</f>
        <v>Abrir no Google Maps</v>
      </c>
      <c r="S2208">
        <v>3</v>
      </c>
      <c r="T2208">
        <v>849.43063667308161</v>
      </c>
      <c r="U2208">
        <v>3</v>
      </c>
      <c r="V2208">
        <v>0.26254338505512459</v>
      </c>
      <c r="W2208">
        <v>0.85</v>
      </c>
      <c r="X2208">
        <v>0.22316187729685591</v>
      </c>
      <c r="Y2208">
        <v>5</v>
      </c>
      <c r="Z2208">
        <v>643.17339424023237</v>
      </c>
      <c r="AA2208">
        <v>2</v>
      </c>
      <c r="AB2208">
        <v>3</v>
      </c>
      <c r="AC2208">
        <v>7</v>
      </c>
      <c r="AD2208">
        <v>27.39</v>
      </c>
      <c r="AE2208">
        <v>253</v>
      </c>
      <c r="AF2208">
        <v>12</v>
      </c>
      <c r="AG2208">
        <v>75</v>
      </c>
      <c r="AH2208">
        <v>32</v>
      </c>
      <c r="AI2208">
        <v>4.74</v>
      </c>
      <c r="AJ2208">
        <v>29.64</v>
      </c>
      <c r="AK2208">
        <v>12.65</v>
      </c>
      <c r="AL2208">
        <v>-19.56682334999994</v>
      </c>
      <c r="AM2208">
        <v>-43.921453383422516</v>
      </c>
      <c r="AN2208">
        <v>-19.56682334999994</v>
      </c>
      <c r="AO2208">
        <v>-43.921453383422516</v>
      </c>
      <c r="AP2208">
        <v>-19.565729000000001</v>
      </c>
      <c r="AQ2208">
        <v>-43.920665999999997</v>
      </c>
      <c r="AR2208">
        <v>147.17990898184439</v>
      </c>
      <c r="AS2208" t="s">
        <v>65</v>
      </c>
      <c r="AT2208">
        <v>1</v>
      </c>
      <c r="AU2208" t="s">
        <v>703</v>
      </c>
      <c r="AV2208" t="s">
        <v>704</v>
      </c>
      <c r="AW2208" t="s">
        <v>60</v>
      </c>
      <c r="AX2208" t="s">
        <v>68</v>
      </c>
      <c r="AY2208" t="s">
        <v>69</v>
      </c>
      <c r="AZ2208" t="b">
        <v>1</v>
      </c>
    </row>
    <row r="2209" spans="1:52" x14ac:dyDescent="0.3">
      <c r="A2209" t="s">
        <v>52</v>
      </c>
      <c r="B2209" t="s">
        <v>53</v>
      </c>
      <c r="C2209" t="s">
        <v>54</v>
      </c>
      <c r="D2209" t="s">
        <v>55</v>
      </c>
      <c r="E2209" t="s">
        <v>878</v>
      </c>
      <c r="F2209" t="s">
        <v>176</v>
      </c>
      <c r="G2209" t="s">
        <v>978</v>
      </c>
      <c r="H2209" t="s">
        <v>979</v>
      </c>
      <c r="I2209" t="s">
        <v>979</v>
      </c>
      <c r="J2209" t="s">
        <v>60</v>
      </c>
      <c r="K2209" t="s">
        <v>192</v>
      </c>
      <c r="L2209" t="s">
        <v>62</v>
      </c>
      <c r="M2209" t="s">
        <v>192</v>
      </c>
      <c r="N2209" t="s">
        <v>980</v>
      </c>
      <c r="O2209" t="s">
        <v>981</v>
      </c>
      <c r="P2209">
        <v>-19.65052</v>
      </c>
      <c r="Q2209">
        <v>-43.916905999999997</v>
      </c>
      <c r="R2209" s="2" t="str">
        <f>HYPERLINK("https://www.google.com/maps?q=-19.6505200,-43.9169060","Abrir no Google Maps")</f>
        <v>Abrir no Google Maps</v>
      </c>
      <c r="S2209">
        <v>3</v>
      </c>
      <c r="T2209">
        <v>944.31251183228164</v>
      </c>
      <c r="U2209">
        <v>3</v>
      </c>
      <c r="V2209">
        <v>0.32842890677397718</v>
      </c>
      <c r="W2209">
        <v>0.85</v>
      </c>
      <c r="X2209">
        <v>0.27916457075788059</v>
      </c>
      <c r="Y2209">
        <v>4</v>
      </c>
      <c r="Z2209">
        <v>1132.261997516385</v>
      </c>
      <c r="AA2209">
        <v>2</v>
      </c>
      <c r="AB2209">
        <v>3</v>
      </c>
      <c r="AC2209">
        <v>7</v>
      </c>
      <c r="AD2209">
        <v>27.39</v>
      </c>
      <c r="AE2209">
        <v>253</v>
      </c>
      <c r="AF2209">
        <v>12</v>
      </c>
      <c r="AG2209">
        <v>75</v>
      </c>
      <c r="AH2209">
        <v>32</v>
      </c>
      <c r="AI2209">
        <v>4.74</v>
      </c>
      <c r="AJ2209">
        <v>29.64</v>
      </c>
      <c r="AK2209">
        <v>12.65</v>
      </c>
      <c r="AL2209">
        <v>-19.650317849999961</v>
      </c>
      <c r="AM2209">
        <v>-43.916734435848383</v>
      </c>
      <c r="AN2209">
        <v>-19.650317849999961</v>
      </c>
      <c r="AO2209">
        <v>-43.916734435848383</v>
      </c>
      <c r="AP2209">
        <v>-19.65052</v>
      </c>
      <c r="AQ2209">
        <v>-43.916905999999997</v>
      </c>
      <c r="AR2209">
        <v>28.80809206030494</v>
      </c>
      <c r="AS2209" t="s">
        <v>65</v>
      </c>
      <c r="AT2209">
        <v>1</v>
      </c>
      <c r="AU2209" t="s">
        <v>982</v>
      </c>
      <c r="AV2209" t="s">
        <v>983</v>
      </c>
      <c r="AW2209" t="s">
        <v>60</v>
      </c>
      <c r="AX2209" t="s">
        <v>68</v>
      </c>
      <c r="AY2209" t="s">
        <v>69</v>
      </c>
      <c r="AZ2209" t="b">
        <v>1</v>
      </c>
    </row>
    <row r="2210" spans="1:52" x14ac:dyDescent="0.3">
      <c r="A2210" t="s">
        <v>52</v>
      </c>
      <c r="B2210" t="s">
        <v>53</v>
      </c>
      <c r="C2210" t="s">
        <v>54</v>
      </c>
      <c r="D2210" t="s">
        <v>55</v>
      </c>
      <c r="E2210" t="s">
        <v>878</v>
      </c>
      <c r="F2210" t="s">
        <v>176</v>
      </c>
      <c r="G2210" t="s">
        <v>438</v>
      </c>
      <c r="H2210" t="s">
        <v>439</v>
      </c>
      <c r="I2210" t="s">
        <v>439</v>
      </c>
      <c r="J2210" t="s">
        <v>60</v>
      </c>
      <c r="K2210" t="s">
        <v>199</v>
      </c>
      <c r="L2210" t="s">
        <v>62</v>
      </c>
      <c r="M2210" t="s">
        <v>199</v>
      </c>
      <c r="N2210" t="s">
        <v>440</v>
      </c>
      <c r="O2210" t="s">
        <v>120</v>
      </c>
      <c r="P2210">
        <v>-19.642907000000001</v>
      </c>
      <c r="Q2210">
        <v>-43.912584000000003</v>
      </c>
      <c r="R2210" s="2" t="str">
        <f>HYPERLINK("https://www.google.com/maps?q=-19.6429070,-43.9125840","Abrir no Google Maps")</f>
        <v>Abrir no Google Maps</v>
      </c>
      <c r="S2210">
        <v>3</v>
      </c>
      <c r="T2210">
        <v>0</v>
      </c>
      <c r="U2210">
        <v>3</v>
      </c>
      <c r="V2210">
        <v>0.25710952576122409</v>
      </c>
      <c r="W2210">
        <v>1</v>
      </c>
      <c r="X2210">
        <v>0.25710952576122409</v>
      </c>
      <c r="Y2210">
        <v>4</v>
      </c>
      <c r="Z2210">
        <v>617.66392653629225</v>
      </c>
      <c r="AA2210">
        <v>2</v>
      </c>
      <c r="AB2210">
        <v>3</v>
      </c>
      <c r="AC2210">
        <v>7</v>
      </c>
      <c r="AD2210">
        <v>27.39</v>
      </c>
      <c r="AE2210">
        <v>253</v>
      </c>
      <c r="AF2210">
        <v>12</v>
      </c>
      <c r="AG2210">
        <v>75</v>
      </c>
      <c r="AH2210">
        <v>32</v>
      </c>
      <c r="AI2210">
        <v>4.74</v>
      </c>
      <c r="AJ2210">
        <v>29.64</v>
      </c>
      <c r="AK2210">
        <v>12.65</v>
      </c>
      <c r="AL2210">
        <v>-19.64265969999996</v>
      </c>
      <c r="AM2210">
        <v>-43.912763285666202</v>
      </c>
      <c r="AN2210">
        <v>-19.64265969999996</v>
      </c>
      <c r="AO2210">
        <v>-43.912763285666202</v>
      </c>
      <c r="AP2210">
        <v>-19.642907000000001</v>
      </c>
      <c r="AQ2210">
        <v>-43.912584000000003</v>
      </c>
      <c r="AR2210">
        <v>33.334435483196202</v>
      </c>
      <c r="AS2210" t="s">
        <v>65</v>
      </c>
      <c r="AT2210">
        <v>1</v>
      </c>
      <c r="AU2210" t="s">
        <v>441</v>
      </c>
      <c r="AV2210" t="s">
        <v>442</v>
      </c>
      <c r="AW2210" t="s">
        <v>60</v>
      </c>
      <c r="AX2210" t="s">
        <v>68</v>
      </c>
      <c r="AY2210" t="s">
        <v>69</v>
      </c>
      <c r="AZ2210" t="b">
        <v>1</v>
      </c>
    </row>
    <row r="2211" spans="1:52" x14ac:dyDescent="0.3">
      <c r="A2211" t="s">
        <v>52</v>
      </c>
      <c r="B2211" t="s">
        <v>53</v>
      </c>
      <c r="C2211" t="s">
        <v>54</v>
      </c>
      <c r="D2211" t="s">
        <v>55</v>
      </c>
      <c r="E2211" t="s">
        <v>878</v>
      </c>
      <c r="F2211" t="s">
        <v>176</v>
      </c>
      <c r="G2211" t="s">
        <v>450</v>
      </c>
      <c r="H2211" t="s">
        <v>451</v>
      </c>
      <c r="I2211" t="s">
        <v>451</v>
      </c>
      <c r="J2211" t="s">
        <v>60</v>
      </c>
      <c r="K2211" t="s">
        <v>452</v>
      </c>
      <c r="L2211" t="s">
        <v>62</v>
      </c>
      <c r="M2211" t="s">
        <v>452</v>
      </c>
      <c r="N2211" t="s">
        <v>453</v>
      </c>
      <c r="O2211" t="s">
        <v>454</v>
      </c>
      <c r="P2211">
        <v>-19.649691000000001</v>
      </c>
      <c r="Q2211">
        <v>-43.873970999999997</v>
      </c>
      <c r="R2211" s="2" t="str">
        <f>HYPERLINK("https://www.google.com/maps?q=-19.6496910,-43.8739710","Abrir no Google Maps")</f>
        <v>Abrir no Google Maps</v>
      </c>
      <c r="S2211">
        <v>3</v>
      </c>
      <c r="T2211">
        <v>433.54329587849469</v>
      </c>
      <c r="U2211">
        <v>3</v>
      </c>
      <c r="V2211">
        <v>0.26761049723756902</v>
      </c>
      <c r="W2211">
        <v>1</v>
      </c>
      <c r="X2211">
        <v>0.26761049723756902</v>
      </c>
      <c r="Y2211">
        <v>3</v>
      </c>
      <c r="Z2211">
        <v>298.71042308886041</v>
      </c>
      <c r="AA2211">
        <v>2</v>
      </c>
      <c r="AB2211">
        <v>3</v>
      </c>
      <c r="AC2211">
        <v>7</v>
      </c>
      <c r="AD2211">
        <v>27.39</v>
      </c>
      <c r="AE2211">
        <v>253</v>
      </c>
      <c r="AF2211">
        <v>12</v>
      </c>
      <c r="AG2211">
        <v>75</v>
      </c>
      <c r="AH2211">
        <v>32</v>
      </c>
      <c r="AI2211">
        <v>4.74</v>
      </c>
      <c r="AJ2211">
        <v>29.64</v>
      </c>
      <c r="AK2211">
        <v>12.65</v>
      </c>
      <c r="AL2211">
        <v>-19.64973869999994</v>
      </c>
      <c r="AM2211">
        <v>-43.873980587601103</v>
      </c>
      <c r="AN2211">
        <v>-19.64973869999994</v>
      </c>
      <c r="AO2211">
        <v>-43.873980587601103</v>
      </c>
      <c r="AP2211">
        <v>-19.649691000000001</v>
      </c>
      <c r="AQ2211">
        <v>-43.873970999999997</v>
      </c>
      <c r="AR2211">
        <v>5.4042596125531333</v>
      </c>
      <c r="AS2211" t="s">
        <v>65</v>
      </c>
      <c r="AT2211">
        <v>1</v>
      </c>
      <c r="AU2211" t="s">
        <v>455</v>
      </c>
      <c r="AV2211" t="s">
        <v>456</v>
      </c>
      <c r="AW2211" t="s">
        <v>60</v>
      </c>
      <c r="AX2211" t="s">
        <v>68</v>
      </c>
      <c r="AY2211" t="s">
        <v>69</v>
      </c>
      <c r="AZ2211" t="b">
        <v>1</v>
      </c>
    </row>
    <row r="2212" spans="1:52" x14ac:dyDescent="0.3">
      <c r="A2212" t="s">
        <v>52</v>
      </c>
      <c r="B2212" t="s">
        <v>53</v>
      </c>
      <c r="C2212" t="s">
        <v>54</v>
      </c>
      <c r="D2212" t="s">
        <v>55</v>
      </c>
      <c r="E2212" t="s">
        <v>878</v>
      </c>
      <c r="F2212" t="s">
        <v>176</v>
      </c>
      <c r="G2212" t="s">
        <v>823</v>
      </c>
      <c r="H2212" t="s">
        <v>824</v>
      </c>
      <c r="I2212" t="s">
        <v>824</v>
      </c>
      <c r="J2212" t="s">
        <v>60</v>
      </c>
      <c r="K2212" t="s">
        <v>825</v>
      </c>
      <c r="L2212" t="s">
        <v>62</v>
      </c>
      <c r="M2212" t="s">
        <v>825</v>
      </c>
      <c r="N2212" t="s">
        <v>826</v>
      </c>
      <c r="O2212" t="s">
        <v>81</v>
      </c>
      <c r="P2212">
        <v>-19.666164999999999</v>
      </c>
      <c r="Q2212">
        <v>-43.875698999999997</v>
      </c>
      <c r="R2212" s="2" t="str">
        <f>HYPERLINK("https://www.google.com/maps?q=-19.6661650,-43.8756990","Abrir no Google Maps")</f>
        <v>Abrir no Google Maps</v>
      </c>
      <c r="S2212">
        <v>3</v>
      </c>
      <c r="T2212">
        <v>1031.674386589066</v>
      </c>
      <c r="U2212">
        <v>3</v>
      </c>
      <c r="V2212">
        <v>0.3208967709553287</v>
      </c>
      <c r="W2212">
        <v>0.85</v>
      </c>
      <c r="X2212">
        <v>0.27276225531202941</v>
      </c>
      <c r="Y2212">
        <v>3</v>
      </c>
      <c r="Z2212">
        <v>1300.0347291419989</v>
      </c>
      <c r="AA2212">
        <v>2</v>
      </c>
      <c r="AB2212">
        <v>3</v>
      </c>
      <c r="AC2212">
        <v>7</v>
      </c>
      <c r="AD2212">
        <v>27.39</v>
      </c>
      <c r="AE2212">
        <v>253</v>
      </c>
      <c r="AF2212">
        <v>12</v>
      </c>
      <c r="AG2212">
        <v>75</v>
      </c>
      <c r="AH2212">
        <v>32</v>
      </c>
      <c r="AI2212">
        <v>4.74</v>
      </c>
      <c r="AJ2212">
        <v>29.64</v>
      </c>
      <c r="AK2212">
        <v>12.65</v>
      </c>
      <c r="AL2212">
        <v>-19.666795049999958</v>
      </c>
      <c r="AM2212">
        <v>-43.875889950878808</v>
      </c>
      <c r="AN2212">
        <v>-19.666795049999958</v>
      </c>
      <c r="AO2212">
        <v>-43.875889950878808</v>
      </c>
      <c r="AP2212">
        <v>-19.666164999999999</v>
      </c>
      <c r="AQ2212">
        <v>-43.875698999999997</v>
      </c>
      <c r="AR2212">
        <v>72.937567597874036</v>
      </c>
      <c r="AS2212" t="s">
        <v>65</v>
      </c>
      <c r="AT2212">
        <v>1</v>
      </c>
      <c r="AU2212" t="s">
        <v>827</v>
      </c>
      <c r="AV2212" t="s">
        <v>828</v>
      </c>
      <c r="AW2212" t="s">
        <v>60</v>
      </c>
      <c r="AX2212" t="s">
        <v>68</v>
      </c>
      <c r="AY2212" t="s">
        <v>69</v>
      </c>
      <c r="AZ2212" t="b">
        <v>1</v>
      </c>
    </row>
    <row r="2213" spans="1:52" x14ac:dyDescent="0.3">
      <c r="A2213" t="s">
        <v>52</v>
      </c>
      <c r="B2213" t="s">
        <v>53</v>
      </c>
      <c r="C2213" t="s">
        <v>54</v>
      </c>
      <c r="D2213" t="s">
        <v>55</v>
      </c>
      <c r="E2213" t="s">
        <v>878</v>
      </c>
      <c r="F2213" t="s">
        <v>176</v>
      </c>
      <c r="G2213" t="s">
        <v>457</v>
      </c>
      <c r="H2213" t="s">
        <v>458</v>
      </c>
      <c r="I2213" t="s">
        <v>458</v>
      </c>
      <c r="J2213" t="s">
        <v>60</v>
      </c>
      <c r="K2213" t="s">
        <v>286</v>
      </c>
      <c r="L2213" t="s">
        <v>62</v>
      </c>
      <c r="M2213" t="s">
        <v>286</v>
      </c>
      <c r="N2213" t="s">
        <v>459</v>
      </c>
      <c r="O2213" t="s">
        <v>408</v>
      </c>
      <c r="P2213">
        <v>-19.648675000000001</v>
      </c>
      <c r="Q2213">
        <v>-43.876176999999998</v>
      </c>
      <c r="R2213" s="2" t="str">
        <f>HYPERLINK("https://www.google.com/maps?q=-19.6486750,-43.8761770","Abrir no Google Maps")</f>
        <v>Abrir no Google Maps</v>
      </c>
      <c r="S2213">
        <v>3</v>
      </c>
      <c r="T2213">
        <v>696.15049931004592</v>
      </c>
      <c r="U2213">
        <v>3</v>
      </c>
      <c r="V2213">
        <v>0.21505663794691279</v>
      </c>
      <c r="W2213">
        <v>1</v>
      </c>
      <c r="X2213">
        <v>0.21505663794691279</v>
      </c>
      <c r="Y2213">
        <v>3</v>
      </c>
      <c r="Z2213">
        <v>617.40976221624703</v>
      </c>
      <c r="AA2213">
        <v>2</v>
      </c>
      <c r="AB2213">
        <v>3</v>
      </c>
      <c r="AC2213">
        <v>7</v>
      </c>
      <c r="AD2213">
        <v>27.39</v>
      </c>
      <c r="AE2213">
        <v>253</v>
      </c>
      <c r="AF2213">
        <v>12</v>
      </c>
      <c r="AG2213">
        <v>75</v>
      </c>
      <c r="AH2213">
        <v>32</v>
      </c>
      <c r="AI2213">
        <v>4.74</v>
      </c>
      <c r="AJ2213">
        <v>29.64</v>
      </c>
      <c r="AK2213">
        <v>12.65</v>
      </c>
      <c r="AL2213">
        <v>-19.648626649999951</v>
      </c>
      <c r="AM2213">
        <v>-43.876233357879343</v>
      </c>
      <c r="AN2213">
        <v>-19.648626649999951</v>
      </c>
      <c r="AO2213">
        <v>-43.876233357879343</v>
      </c>
      <c r="AP2213">
        <v>-19.648675000000001</v>
      </c>
      <c r="AQ2213">
        <v>-43.876176999999998</v>
      </c>
      <c r="AR2213">
        <v>7.9924470956447653</v>
      </c>
      <c r="AS2213" t="s">
        <v>65</v>
      </c>
      <c r="AT2213">
        <v>1</v>
      </c>
      <c r="AU2213" t="s">
        <v>460</v>
      </c>
      <c r="AV2213" t="s">
        <v>461</v>
      </c>
      <c r="AW2213" t="s">
        <v>60</v>
      </c>
      <c r="AX2213" t="s">
        <v>68</v>
      </c>
      <c r="AY2213" t="s">
        <v>69</v>
      </c>
      <c r="AZ2213" t="b">
        <v>1</v>
      </c>
    </row>
    <row r="2214" spans="1:52" x14ac:dyDescent="0.3">
      <c r="A2214" t="s">
        <v>52</v>
      </c>
      <c r="B2214" t="s">
        <v>53</v>
      </c>
      <c r="C2214" t="s">
        <v>54</v>
      </c>
      <c r="D2214" t="s">
        <v>55</v>
      </c>
      <c r="E2214" t="s">
        <v>878</v>
      </c>
      <c r="F2214" t="s">
        <v>176</v>
      </c>
      <c r="G2214" t="s">
        <v>462</v>
      </c>
      <c r="H2214" t="s">
        <v>463</v>
      </c>
      <c r="I2214" t="s">
        <v>463</v>
      </c>
      <c r="J2214" t="s">
        <v>60</v>
      </c>
      <c r="K2214" t="s">
        <v>464</v>
      </c>
      <c r="L2214" t="s">
        <v>62</v>
      </c>
      <c r="M2214" t="s">
        <v>464</v>
      </c>
      <c r="N2214" t="s">
        <v>465</v>
      </c>
      <c r="O2214" t="s">
        <v>414</v>
      </c>
      <c r="P2214">
        <v>-19.655408000000001</v>
      </c>
      <c r="Q2214">
        <v>-43.862772999999997</v>
      </c>
      <c r="R2214" s="2" t="str">
        <f>HYPERLINK("https://www.google.com/maps?q=-19.6554080,-43.8627730","Abrir no Google Maps")</f>
        <v>Abrir no Google Maps</v>
      </c>
      <c r="S2214">
        <v>3</v>
      </c>
      <c r="T2214">
        <v>877.50781603676592</v>
      </c>
      <c r="U2214">
        <v>3</v>
      </c>
      <c r="V2214">
        <v>0.2691936777783468</v>
      </c>
      <c r="W2214">
        <v>1</v>
      </c>
      <c r="X2214">
        <v>0.2691936777783468</v>
      </c>
      <c r="Y2214">
        <v>3</v>
      </c>
      <c r="Z2214">
        <v>1005.9680098732809</v>
      </c>
      <c r="AA2214">
        <v>2</v>
      </c>
      <c r="AB2214">
        <v>3</v>
      </c>
      <c r="AC2214">
        <v>7</v>
      </c>
      <c r="AD2214">
        <v>27.39</v>
      </c>
      <c r="AE2214">
        <v>253</v>
      </c>
      <c r="AF2214">
        <v>12</v>
      </c>
      <c r="AG2214">
        <v>75</v>
      </c>
      <c r="AH2214">
        <v>32</v>
      </c>
      <c r="AI2214">
        <v>4.74</v>
      </c>
      <c r="AJ2214">
        <v>29.64</v>
      </c>
      <c r="AK2214">
        <v>12.65</v>
      </c>
      <c r="AL2214">
        <v>-19.655455099999951</v>
      </c>
      <c r="AM2214">
        <v>-43.863149342001513</v>
      </c>
      <c r="AN2214">
        <v>-19.655455099999951</v>
      </c>
      <c r="AO2214">
        <v>-43.863149342001513</v>
      </c>
      <c r="AP2214">
        <v>-19.655408000000001</v>
      </c>
      <c r="AQ2214">
        <v>-43.862772999999997</v>
      </c>
      <c r="AR2214">
        <v>39.800175805630573</v>
      </c>
      <c r="AS2214" t="s">
        <v>65</v>
      </c>
      <c r="AT2214">
        <v>1</v>
      </c>
      <c r="AU2214" t="s">
        <v>466</v>
      </c>
      <c r="AV2214" t="s">
        <v>467</v>
      </c>
      <c r="AW2214" t="s">
        <v>60</v>
      </c>
      <c r="AX2214" t="s">
        <v>68</v>
      </c>
      <c r="AY2214" t="s">
        <v>69</v>
      </c>
      <c r="AZ2214" t="b">
        <v>1</v>
      </c>
    </row>
    <row r="2215" spans="1:52" x14ac:dyDescent="0.3">
      <c r="A2215" t="s">
        <v>52</v>
      </c>
      <c r="B2215" t="s">
        <v>53</v>
      </c>
      <c r="C2215" t="s">
        <v>54</v>
      </c>
      <c r="D2215" t="s">
        <v>55</v>
      </c>
      <c r="E2215" t="s">
        <v>878</v>
      </c>
      <c r="F2215" t="s">
        <v>176</v>
      </c>
      <c r="G2215" t="s">
        <v>664</v>
      </c>
      <c r="H2215" t="s">
        <v>861</v>
      </c>
      <c r="I2215" t="s">
        <v>861</v>
      </c>
      <c r="J2215" t="s">
        <v>60</v>
      </c>
      <c r="K2215" t="s">
        <v>862</v>
      </c>
      <c r="L2215" t="s">
        <v>62</v>
      </c>
      <c r="M2215" t="s">
        <v>862</v>
      </c>
      <c r="N2215" t="s">
        <v>720</v>
      </c>
      <c r="O2215" t="s">
        <v>863</v>
      </c>
      <c r="P2215">
        <v>-19.663723999999998</v>
      </c>
      <c r="Q2215">
        <v>-43.865124000000002</v>
      </c>
      <c r="R2215" s="2" t="str">
        <f>HYPERLINK("https://www.google.com/maps?q=-19.6637240,-43.8651240","Abrir no Google Maps")</f>
        <v>Abrir no Google Maps</v>
      </c>
      <c r="S2215">
        <v>3</v>
      </c>
      <c r="T2215">
        <v>1691.367651243487</v>
      </c>
      <c r="U2215">
        <v>3</v>
      </c>
      <c r="V2215">
        <v>0.29627634099616862</v>
      </c>
      <c r="W2215">
        <v>0.85</v>
      </c>
      <c r="X2215">
        <v>0.25183488984674329</v>
      </c>
      <c r="Y2215">
        <v>3</v>
      </c>
      <c r="Z2215">
        <v>1581.6963661946411</v>
      </c>
      <c r="AA2215">
        <v>2</v>
      </c>
      <c r="AB2215">
        <v>3</v>
      </c>
      <c r="AC2215">
        <v>7</v>
      </c>
      <c r="AD2215">
        <v>27.39</v>
      </c>
      <c r="AE2215">
        <v>253</v>
      </c>
      <c r="AF2215">
        <v>12</v>
      </c>
      <c r="AG2215">
        <v>75</v>
      </c>
      <c r="AH2215">
        <v>32</v>
      </c>
      <c r="AI2215">
        <v>4.74</v>
      </c>
      <c r="AJ2215">
        <v>29.64</v>
      </c>
      <c r="AK2215">
        <v>12.65</v>
      </c>
      <c r="AL2215">
        <v>-19.66679944999996</v>
      </c>
      <c r="AM2215">
        <v>-43.865889403783846</v>
      </c>
      <c r="AN2215">
        <v>-19.66679944999996</v>
      </c>
      <c r="AO2215">
        <v>-43.865889403783846</v>
      </c>
      <c r="AP2215">
        <v>-19.663723999999998</v>
      </c>
      <c r="AQ2215">
        <v>-43.865124000000002</v>
      </c>
      <c r="AR2215">
        <v>351.63518996020389</v>
      </c>
      <c r="AS2215" t="s">
        <v>65</v>
      </c>
      <c r="AT2215">
        <v>1</v>
      </c>
      <c r="AU2215" t="s">
        <v>864</v>
      </c>
      <c r="AV2215" t="s">
        <v>865</v>
      </c>
      <c r="AW2215" t="s">
        <v>60</v>
      </c>
      <c r="AX2215" t="s">
        <v>68</v>
      </c>
      <c r="AY2215" t="s">
        <v>69</v>
      </c>
      <c r="AZ2215" t="b">
        <v>1</v>
      </c>
    </row>
    <row r="2216" spans="1:52" x14ac:dyDescent="0.3">
      <c r="A2216" t="s">
        <v>52</v>
      </c>
      <c r="B2216" t="s">
        <v>53</v>
      </c>
      <c r="C2216" t="s">
        <v>54</v>
      </c>
      <c r="D2216" t="s">
        <v>55</v>
      </c>
      <c r="E2216" t="s">
        <v>878</v>
      </c>
      <c r="F2216" t="s">
        <v>176</v>
      </c>
      <c r="G2216" t="s">
        <v>433</v>
      </c>
      <c r="H2216" t="s">
        <v>724</v>
      </c>
      <c r="I2216" t="s">
        <v>724</v>
      </c>
      <c r="J2216" t="s">
        <v>60</v>
      </c>
      <c r="K2216" t="s">
        <v>219</v>
      </c>
      <c r="L2216" t="s">
        <v>62</v>
      </c>
      <c r="M2216" t="s">
        <v>219</v>
      </c>
      <c r="N2216" t="s">
        <v>725</v>
      </c>
      <c r="O2216" t="s">
        <v>94</v>
      </c>
      <c r="P2216">
        <v>-19.667331999999998</v>
      </c>
      <c r="Q2216">
        <v>-43.882961999999999</v>
      </c>
      <c r="R2216" s="2" t="str">
        <f>HYPERLINK("https://www.google.com/maps?q=-19.6673320,-43.8829620","Abrir no Google Maps")</f>
        <v>Abrir no Google Maps</v>
      </c>
      <c r="S2216">
        <v>3</v>
      </c>
      <c r="T2216">
        <v>613.33664202269995</v>
      </c>
      <c r="U2216">
        <v>3</v>
      </c>
      <c r="V2216">
        <v>0.2478415915915915</v>
      </c>
      <c r="W2216">
        <v>0.85</v>
      </c>
      <c r="X2216">
        <v>0.21066535285285279</v>
      </c>
      <c r="Y2216">
        <v>3</v>
      </c>
      <c r="Z2216">
        <v>943.74394420174099</v>
      </c>
      <c r="AA2216">
        <v>2</v>
      </c>
      <c r="AB2216">
        <v>3</v>
      </c>
      <c r="AC2216">
        <v>7</v>
      </c>
      <c r="AD2216">
        <v>27.39</v>
      </c>
      <c r="AE2216">
        <v>253</v>
      </c>
      <c r="AF2216">
        <v>12</v>
      </c>
      <c r="AG2216">
        <v>75</v>
      </c>
      <c r="AH2216">
        <v>32</v>
      </c>
      <c r="AI2216">
        <v>4.74</v>
      </c>
      <c r="AJ2216">
        <v>29.64</v>
      </c>
      <c r="AK2216">
        <v>12.65</v>
      </c>
      <c r="AL2216">
        <v>-19.669342649999979</v>
      </c>
      <c r="AM2216">
        <v>-43.880131221973677</v>
      </c>
      <c r="AN2216">
        <v>-19.669342649999979</v>
      </c>
      <c r="AO2216">
        <v>-43.880131221973677</v>
      </c>
      <c r="AP2216">
        <v>-19.667331999999998</v>
      </c>
      <c r="AQ2216">
        <v>-43.882961999999999</v>
      </c>
      <c r="AR2216">
        <v>371.68479256351492</v>
      </c>
      <c r="AS2216" t="s">
        <v>65</v>
      </c>
      <c r="AT2216">
        <v>1</v>
      </c>
      <c r="AU2216" t="s">
        <v>726</v>
      </c>
      <c r="AV2216" t="s">
        <v>727</v>
      </c>
      <c r="AW2216" t="s">
        <v>60</v>
      </c>
      <c r="AX2216" t="s">
        <v>68</v>
      </c>
      <c r="AY2216" t="s">
        <v>69</v>
      </c>
      <c r="AZ2216" t="b">
        <v>1</v>
      </c>
    </row>
    <row r="2217" spans="1:52" x14ac:dyDescent="0.3">
      <c r="A2217" t="s">
        <v>52</v>
      </c>
      <c r="B2217" t="s">
        <v>53</v>
      </c>
      <c r="C2217" t="s">
        <v>54</v>
      </c>
      <c r="D2217" t="s">
        <v>55</v>
      </c>
      <c r="E2217" t="s">
        <v>878</v>
      </c>
      <c r="F2217" t="s">
        <v>176</v>
      </c>
      <c r="G2217" t="s">
        <v>438</v>
      </c>
      <c r="H2217" t="s">
        <v>984</v>
      </c>
      <c r="I2217" t="s">
        <v>984</v>
      </c>
      <c r="J2217" t="s">
        <v>60</v>
      </c>
      <c r="K2217" t="s">
        <v>985</v>
      </c>
      <c r="L2217" t="s">
        <v>62</v>
      </c>
      <c r="M2217" t="s">
        <v>985</v>
      </c>
      <c r="N2217" t="s">
        <v>986</v>
      </c>
      <c r="O2217" t="s">
        <v>385</v>
      </c>
      <c r="P2217">
        <v>-19.652301000000001</v>
      </c>
      <c r="Q2217">
        <v>-43.854979999999998</v>
      </c>
      <c r="R2217" s="2" t="str">
        <f>HYPERLINK("https://www.google.com/maps?q=-19.6523010,-43.8549800","Abrir no Google Maps")</f>
        <v>Abrir no Google Maps</v>
      </c>
      <c r="S2217">
        <v>3</v>
      </c>
      <c r="T2217">
        <v>1656.8296064806809</v>
      </c>
      <c r="U2217">
        <v>3</v>
      </c>
      <c r="V2217">
        <v>0.25704365079365071</v>
      </c>
      <c r="W2217">
        <v>0.85</v>
      </c>
      <c r="X2217">
        <v>0.2184871031746031</v>
      </c>
      <c r="Y2217">
        <v>3</v>
      </c>
      <c r="Z2217">
        <v>1781.2064416444871</v>
      </c>
      <c r="AA2217">
        <v>2</v>
      </c>
      <c r="AB2217">
        <v>3</v>
      </c>
      <c r="AC2217">
        <v>7</v>
      </c>
      <c r="AD2217">
        <v>27.39</v>
      </c>
      <c r="AE2217">
        <v>253</v>
      </c>
      <c r="AF2217">
        <v>12</v>
      </c>
      <c r="AG2217">
        <v>75</v>
      </c>
      <c r="AH2217">
        <v>32</v>
      </c>
      <c r="AI2217">
        <v>4.74</v>
      </c>
      <c r="AJ2217">
        <v>29.64</v>
      </c>
      <c r="AK2217">
        <v>12.65</v>
      </c>
      <c r="AL2217">
        <v>-19.652094699999939</v>
      </c>
      <c r="AM2217">
        <v>-43.854999867753413</v>
      </c>
      <c r="AN2217">
        <v>-19.652094699999939</v>
      </c>
      <c r="AO2217">
        <v>-43.854999867753413</v>
      </c>
      <c r="AP2217">
        <v>-19.652301000000001</v>
      </c>
      <c r="AQ2217">
        <v>-43.854979999999998</v>
      </c>
      <c r="AR2217">
        <v>23.059575328122211</v>
      </c>
      <c r="AS2217" t="s">
        <v>65</v>
      </c>
      <c r="AT2217">
        <v>1</v>
      </c>
      <c r="AU2217" t="s">
        <v>987</v>
      </c>
      <c r="AV2217" t="s">
        <v>988</v>
      </c>
      <c r="AW2217" t="s">
        <v>60</v>
      </c>
      <c r="AX2217" t="s">
        <v>68</v>
      </c>
      <c r="AY2217" t="s">
        <v>69</v>
      </c>
      <c r="AZ2217" t="b">
        <v>1</v>
      </c>
    </row>
    <row r="2218" spans="1:52" x14ac:dyDescent="0.3">
      <c r="A2218" t="s">
        <v>52</v>
      </c>
      <c r="B2218" t="s">
        <v>53</v>
      </c>
      <c r="C2218" t="s">
        <v>54</v>
      </c>
      <c r="D2218" t="s">
        <v>55</v>
      </c>
      <c r="E2218" t="s">
        <v>878</v>
      </c>
      <c r="F2218" t="s">
        <v>176</v>
      </c>
      <c r="G2218" t="s">
        <v>989</v>
      </c>
      <c r="H2218" t="s">
        <v>990</v>
      </c>
      <c r="I2218" t="s">
        <v>990</v>
      </c>
      <c r="J2218" t="s">
        <v>60</v>
      </c>
      <c r="K2218" t="s">
        <v>907</v>
      </c>
      <c r="L2218" t="s">
        <v>62</v>
      </c>
      <c r="M2218" t="s">
        <v>907</v>
      </c>
      <c r="N2218" t="s">
        <v>991</v>
      </c>
      <c r="O2218" t="s">
        <v>992</v>
      </c>
      <c r="P2218">
        <v>-19.652047</v>
      </c>
      <c r="Q2218">
        <v>-43.932279999999999</v>
      </c>
      <c r="R2218" s="2" t="str">
        <f>HYPERLINK("https://www.google.com/maps?q=-19.6520470,-43.9322800","Abrir no Google Maps")</f>
        <v>Abrir no Google Maps</v>
      </c>
      <c r="S2218">
        <v>3</v>
      </c>
      <c r="T2218">
        <v>2371.6447099258999</v>
      </c>
      <c r="U2218">
        <v>3</v>
      </c>
      <c r="V2218">
        <v>0.33415032679738549</v>
      </c>
      <c r="W2218">
        <v>0.85</v>
      </c>
      <c r="X2218">
        <v>0.28402777777777771</v>
      </c>
      <c r="Y2218">
        <v>3</v>
      </c>
      <c r="Z2218">
        <v>2459.5946001812131</v>
      </c>
      <c r="AA2218">
        <v>2</v>
      </c>
      <c r="AB2218">
        <v>3</v>
      </c>
      <c r="AC2218">
        <v>7</v>
      </c>
      <c r="AD2218">
        <v>27.39</v>
      </c>
      <c r="AE2218">
        <v>253</v>
      </c>
      <c r="AF2218">
        <v>12</v>
      </c>
      <c r="AG2218">
        <v>75</v>
      </c>
      <c r="AH2218">
        <v>32</v>
      </c>
      <c r="AI2218">
        <v>4.74</v>
      </c>
      <c r="AJ2218">
        <v>29.64</v>
      </c>
      <c r="AK2218">
        <v>12.65</v>
      </c>
      <c r="AL2218">
        <v>-19.651999049999969</v>
      </c>
      <c r="AM2218">
        <v>-43.933120962860137</v>
      </c>
      <c r="AN2218">
        <v>-19.651999049999969</v>
      </c>
      <c r="AO2218">
        <v>-43.933120962860137</v>
      </c>
      <c r="AP2218">
        <v>-19.652047</v>
      </c>
      <c r="AQ2218">
        <v>-43.932279999999999</v>
      </c>
      <c r="AR2218">
        <v>88.324539422354292</v>
      </c>
      <c r="AS2218" t="s">
        <v>65</v>
      </c>
      <c r="AT2218">
        <v>1</v>
      </c>
      <c r="AU2218" t="s">
        <v>993</v>
      </c>
      <c r="AV2218" t="s">
        <v>994</v>
      </c>
      <c r="AW2218" t="s">
        <v>60</v>
      </c>
      <c r="AX2218" t="s">
        <v>68</v>
      </c>
      <c r="AY2218" t="s">
        <v>69</v>
      </c>
      <c r="AZ2218" t="b">
        <v>1</v>
      </c>
    </row>
    <row r="2219" spans="1:52" x14ac:dyDescent="0.3">
      <c r="A2219" t="s">
        <v>52</v>
      </c>
      <c r="B2219" t="s">
        <v>53</v>
      </c>
      <c r="C2219" t="s">
        <v>54</v>
      </c>
      <c r="D2219" t="s">
        <v>55</v>
      </c>
      <c r="E2219" t="s">
        <v>878</v>
      </c>
      <c r="F2219" t="s">
        <v>176</v>
      </c>
      <c r="G2219" t="s">
        <v>338</v>
      </c>
      <c r="H2219" t="s">
        <v>339</v>
      </c>
      <c r="I2219" t="s">
        <v>339</v>
      </c>
      <c r="J2219" t="s">
        <v>60</v>
      </c>
      <c r="K2219" t="s">
        <v>219</v>
      </c>
      <c r="L2219" t="s">
        <v>62</v>
      </c>
      <c r="M2219" t="s">
        <v>219</v>
      </c>
      <c r="N2219" t="s">
        <v>340</v>
      </c>
      <c r="O2219" t="s">
        <v>341</v>
      </c>
      <c r="P2219">
        <v>-19.666964</v>
      </c>
      <c r="Q2219">
        <v>-43.884436999999998</v>
      </c>
      <c r="R2219" s="2" t="str">
        <f>HYPERLINK("https://www.google.com/maps?q=-19.6669640,-43.8844370","Abrir no Google Maps")</f>
        <v>Abrir no Google Maps</v>
      </c>
      <c r="S2219">
        <v>3</v>
      </c>
      <c r="T2219">
        <v>957.0047152726122</v>
      </c>
      <c r="U2219">
        <v>3</v>
      </c>
      <c r="V2219">
        <v>0.2497678528636473</v>
      </c>
      <c r="W2219">
        <v>1</v>
      </c>
      <c r="X2219">
        <v>0.2497678528636473</v>
      </c>
      <c r="Y2219">
        <v>3</v>
      </c>
      <c r="Z2219">
        <v>558.02655966087093</v>
      </c>
      <c r="AA2219">
        <v>2</v>
      </c>
      <c r="AB2219">
        <v>3</v>
      </c>
      <c r="AC2219">
        <v>7</v>
      </c>
      <c r="AD2219">
        <v>27.39</v>
      </c>
      <c r="AE2219">
        <v>253</v>
      </c>
      <c r="AF2219">
        <v>12</v>
      </c>
      <c r="AG2219">
        <v>75</v>
      </c>
      <c r="AH2219">
        <v>32</v>
      </c>
      <c r="AI2219">
        <v>4.74</v>
      </c>
      <c r="AJ2219">
        <v>29.64</v>
      </c>
      <c r="AK2219">
        <v>12.65</v>
      </c>
      <c r="AL2219">
        <v>-19.66693374999997</v>
      </c>
      <c r="AM2219">
        <v>-43.884551162820181</v>
      </c>
      <c r="AN2219">
        <v>-19.66693374999997</v>
      </c>
      <c r="AO2219">
        <v>-43.884551162820181</v>
      </c>
      <c r="AP2219">
        <v>-19.666964</v>
      </c>
      <c r="AQ2219">
        <v>-43.884436999999998</v>
      </c>
      <c r="AR2219">
        <v>12.43199920714442</v>
      </c>
      <c r="AS2219" t="s">
        <v>65</v>
      </c>
      <c r="AT2219">
        <v>1</v>
      </c>
      <c r="AU2219" t="s">
        <v>342</v>
      </c>
      <c r="AV2219" t="s">
        <v>343</v>
      </c>
      <c r="AW2219" t="s">
        <v>60</v>
      </c>
      <c r="AX2219" t="s">
        <v>68</v>
      </c>
      <c r="AY2219" t="s">
        <v>69</v>
      </c>
      <c r="AZ2219" t="b">
        <v>1</v>
      </c>
    </row>
    <row r="2220" spans="1:52" x14ac:dyDescent="0.3">
      <c r="A2220" t="s">
        <v>52</v>
      </c>
      <c r="B2220" t="s">
        <v>53</v>
      </c>
      <c r="C2220" t="s">
        <v>54</v>
      </c>
      <c r="D2220" t="s">
        <v>55</v>
      </c>
      <c r="E2220" t="s">
        <v>878</v>
      </c>
      <c r="F2220" t="s">
        <v>176</v>
      </c>
      <c r="G2220" t="s">
        <v>344</v>
      </c>
      <c r="H2220" t="s">
        <v>345</v>
      </c>
      <c r="I2220" t="s">
        <v>345</v>
      </c>
      <c r="J2220" t="s">
        <v>60</v>
      </c>
      <c r="K2220" t="s">
        <v>326</v>
      </c>
      <c r="L2220" t="s">
        <v>62</v>
      </c>
      <c r="M2220" t="s">
        <v>326</v>
      </c>
      <c r="N2220" t="s">
        <v>346</v>
      </c>
      <c r="O2220" t="s">
        <v>347</v>
      </c>
      <c r="P2220">
        <v>-19.659784999999999</v>
      </c>
      <c r="Q2220">
        <v>-43.868257999999997</v>
      </c>
      <c r="R2220" s="2" t="str">
        <f>HYPERLINK("https://www.google.com/maps?q=-19.6597850,-43.8682580","Abrir no Google Maps")</f>
        <v>Abrir no Google Maps</v>
      </c>
      <c r="S2220">
        <v>3</v>
      </c>
      <c r="T2220">
        <v>887.40196140413514</v>
      </c>
      <c r="U2220">
        <v>3</v>
      </c>
      <c r="V2220">
        <v>0.24458242740195349</v>
      </c>
      <c r="W2220">
        <v>1</v>
      </c>
      <c r="X2220">
        <v>0.24458242740195349</v>
      </c>
      <c r="Y2220">
        <v>3</v>
      </c>
      <c r="Z2220">
        <v>951.67106090939239</v>
      </c>
      <c r="AA2220">
        <v>2</v>
      </c>
      <c r="AB2220">
        <v>3</v>
      </c>
      <c r="AC2220">
        <v>7</v>
      </c>
      <c r="AD2220">
        <v>27.39</v>
      </c>
      <c r="AE2220">
        <v>253</v>
      </c>
      <c r="AF2220">
        <v>12</v>
      </c>
      <c r="AG2220">
        <v>75</v>
      </c>
      <c r="AH2220">
        <v>32</v>
      </c>
      <c r="AI2220">
        <v>4.74</v>
      </c>
      <c r="AJ2220">
        <v>29.64</v>
      </c>
      <c r="AK2220">
        <v>12.65</v>
      </c>
      <c r="AL2220">
        <v>-19.659938849999971</v>
      </c>
      <c r="AM2220">
        <v>-43.868426732971933</v>
      </c>
      <c r="AN2220">
        <v>-19.659938849999971</v>
      </c>
      <c r="AO2220">
        <v>-43.868426732971933</v>
      </c>
      <c r="AP2220">
        <v>-19.659784999999999</v>
      </c>
      <c r="AQ2220">
        <v>-43.868257999999997</v>
      </c>
      <c r="AR2220">
        <v>24.621113441172451</v>
      </c>
      <c r="AS2220" t="s">
        <v>65</v>
      </c>
      <c r="AT2220">
        <v>1</v>
      </c>
      <c r="AU2220" t="s">
        <v>348</v>
      </c>
      <c r="AV2220" t="s">
        <v>349</v>
      </c>
      <c r="AW2220" t="s">
        <v>60</v>
      </c>
      <c r="AX2220" t="s">
        <v>68</v>
      </c>
      <c r="AY2220" t="s">
        <v>69</v>
      </c>
      <c r="AZ2220" t="b">
        <v>1</v>
      </c>
    </row>
    <row r="2221" spans="1:52" x14ac:dyDescent="0.3">
      <c r="A2221" t="s">
        <v>52</v>
      </c>
      <c r="B2221" t="s">
        <v>53</v>
      </c>
      <c r="C2221" t="s">
        <v>54</v>
      </c>
      <c r="D2221" t="s">
        <v>55</v>
      </c>
      <c r="E2221" t="s">
        <v>878</v>
      </c>
      <c r="F2221" t="s">
        <v>176</v>
      </c>
      <c r="G2221" t="s">
        <v>995</v>
      </c>
      <c r="H2221" t="s">
        <v>996</v>
      </c>
      <c r="I2221" t="s">
        <v>996</v>
      </c>
      <c r="J2221" t="s">
        <v>60</v>
      </c>
      <c r="K2221" t="s">
        <v>997</v>
      </c>
      <c r="L2221" t="s">
        <v>62</v>
      </c>
      <c r="M2221" t="s">
        <v>997</v>
      </c>
      <c r="N2221" t="s">
        <v>998</v>
      </c>
      <c r="O2221" t="s">
        <v>477</v>
      </c>
      <c r="P2221">
        <v>-19.599616999999999</v>
      </c>
      <c r="Q2221">
        <v>-43.894641</v>
      </c>
      <c r="R2221" s="2" t="str">
        <f>HYPERLINK("https://www.google.com/maps?q=-19.5996170,-43.8946410","Abrir no Google Maps")</f>
        <v>Abrir no Google Maps</v>
      </c>
      <c r="S2221">
        <v>3</v>
      </c>
      <c r="T2221">
        <v>981.84540481985073</v>
      </c>
      <c r="U2221">
        <v>3</v>
      </c>
      <c r="V2221">
        <v>0.27814027583798878</v>
      </c>
      <c r="W2221">
        <v>0.85</v>
      </c>
      <c r="X2221">
        <v>0.23641923446229049</v>
      </c>
      <c r="Y2221">
        <v>2</v>
      </c>
      <c r="Z2221">
        <v>1029.3352701245281</v>
      </c>
      <c r="AA2221">
        <v>2</v>
      </c>
      <c r="AB2221">
        <v>3</v>
      </c>
      <c r="AC2221">
        <v>7</v>
      </c>
      <c r="AD2221">
        <v>27.39</v>
      </c>
      <c r="AE2221">
        <v>253</v>
      </c>
      <c r="AF2221">
        <v>12</v>
      </c>
      <c r="AG2221">
        <v>75</v>
      </c>
      <c r="AH2221">
        <v>32</v>
      </c>
      <c r="AI2221">
        <v>4.74</v>
      </c>
      <c r="AJ2221">
        <v>29.64</v>
      </c>
      <c r="AK2221">
        <v>12.65</v>
      </c>
      <c r="AL2221">
        <v>-19.59902444999997</v>
      </c>
      <c r="AM2221">
        <v>-43.894957131420369</v>
      </c>
      <c r="AN2221">
        <v>-19.59902444999997</v>
      </c>
      <c r="AO2221">
        <v>-43.894957131420369</v>
      </c>
      <c r="AP2221">
        <v>-19.599616999999999</v>
      </c>
      <c r="AQ2221">
        <v>-43.894641</v>
      </c>
      <c r="AR2221">
        <v>73.825367196710616</v>
      </c>
      <c r="AS2221" t="s">
        <v>65</v>
      </c>
      <c r="AT2221">
        <v>1</v>
      </c>
      <c r="AU2221" t="s">
        <v>999</v>
      </c>
      <c r="AV2221" t="s">
        <v>1000</v>
      </c>
      <c r="AW2221" t="s">
        <v>60</v>
      </c>
      <c r="AX2221" t="s">
        <v>68</v>
      </c>
      <c r="AY2221" t="s">
        <v>69</v>
      </c>
      <c r="AZ2221" t="b">
        <v>1</v>
      </c>
    </row>
    <row r="2222" spans="1:52" x14ac:dyDescent="0.3">
      <c r="A2222" t="s">
        <v>52</v>
      </c>
      <c r="B2222" t="s">
        <v>53</v>
      </c>
      <c r="C2222" t="s">
        <v>54</v>
      </c>
      <c r="D2222" t="s">
        <v>55</v>
      </c>
      <c r="E2222" t="s">
        <v>878</v>
      </c>
      <c r="F2222" t="s">
        <v>176</v>
      </c>
      <c r="G2222" t="s">
        <v>376</v>
      </c>
      <c r="H2222" t="s">
        <v>377</v>
      </c>
      <c r="I2222" t="s">
        <v>377</v>
      </c>
      <c r="J2222" t="s">
        <v>60</v>
      </c>
      <c r="K2222" t="s">
        <v>352</v>
      </c>
      <c r="L2222" t="s">
        <v>62</v>
      </c>
      <c r="M2222" t="s">
        <v>352</v>
      </c>
      <c r="N2222" t="s">
        <v>378</v>
      </c>
      <c r="O2222" t="s">
        <v>379</v>
      </c>
      <c r="P2222">
        <v>-19.596966999999999</v>
      </c>
      <c r="Q2222">
        <v>-43.90155</v>
      </c>
      <c r="R2222" s="2" t="str">
        <f>HYPERLINK("https://www.google.com/maps?q=-19.5969670,-43.9015500","Abrir no Google Maps")</f>
        <v>Abrir no Google Maps</v>
      </c>
      <c r="S2222">
        <v>3</v>
      </c>
      <c r="T2222">
        <v>366.5160120865408</v>
      </c>
      <c r="U2222">
        <v>3</v>
      </c>
      <c r="V2222">
        <v>0.24256028038263111</v>
      </c>
      <c r="W2222">
        <v>1</v>
      </c>
      <c r="X2222">
        <v>0.24256028038263111</v>
      </c>
      <c r="Y2222">
        <v>2</v>
      </c>
      <c r="Z2222">
        <v>437.88042928493138</v>
      </c>
      <c r="AA2222">
        <v>2</v>
      </c>
      <c r="AB2222">
        <v>3</v>
      </c>
      <c r="AC2222">
        <v>7</v>
      </c>
      <c r="AD2222">
        <v>27.39</v>
      </c>
      <c r="AE2222">
        <v>253</v>
      </c>
      <c r="AF2222">
        <v>12</v>
      </c>
      <c r="AG2222">
        <v>75</v>
      </c>
      <c r="AH2222">
        <v>32</v>
      </c>
      <c r="AI2222">
        <v>4.74</v>
      </c>
      <c r="AJ2222">
        <v>29.64</v>
      </c>
      <c r="AK2222">
        <v>12.65</v>
      </c>
      <c r="AL2222">
        <v>-19.597188549999942</v>
      </c>
      <c r="AM2222">
        <v>-43.901724335633787</v>
      </c>
      <c r="AN2222">
        <v>-19.597188549999942</v>
      </c>
      <c r="AO2222">
        <v>-43.901724335633787</v>
      </c>
      <c r="AP2222">
        <v>-19.596966999999999</v>
      </c>
      <c r="AQ2222">
        <v>-43.90155</v>
      </c>
      <c r="AR2222">
        <v>30.700556875456439</v>
      </c>
      <c r="AS2222" t="s">
        <v>65</v>
      </c>
      <c r="AT2222">
        <v>1</v>
      </c>
      <c r="AU2222" t="s">
        <v>380</v>
      </c>
      <c r="AV2222" t="s">
        <v>381</v>
      </c>
      <c r="AW2222" t="s">
        <v>60</v>
      </c>
      <c r="AX2222" t="s">
        <v>68</v>
      </c>
      <c r="AY2222" t="s">
        <v>69</v>
      </c>
      <c r="AZ2222" t="b">
        <v>1</v>
      </c>
    </row>
    <row r="2223" spans="1:52" x14ac:dyDescent="0.3">
      <c r="A2223" t="s">
        <v>52</v>
      </c>
      <c r="B2223" t="s">
        <v>53</v>
      </c>
      <c r="C2223" t="s">
        <v>54</v>
      </c>
      <c r="D2223" t="s">
        <v>55</v>
      </c>
      <c r="E2223" t="s">
        <v>878</v>
      </c>
      <c r="F2223" t="s">
        <v>176</v>
      </c>
      <c r="G2223" t="s">
        <v>506</v>
      </c>
      <c r="H2223" t="s">
        <v>507</v>
      </c>
      <c r="I2223" t="s">
        <v>507</v>
      </c>
      <c r="J2223" t="s">
        <v>60</v>
      </c>
      <c r="K2223" t="s">
        <v>219</v>
      </c>
      <c r="L2223" t="s">
        <v>62</v>
      </c>
      <c r="M2223" t="s">
        <v>219</v>
      </c>
      <c r="N2223" t="s">
        <v>508</v>
      </c>
      <c r="O2223" t="s">
        <v>509</v>
      </c>
      <c r="P2223">
        <v>-19.663573</v>
      </c>
      <c r="Q2223">
        <v>-43.884306000000002</v>
      </c>
      <c r="R2223" s="2" t="str">
        <f>HYPERLINK("https://www.google.com/maps?q=-19.6635730,-43.8843060","Abrir no Google Maps")</f>
        <v>Abrir no Google Maps</v>
      </c>
      <c r="S2223">
        <v>3</v>
      </c>
      <c r="T2223">
        <v>1293.040666597964</v>
      </c>
      <c r="U2223">
        <v>3</v>
      </c>
      <c r="V2223">
        <v>0.28428382276445829</v>
      </c>
      <c r="W2223">
        <v>1</v>
      </c>
      <c r="X2223">
        <v>0.28428382276445829</v>
      </c>
      <c r="Y2223">
        <v>1</v>
      </c>
      <c r="Z2223">
        <v>649.69199246551727</v>
      </c>
      <c r="AA2223">
        <v>2</v>
      </c>
      <c r="AB2223">
        <v>3</v>
      </c>
      <c r="AC2223">
        <v>7</v>
      </c>
      <c r="AD2223">
        <v>27.39</v>
      </c>
      <c r="AE2223">
        <v>253</v>
      </c>
      <c r="AF2223">
        <v>12</v>
      </c>
      <c r="AG2223">
        <v>75</v>
      </c>
      <c r="AH2223">
        <v>32</v>
      </c>
      <c r="AI2223">
        <v>4.74</v>
      </c>
      <c r="AJ2223">
        <v>29.64</v>
      </c>
      <c r="AK2223">
        <v>12.65</v>
      </c>
      <c r="AL2223">
        <v>-19.663616899999969</v>
      </c>
      <c r="AM2223">
        <v>-43.884279937960187</v>
      </c>
      <c r="AN2223">
        <v>-19.663616899999969</v>
      </c>
      <c r="AO2223">
        <v>-43.884279937960187</v>
      </c>
      <c r="AP2223">
        <v>-19.663573</v>
      </c>
      <c r="AQ2223">
        <v>-43.884306000000002</v>
      </c>
      <c r="AR2223">
        <v>5.5987767285658263</v>
      </c>
      <c r="AS2223" t="s">
        <v>65</v>
      </c>
      <c r="AT2223">
        <v>1</v>
      </c>
      <c r="AU2223" t="s">
        <v>510</v>
      </c>
      <c r="AV2223" t="s">
        <v>511</v>
      </c>
      <c r="AW2223" t="s">
        <v>60</v>
      </c>
      <c r="AX2223" t="s">
        <v>68</v>
      </c>
      <c r="AY2223" t="s">
        <v>69</v>
      </c>
      <c r="AZ2223" t="b">
        <v>1</v>
      </c>
    </row>
    <row r="2224" spans="1:52" x14ac:dyDescent="0.3">
      <c r="A2224" t="s">
        <v>52</v>
      </c>
      <c r="B2224" t="s">
        <v>53</v>
      </c>
      <c r="C2224" t="s">
        <v>54</v>
      </c>
      <c r="D2224" t="s">
        <v>55</v>
      </c>
      <c r="E2224" t="s">
        <v>878</v>
      </c>
      <c r="F2224" t="s">
        <v>512</v>
      </c>
      <c r="G2224" t="s">
        <v>70</v>
      </c>
      <c r="H2224" t="s">
        <v>71</v>
      </c>
      <c r="I2224" t="s">
        <v>71</v>
      </c>
      <c r="J2224" t="s">
        <v>60</v>
      </c>
      <c r="K2224" t="s">
        <v>72</v>
      </c>
      <c r="L2224" t="s">
        <v>62</v>
      </c>
      <c r="M2224" t="s">
        <v>72</v>
      </c>
      <c r="N2224" t="s">
        <v>73</v>
      </c>
      <c r="O2224" t="s">
        <v>74</v>
      </c>
      <c r="P2224">
        <v>-19.632581999999999</v>
      </c>
      <c r="Q2224">
        <v>-43.902416000000002</v>
      </c>
      <c r="R2224" s="2" t="str">
        <f>HYPERLINK("https://www.google.com/maps?q=-19.6325820,-43.9024160","Abrir no Google Maps")</f>
        <v>Abrir no Google Maps</v>
      </c>
      <c r="S2224">
        <v>4</v>
      </c>
      <c r="T2224">
        <v>0</v>
      </c>
      <c r="U2224">
        <v>3</v>
      </c>
      <c r="V2224">
        <v>0.2106127636622368</v>
      </c>
      <c r="W2224">
        <v>1</v>
      </c>
      <c r="X2224">
        <v>0.2106127636622368</v>
      </c>
      <c r="Y2224">
        <v>10</v>
      </c>
      <c r="Z2224">
        <v>146.6968158874696</v>
      </c>
      <c r="AA2224">
        <v>2</v>
      </c>
      <c r="AB2224">
        <v>3</v>
      </c>
      <c r="AC2224">
        <v>7</v>
      </c>
      <c r="AD2224">
        <v>27.39</v>
      </c>
      <c r="AE2224">
        <v>253</v>
      </c>
      <c r="AF2224">
        <v>12</v>
      </c>
      <c r="AG2224">
        <v>75</v>
      </c>
      <c r="AH2224">
        <v>32</v>
      </c>
      <c r="AI2224">
        <v>4.74</v>
      </c>
      <c r="AJ2224">
        <v>29.64</v>
      </c>
      <c r="AK2224">
        <v>12.65</v>
      </c>
      <c r="AL2224">
        <v>-19.63271449999996</v>
      </c>
      <c r="AM2224">
        <v>-43.902649897389402</v>
      </c>
      <c r="AN2224">
        <v>-19.63271449999996</v>
      </c>
      <c r="AO2224">
        <v>-43.902649897389402</v>
      </c>
      <c r="AP2224">
        <v>-19.632581999999999</v>
      </c>
      <c r="AQ2224">
        <v>-43.902416000000002</v>
      </c>
      <c r="AR2224">
        <v>28.617753432996459</v>
      </c>
      <c r="AS2224" t="s">
        <v>65</v>
      </c>
      <c r="AT2224">
        <v>1</v>
      </c>
      <c r="AU2224" t="s">
        <v>75</v>
      </c>
      <c r="AV2224" t="s">
        <v>76</v>
      </c>
      <c r="AW2224" t="s">
        <v>60</v>
      </c>
      <c r="AX2224" t="s">
        <v>68</v>
      </c>
      <c r="AY2224" t="s">
        <v>69</v>
      </c>
      <c r="AZ2224" t="b">
        <v>1</v>
      </c>
    </row>
    <row r="2225" spans="1:52" x14ac:dyDescent="0.3">
      <c r="A2225" t="s">
        <v>52</v>
      </c>
      <c r="B2225" t="s">
        <v>53</v>
      </c>
      <c r="C2225" t="s">
        <v>54</v>
      </c>
      <c r="D2225" t="s">
        <v>55</v>
      </c>
      <c r="E2225" t="s">
        <v>878</v>
      </c>
      <c r="F2225" t="s">
        <v>512</v>
      </c>
      <c r="G2225" t="s">
        <v>58</v>
      </c>
      <c r="H2225" t="s">
        <v>59</v>
      </c>
      <c r="I2225" t="s">
        <v>59</v>
      </c>
      <c r="J2225" t="s">
        <v>60</v>
      </c>
      <c r="K2225" t="s">
        <v>61</v>
      </c>
      <c r="L2225" t="s">
        <v>62</v>
      </c>
      <c r="M2225" t="s">
        <v>61</v>
      </c>
      <c r="N2225" t="s">
        <v>63</v>
      </c>
      <c r="O2225" t="s">
        <v>64</v>
      </c>
      <c r="P2225">
        <v>-19.631502000000001</v>
      </c>
      <c r="Q2225">
        <v>-43.910241999999997</v>
      </c>
      <c r="R2225" s="2" t="str">
        <f>HYPERLINK("https://www.google.com/maps?q=-19.6315020,-43.9102420","Abrir no Google Maps")</f>
        <v>Abrir no Google Maps</v>
      </c>
      <c r="S2225">
        <v>4</v>
      </c>
      <c r="T2225">
        <v>789.20099406682743</v>
      </c>
      <c r="U2225">
        <v>2</v>
      </c>
      <c r="V2225">
        <v>0.16460457602890211</v>
      </c>
      <c r="W2225">
        <v>1</v>
      </c>
      <c r="X2225">
        <v>0.16460457602890211</v>
      </c>
      <c r="Y2225">
        <v>10</v>
      </c>
      <c r="Z2225">
        <v>691.44930074509864</v>
      </c>
      <c r="AA2225">
        <v>2</v>
      </c>
      <c r="AB2225">
        <v>3</v>
      </c>
      <c r="AC2225">
        <v>7</v>
      </c>
      <c r="AD2225">
        <v>27.39</v>
      </c>
      <c r="AE2225">
        <v>253</v>
      </c>
      <c r="AF2225">
        <v>12</v>
      </c>
      <c r="AG2225">
        <v>75</v>
      </c>
      <c r="AH2225">
        <v>32</v>
      </c>
      <c r="AI2225">
        <v>4.74</v>
      </c>
      <c r="AJ2225">
        <v>29.64</v>
      </c>
      <c r="AK2225">
        <v>12.65</v>
      </c>
      <c r="AL2225">
        <v>-19.631719749999949</v>
      </c>
      <c r="AM2225">
        <v>-43.910102324517517</v>
      </c>
      <c r="AN2225">
        <v>-19.631719749999949</v>
      </c>
      <c r="AO2225">
        <v>-43.910102324517517</v>
      </c>
      <c r="AP2225">
        <v>-19.631502000000001</v>
      </c>
      <c r="AQ2225">
        <v>-43.910241999999997</v>
      </c>
      <c r="AR2225">
        <v>28.320416429206599</v>
      </c>
      <c r="AS2225" t="s">
        <v>65</v>
      </c>
      <c r="AT2225">
        <v>1</v>
      </c>
      <c r="AU2225" t="s">
        <v>66</v>
      </c>
      <c r="AV2225" t="s">
        <v>67</v>
      </c>
      <c r="AW2225" t="s">
        <v>60</v>
      </c>
      <c r="AX2225" t="s">
        <v>68</v>
      </c>
      <c r="AY2225" t="s">
        <v>69</v>
      </c>
      <c r="AZ2225" t="b">
        <v>1</v>
      </c>
    </row>
    <row r="2226" spans="1:52" x14ac:dyDescent="0.3">
      <c r="A2226" t="s">
        <v>52</v>
      </c>
      <c r="B2226" t="s">
        <v>53</v>
      </c>
      <c r="C2226" t="s">
        <v>54</v>
      </c>
      <c r="D2226" t="s">
        <v>55</v>
      </c>
      <c r="E2226" t="s">
        <v>878</v>
      </c>
      <c r="F2226" t="s">
        <v>512</v>
      </c>
      <c r="G2226" t="s">
        <v>519</v>
      </c>
      <c r="H2226" t="s">
        <v>520</v>
      </c>
      <c r="I2226" t="s">
        <v>520</v>
      </c>
      <c r="J2226" t="s">
        <v>60</v>
      </c>
      <c r="K2226" t="s">
        <v>72</v>
      </c>
      <c r="L2226" t="s">
        <v>62</v>
      </c>
      <c r="M2226" t="s">
        <v>72</v>
      </c>
      <c r="N2226" t="s">
        <v>521</v>
      </c>
      <c r="O2226" t="s">
        <v>522</v>
      </c>
      <c r="P2226">
        <v>-19.634713000000001</v>
      </c>
      <c r="Q2226">
        <v>-43.908909999999999</v>
      </c>
      <c r="R2226" s="2" t="str">
        <f>HYPERLINK("https://www.google.com/maps?q=-19.6347130,-43.9089100","Abrir no Google Maps")</f>
        <v>Abrir no Google Maps</v>
      </c>
      <c r="S2226">
        <v>4</v>
      </c>
      <c r="T2226">
        <v>700.74700083720154</v>
      </c>
      <c r="U2226">
        <v>2</v>
      </c>
      <c r="V2226">
        <v>0.19413066865276379</v>
      </c>
      <c r="W2226">
        <v>0.85</v>
      </c>
      <c r="X2226">
        <v>0.16501106835484919</v>
      </c>
      <c r="Y2226">
        <v>10</v>
      </c>
      <c r="Z2226">
        <v>557.86159429038207</v>
      </c>
      <c r="AA2226">
        <v>2</v>
      </c>
      <c r="AB2226">
        <v>3</v>
      </c>
      <c r="AC2226">
        <v>7</v>
      </c>
      <c r="AD2226">
        <v>27.39</v>
      </c>
      <c r="AE2226">
        <v>253</v>
      </c>
      <c r="AF2226">
        <v>12</v>
      </c>
      <c r="AG2226">
        <v>75</v>
      </c>
      <c r="AH2226">
        <v>32</v>
      </c>
      <c r="AI2226">
        <v>4.74</v>
      </c>
      <c r="AJ2226">
        <v>29.64</v>
      </c>
      <c r="AK2226">
        <v>12.65</v>
      </c>
      <c r="AL2226">
        <v>-19.634626949999959</v>
      </c>
      <c r="AM2226">
        <v>-43.909020333181857</v>
      </c>
      <c r="AN2226">
        <v>-19.634626949999959</v>
      </c>
      <c r="AO2226">
        <v>-43.909020333181857</v>
      </c>
      <c r="AP2226">
        <v>-19.634713000000001</v>
      </c>
      <c r="AQ2226">
        <v>-43.908909999999999</v>
      </c>
      <c r="AR2226">
        <v>15.01933861967664</v>
      </c>
      <c r="AS2226" t="s">
        <v>65</v>
      </c>
      <c r="AT2226">
        <v>1</v>
      </c>
      <c r="AU2226" t="s">
        <v>523</v>
      </c>
      <c r="AV2226" t="s">
        <v>524</v>
      </c>
      <c r="AW2226" t="s">
        <v>60</v>
      </c>
      <c r="AX2226" t="s">
        <v>68</v>
      </c>
      <c r="AY2226" t="s">
        <v>69</v>
      </c>
      <c r="AZ2226" t="b">
        <v>1</v>
      </c>
    </row>
    <row r="2227" spans="1:52" x14ac:dyDescent="0.3">
      <c r="A2227" t="s">
        <v>52</v>
      </c>
      <c r="B2227" t="s">
        <v>53</v>
      </c>
      <c r="C2227" t="s">
        <v>54</v>
      </c>
      <c r="D2227" t="s">
        <v>55</v>
      </c>
      <c r="E2227" t="s">
        <v>878</v>
      </c>
      <c r="F2227" t="s">
        <v>512</v>
      </c>
      <c r="G2227" t="s">
        <v>84</v>
      </c>
      <c r="H2227" t="s">
        <v>85</v>
      </c>
      <c r="I2227" t="s">
        <v>85</v>
      </c>
      <c r="J2227" t="s">
        <v>60</v>
      </c>
      <c r="K2227" t="s">
        <v>86</v>
      </c>
      <c r="L2227" t="s">
        <v>62</v>
      </c>
      <c r="M2227" t="s">
        <v>86</v>
      </c>
      <c r="N2227" t="s">
        <v>87</v>
      </c>
      <c r="O2227" t="s">
        <v>88</v>
      </c>
      <c r="P2227">
        <v>-19.629436999999999</v>
      </c>
      <c r="Q2227">
        <v>-43.910398999999998</v>
      </c>
      <c r="R2227" s="2" t="str">
        <f>HYPERLINK("https://www.google.com/maps?q=-19.6294370,-43.9103990","Abrir no Google Maps")</f>
        <v>Abrir no Google Maps</v>
      </c>
      <c r="S2227">
        <v>4</v>
      </c>
      <c r="T2227">
        <v>888.82060643108082</v>
      </c>
      <c r="U2227">
        <v>2</v>
      </c>
      <c r="V2227">
        <v>0.1812124910995829</v>
      </c>
      <c r="W2227">
        <v>1</v>
      </c>
      <c r="X2227">
        <v>0.1812124910995829</v>
      </c>
      <c r="Y2227">
        <v>10</v>
      </c>
      <c r="Z2227">
        <v>867.42797341651737</v>
      </c>
      <c r="AA2227">
        <v>2</v>
      </c>
      <c r="AB2227">
        <v>3</v>
      </c>
      <c r="AC2227">
        <v>7</v>
      </c>
      <c r="AD2227">
        <v>27.39</v>
      </c>
      <c r="AE2227">
        <v>253</v>
      </c>
      <c r="AF2227">
        <v>12</v>
      </c>
      <c r="AG2227">
        <v>75</v>
      </c>
      <c r="AH2227">
        <v>32</v>
      </c>
      <c r="AI2227">
        <v>4.74</v>
      </c>
      <c r="AJ2227">
        <v>29.64</v>
      </c>
      <c r="AK2227">
        <v>12.65</v>
      </c>
      <c r="AL2227">
        <v>-19.62934694999996</v>
      </c>
      <c r="AM2227">
        <v>-43.910344699357317</v>
      </c>
      <c r="AN2227">
        <v>-19.62934694999996</v>
      </c>
      <c r="AO2227">
        <v>-43.910344699357331</v>
      </c>
      <c r="AP2227">
        <v>-19.629436999999999</v>
      </c>
      <c r="AQ2227">
        <v>-43.910398999999998</v>
      </c>
      <c r="AR2227">
        <v>11.52837377953678</v>
      </c>
      <c r="AS2227" t="s">
        <v>65</v>
      </c>
      <c r="AT2227">
        <v>1</v>
      </c>
      <c r="AU2227" t="s">
        <v>89</v>
      </c>
      <c r="AV2227" t="s">
        <v>90</v>
      </c>
      <c r="AW2227" t="s">
        <v>60</v>
      </c>
      <c r="AX2227" t="s">
        <v>68</v>
      </c>
      <c r="AY2227" t="s">
        <v>69</v>
      </c>
      <c r="AZ2227" t="b">
        <v>1</v>
      </c>
    </row>
    <row r="2228" spans="1:52" x14ac:dyDescent="0.3">
      <c r="A2228" t="s">
        <v>52</v>
      </c>
      <c r="B2228" t="s">
        <v>53</v>
      </c>
      <c r="C2228" t="s">
        <v>54</v>
      </c>
      <c r="D2228" t="s">
        <v>55</v>
      </c>
      <c r="E2228" t="s">
        <v>878</v>
      </c>
      <c r="F2228" t="s">
        <v>512</v>
      </c>
      <c r="G2228" t="s">
        <v>91</v>
      </c>
      <c r="H2228" t="s">
        <v>92</v>
      </c>
      <c r="I2228" t="s">
        <v>92</v>
      </c>
      <c r="J2228" t="s">
        <v>60</v>
      </c>
      <c r="K2228" t="s">
        <v>86</v>
      </c>
      <c r="L2228" t="s">
        <v>62</v>
      </c>
      <c r="M2228" t="s">
        <v>86</v>
      </c>
      <c r="N2228" t="s">
        <v>93</v>
      </c>
      <c r="O2228" t="s">
        <v>94</v>
      </c>
      <c r="P2228">
        <v>-19.630676999999999</v>
      </c>
      <c r="Q2228">
        <v>-43.907255999999997</v>
      </c>
      <c r="R2228" s="2" t="str">
        <f>HYPERLINK("https://www.google.com/maps?q=-19.6306770,-43.9072560","Abrir no Google Maps")</f>
        <v>Abrir no Google Maps</v>
      </c>
      <c r="S2228">
        <v>4</v>
      </c>
      <c r="T2228">
        <v>545.39374622597825</v>
      </c>
      <c r="U2228">
        <v>2</v>
      </c>
      <c r="V2228">
        <v>0.19647461456671969</v>
      </c>
      <c r="W2228">
        <v>1</v>
      </c>
      <c r="X2228">
        <v>0.19647461456671969</v>
      </c>
      <c r="Y2228">
        <v>10</v>
      </c>
      <c r="Z2228">
        <v>559.94033759457182</v>
      </c>
      <c r="AA2228">
        <v>2</v>
      </c>
      <c r="AB2228">
        <v>3</v>
      </c>
      <c r="AC2228">
        <v>7</v>
      </c>
      <c r="AD2228">
        <v>27.39</v>
      </c>
      <c r="AE2228">
        <v>253</v>
      </c>
      <c r="AF2228">
        <v>12</v>
      </c>
      <c r="AG2228">
        <v>75</v>
      </c>
      <c r="AH2228">
        <v>32</v>
      </c>
      <c r="AI2228">
        <v>4.74</v>
      </c>
      <c r="AJ2228">
        <v>29.64</v>
      </c>
      <c r="AK2228">
        <v>12.65</v>
      </c>
      <c r="AL2228">
        <v>-19.630448649999941</v>
      </c>
      <c r="AM2228">
        <v>-43.907268502495313</v>
      </c>
      <c r="AN2228">
        <v>-19.630448649999941</v>
      </c>
      <c r="AO2228">
        <v>-43.907268502495313</v>
      </c>
      <c r="AP2228">
        <v>-19.630676999999999</v>
      </c>
      <c r="AQ2228">
        <v>-43.907255999999997</v>
      </c>
      <c r="AR2228">
        <v>25.453700276562468</v>
      </c>
      <c r="AS2228" t="s">
        <v>65</v>
      </c>
      <c r="AT2228">
        <v>1</v>
      </c>
      <c r="AU2228" t="s">
        <v>95</v>
      </c>
      <c r="AV2228" t="s">
        <v>96</v>
      </c>
      <c r="AW2228" t="s">
        <v>60</v>
      </c>
      <c r="AX2228" t="s">
        <v>68</v>
      </c>
      <c r="AY2228" t="s">
        <v>69</v>
      </c>
      <c r="AZ2228" t="b">
        <v>1</v>
      </c>
    </row>
    <row r="2229" spans="1:52" x14ac:dyDescent="0.3">
      <c r="A2229" t="s">
        <v>52</v>
      </c>
      <c r="B2229" t="s">
        <v>53</v>
      </c>
      <c r="C2229" t="s">
        <v>54</v>
      </c>
      <c r="D2229" t="s">
        <v>55</v>
      </c>
      <c r="E2229" t="s">
        <v>878</v>
      </c>
      <c r="F2229" t="s">
        <v>512</v>
      </c>
      <c r="G2229" t="s">
        <v>97</v>
      </c>
      <c r="H2229" t="s">
        <v>98</v>
      </c>
      <c r="I2229" t="s">
        <v>98</v>
      </c>
      <c r="J2229" t="s">
        <v>60</v>
      </c>
      <c r="K2229" t="s">
        <v>99</v>
      </c>
      <c r="L2229" t="s">
        <v>62</v>
      </c>
      <c r="M2229" t="s">
        <v>99</v>
      </c>
      <c r="N2229" t="s">
        <v>100</v>
      </c>
      <c r="O2229" t="s">
        <v>101</v>
      </c>
      <c r="P2229">
        <v>-19.629822000000001</v>
      </c>
      <c r="Q2229">
        <v>-43.905341</v>
      </c>
      <c r="R2229" s="2" t="str">
        <f>HYPERLINK("https://www.google.com/maps?q=-19.6298220,-43.9053410","Abrir no Google Maps")</f>
        <v>Abrir no Google Maps</v>
      </c>
      <c r="S2229">
        <v>4</v>
      </c>
      <c r="T2229">
        <v>441.30597341744129</v>
      </c>
      <c r="U2229">
        <v>2</v>
      </c>
      <c r="V2229">
        <v>0.1963287041572776</v>
      </c>
      <c r="W2229">
        <v>1</v>
      </c>
      <c r="X2229">
        <v>0.1963287041572776</v>
      </c>
      <c r="Y2229">
        <v>10</v>
      </c>
      <c r="Z2229">
        <v>513.56493751010987</v>
      </c>
      <c r="AA2229">
        <v>2</v>
      </c>
      <c r="AB2229">
        <v>3</v>
      </c>
      <c r="AC2229">
        <v>7</v>
      </c>
      <c r="AD2229">
        <v>27.39</v>
      </c>
      <c r="AE2229">
        <v>253</v>
      </c>
      <c r="AF2229">
        <v>12</v>
      </c>
      <c r="AG2229">
        <v>75</v>
      </c>
      <c r="AH2229">
        <v>32</v>
      </c>
      <c r="AI2229">
        <v>4.74</v>
      </c>
      <c r="AJ2229">
        <v>29.64</v>
      </c>
      <c r="AK2229">
        <v>12.65</v>
      </c>
      <c r="AL2229">
        <v>-19.629671599999941</v>
      </c>
      <c r="AM2229">
        <v>-43.905369597920988</v>
      </c>
      <c r="AN2229">
        <v>-19.629671599999931</v>
      </c>
      <c r="AO2229">
        <v>-43.905369597920988</v>
      </c>
      <c r="AP2229">
        <v>-19.629822000000001</v>
      </c>
      <c r="AQ2229">
        <v>-43.905341</v>
      </c>
      <c r="AR2229">
        <v>17.008917699186132</v>
      </c>
      <c r="AS2229" t="s">
        <v>65</v>
      </c>
      <c r="AT2229">
        <v>1</v>
      </c>
      <c r="AU2229" t="s">
        <v>102</v>
      </c>
      <c r="AV2229" t="s">
        <v>103</v>
      </c>
      <c r="AW2229" t="s">
        <v>60</v>
      </c>
      <c r="AX2229" t="s">
        <v>68</v>
      </c>
      <c r="AY2229" t="s">
        <v>69</v>
      </c>
      <c r="AZ2229" t="b">
        <v>1</v>
      </c>
    </row>
    <row r="2230" spans="1:52" x14ac:dyDescent="0.3">
      <c r="A2230" t="s">
        <v>52</v>
      </c>
      <c r="B2230" t="s">
        <v>53</v>
      </c>
      <c r="C2230" t="s">
        <v>54</v>
      </c>
      <c r="D2230" t="s">
        <v>55</v>
      </c>
      <c r="E2230" t="s">
        <v>878</v>
      </c>
      <c r="F2230" t="s">
        <v>512</v>
      </c>
      <c r="G2230" t="s">
        <v>513</v>
      </c>
      <c r="H2230" t="s">
        <v>514</v>
      </c>
      <c r="I2230" t="s">
        <v>514</v>
      </c>
      <c r="J2230" t="s">
        <v>60</v>
      </c>
      <c r="K2230" t="s">
        <v>185</v>
      </c>
      <c r="L2230" t="s">
        <v>62</v>
      </c>
      <c r="M2230" t="s">
        <v>185</v>
      </c>
      <c r="N2230" t="s">
        <v>515</v>
      </c>
      <c r="O2230" t="s">
        <v>516</v>
      </c>
      <c r="P2230">
        <v>-19.63184</v>
      </c>
      <c r="Q2230">
        <v>-43.899625999999998</v>
      </c>
      <c r="R2230" s="2" t="str">
        <f>HYPERLINK("https://www.google.com/maps?q=-19.6318400,-43.8996260","Abrir no Google Maps")</f>
        <v>Abrir no Google Maps</v>
      </c>
      <c r="S2230">
        <v>4</v>
      </c>
      <c r="T2230">
        <v>317.05369638212568</v>
      </c>
      <c r="U2230">
        <v>1</v>
      </c>
      <c r="V2230">
        <v>0.17414624909438201</v>
      </c>
      <c r="W2230">
        <v>0.85</v>
      </c>
      <c r="X2230">
        <v>0.14802431173022471</v>
      </c>
      <c r="Y2230">
        <v>10</v>
      </c>
      <c r="Z2230">
        <v>467.39112963581732</v>
      </c>
      <c r="AA2230">
        <v>2</v>
      </c>
      <c r="AB2230">
        <v>3</v>
      </c>
      <c r="AC2230">
        <v>7</v>
      </c>
      <c r="AD2230">
        <v>27.39</v>
      </c>
      <c r="AE2230">
        <v>253</v>
      </c>
      <c r="AF2230">
        <v>12</v>
      </c>
      <c r="AG2230">
        <v>75</v>
      </c>
      <c r="AH2230">
        <v>32</v>
      </c>
      <c r="AI2230">
        <v>4.74</v>
      </c>
      <c r="AJ2230">
        <v>29.64</v>
      </c>
      <c r="AK2230">
        <v>12.65</v>
      </c>
      <c r="AL2230">
        <v>-19.631819699999941</v>
      </c>
      <c r="AM2230">
        <v>-43.89977767057065</v>
      </c>
      <c r="AN2230">
        <v>-19.631819699999941</v>
      </c>
      <c r="AO2230">
        <v>-43.89977767057065</v>
      </c>
      <c r="AP2230">
        <v>-19.63184</v>
      </c>
      <c r="AQ2230">
        <v>-43.899625999999998</v>
      </c>
      <c r="AR2230">
        <v>16.062279375806241</v>
      </c>
      <c r="AS2230" t="s">
        <v>65</v>
      </c>
      <c r="AT2230">
        <v>1</v>
      </c>
      <c r="AU2230" t="s">
        <v>517</v>
      </c>
      <c r="AV2230" t="s">
        <v>518</v>
      </c>
      <c r="AW2230" t="s">
        <v>60</v>
      </c>
      <c r="AX2230" t="s">
        <v>68</v>
      </c>
      <c r="AY2230" t="s">
        <v>69</v>
      </c>
      <c r="AZ2230" t="b">
        <v>1</v>
      </c>
    </row>
    <row r="2231" spans="1:52" x14ac:dyDescent="0.3">
      <c r="A2231" t="s">
        <v>52</v>
      </c>
      <c r="B2231" t="s">
        <v>53</v>
      </c>
      <c r="C2231" t="s">
        <v>54</v>
      </c>
      <c r="D2231" t="s">
        <v>55</v>
      </c>
      <c r="E2231" t="s">
        <v>878</v>
      </c>
      <c r="F2231" t="s">
        <v>512</v>
      </c>
      <c r="G2231" t="s">
        <v>77</v>
      </c>
      <c r="H2231" t="s">
        <v>78</v>
      </c>
      <c r="I2231" t="s">
        <v>78</v>
      </c>
      <c r="J2231" t="s">
        <v>60</v>
      </c>
      <c r="K2231" t="s">
        <v>79</v>
      </c>
      <c r="L2231" t="s">
        <v>62</v>
      </c>
      <c r="M2231" t="s">
        <v>79</v>
      </c>
      <c r="N2231" t="s">
        <v>80</v>
      </c>
      <c r="O2231" t="s">
        <v>81</v>
      </c>
      <c r="P2231">
        <v>-19.632463999999999</v>
      </c>
      <c r="Q2231">
        <v>-43.904927999999998</v>
      </c>
      <c r="R2231" s="2" t="str">
        <f>HYPERLINK("https://www.google.com/maps?q=-19.6324640,-43.9049280","Abrir no Google Maps")</f>
        <v>Abrir no Google Maps</v>
      </c>
      <c r="S2231">
        <v>4</v>
      </c>
      <c r="T2231">
        <v>244.1735197453369</v>
      </c>
      <c r="U2231">
        <v>1</v>
      </c>
      <c r="V2231">
        <v>0.15768100006238689</v>
      </c>
      <c r="W2231">
        <v>1</v>
      </c>
      <c r="X2231">
        <v>0.15768100006238689</v>
      </c>
      <c r="Y2231">
        <v>10</v>
      </c>
      <c r="Z2231">
        <v>287.26068152447448</v>
      </c>
      <c r="AA2231">
        <v>2</v>
      </c>
      <c r="AB2231">
        <v>3</v>
      </c>
      <c r="AC2231">
        <v>7</v>
      </c>
      <c r="AD2231">
        <v>27.39</v>
      </c>
      <c r="AE2231">
        <v>253</v>
      </c>
      <c r="AF2231">
        <v>12</v>
      </c>
      <c r="AG2231">
        <v>75</v>
      </c>
      <c r="AH2231">
        <v>32</v>
      </c>
      <c r="AI2231">
        <v>4.74</v>
      </c>
      <c r="AJ2231">
        <v>29.64</v>
      </c>
      <c r="AK2231">
        <v>12.65</v>
      </c>
      <c r="AL2231">
        <v>-19.63247099999996</v>
      </c>
      <c r="AM2231">
        <v>-43.904964174285787</v>
      </c>
      <c r="AN2231">
        <v>-19.63247099999996</v>
      </c>
      <c r="AO2231">
        <v>-43.904964174285787</v>
      </c>
      <c r="AP2231">
        <v>-19.632463999999999</v>
      </c>
      <c r="AQ2231">
        <v>-43.904927999999998</v>
      </c>
      <c r="AR2231">
        <v>3.8720457500200469</v>
      </c>
      <c r="AS2231" t="s">
        <v>65</v>
      </c>
      <c r="AT2231">
        <v>1</v>
      </c>
      <c r="AU2231" t="s">
        <v>82</v>
      </c>
      <c r="AV2231" t="s">
        <v>83</v>
      </c>
      <c r="AW2231" t="s">
        <v>60</v>
      </c>
      <c r="AX2231" t="s">
        <v>68</v>
      </c>
      <c r="AY2231" t="s">
        <v>69</v>
      </c>
      <c r="AZ2231" t="b">
        <v>1</v>
      </c>
    </row>
    <row r="2232" spans="1:52" x14ac:dyDescent="0.3">
      <c r="A2232" t="s">
        <v>52</v>
      </c>
      <c r="B2232" t="s">
        <v>53</v>
      </c>
      <c r="C2232" t="s">
        <v>54</v>
      </c>
      <c r="D2232" t="s">
        <v>55</v>
      </c>
      <c r="E2232" t="s">
        <v>878</v>
      </c>
      <c r="F2232" t="s">
        <v>512</v>
      </c>
      <c r="G2232" t="s">
        <v>580</v>
      </c>
      <c r="H2232" t="s">
        <v>581</v>
      </c>
      <c r="I2232" t="s">
        <v>581</v>
      </c>
      <c r="J2232" t="s">
        <v>60</v>
      </c>
      <c r="K2232" t="s">
        <v>179</v>
      </c>
      <c r="L2232" t="s">
        <v>62</v>
      </c>
      <c r="M2232" t="s">
        <v>179</v>
      </c>
      <c r="N2232" t="s">
        <v>582</v>
      </c>
      <c r="O2232" t="s">
        <v>583</v>
      </c>
      <c r="P2232">
        <v>-19.651917999999998</v>
      </c>
      <c r="Q2232">
        <v>-43.888081</v>
      </c>
      <c r="R2232" s="2" t="str">
        <f>HYPERLINK("https://www.google.com/maps?q=-19.6519180,-43.8880810","Abrir no Google Maps")</f>
        <v>Abrir no Google Maps</v>
      </c>
      <c r="S2232">
        <v>3</v>
      </c>
      <c r="T2232">
        <v>1192.758363020145</v>
      </c>
      <c r="U2232">
        <v>3</v>
      </c>
      <c r="V2232">
        <v>0.2675884492594337</v>
      </c>
      <c r="W2232">
        <v>0.85</v>
      </c>
      <c r="X2232">
        <v>0.2274501818705186</v>
      </c>
      <c r="Y2232">
        <v>10</v>
      </c>
      <c r="Z2232">
        <v>1164.020417046748</v>
      </c>
      <c r="AA2232">
        <v>2</v>
      </c>
      <c r="AB2232">
        <v>3</v>
      </c>
      <c r="AC2232">
        <v>7</v>
      </c>
      <c r="AD2232">
        <v>27.39</v>
      </c>
      <c r="AE2232">
        <v>253</v>
      </c>
      <c r="AF2232">
        <v>12</v>
      </c>
      <c r="AG2232">
        <v>75</v>
      </c>
      <c r="AH2232">
        <v>32</v>
      </c>
      <c r="AI2232">
        <v>4.74</v>
      </c>
      <c r="AJ2232">
        <v>29.64</v>
      </c>
      <c r="AK2232">
        <v>12.65</v>
      </c>
      <c r="AL2232">
        <v>-19.65182809999996</v>
      </c>
      <c r="AM2232">
        <v>-43.887955347266519</v>
      </c>
      <c r="AN2232">
        <v>-19.65182809999996</v>
      </c>
      <c r="AO2232">
        <v>-43.887955347266519</v>
      </c>
      <c r="AP2232">
        <v>-19.651917999999998</v>
      </c>
      <c r="AQ2232">
        <v>-43.888081</v>
      </c>
      <c r="AR2232">
        <v>16.543262936495491</v>
      </c>
      <c r="AS2232" t="s">
        <v>65</v>
      </c>
      <c r="AT2232">
        <v>1</v>
      </c>
      <c r="AU2232" t="s">
        <v>584</v>
      </c>
      <c r="AV2232" t="s">
        <v>585</v>
      </c>
      <c r="AW2232" t="s">
        <v>60</v>
      </c>
      <c r="AX2232" t="s">
        <v>68</v>
      </c>
      <c r="AY2232" t="s">
        <v>69</v>
      </c>
      <c r="AZ2232" t="b">
        <v>1</v>
      </c>
    </row>
    <row r="2233" spans="1:52" x14ac:dyDescent="0.3">
      <c r="A2233" t="s">
        <v>52</v>
      </c>
      <c r="B2233" t="s">
        <v>53</v>
      </c>
      <c r="C2233" t="s">
        <v>54</v>
      </c>
      <c r="D2233" t="s">
        <v>55</v>
      </c>
      <c r="E2233" t="s">
        <v>878</v>
      </c>
      <c r="F2233" t="s">
        <v>512</v>
      </c>
      <c r="G2233" t="s">
        <v>411</v>
      </c>
      <c r="H2233" t="s">
        <v>412</v>
      </c>
      <c r="I2233" t="s">
        <v>412</v>
      </c>
      <c r="J2233" t="s">
        <v>60</v>
      </c>
      <c r="K2233" t="s">
        <v>179</v>
      </c>
      <c r="L2233" t="s">
        <v>62</v>
      </c>
      <c r="M2233" t="s">
        <v>179</v>
      </c>
      <c r="N2233" t="s">
        <v>413</v>
      </c>
      <c r="O2233" t="s">
        <v>414</v>
      </c>
      <c r="P2233">
        <v>-19.650079000000002</v>
      </c>
      <c r="Q2233">
        <v>-43.884253999999999</v>
      </c>
      <c r="R2233" s="2" t="str">
        <f>HYPERLINK("https://www.google.com/maps?q=-19.6500790,-43.8842540","Abrir no Google Maps")</f>
        <v>Abrir no Google Maps</v>
      </c>
      <c r="S2233">
        <v>3</v>
      </c>
      <c r="T2233">
        <v>797.21430129715498</v>
      </c>
      <c r="U2233">
        <v>3</v>
      </c>
      <c r="V2233">
        <v>0.27167854532163749</v>
      </c>
      <c r="W2233">
        <v>1</v>
      </c>
      <c r="X2233">
        <v>0.27167854532163749</v>
      </c>
      <c r="Y2233">
        <v>10</v>
      </c>
      <c r="Z2233">
        <v>774.04145012702554</v>
      </c>
      <c r="AA2233">
        <v>2</v>
      </c>
      <c r="AB2233">
        <v>3</v>
      </c>
      <c r="AC2233">
        <v>7</v>
      </c>
      <c r="AD2233">
        <v>27.39</v>
      </c>
      <c r="AE2233">
        <v>253</v>
      </c>
      <c r="AF2233">
        <v>12</v>
      </c>
      <c r="AG2233">
        <v>75</v>
      </c>
      <c r="AH2233">
        <v>32</v>
      </c>
      <c r="AI2233">
        <v>4.74</v>
      </c>
      <c r="AJ2233">
        <v>29.64</v>
      </c>
      <c r="AK2233">
        <v>12.65</v>
      </c>
      <c r="AL2233">
        <v>-19.649199399999961</v>
      </c>
      <c r="AM2233">
        <v>-43.883888390043637</v>
      </c>
      <c r="AN2233">
        <v>-19.649199399999961</v>
      </c>
      <c r="AO2233">
        <v>-43.883888390043637</v>
      </c>
      <c r="AP2233">
        <v>-19.650079000000002</v>
      </c>
      <c r="AQ2233">
        <v>-43.884253999999999</v>
      </c>
      <c r="AR2233">
        <v>105.1518915696123</v>
      </c>
      <c r="AS2233" t="s">
        <v>65</v>
      </c>
      <c r="AT2233">
        <v>1</v>
      </c>
      <c r="AU2233" t="s">
        <v>415</v>
      </c>
      <c r="AV2233" t="s">
        <v>416</v>
      </c>
      <c r="AW2233" t="s">
        <v>60</v>
      </c>
      <c r="AX2233" t="s">
        <v>68</v>
      </c>
      <c r="AY2233" t="s">
        <v>69</v>
      </c>
      <c r="AZ2233" t="b">
        <v>1</v>
      </c>
    </row>
    <row r="2234" spans="1:52" x14ac:dyDescent="0.3">
      <c r="A2234" t="s">
        <v>52</v>
      </c>
      <c r="B2234" t="s">
        <v>53</v>
      </c>
      <c r="C2234" t="s">
        <v>54</v>
      </c>
      <c r="D2234" t="s">
        <v>55</v>
      </c>
      <c r="E2234" t="s">
        <v>878</v>
      </c>
      <c r="F2234" t="s">
        <v>512</v>
      </c>
      <c r="G2234" t="s">
        <v>394</v>
      </c>
      <c r="H2234" t="s">
        <v>395</v>
      </c>
      <c r="I2234" t="s">
        <v>395</v>
      </c>
      <c r="J2234" t="s">
        <v>60</v>
      </c>
      <c r="K2234" t="s">
        <v>286</v>
      </c>
      <c r="L2234" t="s">
        <v>62</v>
      </c>
      <c r="M2234" t="s">
        <v>286</v>
      </c>
      <c r="N2234" t="s">
        <v>396</v>
      </c>
      <c r="O2234" t="s">
        <v>88</v>
      </c>
      <c r="P2234">
        <v>-19.636932999999999</v>
      </c>
      <c r="Q2234">
        <v>-43.882691999999999</v>
      </c>
      <c r="R2234" s="2" t="str">
        <f>HYPERLINK("https://www.google.com/maps?q=-19.6369330,-43.8826920","Abrir no Google Maps")</f>
        <v>Abrir no Google Maps</v>
      </c>
      <c r="S2234">
        <v>3</v>
      </c>
      <c r="T2234">
        <v>523.52675813688109</v>
      </c>
      <c r="U2234">
        <v>2</v>
      </c>
      <c r="V2234">
        <v>0.16875369427876169</v>
      </c>
      <c r="W2234">
        <v>1</v>
      </c>
      <c r="X2234">
        <v>0.16875369427876169</v>
      </c>
      <c r="Y2234">
        <v>10</v>
      </c>
      <c r="Z2234">
        <v>372.58135532659509</v>
      </c>
      <c r="AA2234">
        <v>2</v>
      </c>
      <c r="AB2234">
        <v>3</v>
      </c>
      <c r="AC2234">
        <v>7</v>
      </c>
      <c r="AD2234">
        <v>27.39</v>
      </c>
      <c r="AE2234">
        <v>253</v>
      </c>
      <c r="AF2234">
        <v>12</v>
      </c>
      <c r="AG2234">
        <v>75</v>
      </c>
      <c r="AH2234">
        <v>32</v>
      </c>
      <c r="AI2234">
        <v>4.74</v>
      </c>
      <c r="AJ2234">
        <v>29.64</v>
      </c>
      <c r="AK2234">
        <v>12.65</v>
      </c>
      <c r="AL2234">
        <v>-19.637159949999951</v>
      </c>
      <c r="AM2234">
        <v>-43.882643289441461</v>
      </c>
      <c r="AN2234">
        <v>-19.637159949999951</v>
      </c>
      <c r="AO2234">
        <v>-43.882643289441461</v>
      </c>
      <c r="AP2234">
        <v>-19.636932999999999</v>
      </c>
      <c r="AQ2234">
        <v>-43.882691999999999</v>
      </c>
      <c r="AR2234">
        <v>25.775099947452478</v>
      </c>
      <c r="AS2234" t="s">
        <v>65</v>
      </c>
      <c r="AT2234">
        <v>1</v>
      </c>
      <c r="AU2234" t="s">
        <v>397</v>
      </c>
      <c r="AV2234" t="s">
        <v>398</v>
      </c>
      <c r="AW2234" t="s">
        <v>60</v>
      </c>
      <c r="AX2234" t="s">
        <v>68</v>
      </c>
      <c r="AY2234" t="s">
        <v>69</v>
      </c>
      <c r="AZ2234" t="b">
        <v>1</v>
      </c>
    </row>
    <row r="2235" spans="1:52" x14ac:dyDescent="0.3">
      <c r="A2235" t="s">
        <v>52</v>
      </c>
      <c r="B2235" t="s">
        <v>53</v>
      </c>
      <c r="C2235" t="s">
        <v>54</v>
      </c>
      <c r="D2235" t="s">
        <v>55</v>
      </c>
      <c r="E2235" t="s">
        <v>878</v>
      </c>
      <c r="F2235" t="s">
        <v>512</v>
      </c>
      <c r="G2235" t="s">
        <v>399</v>
      </c>
      <c r="H2235" t="s">
        <v>400</v>
      </c>
      <c r="I2235" t="s">
        <v>400</v>
      </c>
      <c r="J2235" t="s">
        <v>60</v>
      </c>
      <c r="K2235" t="s">
        <v>286</v>
      </c>
      <c r="L2235" t="s">
        <v>62</v>
      </c>
      <c r="M2235" t="s">
        <v>286</v>
      </c>
      <c r="N2235" t="s">
        <v>401</v>
      </c>
      <c r="O2235" t="s">
        <v>402</v>
      </c>
      <c r="P2235">
        <v>-19.639906</v>
      </c>
      <c r="Q2235">
        <v>-43.886059000000003</v>
      </c>
      <c r="R2235" s="2" t="str">
        <f>HYPERLINK("https://www.google.com/maps?q=-19.6399060,-43.8860590","Abrir no Google Maps")</f>
        <v>Abrir no Google Maps</v>
      </c>
      <c r="S2235">
        <v>3</v>
      </c>
      <c r="T2235">
        <v>256.0748811302048</v>
      </c>
      <c r="U2235">
        <v>2</v>
      </c>
      <c r="V2235">
        <v>0.1676073021181716</v>
      </c>
      <c r="W2235">
        <v>1</v>
      </c>
      <c r="X2235">
        <v>0.1676073021181716</v>
      </c>
      <c r="Y2235">
        <v>10</v>
      </c>
      <c r="Z2235">
        <v>205.06236700857289</v>
      </c>
      <c r="AA2235">
        <v>2</v>
      </c>
      <c r="AB2235">
        <v>3</v>
      </c>
      <c r="AC2235">
        <v>7</v>
      </c>
      <c r="AD2235">
        <v>27.39</v>
      </c>
      <c r="AE2235">
        <v>253</v>
      </c>
      <c r="AF2235">
        <v>12</v>
      </c>
      <c r="AG2235">
        <v>75</v>
      </c>
      <c r="AH2235">
        <v>32</v>
      </c>
      <c r="AI2235">
        <v>4.74</v>
      </c>
      <c r="AJ2235">
        <v>29.64</v>
      </c>
      <c r="AK2235">
        <v>12.65</v>
      </c>
      <c r="AL2235">
        <v>-19.639789499999949</v>
      </c>
      <c r="AM2235">
        <v>-43.885737855031408</v>
      </c>
      <c r="AN2235">
        <v>-19.639789499999949</v>
      </c>
      <c r="AO2235">
        <v>-43.885737855031408</v>
      </c>
      <c r="AP2235">
        <v>-19.639906</v>
      </c>
      <c r="AQ2235">
        <v>-43.886059000000003</v>
      </c>
      <c r="AR2235">
        <v>36.081349702130403</v>
      </c>
      <c r="AS2235" t="s">
        <v>65</v>
      </c>
      <c r="AT2235">
        <v>1</v>
      </c>
      <c r="AU2235" t="s">
        <v>403</v>
      </c>
      <c r="AV2235" t="s">
        <v>404</v>
      </c>
      <c r="AW2235" t="s">
        <v>60</v>
      </c>
      <c r="AX2235" t="s">
        <v>68</v>
      </c>
      <c r="AY2235" t="s">
        <v>69</v>
      </c>
      <c r="AZ2235" t="b">
        <v>1</v>
      </c>
    </row>
    <row r="2236" spans="1:52" x14ac:dyDescent="0.3">
      <c r="A2236" t="s">
        <v>52</v>
      </c>
      <c r="B2236" t="s">
        <v>53</v>
      </c>
      <c r="C2236" t="s">
        <v>54</v>
      </c>
      <c r="D2236" t="s">
        <v>55</v>
      </c>
      <c r="E2236" t="s">
        <v>878</v>
      </c>
      <c r="F2236" t="s">
        <v>512</v>
      </c>
      <c r="G2236" t="s">
        <v>284</v>
      </c>
      <c r="H2236" t="s">
        <v>285</v>
      </c>
      <c r="I2236" t="s">
        <v>285</v>
      </c>
      <c r="J2236" t="s">
        <v>60</v>
      </c>
      <c r="K2236" t="s">
        <v>286</v>
      </c>
      <c r="L2236" t="s">
        <v>62</v>
      </c>
      <c r="M2236" t="s">
        <v>286</v>
      </c>
      <c r="N2236" t="s">
        <v>287</v>
      </c>
      <c r="O2236" t="s">
        <v>288</v>
      </c>
      <c r="P2236">
        <v>-19.639790000000001</v>
      </c>
      <c r="Q2236">
        <v>-43.882798999999999</v>
      </c>
      <c r="R2236" s="2" t="str">
        <f>HYPERLINK("https://www.google.com/maps?q=-19.6397900,-43.8827990","Abrir no Google Maps")</f>
        <v>Abrir no Google Maps</v>
      </c>
      <c r="S2236">
        <v>3</v>
      </c>
      <c r="T2236">
        <v>242.7052058134478</v>
      </c>
      <c r="U2236">
        <v>2</v>
      </c>
      <c r="V2236">
        <v>0.16517921202058081</v>
      </c>
      <c r="W2236">
        <v>1</v>
      </c>
      <c r="X2236">
        <v>0.16517921202058081</v>
      </c>
      <c r="Y2236">
        <v>10</v>
      </c>
      <c r="Z2236">
        <v>187.2088809462339</v>
      </c>
      <c r="AA2236">
        <v>2</v>
      </c>
      <c r="AB2236">
        <v>3</v>
      </c>
      <c r="AC2236">
        <v>7</v>
      </c>
      <c r="AD2236">
        <v>27.39</v>
      </c>
      <c r="AE2236">
        <v>253</v>
      </c>
      <c r="AF2236">
        <v>12</v>
      </c>
      <c r="AG2236">
        <v>75</v>
      </c>
      <c r="AH2236">
        <v>32</v>
      </c>
      <c r="AI2236">
        <v>4.74</v>
      </c>
      <c r="AJ2236">
        <v>29.64</v>
      </c>
      <c r="AK2236">
        <v>12.65</v>
      </c>
      <c r="AL2236">
        <v>-19.639855599999951</v>
      </c>
      <c r="AM2236">
        <v>-43.882909745178452</v>
      </c>
      <c r="AN2236">
        <v>-19.639855599999951</v>
      </c>
      <c r="AO2236">
        <v>-43.882909745178452</v>
      </c>
      <c r="AP2236">
        <v>-19.639790000000001</v>
      </c>
      <c r="AQ2236">
        <v>-43.882798999999999</v>
      </c>
      <c r="AR2236">
        <v>13.716486068571211</v>
      </c>
      <c r="AS2236" t="s">
        <v>65</v>
      </c>
      <c r="AT2236">
        <v>1</v>
      </c>
      <c r="AU2236" t="s">
        <v>289</v>
      </c>
      <c r="AV2236" t="s">
        <v>290</v>
      </c>
      <c r="AW2236" t="s">
        <v>60</v>
      </c>
      <c r="AX2236" t="s">
        <v>68</v>
      </c>
      <c r="AY2236" t="s">
        <v>69</v>
      </c>
      <c r="AZ2236" t="b">
        <v>1</v>
      </c>
    </row>
    <row r="2237" spans="1:52" x14ac:dyDescent="0.3">
      <c r="A2237" t="s">
        <v>52</v>
      </c>
      <c r="B2237" t="s">
        <v>53</v>
      </c>
      <c r="C2237" t="s">
        <v>54</v>
      </c>
      <c r="D2237" t="s">
        <v>55</v>
      </c>
      <c r="E2237" t="s">
        <v>878</v>
      </c>
      <c r="F2237" t="s">
        <v>512</v>
      </c>
      <c r="G2237" t="s">
        <v>291</v>
      </c>
      <c r="H2237" t="s">
        <v>292</v>
      </c>
      <c r="I2237" t="s">
        <v>292</v>
      </c>
      <c r="J2237" t="s">
        <v>60</v>
      </c>
      <c r="K2237" t="s">
        <v>286</v>
      </c>
      <c r="L2237" t="s">
        <v>62</v>
      </c>
      <c r="M2237" t="s">
        <v>286</v>
      </c>
      <c r="N2237" t="s">
        <v>293</v>
      </c>
      <c r="O2237" t="s">
        <v>294</v>
      </c>
      <c r="P2237">
        <v>-19.640333999999999</v>
      </c>
      <c r="Q2237">
        <v>-43.880004999999997</v>
      </c>
      <c r="R2237" s="2" t="str">
        <f>HYPERLINK("https://www.google.com/maps?q=-19.6403340,-43.8800050","Abrir no Google Maps")</f>
        <v>Abrir no Google Maps</v>
      </c>
      <c r="S2237">
        <v>3</v>
      </c>
      <c r="T2237">
        <v>276.80943817309782</v>
      </c>
      <c r="U2237">
        <v>2</v>
      </c>
      <c r="V2237">
        <v>0.17569493591255789</v>
      </c>
      <c r="W2237">
        <v>1</v>
      </c>
      <c r="X2237">
        <v>0.17569493591255789</v>
      </c>
      <c r="Y2237">
        <v>10</v>
      </c>
      <c r="Z2237">
        <v>361.98332038983392</v>
      </c>
      <c r="AA2237">
        <v>2</v>
      </c>
      <c r="AB2237">
        <v>3</v>
      </c>
      <c r="AC2237">
        <v>7</v>
      </c>
      <c r="AD2237">
        <v>27.39</v>
      </c>
      <c r="AE2237">
        <v>253</v>
      </c>
      <c r="AF2237">
        <v>12</v>
      </c>
      <c r="AG2237">
        <v>75</v>
      </c>
      <c r="AH2237">
        <v>32</v>
      </c>
      <c r="AI2237">
        <v>4.74</v>
      </c>
      <c r="AJ2237">
        <v>29.64</v>
      </c>
      <c r="AK2237">
        <v>12.65</v>
      </c>
      <c r="AL2237">
        <v>-19.640260249999951</v>
      </c>
      <c r="AM2237">
        <v>-43.880090474326408</v>
      </c>
      <c r="AN2237">
        <v>-19.640260249999951</v>
      </c>
      <c r="AO2237">
        <v>-43.880090474326408</v>
      </c>
      <c r="AP2237">
        <v>-19.640333999999999</v>
      </c>
      <c r="AQ2237">
        <v>-43.880004999999997</v>
      </c>
      <c r="AR2237">
        <v>12.153556195359609</v>
      </c>
      <c r="AS2237" t="s">
        <v>65</v>
      </c>
      <c r="AT2237">
        <v>1</v>
      </c>
      <c r="AU2237" t="s">
        <v>295</v>
      </c>
      <c r="AV2237" t="s">
        <v>296</v>
      </c>
      <c r="AW2237" t="s">
        <v>60</v>
      </c>
      <c r="AX2237" t="s">
        <v>68</v>
      </c>
      <c r="AY2237" t="s">
        <v>69</v>
      </c>
      <c r="AZ2237" t="b">
        <v>1</v>
      </c>
    </row>
    <row r="2238" spans="1:52" x14ac:dyDescent="0.3">
      <c r="A2238" t="s">
        <v>52</v>
      </c>
      <c r="B2238" t="s">
        <v>53</v>
      </c>
      <c r="C2238" t="s">
        <v>54</v>
      </c>
      <c r="D2238" t="s">
        <v>55</v>
      </c>
      <c r="E2238" t="s">
        <v>878</v>
      </c>
      <c r="F2238" t="s">
        <v>512</v>
      </c>
      <c r="G2238" t="s">
        <v>563</v>
      </c>
      <c r="H2238" t="s">
        <v>564</v>
      </c>
      <c r="I2238" t="s">
        <v>564</v>
      </c>
      <c r="J2238" t="s">
        <v>60</v>
      </c>
      <c r="K2238" t="s">
        <v>445</v>
      </c>
      <c r="L2238" t="s">
        <v>62</v>
      </c>
      <c r="M2238" t="s">
        <v>445</v>
      </c>
      <c r="N2238" t="s">
        <v>565</v>
      </c>
      <c r="O2238" t="s">
        <v>566</v>
      </c>
      <c r="P2238">
        <v>-19.645859000000002</v>
      </c>
      <c r="Q2238">
        <v>-43.878008000000001</v>
      </c>
      <c r="R2238" s="2" t="str">
        <f>HYPERLINK("https://www.google.com/maps?q=-19.6458590,-43.8780080","Abrir no Google Maps")</f>
        <v>Abrir no Google Maps</v>
      </c>
      <c r="S2238">
        <v>3</v>
      </c>
      <c r="T2238">
        <v>535.60651658514928</v>
      </c>
      <c r="U2238">
        <v>2</v>
      </c>
      <c r="V2238">
        <v>0.19765350339301779</v>
      </c>
      <c r="W2238">
        <v>0.85</v>
      </c>
      <c r="X2238">
        <v>0.16800547788406511</v>
      </c>
      <c r="Y2238">
        <v>10</v>
      </c>
      <c r="Z2238">
        <v>356.77070476702067</v>
      </c>
      <c r="AA2238">
        <v>2</v>
      </c>
      <c r="AB2238">
        <v>3</v>
      </c>
      <c r="AC2238">
        <v>7</v>
      </c>
      <c r="AD2238">
        <v>27.39</v>
      </c>
      <c r="AE2238">
        <v>253</v>
      </c>
      <c r="AF2238">
        <v>12</v>
      </c>
      <c r="AG2238">
        <v>75</v>
      </c>
      <c r="AH2238">
        <v>32</v>
      </c>
      <c r="AI2238">
        <v>4.74</v>
      </c>
      <c r="AJ2238">
        <v>29.64</v>
      </c>
      <c r="AK2238">
        <v>12.65</v>
      </c>
      <c r="AL2238">
        <v>-19.645894599999959</v>
      </c>
      <c r="AM2238">
        <v>-43.878073476665591</v>
      </c>
      <c r="AN2238">
        <v>-19.645894599999959</v>
      </c>
      <c r="AO2238">
        <v>-43.878073476665591</v>
      </c>
      <c r="AP2238">
        <v>-19.645859000000002</v>
      </c>
      <c r="AQ2238">
        <v>-43.878008000000001</v>
      </c>
      <c r="AR2238">
        <v>7.9263849189726594</v>
      </c>
      <c r="AS2238" t="s">
        <v>65</v>
      </c>
      <c r="AT2238">
        <v>1</v>
      </c>
      <c r="AU2238" t="s">
        <v>567</v>
      </c>
      <c r="AV2238" t="s">
        <v>568</v>
      </c>
      <c r="AW2238" t="s">
        <v>60</v>
      </c>
      <c r="AX2238" t="s">
        <v>68</v>
      </c>
      <c r="AY2238" t="s">
        <v>69</v>
      </c>
      <c r="AZ2238" t="b">
        <v>1</v>
      </c>
    </row>
    <row r="2239" spans="1:52" x14ac:dyDescent="0.3">
      <c r="A2239" t="s">
        <v>52</v>
      </c>
      <c r="B2239" t="s">
        <v>53</v>
      </c>
      <c r="C2239" t="s">
        <v>54</v>
      </c>
      <c r="D2239" t="s">
        <v>55</v>
      </c>
      <c r="E2239" t="s">
        <v>878</v>
      </c>
      <c r="F2239" t="s">
        <v>512</v>
      </c>
      <c r="G2239" t="s">
        <v>405</v>
      </c>
      <c r="H2239" t="s">
        <v>406</v>
      </c>
      <c r="I2239" t="s">
        <v>406</v>
      </c>
      <c r="J2239" t="s">
        <v>60</v>
      </c>
      <c r="K2239" t="s">
        <v>286</v>
      </c>
      <c r="L2239" t="s">
        <v>62</v>
      </c>
      <c r="M2239" t="s">
        <v>286</v>
      </c>
      <c r="N2239" t="s">
        <v>407</v>
      </c>
      <c r="O2239" t="s">
        <v>408</v>
      </c>
      <c r="P2239">
        <v>-19.646345</v>
      </c>
      <c r="Q2239">
        <v>-43.882294999999999</v>
      </c>
      <c r="R2239" s="2" t="str">
        <f>HYPERLINK("https://www.google.com/maps?q=-19.6463450,-43.8822950","Abrir no Google Maps")</f>
        <v>Abrir no Google Maps</v>
      </c>
      <c r="S2239">
        <v>3</v>
      </c>
      <c r="T2239">
        <v>450.3180538635894</v>
      </c>
      <c r="U2239">
        <v>2</v>
      </c>
      <c r="V2239">
        <v>0.1796732837055417</v>
      </c>
      <c r="W2239">
        <v>1</v>
      </c>
      <c r="X2239">
        <v>0.1796732837055417</v>
      </c>
      <c r="Y2239">
        <v>10</v>
      </c>
      <c r="Z2239">
        <v>349.23341775902583</v>
      </c>
      <c r="AA2239">
        <v>2</v>
      </c>
      <c r="AB2239">
        <v>3</v>
      </c>
      <c r="AC2239">
        <v>7</v>
      </c>
      <c r="AD2239">
        <v>27.39</v>
      </c>
      <c r="AE2239">
        <v>253</v>
      </c>
      <c r="AF2239">
        <v>12</v>
      </c>
      <c r="AG2239">
        <v>75</v>
      </c>
      <c r="AH2239">
        <v>32</v>
      </c>
      <c r="AI2239">
        <v>4.74</v>
      </c>
      <c r="AJ2239">
        <v>29.64</v>
      </c>
      <c r="AK2239">
        <v>12.65</v>
      </c>
      <c r="AL2239">
        <v>-19.646391649999941</v>
      </c>
      <c r="AM2239">
        <v>-43.882007396993302</v>
      </c>
      <c r="AN2239">
        <v>-19.646391649999941</v>
      </c>
      <c r="AO2239">
        <v>-43.882007396993302</v>
      </c>
      <c r="AP2239">
        <v>-19.646345</v>
      </c>
      <c r="AQ2239">
        <v>-43.882294999999999</v>
      </c>
      <c r="AR2239">
        <v>30.596105513395301</v>
      </c>
      <c r="AS2239" t="s">
        <v>65</v>
      </c>
      <c r="AT2239">
        <v>1</v>
      </c>
      <c r="AU2239" t="s">
        <v>409</v>
      </c>
      <c r="AV2239" t="s">
        <v>410</v>
      </c>
      <c r="AW2239" t="s">
        <v>60</v>
      </c>
      <c r="AX2239" t="s">
        <v>68</v>
      </c>
      <c r="AY2239" t="s">
        <v>69</v>
      </c>
      <c r="AZ2239" t="b">
        <v>1</v>
      </c>
    </row>
    <row r="2240" spans="1:52" x14ac:dyDescent="0.3">
      <c r="A2240" t="s">
        <v>52</v>
      </c>
      <c r="B2240" t="s">
        <v>53</v>
      </c>
      <c r="C2240" t="s">
        <v>54</v>
      </c>
      <c r="D2240" t="s">
        <v>55</v>
      </c>
      <c r="E2240" t="s">
        <v>878</v>
      </c>
      <c r="F2240" t="s">
        <v>512</v>
      </c>
      <c r="G2240" t="s">
        <v>525</v>
      </c>
      <c r="H2240" t="s">
        <v>526</v>
      </c>
      <c r="I2240" t="s">
        <v>526</v>
      </c>
      <c r="J2240" t="s">
        <v>60</v>
      </c>
      <c r="K2240" t="s">
        <v>286</v>
      </c>
      <c r="L2240" t="s">
        <v>62</v>
      </c>
      <c r="M2240" t="s">
        <v>286</v>
      </c>
      <c r="N2240" t="s">
        <v>527</v>
      </c>
      <c r="O2240" t="s">
        <v>113</v>
      </c>
      <c r="P2240">
        <v>-19.629049999999999</v>
      </c>
      <c r="Q2240">
        <v>-43.887543000000001</v>
      </c>
      <c r="R2240" s="2" t="str">
        <f>HYPERLINK("https://www.google.com/maps?q=-19.6290500,-43.8875430","Abrir no Google Maps")</f>
        <v>Abrir no Google Maps</v>
      </c>
      <c r="S2240">
        <v>3</v>
      </c>
      <c r="T2240">
        <v>420.9244758141914</v>
      </c>
      <c r="U2240">
        <v>1</v>
      </c>
      <c r="V2240">
        <v>0.16695487483530949</v>
      </c>
      <c r="W2240">
        <v>0.85</v>
      </c>
      <c r="X2240">
        <v>0.1419116436100131</v>
      </c>
      <c r="Y2240">
        <v>18</v>
      </c>
      <c r="Z2240">
        <v>298.16529694300579</v>
      </c>
      <c r="AA2240">
        <v>2</v>
      </c>
      <c r="AB2240">
        <v>3</v>
      </c>
      <c r="AC2240">
        <v>7</v>
      </c>
      <c r="AD2240">
        <v>27.39</v>
      </c>
      <c r="AE2240">
        <v>253</v>
      </c>
      <c r="AF2240">
        <v>12</v>
      </c>
      <c r="AG2240">
        <v>75</v>
      </c>
      <c r="AH2240">
        <v>32</v>
      </c>
      <c r="AI2240">
        <v>4.74</v>
      </c>
      <c r="AJ2240">
        <v>29.64</v>
      </c>
      <c r="AK2240">
        <v>12.65</v>
      </c>
      <c r="AL2240">
        <v>-19.62914789999996</v>
      </c>
      <c r="AM2240">
        <v>-43.887659532387332</v>
      </c>
      <c r="AN2240">
        <v>-19.62914789999996</v>
      </c>
      <c r="AO2240">
        <v>-43.887659532387332</v>
      </c>
      <c r="AP2240">
        <v>-19.629049999999999</v>
      </c>
      <c r="AQ2240">
        <v>-43.887543000000001</v>
      </c>
      <c r="AR2240">
        <v>16.372645779361299</v>
      </c>
      <c r="AS2240" t="s">
        <v>65</v>
      </c>
      <c r="AT2240">
        <v>1</v>
      </c>
      <c r="AU2240" t="s">
        <v>528</v>
      </c>
      <c r="AV2240" t="s">
        <v>529</v>
      </c>
      <c r="AW2240" t="s">
        <v>60</v>
      </c>
      <c r="AX2240" t="s">
        <v>68</v>
      </c>
      <c r="AY2240" t="s">
        <v>69</v>
      </c>
      <c r="AZ2240" t="b">
        <v>1</v>
      </c>
    </row>
    <row r="2241" spans="1:52" x14ac:dyDescent="0.3">
      <c r="A2241" t="s">
        <v>52</v>
      </c>
      <c r="B2241" t="s">
        <v>53</v>
      </c>
      <c r="C2241" t="s">
        <v>54</v>
      </c>
      <c r="D2241" t="s">
        <v>55</v>
      </c>
      <c r="E2241" t="s">
        <v>878</v>
      </c>
      <c r="F2241" t="s">
        <v>512</v>
      </c>
      <c r="G2241" t="s">
        <v>388</v>
      </c>
      <c r="H2241" t="s">
        <v>389</v>
      </c>
      <c r="I2241" t="s">
        <v>389</v>
      </c>
      <c r="J2241" t="s">
        <v>60</v>
      </c>
      <c r="K2241" t="s">
        <v>185</v>
      </c>
      <c r="L2241" t="s">
        <v>62</v>
      </c>
      <c r="M2241" t="s">
        <v>185</v>
      </c>
      <c r="N2241" t="s">
        <v>390</v>
      </c>
      <c r="O2241" t="s">
        <v>391</v>
      </c>
      <c r="P2241">
        <v>-19.628802</v>
      </c>
      <c r="Q2241">
        <v>-43.891649000000001</v>
      </c>
      <c r="R2241" s="2" t="str">
        <f>HYPERLINK("https://www.google.com/maps?q=-19.6288020,-43.8916490","Abrir no Google Maps")</f>
        <v>Abrir no Google Maps</v>
      </c>
      <c r="S2241">
        <v>3</v>
      </c>
      <c r="T2241">
        <v>0</v>
      </c>
      <c r="U2241">
        <v>1</v>
      </c>
      <c r="V2241">
        <v>0.13826921286598701</v>
      </c>
      <c r="W2241">
        <v>0.85</v>
      </c>
      <c r="X2241">
        <v>0.117528830936089</v>
      </c>
      <c r="Y2241">
        <v>18</v>
      </c>
      <c r="Z2241">
        <v>117.5064585283839</v>
      </c>
      <c r="AA2241">
        <v>2</v>
      </c>
      <c r="AB2241">
        <v>3</v>
      </c>
      <c r="AC2241">
        <v>7</v>
      </c>
      <c r="AD2241">
        <v>27.39</v>
      </c>
      <c r="AE2241">
        <v>253</v>
      </c>
      <c r="AF2241">
        <v>12</v>
      </c>
      <c r="AG2241">
        <v>75</v>
      </c>
      <c r="AH2241">
        <v>32</v>
      </c>
      <c r="AI2241">
        <v>4.74</v>
      </c>
      <c r="AJ2241">
        <v>29.64</v>
      </c>
      <c r="AK2241">
        <v>12.65</v>
      </c>
      <c r="AL2241">
        <v>-19.628865499999961</v>
      </c>
      <c r="AM2241">
        <v>-43.891662391334172</v>
      </c>
      <c r="AN2241">
        <v>-19.628865499999961</v>
      </c>
      <c r="AO2241">
        <v>-43.891662391334172</v>
      </c>
      <c r="AP2241">
        <v>-19.628802</v>
      </c>
      <c r="AQ2241">
        <v>-43.891649000000001</v>
      </c>
      <c r="AR2241">
        <v>7.2069201904448459</v>
      </c>
      <c r="AS2241" t="s">
        <v>65</v>
      </c>
      <c r="AT2241">
        <v>1</v>
      </c>
      <c r="AU2241" t="s">
        <v>392</v>
      </c>
      <c r="AV2241" t="s">
        <v>393</v>
      </c>
      <c r="AW2241" t="s">
        <v>60</v>
      </c>
      <c r="AX2241" t="s">
        <v>68</v>
      </c>
      <c r="AY2241" t="s">
        <v>69</v>
      </c>
      <c r="AZ2241" t="b">
        <v>1</v>
      </c>
    </row>
    <row r="2242" spans="1:52" x14ac:dyDescent="0.3">
      <c r="A2242" t="s">
        <v>52</v>
      </c>
      <c r="B2242" t="s">
        <v>53</v>
      </c>
      <c r="C2242" t="s">
        <v>54</v>
      </c>
      <c r="D2242" t="s">
        <v>55</v>
      </c>
      <c r="E2242" t="s">
        <v>878</v>
      </c>
      <c r="F2242" t="s">
        <v>512</v>
      </c>
      <c r="G2242" t="s">
        <v>530</v>
      </c>
      <c r="H2242" t="s">
        <v>531</v>
      </c>
      <c r="I2242" t="s">
        <v>531</v>
      </c>
      <c r="J2242" t="s">
        <v>60</v>
      </c>
      <c r="K2242" t="s">
        <v>185</v>
      </c>
      <c r="L2242" t="s">
        <v>62</v>
      </c>
      <c r="M2242" t="s">
        <v>185</v>
      </c>
      <c r="N2242" t="s">
        <v>532</v>
      </c>
      <c r="O2242" t="s">
        <v>533</v>
      </c>
      <c r="P2242">
        <v>-19.625264000000001</v>
      </c>
      <c r="Q2242">
        <v>-43.889451000000001</v>
      </c>
      <c r="R2242" s="2" t="str">
        <f>HYPERLINK("https://www.google.com/maps?q=-19.6252640,-43.8894510","Abrir no Google Maps")</f>
        <v>Abrir no Google Maps</v>
      </c>
      <c r="S2242">
        <v>3</v>
      </c>
      <c r="T2242">
        <v>466.11340370665903</v>
      </c>
      <c r="U2242">
        <v>1</v>
      </c>
      <c r="V2242">
        <v>0.1450382950382951</v>
      </c>
      <c r="W2242">
        <v>0.85</v>
      </c>
      <c r="X2242">
        <v>0.12328255078255081</v>
      </c>
      <c r="Y2242">
        <v>18</v>
      </c>
      <c r="Z2242">
        <v>320.77337440837812</v>
      </c>
      <c r="AA2242">
        <v>2</v>
      </c>
      <c r="AB2242">
        <v>3</v>
      </c>
      <c r="AC2242">
        <v>7</v>
      </c>
      <c r="AD2242">
        <v>27.39</v>
      </c>
      <c r="AE2242">
        <v>253</v>
      </c>
      <c r="AF2242">
        <v>12</v>
      </c>
      <c r="AG2242">
        <v>75</v>
      </c>
      <c r="AH2242">
        <v>32</v>
      </c>
      <c r="AI2242">
        <v>4.74</v>
      </c>
      <c r="AJ2242">
        <v>29.64</v>
      </c>
      <c r="AK2242">
        <v>12.65</v>
      </c>
      <c r="AL2242">
        <v>-19.62516189999997</v>
      </c>
      <c r="AM2242">
        <v>-43.88954614566876</v>
      </c>
      <c r="AN2242">
        <v>-19.62516189999997</v>
      </c>
      <c r="AO2242">
        <v>-43.88954614566876</v>
      </c>
      <c r="AP2242">
        <v>-19.625264000000001</v>
      </c>
      <c r="AQ2242">
        <v>-43.889451000000001</v>
      </c>
      <c r="AR2242">
        <v>15.12310549834147</v>
      </c>
      <c r="AS2242" t="s">
        <v>65</v>
      </c>
      <c r="AT2242">
        <v>1</v>
      </c>
      <c r="AU2242" t="s">
        <v>534</v>
      </c>
      <c r="AV2242" t="s">
        <v>535</v>
      </c>
      <c r="AW2242" t="s">
        <v>60</v>
      </c>
      <c r="AX2242" t="s">
        <v>68</v>
      </c>
      <c r="AY2242" t="s">
        <v>69</v>
      </c>
      <c r="AZ2242" t="b">
        <v>1</v>
      </c>
    </row>
    <row r="2243" spans="1:52" x14ac:dyDescent="0.3">
      <c r="A2243" t="s">
        <v>52</v>
      </c>
      <c r="B2243" t="s">
        <v>53</v>
      </c>
      <c r="C2243" t="s">
        <v>54</v>
      </c>
      <c r="D2243" t="s">
        <v>55</v>
      </c>
      <c r="E2243" t="s">
        <v>878</v>
      </c>
      <c r="F2243" t="s">
        <v>512</v>
      </c>
      <c r="G2243" t="s">
        <v>536</v>
      </c>
      <c r="H2243" t="s">
        <v>537</v>
      </c>
      <c r="I2243" t="s">
        <v>537</v>
      </c>
      <c r="J2243" t="s">
        <v>60</v>
      </c>
      <c r="K2243" t="s">
        <v>185</v>
      </c>
      <c r="L2243" t="s">
        <v>62</v>
      </c>
      <c r="M2243" t="s">
        <v>185</v>
      </c>
      <c r="N2243" t="s">
        <v>538</v>
      </c>
      <c r="O2243" t="s">
        <v>408</v>
      </c>
      <c r="P2243">
        <v>-19.630147999999998</v>
      </c>
      <c r="Q2243">
        <v>-43.893844000000001</v>
      </c>
      <c r="R2243" s="2" t="str">
        <f>HYPERLINK("https://www.google.com/maps?q=-19.6301480,-43.8938440","Abrir no Google Maps")</f>
        <v>Abrir no Google Maps</v>
      </c>
      <c r="S2243">
        <v>3</v>
      </c>
      <c r="T2243">
        <v>262.94285160220159</v>
      </c>
      <c r="U2243">
        <v>1</v>
      </c>
      <c r="V2243">
        <v>0.16372057249866229</v>
      </c>
      <c r="W2243">
        <v>0.85</v>
      </c>
      <c r="X2243">
        <v>0.13916248662386291</v>
      </c>
      <c r="Y2243">
        <v>18</v>
      </c>
      <c r="Z2243">
        <v>351.25774094845309</v>
      </c>
      <c r="AA2243">
        <v>2</v>
      </c>
      <c r="AB2243">
        <v>3</v>
      </c>
      <c r="AC2243">
        <v>7</v>
      </c>
      <c r="AD2243">
        <v>27.39</v>
      </c>
      <c r="AE2243">
        <v>253</v>
      </c>
      <c r="AF2243">
        <v>12</v>
      </c>
      <c r="AG2243">
        <v>75</v>
      </c>
      <c r="AH2243">
        <v>32</v>
      </c>
      <c r="AI2243">
        <v>4.74</v>
      </c>
      <c r="AJ2243">
        <v>29.64</v>
      </c>
      <c r="AK2243">
        <v>12.65</v>
      </c>
      <c r="AL2243">
        <v>-19.630177599999939</v>
      </c>
      <c r="AM2243">
        <v>-43.893752755034278</v>
      </c>
      <c r="AN2243">
        <v>-19.630177599999939</v>
      </c>
      <c r="AO2243">
        <v>-43.893752755034278</v>
      </c>
      <c r="AP2243">
        <v>-19.630147999999998</v>
      </c>
      <c r="AQ2243">
        <v>-43.893844000000001</v>
      </c>
      <c r="AR2243">
        <v>10.1185927114604</v>
      </c>
      <c r="AS2243" t="s">
        <v>65</v>
      </c>
      <c r="AT2243">
        <v>1</v>
      </c>
      <c r="AU2243" t="s">
        <v>539</v>
      </c>
      <c r="AV2243" t="s">
        <v>540</v>
      </c>
      <c r="AW2243" t="s">
        <v>60</v>
      </c>
      <c r="AX2243" t="s">
        <v>68</v>
      </c>
      <c r="AY2243" t="s">
        <v>69</v>
      </c>
      <c r="AZ2243" t="b">
        <v>1</v>
      </c>
    </row>
    <row r="2244" spans="1:52" x14ac:dyDescent="0.3">
      <c r="A2244" t="s">
        <v>52</v>
      </c>
      <c r="B2244" t="s">
        <v>53</v>
      </c>
      <c r="C2244" t="s">
        <v>54</v>
      </c>
      <c r="D2244" t="s">
        <v>55</v>
      </c>
      <c r="E2244" t="s">
        <v>878</v>
      </c>
      <c r="F2244" t="s">
        <v>512</v>
      </c>
      <c r="G2244" t="s">
        <v>541</v>
      </c>
      <c r="H2244" t="s">
        <v>542</v>
      </c>
      <c r="I2244" t="s">
        <v>542</v>
      </c>
      <c r="J2244" t="s">
        <v>60</v>
      </c>
      <c r="K2244" t="s">
        <v>445</v>
      </c>
      <c r="L2244" t="s">
        <v>62</v>
      </c>
      <c r="M2244" t="s">
        <v>445</v>
      </c>
      <c r="N2244" t="s">
        <v>543</v>
      </c>
      <c r="O2244" t="s">
        <v>328</v>
      </c>
      <c r="P2244">
        <v>-19.642263</v>
      </c>
      <c r="Q2244">
        <v>-43.881428999999997</v>
      </c>
      <c r="R2244" s="2" t="str">
        <f>HYPERLINK("https://www.google.com/maps?q=-19.6422630,-43.8814290","Abrir no Google Maps")</f>
        <v>Abrir no Google Maps</v>
      </c>
      <c r="S2244">
        <v>3</v>
      </c>
      <c r="T2244">
        <v>0</v>
      </c>
      <c r="U2244">
        <v>1</v>
      </c>
      <c r="V2244">
        <v>0.17609397055858031</v>
      </c>
      <c r="W2244">
        <v>0.85</v>
      </c>
      <c r="X2244">
        <v>0.14967987497479329</v>
      </c>
      <c r="Y2244">
        <v>10</v>
      </c>
      <c r="Z2244">
        <v>162.4764384685345</v>
      </c>
      <c r="AA2244">
        <v>2</v>
      </c>
      <c r="AB2244">
        <v>3</v>
      </c>
      <c r="AC2244">
        <v>7</v>
      </c>
      <c r="AD2244">
        <v>27.39</v>
      </c>
      <c r="AE2244">
        <v>253</v>
      </c>
      <c r="AF2244">
        <v>12</v>
      </c>
      <c r="AG2244">
        <v>75</v>
      </c>
      <c r="AH2244">
        <v>32</v>
      </c>
      <c r="AI2244">
        <v>4.74</v>
      </c>
      <c r="AJ2244">
        <v>29.64</v>
      </c>
      <c r="AK2244">
        <v>12.65</v>
      </c>
      <c r="AL2244">
        <v>-19.642346249999949</v>
      </c>
      <c r="AM2244">
        <v>-43.881546938715289</v>
      </c>
      <c r="AN2244">
        <v>-19.642346249999939</v>
      </c>
      <c r="AO2244">
        <v>-43.881546938715289</v>
      </c>
      <c r="AP2244">
        <v>-19.642263</v>
      </c>
      <c r="AQ2244">
        <v>-43.881428999999997</v>
      </c>
      <c r="AR2244">
        <v>15.45239906956777</v>
      </c>
      <c r="AS2244" t="s">
        <v>65</v>
      </c>
      <c r="AT2244">
        <v>1</v>
      </c>
      <c r="AU2244" t="s">
        <v>544</v>
      </c>
      <c r="AV2244" t="s">
        <v>545</v>
      </c>
      <c r="AW2244" t="s">
        <v>60</v>
      </c>
      <c r="AX2244" t="s">
        <v>68</v>
      </c>
      <c r="AY2244" t="s">
        <v>69</v>
      </c>
      <c r="AZ2244" t="b">
        <v>1</v>
      </c>
    </row>
    <row r="2245" spans="1:52" x14ac:dyDescent="0.3">
      <c r="A2245" t="s">
        <v>52</v>
      </c>
      <c r="B2245" t="s">
        <v>53</v>
      </c>
      <c r="C2245" t="s">
        <v>54</v>
      </c>
      <c r="D2245" t="s">
        <v>55</v>
      </c>
      <c r="E2245" t="s">
        <v>878</v>
      </c>
      <c r="F2245" t="s">
        <v>512</v>
      </c>
      <c r="G2245" t="s">
        <v>546</v>
      </c>
      <c r="H2245" t="s">
        <v>547</v>
      </c>
      <c r="I2245" t="s">
        <v>547</v>
      </c>
      <c r="J2245" t="s">
        <v>60</v>
      </c>
      <c r="K2245" t="s">
        <v>445</v>
      </c>
      <c r="L2245" t="s">
        <v>62</v>
      </c>
      <c r="M2245" t="s">
        <v>445</v>
      </c>
      <c r="N2245" t="s">
        <v>548</v>
      </c>
      <c r="O2245" t="s">
        <v>549</v>
      </c>
      <c r="P2245">
        <v>-19.642752999999999</v>
      </c>
      <c r="Q2245">
        <v>-43.879080999999999</v>
      </c>
      <c r="R2245" s="2" t="str">
        <f>HYPERLINK("https://www.google.com/maps?q=-19.6427530,-43.8790810","Abrir no Google Maps")</f>
        <v>Abrir no Google Maps</v>
      </c>
      <c r="S2245">
        <v>3</v>
      </c>
      <c r="T2245">
        <v>256.19518367376457</v>
      </c>
      <c r="U2245">
        <v>1</v>
      </c>
      <c r="V2245">
        <v>0.18868193347460349</v>
      </c>
      <c r="W2245">
        <v>0.85</v>
      </c>
      <c r="X2245">
        <v>0.16037964345341299</v>
      </c>
      <c r="Y2245">
        <v>10</v>
      </c>
      <c r="Z2245">
        <v>192.73978446408199</v>
      </c>
      <c r="AA2245">
        <v>2</v>
      </c>
      <c r="AB2245">
        <v>3</v>
      </c>
      <c r="AC2245">
        <v>7</v>
      </c>
      <c r="AD2245">
        <v>27.39</v>
      </c>
      <c r="AE2245">
        <v>253</v>
      </c>
      <c r="AF2245">
        <v>12</v>
      </c>
      <c r="AG2245">
        <v>75</v>
      </c>
      <c r="AH2245">
        <v>32</v>
      </c>
      <c r="AI2245">
        <v>4.74</v>
      </c>
      <c r="AJ2245">
        <v>29.64</v>
      </c>
      <c r="AK2245">
        <v>12.65</v>
      </c>
      <c r="AL2245">
        <v>-19.642703749999949</v>
      </c>
      <c r="AM2245">
        <v>-43.879132974738582</v>
      </c>
      <c r="AN2245">
        <v>-19.642703749999949</v>
      </c>
      <c r="AO2245">
        <v>-43.879132974738582</v>
      </c>
      <c r="AP2245">
        <v>-19.642752999999999</v>
      </c>
      <c r="AQ2245">
        <v>-43.879080999999999</v>
      </c>
      <c r="AR2245">
        <v>7.7298757823687696</v>
      </c>
      <c r="AS2245" t="s">
        <v>65</v>
      </c>
      <c r="AT2245">
        <v>1</v>
      </c>
      <c r="AU2245" t="s">
        <v>550</v>
      </c>
      <c r="AV2245" t="s">
        <v>551</v>
      </c>
      <c r="AW2245" t="s">
        <v>60</v>
      </c>
      <c r="AX2245" t="s">
        <v>68</v>
      </c>
      <c r="AY2245" t="s">
        <v>69</v>
      </c>
      <c r="AZ2245" t="b">
        <v>1</v>
      </c>
    </row>
    <row r="2246" spans="1:52" x14ac:dyDescent="0.3">
      <c r="A2246" t="s">
        <v>52</v>
      </c>
      <c r="B2246" t="s">
        <v>53</v>
      </c>
      <c r="C2246" t="s">
        <v>54</v>
      </c>
      <c r="D2246" t="s">
        <v>55</v>
      </c>
      <c r="E2246" t="s">
        <v>878</v>
      </c>
      <c r="F2246" t="s">
        <v>512</v>
      </c>
      <c r="G2246" t="s">
        <v>552</v>
      </c>
      <c r="H2246" t="s">
        <v>553</v>
      </c>
      <c r="I2246" t="s">
        <v>553</v>
      </c>
      <c r="J2246" t="s">
        <v>60</v>
      </c>
      <c r="K2246" t="s">
        <v>445</v>
      </c>
      <c r="L2246" t="s">
        <v>62</v>
      </c>
      <c r="M2246" t="s">
        <v>445</v>
      </c>
      <c r="N2246" t="s">
        <v>554</v>
      </c>
      <c r="O2246" t="s">
        <v>207</v>
      </c>
      <c r="P2246">
        <v>-19.641549999999999</v>
      </c>
      <c r="Q2246">
        <v>-43.873263999999999</v>
      </c>
      <c r="R2246" s="2" t="str">
        <f>HYPERLINK("https://www.google.com/maps?q=-19.6415500,-43.8732640","Abrir no Google Maps")</f>
        <v>Abrir no Google Maps</v>
      </c>
      <c r="S2246">
        <v>3</v>
      </c>
      <c r="T2246">
        <v>879.45465995735231</v>
      </c>
      <c r="U2246">
        <v>1</v>
      </c>
      <c r="V2246">
        <v>0.1809378923983386</v>
      </c>
      <c r="W2246">
        <v>0.85</v>
      </c>
      <c r="X2246">
        <v>0.1537972085385878</v>
      </c>
      <c r="Y2246">
        <v>10</v>
      </c>
      <c r="Z2246">
        <v>830.70905214077095</v>
      </c>
      <c r="AA2246">
        <v>2</v>
      </c>
      <c r="AB2246">
        <v>3</v>
      </c>
      <c r="AC2246">
        <v>7</v>
      </c>
      <c r="AD2246">
        <v>27.39</v>
      </c>
      <c r="AE2246">
        <v>253</v>
      </c>
      <c r="AF2246">
        <v>12</v>
      </c>
      <c r="AG2246">
        <v>75</v>
      </c>
      <c r="AH2246">
        <v>32</v>
      </c>
      <c r="AI2246">
        <v>4.74</v>
      </c>
      <c r="AJ2246">
        <v>29.64</v>
      </c>
      <c r="AK2246">
        <v>12.65</v>
      </c>
      <c r="AL2246">
        <v>-19.641459949999959</v>
      </c>
      <c r="AM2246">
        <v>-43.873212145688711</v>
      </c>
      <c r="AN2246">
        <v>-19.641459949999959</v>
      </c>
      <c r="AO2246">
        <v>-43.873212145688711</v>
      </c>
      <c r="AP2246">
        <v>-19.641549999999999</v>
      </c>
      <c r="AQ2246">
        <v>-43.873263999999999</v>
      </c>
      <c r="AR2246">
        <v>11.40368340137019</v>
      </c>
      <c r="AS2246" t="s">
        <v>65</v>
      </c>
      <c r="AT2246">
        <v>1</v>
      </c>
      <c r="AU2246" t="s">
        <v>555</v>
      </c>
      <c r="AV2246" t="s">
        <v>556</v>
      </c>
      <c r="AW2246" t="s">
        <v>60</v>
      </c>
      <c r="AX2246" t="s">
        <v>68</v>
      </c>
      <c r="AY2246" t="s">
        <v>69</v>
      </c>
      <c r="AZ2246" t="b">
        <v>1</v>
      </c>
    </row>
    <row r="2247" spans="1:52" x14ac:dyDescent="0.3">
      <c r="A2247" t="s">
        <v>52</v>
      </c>
      <c r="B2247" t="s">
        <v>53</v>
      </c>
      <c r="C2247" t="s">
        <v>54</v>
      </c>
      <c r="D2247" t="s">
        <v>55</v>
      </c>
      <c r="E2247" t="s">
        <v>878</v>
      </c>
      <c r="F2247" t="s">
        <v>512</v>
      </c>
      <c r="G2247" t="s">
        <v>557</v>
      </c>
      <c r="H2247" t="s">
        <v>558</v>
      </c>
      <c r="I2247" t="s">
        <v>558</v>
      </c>
      <c r="J2247" t="s">
        <v>60</v>
      </c>
      <c r="K2247" t="s">
        <v>445</v>
      </c>
      <c r="L2247" t="s">
        <v>62</v>
      </c>
      <c r="M2247" t="s">
        <v>445</v>
      </c>
      <c r="N2247" t="s">
        <v>559</v>
      </c>
      <c r="O2247" t="s">
        <v>560</v>
      </c>
      <c r="P2247">
        <v>-19.641839000000001</v>
      </c>
      <c r="Q2247">
        <v>-43.876227</v>
      </c>
      <c r="R2247" s="2" t="str">
        <f>HYPERLINK("https://www.google.com/maps?q=-19.6418390,-43.8762270","Abrir no Google Maps")</f>
        <v>Abrir no Google Maps</v>
      </c>
      <c r="S2247">
        <v>3</v>
      </c>
      <c r="T2247">
        <v>564.50471877254449</v>
      </c>
      <c r="U2247">
        <v>1</v>
      </c>
      <c r="V2247">
        <v>0.17209714415605881</v>
      </c>
      <c r="W2247">
        <v>0.85</v>
      </c>
      <c r="X2247">
        <v>0.14628257253265001</v>
      </c>
      <c r="Y2247">
        <v>10</v>
      </c>
      <c r="Z2247">
        <v>490.40238336341412</v>
      </c>
      <c r="AA2247">
        <v>2</v>
      </c>
      <c r="AB2247">
        <v>3</v>
      </c>
      <c r="AC2247">
        <v>7</v>
      </c>
      <c r="AD2247">
        <v>27.39</v>
      </c>
      <c r="AE2247">
        <v>253</v>
      </c>
      <c r="AF2247">
        <v>12</v>
      </c>
      <c r="AG2247">
        <v>75</v>
      </c>
      <c r="AH2247">
        <v>32</v>
      </c>
      <c r="AI2247">
        <v>4.74</v>
      </c>
      <c r="AJ2247">
        <v>29.64</v>
      </c>
      <c r="AK2247">
        <v>12.65</v>
      </c>
      <c r="AL2247">
        <v>-19.641880699999941</v>
      </c>
      <c r="AM2247">
        <v>-43.876185869580858</v>
      </c>
      <c r="AN2247">
        <v>-19.641880699999941</v>
      </c>
      <c r="AO2247">
        <v>-43.876185869580858</v>
      </c>
      <c r="AP2247">
        <v>-19.641839000000001</v>
      </c>
      <c r="AQ2247">
        <v>-43.876227</v>
      </c>
      <c r="AR2247">
        <v>6.3359121862683301</v>
      </c>
      <c r="AS2247" t="s">
        <v>65</v>
      </c>
      <c r="AT2247">
        <v>1</v>
      </c>
      <c r="AU2247" t="s">
        <v>561</v>
      </c>
      <c r="AV2247" t="s">
        <v>562</v>
      </c>
      <c r="AW2247" t="s">
        <v>60</v>
      </c>
      <c r="AX2247" t="s">
        <v>68</v>
      </c>
      <c r="AY2247" t="s">
        <v>69</v>
      </c>
      <c r="AZ2247" t="b">
        <v>1</v>
      </c>
    </row>
    <row r="2248" spans="1:52" x14ac:dyDescent="0.3">
      <c r="A2248" t="s">
        <v>52</v>
      </c>
      <c r="B2248" t="s">
        <v>53</v>
      </c>
      <c r="C2248" t="s">
        <v>54</v>
      </c>
      <c r="D2248" t="s">
        <v>55</v>
      </c>
      <c r="E2248" t="s">
        <v>878</v>
      </c>
      <c r="F2248" t="s">
        <v>512</v>
      </c>
      <c r="G2248" t="s">
        <v>569</v>
      </c>
      <c r="H2248" t="s">
        <v>570</v>
      </c>
      <c r="I2248" t="s">
        <v>570</v>
      </c>
      <c r="J2248" t="s">
        <v>60</v>
      </c>
      <c r="K2248" t="s">
        <v>445</v>
      </c>
      <c r="L2248" t="s">
        <v>62</v>
      </c>
      <c r="M2248" t="s">
        <v>445</v>
      </c>
      <c r="N2248" t="s">
        <v>571</v>
      </c>
      <c r="O2248" t="s">
        <v>572</v>
      </c>
      <c r="P2248">
        <v>-19.646602999999999</v>
      </c>
      <c r="Q2248">
        <v>-43.879826000000001</v>
      </c>
      <c r="R2248" s="2" t="str">
        <f>HYPERLINK("https://www.google.com/maps?q=-19.6466030,-43.8798260","Abrir no Google Maps")</f>
        <v>Abrir no Google Maps</v>
      </c>
      <c r="S2248">
        <v>3</v>
      </c>
      <c r="T2248">
        <v>497.89126003830972</v>
      </c>
      <c r="U2248">
        <v>1</v>
      </c>
      <c r="V2248">
        <v>0.17907634602840081</v>
      </c>
      <c r="W2248">
        <v>0.85</v>
      </c>
      <c r="X2248">
        <v>0.15221489412414069</v>
      </c>
      <c r="Y2248">
        <v>10</v>
      </c>
      <c r="Z2248">
        <v>228.69190976735251</v>
      </c>
      <c r="AA2248">
        <v>2</v>
      </c>
      <c r="AB2248">
        <v>3</v>
      </c>
      <c r="AC2248">
        <v>7</v>
      </c>
      <c r="AD2248">
        <v>27.39</v>
      </c>
      <c r="AE2248">
        <v>253</v>
      </c>
      <c r="AF2248">
        <v>12</v>
      </c>
      <c r="AG2248">
        <v>75</v>
      </c>
      <c r="AH2248">
        <v>32</v>
      </c>
      <c r="AI2248">
        <v>4.74</v>
      </c>
      <c r="AJ2248">
        <v>29.64</v>
      </c>
      <c r="AK2248">
        <v>12.65</v>
      </c>
      <c r="AL2248">
        <v>-19.646577499999982</v>
      </c>
      <c r="AM2248">
        <v>-43.879934131171261</v>
      </c>
      <c r="AN2248">
        <v>-19.646577499999971</v>
      </c>
      <c r="AO2248">
        <v>-43.879934131171261</v>
      </c>
      <c r="AP2248">
        <v>-19.646602999999999</v>
      </c>
      <c r="AQ2248">
        <v>-43.879826000000001</v>
      </c>
      <c r="AR2248">
        <v>11.68641198848764</v>
      </c>
      <c r="AS2248" t="s">
        <v>65</v>
      </c>
      <c r="AT2248">
        <v>1</v>
      </c>
      <c r="AU2248" t="s">
        <v>573</v>
      </c>
      <c r="AV2248" t="s">
        <v>574</v>
      </c>
      <c r="AW2248" t="s">
        <v>60</v>
      </c>
      <c r="AX2248" t="s">
        <v>68</v>
      </c>
      <c r="AY2248" t="s">
        <v>69</v>
      </c>
      <c r="AZ2248" t="b">
        <v>1</v>
      </c>
    </row>
    <row r="2249" spans="1:52" x14ac:dyDescent="0.3">
      <c r="A2249" t="s">
        <v>52</v>
      </c>
      <c r="B2249" t="s">
        <v>53</v>
      </c>
      <c r="C2249" t="s">
        <v>54</v>
      </c>
      <c r="D2249" t="s">
        <v>55</v>
      </c>
      <c r="E2249" t="s">
        <v>878</v>
      </c>
      <c r="F2249" t="s">
        <v>512</v>
      </c>
      <c r="G2249" t="s">
        <v>586</v>
      </c>
      <c r="H2249" t="s">
        <v>587</v>
      </c>
      <c r="I2249" t="s">
        <v>587</v>
      </c>
      <c r="J2249" t="s">
        <v>60</v>
      </c>
      <c r="K2249" t="s">
        <v>286</v>
      </c>
      <c r="L2249" t="s">
        <v>62</v>
      </c>
      <c r="M2249" t="s">
        <v>286</v>
      </c>
      <c r="N2249" t="s">
        <v>588</v>
      </c>
      <c r="O2249" t="s">
        <v>589</v>
      </c>
      <c r="P2249">
        <v>-19.638362999999998</v>
      </c>
      <c r="Q2249">
        <v>-43.887081000000002</v>
      </c>
      <c r="R2249" s="2" t="str">
        <f>HYPERLINK("https://www.google.com/maps?q=-19.6383630,-43.8870810","Abrir no Google Maps")</f>
        <v>Abrir no Google Maps</v>
      </c>
      <c r="S2249">
        <v>3</v>
      </c>
      <c r="T2249">
        <v>521.16909902210193</v>
      </c>
      <c r="U2249">
        <v>1</v>
      </c>
      <c r="V2249">
        <v>0.1783309108527131</v>
      </c>
      <c r="W2249">
        <v>0.85</v>
      </c>
      <c r="X2249">
        <v>0.15158127422480611</v>
      </c>
      <c r="Y2249">
        <v>10</v>
      </c>
      <c r="Z2249">
        <v>416.66355243950221</v>
      </c>
      <c r="AA2249">
        <v>2</v>
      </c>
      <c r="AB2249">
        <v>3</v>
      </c>
      <c r="AC2249">
        <v>7</v>
      </c>
      <c r="AD2249">
        <v>27.39</v>
      </c>
      <c r="AE2249">
        <v>253</v>
      </c>
      <c r="AF2249">
        <v>12</v>
      </c>
      <c r="AG2249">
        <v>75</v>
      </c>
      <c r="AH2249">
        <v>32</v>
      </c>
      <c r="AI2249">
        <v>4.74</v>
      </c>
      <c r="AJ2249">
        <v>29.64</v>
      </c>
      <c r="AK2249">
        <v>12.65</v>
      </c>
      <c r="AL2249">
        <v>-19.638074649999961</v>
      </c>
      <c r="AM2249">
        <v>-43.887517684870552</v>
      </c>
      <c r="AN2249">
        <v>-19.638074649999961</v>
      </c>
      <c r="AO2249">
        <v>-43.887517684870552</v>
      </c>
      <c r="AP2249">
        <v>-19.638362999999998</v>
      </c>
      <c r="AQ2249">
        <v>-43.887081000000002</v>
      </c>
      <c r="AR2249">
        <v>55.915550702564907</v>
      </c>
      <c r="AS2249" t="s">
        <v>65</v>
      </c>
      <c r="AT2249">
        <v>1</v>
      </c>
      <c r="AU2249" t="s">
        <v>590</v>
      </c>
      <c r="AV2249" t="s">
        <v>591</v>
      </c>
      <c r="AW2249" t="s">
        <v>60</v>
      </c>
      <c r="AX2249" t="s">
        <v>68</v>
      </c>
      <c r="AY2249" t="s">
        <v>69</v>
      </c>
      <c r="AZ2249" t="b">
        <v>1</v>
      </c>
    </row>
    <row r="2250" spans="1:52" x14ac:dyDescent="0.3">
      <c r="A2250" t="s">
        <v>52</v>
      </c>
      <c r="B2250" t="s">
        <v>53</v>
      </c>
      <c r="C2250" t="s">
        <v>54</v>
      </c>
      <c r="D2250" t="s">
        <v>55</v>
      </c>
      <c r="E2250" t="s">
        <v>878</v>
      </c>
      <c r="F2250" t="s">
        <v>512</v>
      </c>
      <c r="G2250" t="s">
        <v>575</v>
      </c>
      <c r="H2250" t="s">
        <v>576</v>
      </c>
      <c r="I2250" t="s">
        <v>576</v>
      </c>
      <c r="J2250" t="s">
        <v>60</v>
      </c>
      <c r="K2250" t="s">
        <v>445</v>
      </c>
      <c r="L2250" t="s">
        <v>62</v>
      </c>
      <c r="M2250" t="s">
        <v>445</v>
      </c>
      <c r="N2250" t="s">
        <v>577</v>
      </c>
      <c r="O2250" t="s">
        <v>214</v>
      </c>
      <c r="P2250">
        <v>-19.639865</v>
      </c>
      <c r="Q2250">
        <v>-43.877858000000003</v>
      </c>
      <c r="R2250" s="2" t="str">
        <f>HYPERLINK("https://www.google.com/maps?q=-19.6398650,-43.8778580","Abrir no Google Maps")</f>
        <v>Abrir no Google Maps</v>
      </c>
      <c r="S2250">
        <v>3</v>
      </c>
      <c r="T2250">
        <v>497.47318171010488</v>
      </c>
      <c r="U2250">
        <v>1</v>
      </c>
      <c r="V2250">
        <v>0.1692862475337277</v>
      </c>
      <c r="W2250">
        <v>0.85</v>
      </c>
      <c r="X2250">
        <v>0.14389331040366851</v>
      </c>
      <c r="Y2250">
        <v>10</v>
      </c>
      <c r="Z2250">
        <v>547.08184956634818</v>
      </c>
      <c r="AA2250">
        <v>2</v>
      </c>
      <c r="AB2250">
        <v>3</v>
      </c>
      <c r="AC2250">
        <v>7</v>
      </c>
      <c r="AD2250">
        <v>27.39</v>
      </c>
      <c r="AE2250">
        <v>253</v>
      </c>
      <c r="AF2250">
        <v>12</v>
      </c>
      <c r="AG2250">
        <v>75</v>
      </c>
      <c r="AH2250">
        <v>32</v>
      </c>
      <c r="AI2250">
        <v>4.74</v>
      </c>
      <c r="AJ2250">
        <v>29.64</v>
      </c>
      <c r="AK2250">
        <v>12.65</v>
      </c>
      <c r="AL2250">
        <v>-19.639907499999961</v>
      </c>
      <c r="AM2250">
        <v>-43.877561677180587</v>
      </c>
      <c r="AN2250">
        <v>-19.639907499999961</v>
      </c>
      <c r="AO2250">
        <v>-43.877561677180587</v>
      </c>
      <c r="AP2250">
        <v>-19.639865</v>
      </c>
      <c r="AQ2250">
        <v>-43.877858000000003</v>
      </c>
      <c r="AR2250">
        <v>31.4257813556037</v>
      </c>
      <c r="AS2250" t="s">
        <v>65</v>
      </c>
      <c r="AT2250">
        <v>1</v>
      </c>
      <c r="AU2250" t="s">
        <v>578</v>
      </c>
      <c r="AV2250" t="s">
        <v>579</v>
      </c>
      <c r="AW2250" t="s">
        <v>60</v>
      </c>
      <c r="AX2250" t="s">
        <v>68</v>
      </c>
      <c r="AY2250" t="s">
        <v>69</v>
      </c>
      <c r="AZ2250" t="b">
        <v>1</v>
      </c>
    </row>
    <row r="2251" spans="1:52" x14ac:dyDescent="0.3">
      <c r="A2251" t="s">
        <v>52</v>
      </c>
      <c r="B2251" t="s">
        <v>53</v>
      </c>
      <c r="C2251" t="s">
        <v>54</v>
      </c>
      <c r="D2251" t="s">
        <v>55</v>
      </c>
      <c r="E2251" t="s">
        <v>878</v>
      </c>
      <c r="F2251" t="s">
        <v>512</v>
      </c>
      <c r="G2251" t="s">
        <v>592</v>
      </c>
      <c r="H2251" t="s">
        <v>593</v>
      </c>
      <c r="I2251" t="s">
        <v>593</v>
      </c>
      <c r="J2251" t="s">
        <v>60</v>
      </c>
      <c r="K2251" t="s">
        <v>445</v>
      </c>
      <c r="L2251" t="s">
        <v>62</v>
      </c>
      <c r="M2251" t="s">
        <v>445</v>
      </c>
      <c r="N2251" t="s">
        <v>594</v>
      </c>
      <c r="O2251" t="s">
        <v>477</v>
      </c>
      <c r="P2251">
        <v>-19.640709000000001</v>
      </c>
      <c r="Q2251">
        <v>-43.868687999999999</v>
      </c>
      <c r="R2251" s="2" t="str">
        <f>HYPERLINK("https://www.google.com/maps?q=-19.6407090,-43.8686880","Abrir no Google Maps")</f>
        <v>Abrir no Google Maps</v>
      </c>
      <c r="S2251">
        <v>1</v>
      </c>
      <c r="T2251">
        <v>1174.9679995958841</v>
      </c>
      <c r="U2251">
        <v>2</v>
      </c>
      <c r="V2251">
        <v>0.1812279929577465</v>
      </c>
      <c r="W2251">
        <v>1</v>
      </c>
      <c r="X2251">
        <v>0.1812279929577465</v>
      </c>
      <c r="Y2251">
        <v>10</v>
      </c>
      <c r="Z2251">
        <v>1230.8029594060461</v>
      </c>
      <c r="AA2251">
        <v>2</v>
      </c>
      <c r="AB2251">
        <v>3</v>
      </c>
      <c r="AC2251">
        <v>7</v>
      </c>
      <c r="AD2251">
        <v>27.39</v>
      </c>
      <c r="AE2251">
        <v>253</v>
      </c>
      <c r="AF2251">
        <v>12</v>
      </c>
      <c r="AG2251">
        <v>75</v>
      </c>
      <c r="AH2251">
        <v>32</v>
      </c>
      <c r="AI2251">
        <v>4.74</v>
      </c>
      <c r="AJ2251">
        <v>29.64</v>
      </c>
      <c r="AK2251">
        <v>12.65</v>
      </c>
      <c r="AL2251">
        <v>-19.641057949999979</v>
      </c>
      <c r="AM2251">
        <v>-43.868800137485707</v>
      </c>
      <c r="AN2251">
        <v>-19.641057949999979</v>
      </c>
      <c r="AO2251">
        <v>-43.868800137485707</v>
      </c>
      <c r="AP2251">
        <v>-19.640709000000001</v>
      </c>
      <c r="AQ2251">
        <v>-43.868687999999999</v>
      </c>
      <c r="AR2251">
        <v>40.585293798071682</v>
      </c>
      <c r="AS2251" t="s">
        <v>65</v>
      </c>
      <c r="AT2251">
        <v>1</v>
      </c>
      <c r="AU2251" t="s">
        <v>595</v>
      </c>
      <c r="AV2251" t="s">
        <v>596</v>
      </c>
      <c r="AW2251" t="s">
        <v>60</v>
      </c>
      <c r="AX2251" t="s">
        <v>68</v>
      </c>
      <c r="AY2251" t="s">
        <v>69</v>
      </c>
      <c r="AZ2251" t="b">
        <v>1</v>
      </c>
    </row>
    <row r="2252" spans="1:52" x14ac:dyDescent="0.3">
      <c r="A2252" t="s">
        <v>52</v>
      </c>
      <c r="B2252" t="s">
        <v>53</v>
      </c>
      <c r="C2252" t="s">
        <v>54</v>
      </c>
      <c r="D2252" t="s">
        <v>55</v>
      </c>
      <c r="E2252" t="s">
        <v>878</v>
      </c>
      <c r="F2252" t="s">
        <v>512</v>
      </c>
      <c r="G2252" t="s">
        <v>597</v>
      </c>
      <c r="H2252" t="s">
        <v>598</v>
      </c>
      <c r="I2252" t="s">
        <v>598</v>
      </c>
      <c r="J2252" t="s">
        <v>60</v>
      </c>
      <c r="K2252" t="s">
        <v>445</v>
      </c>
      <c r="L2252" t="s">
        <v>62</v>
      </c>
      <c r="M2252" t="s">
        <v>445</v>
      </c>
      <c r="N2252" t="s">
        <v>599</v>
      </c>
      <c r="O2252" t="s">
        <v>391</v>
      </c>
      <c r="P2252">
        <v>-19.637060999999999</v>
      </c>
      <c r="Q2252">
        <v>-43.871026000000001</v>
      </c>
      <c r="R2252" s="2" t="str">
        <f>HYPERLINK("https://www.google.com/maps?q=-19.6370610,-43.8710260","Abrir no Google Maps")</f>
        <v>Abrir no Google Maps</v>
      </c>
      <c r="S2252">
        <v>1</v>
      </c>
      <c r="T2252">
        <v>737.61884389282102</v>
      </c>
      <c r="U2252">
        <v>2</v>
      </c>
      <c r="V2252">
        <v>0.17429269846188269</v>
      </c>
      <c r="W2252">
        <v>1</v>
      </c>
      <c r="X2252">
        <v>0.17429269846188269</v>
      </c>
      <c r="Y2252">
        <v>10</v>
      </c>
      <c r="Z2252">
        <v>1331.4501394006061</v>
      </c>
      <c r="AA2252">
        <v>2</v>
      </c>
      <c r="AB2252">
        <v>3</v>
      </c>
      <c r="AC2252">
        <v>7</v>
      </c>
      <c r="AD2252">
        <v>27.39</v>
      </c>
      <c r="AE2252">
        <v>253</v>
      </c>
      <c r="AF2252">
        <v>12</v>
      </c>
      <c r="AG2252">
        <v>75</v>
      </c>
      <c r="AH2252">
        <v>32</v>
      </c>
      <c r="AI2252">
        <v>4.74</v>
      </c>
      <c r="AJ2252">
        <v>29.64</v>
      </c>
      <c r="AK2252">
        <v>12.65</v>
      </c>
      <c r="AL2252">
        <v>-19.637111899999951</v>
      </c>
      <c r="AM2252">
        <v>-43.870888931681193</v>
      </c>
      <c r="AN2252">
        <v>-19.637111899999951</v>
      </c>
      <c r="AO2252">
        <v>-43.870888931681193</v>
      </c>
      <c r="AP2252">
        <v>-19.637060999999999</v>
      </c>
      <c r="AQ2252">
        <v>-43.871026000000001</v>
      </c>
      <c r="AR2252">
        <v>15.44770924391884</v>
      </c>
      <c r="AS2252" t="s">
        <v>65</v>
      </c>
      <c r="AT2252">
        <v>1</v>
      </c>
      <c r="AU2252" t="s">
        <v>600</v>
      </c>
      <c r="AV2252" t="s">
        <v>601</v>
      </c>
      <c r="AW2252" t="s">
        <v>60</v>
      </c>
      <c r="AX2252" t="s">
        <v>68</v>
      </c>
      <c r="AY2252" t="s">
        <v>69</v>
      </c>
      <c r="AZ2252" t="b">
        <v>1</v>
      </c>
    </row>
    <row r="2253" spans="1:52" x14ac:dyDescent="0.3">
      <c r="A2253" t="s">
        <v>52</v>
      </c>
      <c r="B2253" t="s">
        <v>53</v>
      </c>
      <c r="C2253" t="s">
        <v>54</v>
      </c>
      <c r="D2253" t="s">
        <v>55</v>
      </c>
      <c r="E2253" t="s">
        <v>878</v>
      </c>
      <c r="F2253" t="s">
        <v>512</v>
      </c>
      <c r="G2253" t="s">
        <v>602</v>
      </c>
      <c r="H2253" t="s">
        <v>603</v>
      </c>
      <c r="I2253" t="s">
        <v>603</v>
      </c>
      <c r="J2253" t="s">
        <v>60</v>
      </c>
      <c r="K2253" t="s">
        <v>185</v>
      </c>
      <c r="L2253" t="s">
        <v>62</v>
      </c>
      <c r="M2253" t="s">
        <v>185</v>
      </c>
      <c r="N2253" t="s">
        <v>604</v>
      </c>
      <c r="O2253" t="s">
        <v>341</v>
      </c>
      <c r="P2253">
        <v>-19.624801999999999</v>
      </c>
      <c r="Q2253">
        <v>-43.891128999999999</v>
      </c>
      <c r="R2253" s="2" t="str">
        <f>HYPERLINK("https://www.google.com/maps?q=-19.6248020,-43.8911290","Abrir no Google Maps")</f>
        <v>Abrir no Google Maps</v>
      </c>
      <c r="S2253">
        <v>1</v>
      </c>
      <c r="T2253">
        <v>340.53720321500958</v>
      </c>
      <c r="U2253">
        <v>1</v>
      </c>
      <c r="V2253">
        <v>0.14779788011695899</v>
      </c>
      <c r="W2253">
        <v>0.85</v>
      </c>
      <c r="X2253">
        <v>0.12562819809941511</v>
      </c>
      <c r="Y2253">
        <v>18</v>
      </c>
      <c r="Z2253">
        <v>362.68114540183888</v>
      </c>
      <c r="AA2253">
        <v>2</v>
      </c>
      <c r="AB2253">
        <v>3</v>
      </c>
      <c r="AC2253">
        <v>7</v>
      </c>
      <c r="AD2253">
        <v>27.39</v>
      </c>
      <c r="AE2253">
        <v>253</v>
      </c>
      <c r="AF2253">
        <v>12</v>
      </c>
      <c r="AG2253">
        <v>75</v>
      </c>
      <c r="AH2253">
        <v>32</v>
      </c>
      <c r="AI2253">
        <v>4.74</v>
      </c>
      <c r="AJ2253">
        <v>29.64</v>
      </c>
      <c r="AK2253">
        <v>12.65</v>
      </c>
      <c r="AL2253">
        <v>-19.625033299999959</v>
      </c>
      <c r="AM2253">
        <v>-43.891084256403538</v>
      </c>
      <c r="AN2253">
        <v>-19.625033299999959</v>
      </c>
      <c r="AO2253">
        <v>-43.891084256403538</v>
      </c>
      <c r="AP2253">
        <v>-19.624801999999999</v>
      </c>
      <c r="AQ2253">
        <v>-43.891128999999999</v>
      </c>
      <c r="AR2253">
        <v>26.172240371022362</v>
      </c>
      <c r="AS2253" t="s">
        <v>65</v>
      </c>
      <c r="AT2253">
        <v>1</v>
      </c>
      <c r="AU2253" t="s">
        <v>605</v>
      </c>
      <c r="AV2253" t="s">
        <v>606</v>
      </c>
      <c r="AW2253" t="s">
        <v>60</v>
      </c>
      <c r="AX2253" t="s">
        <v>68</v>
      </c>
      <c r="AY2253" t="s">
        <v>69</v>
      </c>
      <c r="AZ2253" t="b">
        <v>1</v>
      </c>
    </row>
    <row r="2254" spans="1:52" x14ac:dyDescent="0.3">
      <c r="A2254" t="s">
        <v>52</v>
      </c>
      <c r="B2254" t="s">
        <v>53</v>
      </c>
      <c r="C2254" t="s">
        <v>54</v>
      </c>
      <c r="D2254" t="s">
        <v>55</v>
      </c>
      <c r="E2254" t="s">
        <v>878</v>
      </c>
      <c r="F2254" t="s">
        <v>512</v>
      </c>
      <c r="G2254" t="s">
        <v>123</v>
      </c>
      <c r="H2254" t="s">
        <v>607</v>
      </c>
      <c r="I2254" t="s">
        <v>607</v>
      </c>
      <c r="J2254" t="s">
        <v>60</v>
      </c>
      <c r="K2254" t="s">
        <v>333</v>
      </c>
      <c r="L2254" t="s">
        <v>62</v>
      </c>
      <c r="M2254" t="s">
        <v>333</v>
      </c>
      <c r="N2254" t="s">
        <v>125</v>
      </c>
      <c r="O2254" t="s">
        <v>608</v>
      </c>
      <c r="P2254">
        <v>-19.636002999999999</v>
      </c>
      <c r="Q2254">
        <v>-43.908445</v>
      </c>
      <c r="R2254" s="2" t="str">
        <f>HYPERLINK("https://www.google.com/maps?q=-19.6360030,-43.9084450","Abrir no Google Maps")</f>
        <v>Abrir no Google Maps</v>
      </c>
      <c r="S2254">
        <v>1</v>
      </c>
      <c r="T2254">
        <v>612.64850802557942</v>
      </c>
      <c r="U2254">
        <v>1</v>
      </c>
      <c r="V2254">
        <v>0.17167163437655231</v>
      </c>
      <c r="W2254">
        <v>0.85</v>
      </c>
      <c r="X2254">
        <v>0.14592088922006949</v>
      </c>
      <c r="Y2254">
        <v>10</v>
      </c>
      <c r="Z2254">
        <v>606.91793961222209</v>
      </c>
      <c r="AA2254">
        <v>2</v>
      </c>
      <c r="AB2254">
        <v>3</v>
      </c>
      <c r="AC2254">
        <v>7</v>
      </c>
      <c r="AD2254">
        <v>27.39</v>
      </c>
      <c r="AE2254">
        <v>253</v>
      </c>
      <c r="AF2254">
        <v>12</v>
      </c>
      <c r="AG2254">
        <v>75</v>
      </c>
      <c r="AH2254">
        <v>32</v>
      </c>
      <c r="AI2254">
        <v>4.74</v>
      </c>
      <c r="AJ2254">
        <v>29.64</v>
      </c>
      <c r="AK2254">
        <v>12.65</v>
      </c>
      <c r="AL2254">
        <v>-19.63618049999997</v>
      </c>
      <c r="AM2254">
        <v>-43.908471095478113</v>
      </c>
      <c r="AN2254">
        <v>-19.63618049999997</v>
      </c>
      <c r="AO2254">
        <v>-43.908471095478113</v>
      </c>
      <c r="AP2254">
        <v>-19.636002999999999</v>
      </c>
      <c r="AQ2254">
        <v>-43.908445</v>
      </c>
      <c r="AR2254">
        <v>19.947824476218141</v>
      </c>
      <c r="AS2254" t="s">
        <v>65</v>
      </c>
      <c r="AT2254">
        <v>1</v>
      </c>
      <c r="AU2254" t="s">
        <v>609</v>
      </c>
      <c r="AV2254" t="s">
        <v>610</v>
      </c>
      <c r="AW2254" t="s">
        <v>60</v>
      </c>
      <c r="AX2254" t="s">
        <v>68</v>
      </c>
      <c r="AY2254" t="s">
        <v>69</v>
      </c>
      <c r="AZ2254" t="b">
        <v>1</v>
      </c>
    </row>
    <row r="2255" spans="1:52" x14ac:dyDescent="0.3">
      <c r="A2255" t="s">
        <v>52</v>
      </c>
      <c r="B2255" t="s">
        <v>53</v>
      </c>
      <c r="C2255" t="s">
        <v>54</v>
      </c>
      <c r="D2255" t="s">
        <v>55</v>
      </c>
      <c r="E2255" t="s">
        <v>878</v>
      </c>
      <c r="F2255" t="s">
        <v>512</v>
      </c>
      <c r="G2255" t="s">
        <v>611</v>
      </c>
      <c r="H2255" t="s">
        <v>612</v>
      </c>
      <c r="I2255" t="s">
        <v>612</v>
      </c>
      <c r="J2255" t="s">
        <v>60</v>
      </c>
      <c r="K2255" t="s">
        <v>445</v>
      </c>
      <c r="L2255" t="s">
        <v>62</v>
      </c>
      <c r="M2255" t="s">
        <v>445</v>
      </c>
      <c r="N2255" t="s">
        <v>613</v>
      </c>
      <c r="O2255" t="s">
        <v>94</v>
      </c>
      <c r="P2255">
        <v>-19.639271999999998</v>
      </c>
      <c r="Q2255">
        <v>-43.875624000000002</v>
      </c>
      <c r="R2255" s="2" t="str">
        <f>HYPERLINK("https://www.google.com/maps?q=-19.6392720,-43.8756240","Abrir no Google Maps")</f>
        <v>Abrir no Google Maps</v>
      </c>
      <c r="S2255">
        <v>1</v>
      </c>
      <c r="T2255">
        <v>618.4798639458262</v>
      </c>
      <c r="U2255">
        <v>1</v>
      </c>
      <c r="V2255">
        <v>0.17665874094202899</v>
      </c>
      <c r="W2255">
        <v>0.85</v>
      </c>
      <c r="X2255">
        <v>0.15015992980072471</v>
      </c>
      <c r="Y2255">
        <v>10</v>
      </c>
      <c r="Z2255">
        <v>724.62991660382431</v>
      </c>
      <c r="AA2255">
        <v>2</v>
      </c>
      <c r="AB2255">
        <v>3</v>
      </c>
      <c r="AC2255">
        <v>7</v>
      </c>
      <c r="AD2255">
        <v>27.39</v>
      </c>
      <c r="AE2255">
        <v>253</v>
      </c>
      <c r="AF2255">
        <v>12</v>
      </c>
      <c r="AG2255">
        <v>75</v>
      </c>
      <c r="AH2255">
        <v>32</v>
      </c>
      <c r="AI2255">
        <v>4.74</v>
      </c>
      <c r="AJ2255">
        <v>29.64</v>
      </c>
      <c r="AK2255">
        <v>12.65</v>
      </c>
      <c r="AL2255">
        <v>-19.639239899999978</v>
      </c>
      <c r="AM2255">
        <v>-43.875497463228079</v>
      </c>
      <c r="AN2255">
        <v>-19.639239899999978</v>
      </c>
      <c r="AO2255">
        <v>-43.875497463228079</v>
      </c>
      <c r="AP2255">
        <v>-19.639271999999998</v>
      </c>
      <c r="AQ2255">
        <v>-43.875624000000002</v>
      </c>
      <c r="AR2255">
        <v>13.73946951590594</v>
      </c>
      <c r="AS2255" t="s">
        <v>65</v>
      </c>
      <c r="AT2255">
        <v>1</v>
      </c>
      <c r="AU2255" t="s">
        <v>614</v>
      </c>
      <c r="AV2255" t="s">
        <v>615</v>
      </c>
      <c r="AW2255" t="s">
        <v>60</v>
      </c>
      <c r="AX2255" t="s">
        <v>68</v>
      </c>
      <c r="AY2255" t="s">
        <v>69</v>
      </c>
      <c r="AZ2255" t="b">
        <v>1</v>
      </c>
    </row>
  </sheetData>
  <autoFilter ref="A1:AZ2255" xr:uid="{00000000-0009-0000-0000-000011000000}"/>
  <conditionalFormatting sqref="F2:F2255">
    <cfRule type="expression" dxfId="2" priority="1">
      <formula>$F2="Ideal"</formula>
    </cfRule>
    <cfRule type="expression" dxfId="1" priority="2">
      <formula>$F2="Subideal"</formula>
    </cfRule>
    <cfRule type="expression" dxfId="0" priority="3">
      <formula>$F2="Base"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lagoa santa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Vitória Dumbá</dc:creator>
  <cp:lastModifiedBy>Ana Vitória Dumbá</cp:lastModifiedBy>
  <dcterms:created xsi:type="dcterms:W3CDTF">2026-09-06T22:12:24Z</dcterms:created>
  <dcterms:modified xsi:type="dcterms:W3CDTF">2026-09-06T22:12:52Z</dcterms:modified>
</cp:coreProperties>
</file>